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X" sheetId="1" r:id="rId5"/>
    <sheet state="visible" name="Dashboard VRP" sheetId="2" r:id="rId6"/>
    <sheet state="visible" name="VRP PROD" sheetId="3" r:id="rId7"/>
    <sheet state="visible" name="VRP STAGE" sheetId="4" r:id="rId8"/>
    <sheet state="visible" name="VRP TEST" sheetId="5" r:id="rId9"/>
    <sheet state="visible" name="VRP DEV" sheetId="6" r:id="rId10"/>
    <sheet state="visible" name="Dashboard VRS" sheetId="7" r:id="rId11"/>
    <sheet state="visible" name="VRS PROD" sheetId="8" r:id="rId12"/>
    <sheet state="visible" name="VRS STAGE" sheetId="9" r:id="rId13"/>
    <sheet state="visible" name="VRS TEST" sheetId="10" r:id="rId14"/>
    <sheet state="visible" name="VRS DEV" sheetId="11" r:id="rId15"/>
    <sheet state="visible" name="Config" sheetId="12" r:id="rId16"/>
    <sheet state="visible" name="Device split" sheetId="13" r:id="rId17"/>
    <sheet state="visible" name="Runs" sheetId="14" r:id="rId18"/>
    <sheet state="visible" name="Worst" sheetId="15" r:id="rId19"/>
    <sheet state="visible" name="Routes" sheetId="16" r:id="rId20"/>
    <sheet state="visible" name="Stability" sheetId="17" r:id="rId21"/>
  </sheets>
  <definedNames>
    <definedName name="ThresholdData">Config!$A$2:$D$14</definedName>
    <definedName hidden="1" localSheetId="3" name="_xlnm._FilterDatabase">'VRP STAGE'!$D$1:$D$2000</definedName>
    <definedName hidden="1" localSheetId="8" name="_xlnm._FilterDatabase">'VRS STAGE'!$A$1:$S$2000</definedName>
  </definedNames>
  <calcPr/>
</workbook>
</file>

<file path=xl/sharedStrings.xml><?xml version="1.0" encoding="utf-8"?>
<sst xmlns="http://schemas.openxmlformats.org/spreadsheetml/2006/main" count="9902" uniqueCount="650">
  <si>
    <t>date</t>
  </si>
  <si>
    <t>project</t>
  </si>
  <si>
    <t>sprint</t>
  </si>
  <si>
    <t>page</t>
  </si>
  <si>
    <t>device</t>
  </si>
  <si>
    <t>LCP</t>
  </si>
  <si>
    <t>FCP</t>
  </si>
  <si>
    <t>INP</t>
  </si>
  <si>
    <t>CLS</t>
  </si>
  <si>
    <t>LCP_good_pct</t>
  </si>
  <si>
    <t>FCP_good_pct</t>
  </si>
  <si>
    <t>INP_good_pct</t>
  </si>
  <si>
    <t>CLS_good_pct</t>
  </si>
  <si>
    <t>TTFB</t>
  </si>
  <si>
    <t>run_id</t>
  </si>
  <si>
    <t>tag</t>
  </si>
  <si>
    <t>Дата</t>
  </si>
  <si>
    <t>Проект</t>
  </si>
  <si>
    <t>Спринт</t>
  </si>
  <si>
    <t>Страница</t>
  </si>
  <si>
    <t>Устройство</t>
  </si>
  <si>
    <t>CWV p75</t>
  </si>
  <si>
    <t>CWV good %</t>
  </si>
  <si>
    <t>Network</t>
  </si>
  <si>
    <t>Date</t>
  </si>
  <si>
    <t>Project</t>
  </si>
  <si>
    <t>Sprint</t>
  </si>
  <si>
    <t>Page</t>
  </si>
  <si>
    <t>Device</t>
  </si>
  <si>
    <t>LCP good %</t>
  </si>
  <si>
    <t>FCP good %</t>
  </si>
  <si>
    <t>INP good %</t>
  </si>
  <si>
    <t>CLS good %</t>
  </si>
  <si>
    <t>VRS [PROD]</t>
  </si>
  <si>
    <t>desktop</t>
  </si>
  <si>
    <t>mobile</t>
  </si>
  <si>
    <t>VRP [PROD]</t>
  </si>
  <si>
    <t>Release 11-03-2026</t>
  </si>
  <si>
    <t>after</t>
  </si>
  <si>
    <t>Performance QA Dashboard [VRP]</t>
  </si>
  <si>
    <t>Default env: PROD | Current sprint: Release 18-03-2026 | Previous increment: Release 11-03-2026</t>
  </si>
  <si>
    <t>Environment</t>
  </si>
  <si>
    <t>ALL</t>
  </si>
  <si>
    <t>Sprint Control [VRP]</t>
  </si>
  <si>
    <t>Current Sprint</t>
  </si>
  <si>
    <t>Release 18-03-2026</t>
  </si>
  <si>
    <t>Route</t>
  </si>
  <si>
    <t>Previous Increment</t>
  </si>
  <si>
    <t>Tag</t>
  </si>
  <si>
    <t>DEV</t>
  </si>
  <si>
    <t>TEST</t>
  </si>
  <si>
    <t>STAGE</t>
  </si>
  <si>
    <t>PROD</t>
  </si>
  <si>
    <t>Mode</t>
  </si>
  <si>
    <t>Sprint View</t>
  </si>
  <si>
    <t>Active sprint: Release 18-03-2026 | rollout progress: 3/4</t>
  </si>
  <si>
    <t>Sprint View: работаем по Current Sprint. Контур с чекбоксом = after, без чекбокса = before. Previous Increment хранится как справочный прошлый инкремент.</t>
  </si>
  <si>
    <t>Generate Dashboard: нажми кнопку справа или используй меню QA Dashboard</t>
  </si>
  <si>
    <t>БЛОК 3 — АЛЕРТЫ</t>
  </si>
  <si>
    <t>Уровень</t>
  </si>
  <si>
    <t>Контур</t>
  </si>
  <si>
    <t>Алерт</t>
  </si>
  <si>
    <t>Причина</t>
  </si>
  <si>
    <t>MEDIUM</t>
  </si>
  <si>
    <t>INP повышен (416 ms)</t>
  </si>
  <si>
    <t>Main thread нагружен.</t>
  </si>
  <si>
    <t>CLS нестабилен (0.006)</t>
  </si>
  <si>
    <t>CLS std 0.123; баннеры/шрифты двигаются.</t>
  </si>
  <si>
    <t>CLS нестабилен (0.004)</t>
  </si>
  <si>
    <t>LCP ухудшился +19.2% (1.74 s → 2.07 s)</t>
  </si>
  <si>
    <t>TTFB stable</t>
  </si>
  <si>
    <t>INP повышен (236 ms)</t>
  </si>
  <si>
    <t>TTFB растёт +48.9%</t>
  </si>
  <si>
    <t>Response time растёт — может затронуть LCP.</t>
  </si>
  <si>
    <t>INP повышен (332 ms)</t>
  </si>
  <si>
    <t>TTFB растёт +47.9%</t>
  </si>
  <si>
    <t>HIGH</t>
  </si>
  <si>
    <t>LCP регресс +49.9% (1.74 s → 2.61 s)</t>
  </si>
  <si>
    <t>Scope: main, s_video, models +6; TTFB &gt; 800 ms (backend slow)</t>
  </si>
  <si>
    <t>Backend bottleneck (5.37 s)</t>
  </si>
  <si>
    <t>Сервер откликается медленно.</t>
  </si>
  <si>
    <t>LCP регресс +600.7% (1.74 s → 12.18 s)</t>
  </si>
  <si>
    <t>Scope: s_video, models, s_model +6; TTFB &gt; 800 ms (backend slow)</t>
  </si>
  <si>
    <t>INP вне порога (1.03 s)</t>
  </si>
  <si>
    <t>JS/тяжёлые задачи блокируют main thread.</t>
  </si>
  <si>
    <t>Backend bottleneck (4.94 s)</t>
  </si>
  <si>
    <t>LCP регресс +292.2% (1.74 s → 6.82 s)</t>
  </si>
  <si>
    <t>Scope: main, models, categories +5; TTFB stable</t>
  </si>
  <si>
    <t>INP вне порога (1.08 s)</t>
  </si>
  <si>
    <t>LCP регресс +922.7% (1.74 s → 17.77 s)</t>
  </si>
  <si>
    <t>Scope: main, models, categories +4; TTFB &gt; 800 ms (backend slow)</t>
  </si>
  <si>
    <t>INP вне порога (1.37 s)</t>
  </si>
  <si>
    <t>LCP регресс +89.5% (1.74 s → 3.29 s)</t>
  </si>
  <si>
    <t>БЛОК 1 — SPRINT IMPACT</t>
  </si>
  <si>
    <t>Срез</t>
  </si>
  <si>
    <t>LCP before</t>
  </si>
  <si>
    <t>LCP after</t>
  </si>
  <si>
    <t>Δ LCP</t>
  </si>
  <si>
    <t>Δ INP</t>
  </si>
  <si>
    <t>Δ CLS</t>
  </si>
  <si>
    <t>Результат</t>
  </si>
  <si>
    <t>PROD-desktop</t>
  </si>
  <si>
    <t>2.61 s</t>
  </si>
  <si>
    <t>—</t>
  </si>
  <si>
    <t>STABLE</t>
  </si>
  <si>
    <t>PROD-mobile</t>
  </si>
  <si>
    <t>12.18 s</t>
  </si>
  <si>
    <t>TEST-desktop</t>
  </si>
  <si>
    <t>2.07 s</t>
  </si>
  <si>
    <t>TEST-mobile</t>
  </si>
  <si>
    <t>6.82 s</t>
  </si>
  <si>
    <t>DEV-mobile</t>
  </si>
  <si>
    <t>17.77 s</t>
  </si>
  <si>
    <t>DEV-desktop</t>
  </si>
  <si>
    <t>3.29 s</t>
  </si>
  <si>
    <t>БЛОК 5 — ТРЕНД</t>
  </si>
  <si>
    <t>LCP std</t>
  </si>
  <si>
    <t>INP std</t>
  </si>
  <si>
    <t>CLS std</t>
  </si>
  <si>
    <t>Run ID</t>
  </si>
  <si>
    <t>INP before</t>
  </si>
  <si>
    <t>INP after</t>
  </si>
  <si>
    <t>models</t>
  </si>
  <si>
    <t>2026.03.23-1</t>
  </si>
  <si>
    <t>dreams</t>
  </si>
  <si>
    <t>2026.03.24-105128</t>
  </si>
  <si>
    <t>s_category</t>
  </si>
  <si>
    <t>2026.03.24-111025</t>
  </si>
  <si>
    <t>2026.03.24-114840</t>
  </si>
  <si>
    <t>s_model</t>
  </si>
  <si>
    <t>2026.03.19-1</t>
  </si>
  <si>
    <t>categories</t>
  </si>
  <si>
    <t>2026.03.20-1</t>
  </si>
  <si>
    <t>main</t>
  </si>
  <si>
    <t>2026.03.23-190424</t>
  </si>
  <si>
    <t>2026.03.24-172051</t>
  </si>
  <si>
    <t>Стабильность — std deviation</t>
  </si>
  <si>
    <t>БЛОК 2 — ХУДШИЕ СТРАНИЦЫ</t>
  </si>
  <si>
    <t>Метрика</t>
  </si>
  <si>
    <t>P</t>
  </si>
  <si>
    <t>LCP p90</t>
  </si>
  <si>
    <t>INP p90</t>
  </si>
  <si>
    <t>CLS p90</t>
  </si>
  <si>
    <t>s_dream</t>
  </si>
  <si>
    <t>s_studio</t>
  </si>
  <si>
    <t>s_video</t>
  </si>
  <si>
    <t>type</t>
  </si>
  <si>
    <t>LCP_p90</t>
  </si>
  <si>
    <t>INP_p90</t>
  </si>
  <si>
    <t>CLS_p90</t>
  </si>
  <si>
    <t>TBT</t>
  </si>
  <si>
    <t>SI</t>
  </si>
  <si>
    <t>TTI</t>
  </si>
  <si>
    <t>environment</t>
  </si>
  <si>
    <t>source</t>
  </si>
  <si>
    <t>iterations</t>
  </si>
  <si>
    <t>Perf</t>
  </si>
  <si>
    <t>Core Web Vitals</t>
  </si>
  <si>
    <t>Core Web Vitals p90</t>
  </si>
  <si>
    <t>Blocking</t>
  </si>
  <si>
    <t>Paint</t>
  </si>
  <si>
    <t>Speed</t>
  </si>
  <si>
    <t>Interactive</t>
  </si>
  <si>
    <t>Type</t>
  </si>
  <si>
    <t>Score</t>
  </si>
  <si>
    <t>Speed Index</t>
  </si>
  <si>
    <t>CLI{5}</t>
  </si>
  <si>
    <r>
      <rPr>
        <rFont val="Arial"/>
        <color rgb="FF1565C0"/>
        <u/>
      </rPr>
      <t>main</t>
    </r>
  </si>
  <si>
    <t>VRP</t>
  </si>
  <si>
    <t>CLI</t>
  </si>
  <si>
    <t>API{5}</t>
  </si>
  <si>
    <r>
      <rPr>
        <rFont val="Arial"/>
        <color rgb="FF1565C0"/>
        <u/>
      </rPr>
      <t>main</t>
    </r>
  </si>
  <si>
    <t>API</t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</si>
  <si>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</si>
  <si>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</si>
  <si>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</si>
  <si>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</si>
  <si>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s_video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</si>
  <si>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</si>
  <si>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s_model</t>
    </r>
  </si>
  <si>
    <r>
      <rPr>
        <rFont val="Arial"/>
        <color rgb="FF1565C0"/>
        <u/>
      </rPr>
      <t>categories</t>
    </r>
  </si>
  <si>
    <r>
      <rPr>
        <rFont val="Arial"/>
        <color rgb="FF1565C0"/>
        <u/>
      </rPr>
      <t>s_category</t>
    </r>
  </si>
  <si>
    <r>
      <rPr>
        <rFont val="Arial"/>
        <color rgb="FF1565C0"/>
        <u/>
      </rPr>
      <t>s_studio</t>
    </r>
  </si>
  <si>
    <r>
      <rPr>
        <rFont val="Arial"/>
        <color rgb="FF1565C0"/>
        <u/>
      </rPr>
      <t>dreams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</si>
  <si>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</si>
  <si>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s_video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</si>
  <si>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</si>
  <si>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s_model</t>
    </r>
  </si>
  <si>
    <r>
      <rPr>
        <rFont val="Arial"/>
        <color rgb="FF1565C0"/>
        <u/>
      </rPr>
      <t>categories</t>
    </r>
  </si>
  <si>
    <r>
      <rPr>
        <rFont val="Arial"/>
        <color rgb="FF1565C0"/>
        <u/>
      </rPr>
      <t>s_category</t>
    </r>
  </si>
  <si>
    <r>
      <rPr>
        <rFont val="Arial"/>
        <color rgb="FF1565C0"/>
        <u/>
      </rPr>
      <t>s_studio</t>
    </r>
  </si>
  <si>
    <r>
      <rPr>
        <rFont val="Arial"/>
        <color rgb="FF1565C0"/>
        <u/>
      </rPr>
      <t>dreams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</si>
  <si>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</si>
  <si>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s_video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</si>
  <si>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</si>
  <si>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s_model</t>
    </r>
  </si>
  <si>
    <r>
      <rPr>
        <rFont val="Arial"/>
        <color rgb="FF1565C0"/>
        <u/>
      </rPr>
      <t>categories</t>
    </r>
  </si>
  <si>
    <r>
      <rPr>
        <rFont val="Arial"/>
        <color rgb="FF1565C0"/>
        <u/>
      </rPr>
      <t>s_category</t>
    </r>
  </si>
  <si>
    <r>
      <rPr>
        <rFont val="Arial"/>
        <color rgb="FF1565C0"/>
        <u/>
      </rPr>
      <t>s_studio</t>
    </r>
  </si>
  <si>
    <r>
      <rPr>
        <rFont val="Arial"/>
        <color rgb="FF1565C0"/>
        <u/>
      </rPr>
      <t>dreams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</si>
  <si>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</si>
  <si>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s_video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</si>
  <si>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</si>
  <si>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s_model</t>
    </r>
  </si>
  <si>
    <r>
      <rPr>
        <rFont val="Arial"/>
        <color rgb="FF1565C0"/>
        <u/>
      </rPr>
      <t>categories</t>
    </r>
  </si>
  <si>
    <r>
      <rPr>
        <rFont val="Arial"/>
        <color rgb="FF1565C0"/>
        <u/>
      </rPr>
      <t>s_category</t>
    </r>
  </si>
  <si>
    <r>
      <rPr>
        <rFont val="Arial"/>
        <color rgb="FF1565C0"/>
        <u/>
      </rPr>
      <t>s_studio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</si>
  <si>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</si>
  <si>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s_video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</si>
  <si>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</si>
  <si>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s_model</t>
    </r>
  </si>
  <si>
    <r>
      <rPr>
        <rFont val="Arial"/>
        <color rgb="FF1565C0"/>
        <u/>
      </rPr>
      <t>categories</t>
    </r>
  </si>
  <si>
    <r>
      <rPr>
        <rFont val="Arial"/>
        <color rgb="FF1565C0"/>
        <u/>
      </rPr>
      <t>s_category</t>
    </r>
  </si>
  <si>
    <r>
      <rPr>
        <rFont val="Arial"/>
        <color rgb="FF1565C0"/>
        <u/>
      </rPr>
      <t>s_studio</t>
    </r>
  </si>
  <si>
    <r>
      <rPr>
        <rFont val="Arial"/>
        <color rgb="FF1565C0"/>
        <u/>
      </rPr>
      <t>dreams</t>
    </r>
  </si>
  <si>
    <r>
      <rPr>
        <rFont val="Arial"/>
        <color rgb="FF1565C0"/>
        <u/>
      </rPr>
      <t>s_dream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</si>
  <si>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</si>
  <si>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s_video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</si>
  <si>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</si>
  <si>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s_model</t>
    </r>
  </si>
  <si>
    <r>
      <rPr>
        <rFont val="Arial"/>
        <color rgb="FF1565C0"/>
        <u/>
      </rPr>
      <t>categories</t>
    </r>
  </si>
  <si>
    <r>
      <rPr>
        <rFont val="Arial"/>
        <color rgb="FF1565C0"/>
        <u/>
      </rPr>
      <t>s_category</t>
    </r>
  </si>
  <si>
    <r>
      <rPr>
        <rFont val="Arial"/>
        <color rgb="FF1565C0"/>
        <u/>
      </rPr>
      <t>s_studio</t>
    </r>
  </si>
  <si>
    <r>
      <rPr>
        <rFont val="Arial"/>
        <color rgb="FF1565C0"/>
        <u/>
      </rPr>
      <t>dreams</t>
    </r>
  </si>
  <si>
    <r>
      <rPr>
        <rFont val="Arial"/>
        <color rgb="FF1565C0"/>
        <u/>
      </rPr>
      <t>s_dream</t>
    </r>
  </si>
  <si>
    <t>CLI{10}</t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</si>
  <si>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</si>
  <si>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</si>
  <si>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</si>
  <si>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models</t>
    </r>
  </si>
  <si>
    <t>API{10}</t>
  </si>
  <si>
    <r>
      <rPr>
        <rFont val="Arial"/>
        <color rgb="FF1565C0"/>
        <u/>
      </rPr>
      <t>main</t>
    </r>
  </si>
  <si>
    <t>before</t>
  </si>
  <si>
    <r>
      <rPr>
        <rFont val="Arial"/>
        <color rgb="FF1565C0"/>
        <u/>
      </rPr>
      <t>s_video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</si>
  <si>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</si>
  <si>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s_model</t>
    </r>
  </si>
  <si>
    <r>
      <rPr>
        <rFont val="Arial"/>
        <color rgb="FF1565C0"/>
        <u/>
      </rPr>
      <t>categories</t>
    </r>
  </si>
  <si>
    <r>
      <rPr>
        <rFont val="Arial"/>
        <color rgb="FF1565C0"/>
        <u/>
      </rPr>
      <t>s_category</t>
    </r>
  </si>
  <si>
    <r>
      <rPr>
        <rFont val="Arial"/>
        <color rgb="FF1565C0"/>
        <u/>
      </rPr>
      <t>s_studio</t>
    </r>
  </si>
  <si>
    <r>
      <rPr>
        <rFont val="Arial"/>
        <color rgb="FF1565C0"/>
        <u/>
      </rPr>
      <t>dreams</t>
    </r>
  </si>
  <si>
    <r>
      <rPr>
        <rFont val="Arial"/>
        <color rgb="FF1565C0"/>
        <u/>
      </rPr>
      <t>s_dream</t>
    </r>
  </si>
  <si>
    <r>
      <rPr>
        <rFont val="Arial"/>
        <color rgb="FF1565C0"/>
        <u/>
      </rPr>
      <t>s_video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</si>
  <si>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</si>
  <si>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s_model</t>
    </r>
  </si>
  <si>
    <r>
      <rPr>
        <rFont val="Arial"/>
        <color rgb="FF1565C0"/>
        <u/>
      </rPr>
      <t>categories</t>
    </r>
  </si>
  <si>
    <r>
      <rPr>
        <rFont val="Arial"/>
        <color rgb="FF1565C0"/>
        <u/>
      </rPr>
      <t>s_category</t>
    </r>
  </si>
  <si>
    <r>
      <rPr>
        <rFont val="Arial"/>
        <color rgb="FF1565C0"/>
        <u/>
      </rPr>
      <t>s_studio</t>
    </r>
  </si>
  <si>
    <r>
      <rPr>
        <rFont val="Arial"/>
        <color rgb="FF1565C0"/>
        <u/>
      </rPr>
      <t>dreams</t>
    </r>
  </si>
  <si>
    <r>
      <rPr>
        <rFont val="Arial"/>
        <color rgb="FF1565C0"/>
        <u/>
      </rPr>
      <t>main</t>
    </r>
  </si>
  <si>
    <r>
      <rPr>
        <rFont val="Arial"/>
        <color rgb="FF1565C0"/>
        <u/>
      </rPr>
      <t>s_video</t>
    </r>
  </si>
  <si>
    <r>
      <rPr>
        <rFont val="Arial"/>
        <color rgb="FF1565C0"/>
        <u/>
      </rPr>
      <t>models</t>
    </r>
  </si>
  <si>
    <r>
      <rPr>
        <rFont val="Arial"/>
        <color rgb="FF1565C0"/>
        <u/>
      </rPr>
      <t>s_model</t>
    </r>
  </si>
  <si>
    <r>
      <rPr>
        <rFont val="Arial"/>
        <color rgb="FF1565C0"/>
        <u/>
      </rPr>
      <t>categories</t>
    </r>
  </si>
  <si>
    <r>
      <rPr>
        <rFont val="Arial"/>
        <color rgb="FF1565C0"/>
        <u/>
      </rPr>
      <t>s_category</t>
    </r>
  </si>
  <si>
    <r>
      <rPr>
        <rFont val="Arial"/>
        <color rgb="FF1565C0"/>
        <u/>
      </rPr>
      <t>s_studio</t>
    </r>
  </si>
  <si>
    <r>
      <rPr>
        <rFont val="Arial"/>
        <color rgb="FF1565C0"/>
        <u/>
      </rPr>
      <t>dreams</t>
    </r>
  </si>
  <si>
    <r>
      <rPr>
        <rFont val="Arial"/>
        <color rgb="FF1565C0"/>
        <u/>
      </rPr>
      <t>s_dream</t>
    </r>
  </si>
  <si>
    <t>Тип</t>
  </si>
  <si>
    <t>Release 18-03-2010</t>
  </si>
  <si>
    <t>Release 18-03-2011</t>
  </si>
  <si>
    <t>Release 18-03-2012</t>
  </si>
  <si>
    <t>Release 18-03-2013</t>
  </si>
  <si>
    <t>Release 18-03-2014</t>
  </si>
  <si>
    <t>Release 18-03-2015</t>
  </si>
  <si>
    <t>Release 18-03-2016</t>
  </si>
  <si>
    <t>Release 18-03-2017</t>
  </si>
  <si>
    <t>Release 18-03-2018</t>
  </si>
  <si>
    <t>Release 18-03-2019</t>
  </si>
  <si>
    <t>Release 18-03-2020</t>
  </si>
  <si>
    <t>Release 18-03-2021</t>
  </si>
  <si>
    <t>Release 18-03-2022</t>
  </si>
  <si>
    <t>Release 18-03-2023</t>
  </si>
  <si>
    <t>Release 18-03-2024</t>
  </si>
  <si>
    <t>Release 18-03-2025</t>
  </si>
  <si>
    <t>CLI{1}</t>
  </si>
  <si>
    <t>2026.03.23-182843</t>
  </si>
  <si>
    <t>2026.03.23-185737</t>
  </si>
  <si>
    <t>2026.03.24-092554</t>
  </si>
  <si>
    <t>2026.03.24-092555</t>
  </si>
  <si>
    <t>2026.03.24-093606</t>
  </si>
  <si>
    <t>2026.03.24-094114</t>
  </si>
  <si>
    <t>2026.03.24-134144</t>
  </si>
  <si>
    <t>after,Regress</t>
  </si>
  <si>
    <t>2026.03.24-122140</t>
  </si>
  <si>
    <t>2026.03.24-122600</t>
  </si>
  <si>
    <t>after, Regress</t>
  </si>
  <si>
    <t>2026.03.24-122601</t>
  </si>
  <si>
    <t>Release 18-03-1988</t>
  </si>
  <si>
    <t>Release 18-03-1989</t>
  </si>
  <si>
    <t>Release 18-03-1990</t>
  </si>
  <si>
    <t>Release 18-03-1991</t>
  </si>
  <si>
    <t>Release 18-03-1992</t>
  </si>
  <si>
    <t>Release 18-03-1993</t>
  </si>
  <si>
    <t>Release 18-03-1994</t>
  </si>
  <si>
    <t>Release 18-03-1995</t>
  </si>
  <si>
    <t>Release 18-03-1996</t>
  </si>
  <si>
    <t>Release 18-03-1997</t>
  </si>
  <si>
    <t>Release 18-03-1998</t>
  </si>
  <si>
    <t>Release 18-03-1999</t>
  </si>
  <si>
    <t>Release 18-03-2000</t>
  </si>
  <si>
    <t>Release 18-03-2001</t>
  </si>
  <si>
    <t>Release 18-03-2002</t>
  </si>
  <si>
    <t>Release 18-03-2003</t>
  </si>
  <si>
    <t>Release 18-03-2004</t>
  </si>
  <si>
    <t>Release 18-03-2005</t>
  </si>
  <si>
    <t>Release 18-03-2006</t>
  </si>
  <si>
    <t>Release 18-03-2007</t>
  </si>
  <si>
    <t>Release 18-03-2008</t>
  </si>
  <si>
    <t>Performance QA Dashboard [VRS]</t>
  </si>
  <si>
    <t>Default env: PROD</t>
  </si>
  <si>
    <t>Sprint Control [VRS]</t>
  </si>
  <si>
    <t>Environment View</t>
  </si>
  <si>
    <t>Active sprint: — | rollout не начат</t>
  </si>
  <si>
    <t>BLOCK 2 — CONTEXT OVERVIEW</t>
  </si>
  <si>
    <t>Selected: PROD / ALL / ALL / ALL</t>
  </si>
  <si>
    <t>Metric</t>
  </si>
  <si>
    <t>Value</t>
  </si>
  <si>
    <t>Status</t>
  </si>
  <si>
    <t>4.10 s</t>
  </si>
  <si>
    <t>POOR</t>
  </si>
  <si>
    <t>476 ms</t>
  </si>
  <si>
    <t>NI</t>
  </si>
  <si>
    <t>4.488</t>
  </si>
  <si>
    <t>TTFB avg</t>
  </si>
  <si>
    <t>1.34 s</t>
  </si>
  <si>
    <t>БЛОК 2 — АЛЕРТЫ</t>
  </si>
  <si>
    <t>TTFB растёт +305.6%</t>
  </si>
  <si>
    <t>INP повышен (197 ms)</t>
  </si>
  <si>
    <t>TTFB растёт +243.4%</t>
  </si>
  <si>
    <t>устройство</t>
  </si>
  <si>
    <t>CLS вне порога (90.000)</t>
  </si>
  <si>
    <t>Нестабильный layout; CLS std avg 0.000.</t>
  </si>
  <si>
    <t>INP вне порога (782 ms)</t>
  </si>
  <si>
    <t>CLS вне порога (0.737)</t>
  </si>
  <si>
    <t>CLS вне порога (2.538)</t>
  </si>
  <si>
    <t>БЛОК 4 — СВОДКА ПО МЕТРИКАМ</t>
  </si>
  <si>
    <t>Значение</t>
  </si>
  <si>
    <t>Статус</t>
  </si>
  <si>
    <t>БЛОК 6 — ХУДШИЕ СТРАНИЦЫ</t>
  </si>
  <si>
    <t>БЛОК 7 — DESKTOP VS MOBILE</t>
  </si>
  <si>
    <t>Контуры</t>
  </si>
  <si>
    <t>Страницы</t>
  </si>
  <si>
    <t>Расчёт</t>
  </si>
  <si>
    <t>среднее по 1 строкам</t>
  </si>
  <si>
    <t>среднее по 15 строкам</t>
  </si>
  <si>
    <t>БЛОК 8 — ДИАГНОСТИКА</t>
  </si>
  <si>
    <t>Проблема</t>
  </si>
  <si>
    <t>Main thread blocking</t>
  </si>
  <si>
    <t>INP 476 ms | TBT —</t>
  </si>
  <si>
    <t>Layout shift</t>
  </si>
  <si>
    <t>CLS 4.488 вне зелёной зоны (изображения/баннеры)</t>
  </si>
  <si>
    <t>БЛОК 9 — ЗДОРОВЬЕ РОУТОВ</t>
  </si>
  <si>
    <t>90 ms</t>
  </si>
  <si>
    <t>90.000</t>
  </si>
  <si>
    <t>BAD</t>
  </si>
  <si>
    <t>LCP 90 ms, INP 90 ms, CLS 90.000</t>
  </si>
  <si>
    <t>5.81 s</t>
  </si>
  <si>
    <t>-64.1%</t>
  </si>
  <si>
    <t>1.02 s</t>
  </si>
  <si>
    <t>1.504</t>
  </si>
  <si>
    <t>LCP 5.81 s, INP 1.02 s, CLS 1.504</t>
  </si>
  <si>
    <t>5.95 s</t>
  </si>
  <si>
    <t>-57.9%</t>
  </si>
  <si>
    <t>733 ms</t>
  </si>
  <si>
    <t>0.503</t>
  </si>
  <si>
    <t>LCP 5.95 s, INP 733 ms, CLS 0.503</t>
  </si>
  <si>
    <t>10.53 s</t>
  </si>
  <si>
    <t>-79.9%</t>
  </si>
  <si>
    <t>1.58 s</t>
  </si>
  <si>
    <t>LCP 10.53 s, INP 1.58 s, CLS 0.503</t>
  </si>
  <si>
    <t>6.68 s</t>
  </si>
  <si>
    <t>-64.2%</t>
  </si>
  <si>
    <t>539 ms</t>
  </si>
  <si>
    <t>0.504</t>
  </si>
  <si>
    <t>LCP 6.68 s, INP 539 ms, CLS 0.504</t>
  </si>
  <si>
    <t>5.90 s</t>
  </si>
  <si>
    <t>-57.4%</t>
  </si>
  <si>
    <t>953 ms</t>
  </si>
  <si>
    <t>LCP 5.90 s, INP 953 ms, CLS 0.504</t>
  </si>
  <si>
    <t>4.05 s</t>
  </si>
  <si>
    <t>-23.0%</t>
  </si>
  <si>
    <t>567 ms</t>
  </si>
  <si>
    <t>LCP 4.05 s, INP 567 ms, CLS 0.504</t>
  </si>
  <si>
    <t>2.95 s</t>
  </si>
  <si>
    <t>-35.8%</t>
  </si>
  <si>
    <t>264 ms</t>
  </si>
  <si>
    <t>3.017</t>
  </si>
  <si>
    <t>LCP 2.95 s, INP 264 ms, CLS 3.017</t>
  </si>
  <si>
    <t>2.40 s</t>
  </si>
  <si>
    <t>+64.2%</t>
  </si>
  <si>
    <t>178 ms</t>
  </si>
  <si>
    <t>2.003</t>
  </si>
  <si>
    <t>LCP 2.40 s, INP 178 ms, CLS 2.003</t>
  </si>
  <si>
    <t>2.57 s</t>
  </si>
  <si>
    <t>+38.6%</t>
  </si>
  <si>
    <t>416 ms</t>
  </si>
  <si>
    <t>LCP 2.57 s, INP 416 ms, CLS 2.003</t>
  </si>
  <si>
    <t>2.29 s</t>
  </si>
  <si>
    <t>+87.4%</t>
  </si>
  <si>
    <t>120 ms</t>
  </si>
  <si>
    <t>LCP 2.29 s, INP 120 ms, CLS 2.003</t>
  </si>
  <si>
    <t>2.56 s</t>
  </si>
  <si>
    <t>+39.8%</t>
  </si>
  <si>
    <t>235 ms</t>
  </si>
  <si>
    <t>LCP 2.56 s, INP 235 ms, CLS 2.003</t>
  </si>
  <si>
    <t>2.12 s</t>
  </si>
  <si>
    <t>+139.3%</t>
  </si>
  <si>
    <t>145 ms</t>
  </si>
  <si>
    <t>LCP 2.12 s, INP 145 ms, CLS 2.003</t>
  </si>
  <si>
    <t>2.99 s</t>
  </si>
  <si>
    <t>79 ms</t>
  </si>
  <si>
    <t>4.000</t>
  </si>
  <si>
    <t>LCP 2.99 s, INP 79 ms, CLS 4.000</t>
  </si>
  <si>
    <t>3.52 s</t>
  </si>
  <si>
    <t>315 ms</t>
  </si>
  <si>
    <t>1.000</t>
  </si>
  <si>
    <t>LCP 3.52 s, INP 315 ms, CLS 1.000</t>
  </si>
  <si>
    <t>saturation_vrs_prod</t>
  </si>
  <si>
    <t>stage_vrs</t>
  </si>
  <si>
    <t>test_vrs</t>
  </si>
  <si>
    <t>saturation_vrs_dev</t>
  </si>
  <si>
    <t>Good (&lt;=)</t>
  </si>
  <si>
    <t>Poor (&gt;)</t>
  </si>
  <si>
    <t>Direction</t>
  </si>
  <si>
    <t>Note</t>
  </si>
  <si>
    <t>Метрика (EN)</t>
  </si>
  <si>
    <t>Русское имя</t>
  </si>
  <si>
    <t>CrUX</t>
  </si>
  <si>
    <t>Категория</t>
  </si>
  <si>
    <t>low_good</t>
  </si>
  <si>
    <t>ms</t>
  </si>
  <si>
    <t>Largest Contentful Paint</t>
  </si>
  <si>
    <t>Крупнейшая отрисовка контента</t>
  </si>
  <si>
    <t>✔️</t>
  </si>
  <si>
    <t>✅ p75</t>
  </si>
  <si>
    <t>Core Web Vital</t>
  </si>
  <si>
    <t>Interaction to Next Paint</t>
  </si>
  <si>
    <t>Задержка до следующего отклика</t>
  </si>
  <si>
    <t>unitless</t>
  </si>
  <si>
    <t>Cumulative Layout Shift</t>
  </si>
  <si>
    <t>Накопленный сдвиг макета</t>
  </si>
  <si>
    <t>high_good</t>
  </si>
  <si>
    <t>0-100</t>
  </si>
  <si>
    <t>Performance Score</t>
  </si>
  <si>
    <t>Оценка производительности</t>
  </si>
  <si>
    <t>❌</t>
  </si>
  <si>
    <t>Performance</t>
  </si>
  <si>
    <t>Total Blocking Time</t>
  </si>
  <si>
    <t>Общее блокирующее время</t>
  </si>
  <si>
    <t>First Contentful Paint</t>
  </si>
  <si>
    <t>Первая отрисовка контента</t>
  </si>
  <si>
    <t>Индекс скорости</t>
  </si>
  <si>
    <t>Time to Interactive</t>
  </si>
  <si>
    <t>Время до интерактивности</t>
  </si>
  <si>
    <t>Time to First Byte</t>
  </si>
  <si>
    <t>Время до первого байта</t>
  </si>
  <si>
    <t>✅ percentile</t>
  </si>
  <si>
    <t>LCP_pct</t>
  </si>
  <si>
    <t>% good (CrUX)</t>
  </si>
  <si>
    <t xml:space="preserve"> good_%</t>
  </si>
  <si>
    <t>FCP_pct</t>
  </si>
  <si>
    <t>INP_pct</t>
  </si>
  <si>
    <t>CLS_pct</t>
  </si>
  <si>
    <t>брейкпоинты в зеленой зоне</t>
  </si>
  <si>
    <t>🔴 LCP</t>
  </si>
  <si>
    <t>нет ошибок гидратации</t>
  </si>
  <si>
    <t>какой элемент?</t>
  </si>
  <si>
    <t>главный элемент грузится быстро?</t>
  </si>
  <si>
    <t>сколько секунд?</t>
  </si>
  <si>
    <t>есть preload?</t>
  </si>
  <si>
    <t>нет lazy-load на первом экране?</t>
  </si>
  <si>
    <t>Lighthouse плохо показывает INP, смотри: TBT и Performance recording как proxy</t>
  </si>
  <si>
    <t>🔵 INP</t>
  </si>
  <si>
    <t>не более 120</t>
  </si>
  <si>
    <t>long tasks</t>
  </si>
  <si>
    <t>у изображений есть width/height?</t>
  </si>
  <si>
    <t>blocking JS</t>
  </si>
  <si>
    <t>нет “прыжков” при загрузке?</t>
  </si>
  <si>
    <t>шрифты не ломают layout?</t>
  </si>
  <si>
    <t>🟡 CLS</t>
  </si>
  <si>
    <t>не более .12</t>
  </si>
  <si>
    <t>есть ли layout shift</t>
  </si>
  <si>
    <t>кнопки реагируют быстро?</t>
  </si>
  <si>
    <t>какие элементы двигаются</t>
  </si>
  <si>
    <t>нет задержки после клика?</t>
  </si>
  <si>
    <t>нет зависаний?</t>
  </si>
  <si>
    <t>avg_LCP</t>
  </si>
  <si>
    <t>avg_INP</t>
  </si>
  <si>
    <t>avg_CLS</t>
  </si>
  <si>
    <t>avg_TTFB</t>
  </si>
  <si>
    <t>pages</t>
  </si>
  <si>
    <t>avg_score</t>
  </si>
  <si>
    <t>p90_lcp</t>
  </si>
  <si>
    <t>p90_inp</t>
  </si>
  <si>
    <t>p90_cls</t>
  </si>
  <si>
    <t>ttfb</t>
  </si>
  <si>
    <t>tbt</t>
  </si>
  <si>
    <t>fcp</t>
  </si>
  <si>
    <t>tti</t>
  </si>
  <si>
    <t>speed</t>
  </si>
  <si>
    <t>TYPE</t>
  </si>
  <si>
    <t>Thu Mar 19 2026 00:00:00 GMT+0200 (Восточная Европа, стандартное время)</t>
  </si>
  <si>
    <t>Fri Mar 20 2026 00:00:00 GMT+0200 (Восточная Европа, стандартное время)</t>
  </si>
  <si>
    <t>Mon Mar 23 2026 00:00:00 GMT+0200 (Восточная Европа, стандартное время)</t>
  </si>
  <si>
    <t>Tue Mar 24 2026 10:58:36 GMT+0200 (Восточная Европа, стандартное время)</t>
  </si>
  <si>
    <t>Tue Mar 24 2026 11:44:43 GMT+0200 (Восточная Европа, стандартное время)</t>
  </si>
  <si>
    <t>Tue Mar 24 2026 12:10:08 GMT+0200 (Восточная Европа, стандартное время)</t>
  </si>
  <si>
    <t>ТИП</t>
  </si>
  <si>
    <t>Mon Mar 23 2026 18:29:11 GMT+0200 (Восточная Европа, стандартное время)</t>
  </si>
  <si>
    <t>Mon Mar 23 2026 18:58:06 GMT+0200 (Восточная Европа, стандартное время)</t>
  </si>
  <si>
    <t>Tue Mar 24 2026 09:34:09 GMT+0200 (Восточная Европа, стандартное время)</t>
  </si>
  <si>
    <t>Tue Mar 24 2026 09:34:28 GMT+0200 (Восточная Европа, стандартное время)</t>
  </si>
  <si>
    <t>Tue Mar 24 2026 09:48:30 GMT+0200 (Восточная Европа, стандартное время)</t>
  </si>
  <si>
    <t>Tue Mar 24 2026 10:15:08 GMT+0200 (Восточная Европа, стандартное время)</t>
  </si>
  <si>
    <t>Tue Mar 24 2026 14:05:44 GMT+0200 (Восточная Европа, стандартное время)</t>
  </si>
  <si>
    <t>Tue Mar 24 2026 12:25:01 GMT+0200 (Восточная Европа, стандартное время)</t>
  </si>
  <si>
    <t>Mon Mar 23 2026 19:15:19 GMT+0200 (Восточная Европа, стандартное время)</t>
  </si>
  <si>
    <t>Tue Mar 24 2026 12:52:22 GMT+0200 (Восточная Европа, стандартное время)</t>
  </si>
  <si>
    <t>Tue Mar 24 2026 13:20:31 GMT+0200 (Восточная Европа, стандартное время)</t>
  </si>
  <si>
    <t>Tue Mar 24 2026 18:15:29 GMT+0200 (Восточная Европа, стандартное время)</t>
  </si>
  <si>
    <t>VRS</t>
  </si>
  <si>
    <t>ПРОЕКТ</t>
  </si>
  <si>
    <t>CRUX</t>
  </si>
  <si>
    <t>PROJECT</t>
  </si>
  <si>
    <t>Thu Mar 19 2026 19:19:06 GMT+0200 (Восточная Европа, стандартное время)</t>
  </si>
  <si>
    <t>metric</t>
  </si>
  <si>
    <t>value</t>
  </si>
  <si>
    <t>p90LCP</t>
  </si>
  <si>
    <t>Other</t>
  </si>
  <si>
    <t>tests</t>
  </si>
  <si>
    <t>route</t>
  </si>
  <si>
    <t>home</t>
  </si>
  <si>
    <t>video</t>
  </si>
  <si>
    <t>model</t>
  </si>
  <si>
    <t>category</t>
  </si>
  <si>
    <t>studio</t>
  </si>
  <si>
    <t>content</t>
  </si>
  <si>
    <t>Tue Mar 24 2026 10:54:03 GMT+0200 (Восточная Европа, стандартное время)</t>
  </si>
  <si>
    <t>Tue Mar 24 2026 10:56:03 GMT+0200 (Восточная Европа, стандартное время)</t>
  </si>
  <si>
    <t>Tue Mar 24 2026 10:57:58 GMT+0200 (Восточная Европа, стандартное время)</t>
  </si>
  <si>
    <t>Tue Mar 24 2026 10:54:45 GMT+0200 (Восточная Европа, стандартное время)</t>
  </si>
  <si>
    <t>Tue Mar 24 2026 10:56:42 GMT+0200 (Восточная Европа, стандартное время)</t>
  </si>
  <si>
    <t>Tue Mar 24 2026 11:15:14 GMT+0200 (Восточная Европа, стандартное время)</t>
  </si>
  <si>
    <t>Tue Mar 24 2026 11:18:56 GMT+0200 (Восточная Европа, стандартное время)</t>
  </si>
  <si>
    <t>Tue Mar 24 2026 11:22:54 GMT+0200 (Восточная Европа, стандартное время)</t>
  </si>
  <si>
    <t>Tue Mar 24 2026 11:26:43 GMT+0200 (Восточная Европа, стандартное время)</t>
  </si>
  <si>
    <t>Tue Mar 24 2026 11:30:30 GMT+0200 (Восточная Европа, стандартное время)</t>
  </si>
  <si>
    <t>Tue Mar 24 2026 11:35:20 GMT+0200 (Восточная Европа, стандартное время)</t>
  </si>
  <si>
    <t>Tue Mar 24 2026 11:39:44 GMT+0200 (Восточная Европа, стандартное время)</t>
  </si>
  <si>
    <t>Tue Mar 24 2026 11:43:17 GMT+0200 (Восточная Европа, стандартное время)</t>
  </si>
  <si>
    <t>Tue Mar 24 2026 11:16:17 GMT+0200 (Восточная Европа, стандартное время)</t>
  </si>
  <si>
    <t>Tue Mar 24 2026 11:20:01 GMT+0200 (Восточная Европа, стандартное время)</t>
  </si>
  <si>
    <t>Tue Mar 24 2026 11:24:01 GMT+0200 (Восточная Европа, стандартное время)</t>
  </si>
  <si>
    <t>Tue Mar 24 2026 11:27:44 GMT+0200 (Восточная Европа, стандартное время)</t>
  </si>
  <si>
    <t>Tue Mar 24 2026 11:31:30 GMT+0200 (Восточная Европа, стандартное время)</t>
  </si>
  <si>
    <t>Tue Mar 24 2026 11:36:28 GMT+0200 (Восточная Европа, стандартное время)</t>
  </si>
  <si>
    <t>Tue Mar 24 2026 11:41:08 GMT+0200 (Восточная Европа, стандартное время)</t>
  </si>
  <si>
    <t>Tue Mar 24 2026 11:54:39 GMT+0200 (Восточная Европа, стандартное время)</t>
  </si>
  <si>
    <t>Tue Mar 24 2026 11:56:01 GMT+0200 (Восточная Европа, стандартное время)</t>
  </si>
  <si>
    <t>Tue Mar 24 2026 11:58:44 GMT+0200 (Восточная Европа, стандартное время)</t>
  </si>
  <si>
    <t>Tue Mar 24 2026 12:00:06 GMT+0200 (Восточная Европа, стандартное время)</t>
  </si>
  <si>
    <t>Tue Mar 24 2026 12:02:27 GMT+0200 (Восточная Европа, стандартное время)</t>
  </si>
  <si>
    <t>Tue Mar 24 2026 12:04:03 GMT+0200 (Восточная Европа, стандартное время)</t>
  </si>
  <si>
    <t>Tue Mar 24 2026 12:06:11 GMT+0200 (Восточная Европа, стандартное время)</t>
  </si>
  <si>
    <t>Tue Mar 24 2026 12:07:45 GMT+0200 (Восточная Европа, стандартное время)</t>
  </si>
  <si>
    <t>Tue Mar 24 2026 09:26:30 GMT+0200 (Восточная Европа, стандартное время)</t>
  </si>
  <si>
    <t>Tue Mar 24 2026 09:30:18 GMT+0200 (Восточная Европа, стандартное время)</t>
  </si>
  <si>
    <t>Tue Mar 24 2026 09:26:33 GMT+0200 (Восточная Европа, стандартное время)</t>
  </si>
  <si>
    <t>Tue Mar 24 2026 09:30:36 GMT+0200 (Восточная Европа, стандартное время)</t>
  </si>
  <si>
    <t>Tue Mar 24 2026 09:39:56 GMT+0200 (Восточная Европа, стандартное время)</t>
  </si>
  <si>
    <t>Tue Mar 24 2026 09:44:17 GMT+0200 (Восточная Европа, стандартное время)</t>
  </si>
  <si>
    <t>Tue Mar 24 2026 09:48:06 GMT+0200 (Восточная Европа, стандартное время)</t>
  </si>
  <si>
    <t>Tue Mar 24 2026 09:40:16 GMT+0200 (Восточная Европа, стандартное время)</t>
  </si>
  <si>
    <t>Tue Mar 24 2026 09:44:31 GMT+0200 (Восточная Европа, стандартное время)</t>
  </si>
  <si>
    <t>Tue Mar 24 2026 09:45:40 GMT+0200 (Восточная Европа, стандартное время)</t>
  </si>
  <si>
    <t>Tue Mar 24 2026 09:49:31 GMT+0200 (Восточная Европа, стандартное время)</t>
  </si>
  <si>
    <t>Tue Mar 24 2026 09:52:55 GMT+0200 (Восточная Европа, стандартное время)</t>
  </si>
  <si>
    <t>Tue Mar 24 2026 09:56:26 GMT+0200 (Восточная Европа, стандартное время)</t>
  </si>
  <si>
    <t>Tue Mar 24 2026 10:00:09 GMT+0200 (Восточная Европа, стандартное время)</t>
  </si>
  <si>
    <t>Tue Mar 24 2026 10:03:58 GMT+0200 (Восточная Европа, стандартное время)</t>
  </si>
  <si>
    <t>Tue Mar 24 2026 10:08:16 GMT+0200 (Восточная Европа, стандартное время)</t>
  </si>
  <si>
    <t>Tue Mar 24 2026 10:12:56 GMT+0200 (Восточная Европа, стандартное время)</t>
  </si>
  <si>
    <t>Tue Mar 24 2026 09:46:28 GMT+0200 (Восточная Европа, стандартное время)</t>
  </si>
  <si>
    <t>Tue Mar 24 2026 09:50:33 GMT+0200 (Восточная Европа, стандартное время)</t>
  </si>
  <si>
    <t>Tue Mar 24 2026 09:54:06 GMT+0200 (Восточная Европа, стандартное время)</t>
  </si>
  <si>
    <t>Tue Mar 24 2026 09:57:44 GMT+0200 (Восточная Европа, стандартное время)</t>
  </si>
  <si>
    <t>Tue Mar 24 2026 10:01:52 GMT+0200 (Восточная Европа, стандартное время)</t>
  </si>
  <si>
    <t>Tue Mar 24 2026 10:06:01 GMT+0200 (Восточная Европа, стандартное время)</t>
  </si>
  <si>
    <t>Tue Mar 24 2026 10:10:37 GMT+0200 (Восточная Европа, стандартное время)</t>
  </si>
  <si>
    <t>Tue Mar 24 2026 13:56:26 GMT+0200 (Восточная Европа, стандартное время)</t>
  </si>
  <si>
    <t>Tue Mar 24 2026 14:08:03 GMT+0200 (Восточная Европа, стандартное время)</t>
  </si>
  <si>
    <t>Tue Mar 24 2026 13:45:51 GMT+0200 (Восточная Европа, стандартное время)</t>
  </si>
  <si>
    <t>Tue Mar 24 2026 13:49:27 GMT+0200 (Восточная Европа, стандартное время)</t>
  </si>
  <si>
    <t>Tue Mar 24 2026 14:00:10 GMT+0200 (Восточная Европа, стандартное время)</t>
  </si>
  <si>
    <t>Tue Mar 24 2026 14:12:24 GMT+0200 (Восточная Европа, стандартное время)</t>
  </si>
  <si>
    <t>Tue Mar 24 2026 13:52:49 GMT+0200 (Восточная Европа, стандартное время)</t>
  </si>
  <si>
    <t>Tue Mar 24 2026 14:03:58 GMT+0200 (Восточная Европа, стандартное время)</t>
  </si>
  <si>
    <t>Tue Mar 24 2026 13:57:22 GMT+0200 (Восточная Европа, стандартное время)</t>
  </si>
  <si>
    <t>Tue Mar 24 2026 14:10:02 GMT+0200 (Восточная Европа, стандартное время)</t>
  </si>
  <si>
    <t>Tue Mar 24 2026 13:46:37 GMT+0200 (Восточная Европа, стандартное время)</t>
  </si>
  <si>
    <t>Tue Mar 24 2026 13:50:22 GMT+0200 (Восточная Европа, стандартное время)</t>
  </si>
  <si>
    <t>Tue Mar 24 2026 14:01:30 GMT+0200 (Восточная Европа, стандартное время)</t>
  </si>
  <si>
    <t>Tue Mar 24 2026 14:14:24 GMT+0200 (Восточная Европа, стандартное время)</t>
  </si>
  <si>
    <t>Tue Mar 24 2026 13:53:49 GMT+0200 (Восточная Европа, стандартное время)</t>
  </si>
  <si>
    <t>Tue Mar 24 2026 12:30:08 GMT+0200 (Восточная Европа, стандартное время)</t>
  </si>
  <si>
    <t>Tue Mar 24 2026 12:32:47 GMT+0200 (Восточная Европа, стандартное время)</t>
  </si>
  <si>
    <t>Tue Mar 24 2026 12:33:46 GMT+0200 (Восточная Европа, стандартное время)</t>
  </si>
  <si>
    <t>Tue Mar 24 2026 12:36:55 GMT+0200 (Восточная Европа, стандартное время)</t>
  </si>
  <si>
    <t>Tue Mar 24 2026 12:37:12 GMT+0200 (Восточная Европа, стандартное время)</t>
  </si>
  <si>
    <t>Tue Mar 24 2026 12:40:36 GMT+0200 (Восточная Европа, стандартное время)</t>
  </si>
  <si>
    <t>Tue Mar 24 2026 12:41:34 GMT+0200 (Восточная Европа, стандартное время)</t>
  </si>
  <si>
    <t>Tue Mar 24 2026 12:44:17 GMT+0200 (Восточная Европа, стандартное время)</t>
  </si>
  <si>
    <t>Tue Mar 24 2026 12:47:56 GMT+0200 (Восточная Европа, стандартное время)</t>
  </si>
  <si>
    <t>Tue Mar 24 2026 12:48:37 GMT+0200 (Восточная Европа, стандартное время)</t>
  </si>
  <si>
    <t>Tue Mar 24 2026 12:59:20 GMT+0200 (Восточная Европа, стандартное время)</t>
  </si>
  <si>
    <t>Tue Mar 24 2026 13:09:57 GMT+0200 (Восточная Европа, стандартное время)</t>
  </si>
  <si>
    <t>Tue Mar 24 2026 17:25:04 GMT+0200 (Восточная Европа, стандартное время)</t>
  </si>
  <si>
    <t>Tue Mar 24 2026 17:28:18 GMT+0200 (Восточная Европа, стандартное время)</t>
  </si>
  <si>
    <t>Tue Mar 24 2026 17:29:00 GMT+0200 (Восточная Европа, стандартное время)</t>
  </si>
  <si>
    <t>Tue Mar 24 2026 17:31:43 GMT+0200 (Восточная Европа, стандартное время)</t>
  </si>
  <si>
    <t>Tue Mar 24 2026 17:32:50 GMT+0200 (Восточная Европа, стандартное время)</t>
  </si>
  <si>
    <t>Tue Mar 24 2026 17:36:59 GMT+0200 (Восточная Европа, стандартное время)</t>
  </si>
  <si>
    <t>Tue Mar 24 2026 17:40:56 GMT+0200 (Восточная Европа, стандартное время)</t>
  </si>
  <si>
    <t>Tue Mar 24 2026 17:40:58 GMT+0200 (Восточная Европа, стандартное время)</t>
  </si>
  <si>
    <t>Tue Mar 24 2026 17:44:47 GMT+0200 (Восточная Европа, стандартное время)</t>
  </si>
  <si>
    <t>Tue Mar 24 2026 17:48:45 GMT+0200 (Восточная Европа, стандартное время)</t>
  </si>
  <si>
    <t>Tue Mar 24 2026 17:49:07 GMT+0200 (Восточная Европа, стандартное время)</t>
  </si>
  <si>
    <t>Tue Mar 24 2026 17:55:21 GMT+0200 (Восточная Европа, стандартное время)</t>
  </si>
  <si>
    <t>Tue Mar 24 2026 18:03:41 GMT+0200 (Восточная Европа, стандартное время)</t>
  </si>
  <si>
    <t>Thu Mar 19 2026 19:11:19 GMT+0200 (Восточная Европа, стандартное время)</t>
  </si>
  <si>
    <t>Thu Mar 19 2026 19:11:39 GMT+0200 (Восточная Европа, стандартное время)</t>
  </si>
  <si>
    <t>Thu Mar 19 2026 19:12:03 GMT+0200 (Восточная Европа, стандартное время)</t>
  </si>
  <si>
    <t>Thu Mar 19 2026 19:12:23 GMT+0200 (Восточная Европа, стандартное время)</t>
  </si>
  <si>
    <t>Thu Mar 19 2026 19:12:52 GMT+0200 (Восточная Европа, стандартное время)</t>
  </si>
  <si>
    <t>Thu Mar 19 2026 19:13:18 GMT+0200 (Восточная Европа, стандартное время)</t>
  </si>
  <si>
    <t>Thu Mar 19 2026 19:13:42 GMT+0200 (Восточная Европа, стандартное время)</t>
  </si>
  <si>
    <t>Thu Mar 19 2026 19:14:05 GMT+0200 (Восточная Европа, стандартное время)</t>
  </si>
  <si>
    <t>Thu Mar 19 2026 19:14:32 GMT+0200 (Восточная Европа, стандартное время)</t>
  </si>
  <si>
    <t>Thu Mar 19 2026 19:14:57 GMT+0200 (Восточная Европа, стандартное время)</t>
  </si>
  <si>
    <t>Thu Mar 19 2026 19:16:20 GMT+0200 (Восточная Европа, стандартное время)</t>
  </si>
  <si>
    <t>Thu Mar 19 2026 19:16:48 GMT+0200 (Восточная Европа, стандартное время)</t>
  </si>
  <si>
    <t>Thu Mar 19 2026 19:17:11 GMT+0200 (Восточная Европа, стандартное время)</t>
  </si>
  <si>
    <t>Thu Mar 19 2026 19:17:33 GMT+0200 (Восточная Европа, стандартное время)</t>
  </si>
  <si>
    <t>Thu Mar 19 2026 19:17:56 GMT+0200 (Восточная Европа, стандартное время)</t>
  </si>
  <si>
    <t>Thu Mar 19 2026 19:18:13 GMT+0200 (Восточная Европа, стандартное время)</t>
  </si>
  <si>
    <t>Thu Mar 19 2026 19:18:40 GMT+0200 (Восточная Европа, стандартное время)</t>
  </si>
  <si>
    <t>lcp_std</t>
  </si>
  <si>
    <t>inp_std</t>
  </si>
  <si>
    <t>cls_std</t>
  </si>
  <si>
    <t>stability_score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</si>
</sst>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 | h:mm"/>
    <numFmt numFmtId="165" formatCode="yyyy.mm.dd"/>
    <numFmt numFmtId="166" formatCode="0.000"/>
  </numFmts>
  <fonts count="31">
    <font>
      <sz val="10.0"/>
      <color rgb="FF000000"/>
      <name val="Arial"/>
      <scheme val="minor"/>
    </font>
    <font>
      <sz val="9.0"/>
      <color rgb="FF434343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b/>
      <sz val="9.0"/>
      <color rgb="FF434343"/>
      <name val="Arial"/>
    </font>
    <font>
      <u/>
      <color rgb="FF1565C0"/>
    </font>
    <font>
      <color rgb="FF1565C0"/>
      <name val="Arial"/>
      <scheme val="minor"/>
    </font>
    <font>
      <b/>
      <sz val="9.0"/>
      <color rgb="FF434343"/>
      <name val="Arial"/>
      <scheme val="minor"/>
    </font>
    <font>
      <b/>
      <sz val="16.0"/>
      <color rgb="FFFFFFFF"/>
      <name val="Arial"/>
      <scheme val="minor"/>
    </font>
    <font>
      <i/>
      <color rgb="FF455A64"/>
      <name val="Arial"/>
      <scheme val="minor"/>
    </font>
    <font>
      <b/>
      <color theme="1"/>
      <name val="Arial"/>
      <scheme val="minor"/>
    </font>
    <font>
      <color rgb="FF607D8B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  <scheme val="minor"/>
    </font>
    <font>
      <color rgb="FF000000"/>
      <name val="Arial"/>
    </font>
    <font>
      <u/>
      <color rgb="FF1565C0"/>
      <name val="Arial"/>
    </font>
    <font>
      <u/>
      <color rgb="FF1565C0"/>
    </font>
    <font>
      <u/>
      <color rgb="FF1565C0"/>
    </font>
    <font>
      <b/>
      <u/>
      <sz val="9.0"/>
      <color rgb="FF434343"/>
    </font>
    <font>
      <u/>
      <color rgb="FF1565C0"/>
      <name val="Arial"/>
    </font>
    <font>
      <u/>
      <color rgb="FF1565C0"/>
      <name val="Arial"/>
    </font>
    <font>
      <color rgb="FF1565C0"/>
      <name val="Arial"/>
    </font>
    <font>
      <color rgb="FF1B5E20"/>
      <name val="Arial"/>
      <scheme val="minor"/>
    </font>
    <font>
      <color rgb="FFB71C1C"/>
      <name val="Arial"/>
      <scheme val="minor"/>
    </font>
    <font>
      <sz val="9.0"/>
      <color rgb="FF000000"/>
      <name val="Puv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i/>
      <sz val="9.0"/>
      <color rgb="FF434343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B1F24"/>
        <bgColor rgb="FF1B1F24"/>
      </patternFill>
    </fill>
    <fill>
      <patternFill patternType="solid">
        <fgColor rgb="FF263238"/>
        <bgColor rgb="FF26323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CEFF1"/>
        <bgColor rgb="FFECEFF1"/>
      </patternFill>
    </fill>
    <fill>
      <patternFill patternType="solid">
        <fgColor rgb="FFFAFAFA"/>
        <bgColor rgb="FFFAFAFA"/>
      </patternFill>
    </fill>
    <fill>
      <patternFill patternType="solid">
        <fgColor rgb="FFFFF8E1"/>
        <bgColor rgb="FFFFF8E1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90CAF9"/>
        <bgColor rgb="FF90CAF9"/>
      </patternFill>
    </fill>
    <fill>
      <patternFill patternType="solid">
        <fgColor rgb="FFF6F6F6"/>
        <bgColor rgb="FFF6F6F6"/>
      </patternFill>
    </fill>
    <fill>
      <patternFill patternType="solid">
        <fgColor rgb="FFCFD8DC"/>
        <bgColor rgb="FFCFD8DC"/>
      </patternFill>
    </fill>
    <fill>
      <patternFill patternType="solid">
        <fgColor rgb="FF1A237E"/>
        <bgColor rgb="FF1A237E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4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4" fontId="4" numFmtId="164" xfId="0" applyAlignment="1" applyFill="1" applyFont="1" applyNumberFormat="1">
      <alignment horizontal="center" vertical="bottom"/>
    </xf>
    <xf borderId="0" fillId="0" fontId="5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5" fontId="4" numFmtId="164" xfId="0" applyAlignment="1" applyFont="1" applyNumberFormat="1">
      <alignment horizontal="center" vertical="bottom"/>
    </xf>
    <xf borderId="0" fillId="5" fontId="4" numFmtId="0" xfId="0" applyAlignment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0" fillId="4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5" fontId="4" numFmtId="165" xfId="0" applyAlignment="1" applyFont="1" applyNumberFormat="1">
      <alignment horizontal="center" readingOrder="0" vertical="bottom"/>
    </xf>
    <xf borderId="0" fillId="4" fontId="4" numFmtId="165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/>
    </xf>
    <xf borderId="0" fillId="2" fontId="10" numFmtId="0" xfId="0" applyAlignment="1" applyFont="1">
      <alignment horizontal="center" readingOrder="0"/>
    </xf>
    <xf borderId="0" fillId="0" fontId="5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6" fontId="12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0" fontId="5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6" fontId="11" numFmtId="0" xfId="0" applyAlignment="1" applyFont="1">
      <alignment horizontal="center" readingOrder="0" vertical="center"/>
    </xf>
    <xf borderId="0" fillId="2" fontId="14" numFmtId="0" xfId="0" applyAlignment="1" applyFont="1">
      <alignment horizontal="left" readingOrder="0" vertical="center"/>
    </xf>
    <xf borderId="0" fillId="8" fontId="5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0" fontId="5" numFmtId="1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1" xfId="0" applyFont="1" applyNumberFormat="1"/>
    <xf borderId="0" fillId="0" fontId="5" numFmtId="166" xfId="0" applyFont="1" applyNumberFormat="1"/>
    <xf borderId="0" fillId="10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9" fontId="5" numFmtId="0" xfId="0" applyAlignment="1" applyFont="1">
      <alignment readingOrder="0"/>
    </xf>
    <xf borderId="0" fillId="11" fontId="5" numFmtId="0" xfId="0" applyAlignment="1" applyFill="1" applyFont="1">
      <alignment readingOrder="0"/>
    </xf>
    <xf borderId="0" fillId="11" fontId="5" numFmtId="0" xfId="0" applyAlignment="1" applyFont="1">
      <alignment readingOrder="0"/>
    </xf>
    <xf borderId="0" fillId="10" fontId="5" numFmtId="0" xfId="0" applyAlignment="1" applyFont="1">
      <alignment readingOrder="0"/>
    </xf>
    <xf borderId="0" fillId="3" fontId="15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12" fontId="2" numFmtId="0" xfId="0" applyAlignment="1" applyFill="1" applyFont="1">
      <alignment horizontal="center" readingOrder="0" vertical="center"/>
    </xf>
    <xf borderId="0" fillId="13" fontId="2" numFmtId="0" xfId="0" applyAlignment="1" applyFill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/>
    </xf>
    <xf borderId="0" fillId="5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0" fillId="14" fontId="16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5" fontId="5" numFmtId="164" xfId="0" applyAlignment="1" applyFont="1" applyNumberFormat="1">
      <alignment horizontal="center" readingOrder="0"/>
    </xf>
    <xf borderId="0" fillId="5" fontId="5" numFmtId="0" xfId="0" applyAlignment="1" applyFont="1">
      <alignment horizontal="center" readingOrder="0"/>
    </xf>
    <xf borderId="0" fillId="5" fontId="18" numFmtId="0" xfId="0" applyAlignment="1" applyFont="1">
      <alignment horizontal="center"/>
    </xf>
    <xf borderId="0" fillId="5" fontId="5" numFmtId="0" xfId="0" applyAlignment="1" applyFont="1">
      <alignment horizontal="center" readingOrder="0"/>
    </xf>
    <xf borderId="0" fillId="4" fontId="5" numFmtId="164" xfId="0" applyAlignment="1" applyFont="1" applyNumberFormat="1">
      <alignment horizontal="center" readingOrder="0"/>
    </xf>
    <xf borderId="0" fillId="4" fontId="5" numFmtId="0" xfId="0" applyAlignment="1" applyFont="1">
      <alignment horizontal="center" readingOrder="0"/>
    </xf>
    <xf borderId="0" fillId="4" fontId="19" numFmtId="0" xfId="0" applyAlignment="1" applyFont="1">
      <alignment horizontal="center"/>
    </xf>
    <xf borderId="0" fillId="4" fontId="5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0" fillId="5" fontId="8" numFmtId="0" xfId="0" applyAlignment="1" applyFont="1">
      <alignment horizontal="center"/>
    </xf>
    <xf borderId="0" fillId="4" fontId="5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5" fontId="5" numFmtId="164" xfId="0" applyAlignment="1" applyFont="1" applyNumberFormat="1">
      <alignment horizontal="center"/>
    </xf>
    <xf borderId="0" fillId="4" fontId="5" numFmtId="164" xfId="0" applyAlignment="1" applyFont="1" applyNumberFormat="1">
      <alignment horizontal="center"/>
    </xf>
    <xf borderId="0" fillId="4" fontId="9" numFmtId="0" xfId="0" applyAlignment="1" applyFont="1">
      <alignment horizontal="center" readingOrder="0"/>
    </xf>
    <xf borderId="0" fillId="5" fontId="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4" fontId="6" numFmtId="0" xfId="0" applyAlignment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7" fontId="5" numFmtId="0" xfId="0" applyFont="1"/>
    <xf borderId="0" fillId="15" fontId="5" numFmtId="0" xfId="0" applyAlignment="1" applyFill="1" applyFont="1">
      <alignment readingOrder="0"/>
    </xf>
    <xf quotePrefix="1" borderId="0" fillId="0" fontId="5" numFmtId="0" xfId="0" applyAlignment="1" applyFont="1">
      <alignment readingOrder="0"/>
    </xf>
    <xf borderId="0" fillId="5" fontId="4" numFmtId="0" xfId="0" applyAlignment="1" applyFont="1">
      <alignment horizontal="center" vertical="bottom"/>
    </xf>
    <xf borderId="0" fillId="5" fontId="21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4" fontId="22" numFmtId="0" xfId="0" applyAlignment="1" applyFont="1">
      <alignment horizontal="center" vertical="bottom"/>
    </xf>
    <xf borderId="0" fillId="5" fontId="23" numFmtId="0" xfId="0" applyAlignment="1" applyFont="1">
      <alignment horizontal="center" vertical="bottom"/>
    </xf>
    <xf borderId="0" fillId="16" fontId="15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17" fontId="12" numFmtId="0" xfId="0" applyAlignment="1" applyFill="1" applyFont="1">
      <alignment readingOrder="0"/>
    </xf>
    <xf borderId="0" fillId="17" fontId="24" numFmtId="0" xfId="0" applyAlignment="1" applyFont="1">
      <alignment readingOrder="0"/>
    </xf>
    <xf borderId="0" fillId="17" fontId="25" numFmtId="0" xfId="0" applyAlignment="1" applyFont="1">
      <alignment readingOrder="0"/>
    </xf>
    <xf borderId="0" fillId="17" fontId="5" numFmtId="0" xfId="0" applyAlignment="1" applyFont="1">
      <alignment readingOrder="0"/>
    </xf>
    <xf borderId="0" fillId="17" fontId="12" numFmtId="0" xfId="0" applyAlignment="1" applyFont="1">
      <alignment horizontal="center" readingOrder="0"/>
    </xf>
    <xf borderId="0" fillId="18" fontId="12" numFmtId="0" xfId="0" applyAlignment="1" applyFill="1" applyFont="1">
      <alignment readingOrder="0"/>
    </xf>
    <xf borderId="0" fillId="18" fontId="24" numFmtId="0" xfId="0" applyAlignment="1" applyFont="1">
      <alignment readingOrder="0"/>
    </xf>
    <xf borderId="0" fillId="18" fontId="25" numFmtId="0" xfId="0" applyAlignment="1" applyFont="1">
      <alignment readingOrder="0"/>
    </xf>
    <xf borderId="0" fillId="18" fontId="5" numFmtId="0" xfId="0" applyAlignment="1" applyFont="1">
      <alignment readingOrder="0"/>
    </xf>
    <xf borderId="0" fillId="18" fontId="12" numFmtId="0" xfId="0" applyAlignment="1" applyFont="1">
      <alignment horizontal="center" readingOrder="0"/>
    </xf>
    <xf borderId="0" fillId="17" fontId="24" numFmtId="0" xfId="0" applyAlignment="1" applyFont="1">
      <alignment readingOrder="0"/>
    </xf>
    <xf borderId="0" fillId="11" fontId="24" numFmtId="0" xfId="0" applyAlignment="1" applyFont="1">
      <alignment readingOrder="0"/>
    </xf>
    <xf borderId="0" fillId="9" fontId="25" numFmtId="0" xfId="0" applyAlignment="1" applyFont="1">
      <alignment readingOrder="0"/>
    </xf>
    <xf borderId="0" fillId="11" fontId="24" numFmtId="0" xfId="0" applyAlignment="1" applyFont="1">
      <alignment readingOrder="0"/>
    </xf>
    <xf borderId="0" fillId="9" fontId="25" numFmtId="0" xfId="0" applyAlignment="1" applyFont="1">
      <alignment readingOrder="0"/>
    </xf>
    <xf borderId="0" fillId="5" fontId="26" numFmtId="0" xfId="0" applyAlignment="1" applyFont="1">
      <alignment horizontal="left" readingOrder="0"/>
    </xf>
    <xf borderId="1" fillId="0" fontId="27" numFmtId="0" xfId="0" applyAlignment="1" applyBorder="1" applyFont="1">
      <alignment readingOrder="0"/>
    </xf>
    <xf borderId="2" fillId="0" fontId="27" numFmtId="0" xfId="0" applyBorder="1" applyFont="1"/>
    <xf borderId="1" fillId="0" fontId="5" numFmtId="0" xfId="0" applyBorder="1" applyFont="1"/>
    <xf borderId="2" fillId="0" fontId="5" numFmtId="0" xfId="0" applyBorder="1" applyFont="1"/>
    <xf borderId="0" fillId="0" fontId="28" numFmtId="0" xfId="0" applyFont="1"/>
    <xf borderId="3" fillId="0" fontId="27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0" xfId="0" applyBorder="1" applyFont="1"/>
    <xf borderId="0" fillId="0" fontId="29" numFmtId="0" xfId="0" applyFont="1"/>
    <xf borderId="2" fillId="0" fontId="30" numFmtId="0" xfId="0" applyAlignment="1" applyBorder="1" applyFont="1">
      <alignment readingOrder="0"/>
    </xf>
    <xf borderId="1" fillId="5" fontId="26" numFmtId="0" xfId="0" applyAlignment="1" applyBorder="1" applyFont="1">
      <alignment horizontal="left" readingOrder="0"/>
    </xf>
    <xf borderId="2" fillId="0" fontId="27" numFmtId="0" xfId="0" applyAlignment="1" applyBorder="1" applyFont="1">
      <alignment readingOrder="0"/>
    </xf>
    <xf borderId="1" fillId="0" fontId="27" numFmtId="0" xfId="0" applyBorder="1" applyFont="1"/>
    <xf borderId="0" fillId="0" fontId="27" numFmtId="0" xfId="0" applyAlignment="1" applyFont="1">
      <alignment readingOrder="0"/>
    </xf>
    <xf borderId="3" fillId="0" fontId="29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</dxfs>
  <tableStyles count="7">
    <tableStyle count="2" pivot="0" name="CrUX-style">
      <tableStyleElement dxfId="1" type="firstRowStripe"/>
      <tableStyleElement dxfId="2" type="secondRowStripe"/>
    </tableStyle>
    <tableStyle count="2" pivot="0" name="VRP PROD-style">
      <tableStyleElement dxfId="1" type="firstRowStripe"/>
      <tableStyleElement dxfId="2" type="secondRowStripe"/>
    </tableStyle>
    <tableStyle count="2" pivot="0" name="VRP TEST-style">
      <tableStyleElement dxfId="1" type="firstRowStripe"/>
      <tableStyleElement dxfId="2" type="secondRowStripe"/>
    </tableStyle>
    <tableStyle count="2" pivot="0" name="VRP DEV-style">
      <tableStyleElement dxfId="1" type="firstRowStripe"/>
      <tableStyleElement dxfId="2" type="secondRowStripe"/>
    </tableStyle>
    <tableStyle count="2" pivot="0" name="VRS PROD-style">
      <tableStyleElement dxfId="1" type="firstRowStripe"/>
      <tableStyleElement dxfId="2" type="secondRowStripe"/>
    </tableStyle>
    <tableStyle count="2" pivot="0" name="VRS TEST-style">
      <tableStyleElement dxfId="1" type="firstRowStripe"/>
      <tableStyleElement dxfId="2" type="secondRowStripe"/>
    </tableStyle>
    <tableStyle count="2" pivot="0" name="VRS DEV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Sprint Impact: LCP before vs after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'Dashboard VRP'!$AA$51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VRP'!$Z$52:$Z$57</c:f>
            </c:strRef>
          </c:cat>
          <c:val>
            <c:numRef>
              <c:f>'Dashboard VRP'!$AA$52:$AA$57</c:f>
              <c:numCache/>
            </c:numRef>
          </c:val>
        </c:ser>
        <c:ser>
          <c:idx val="1"/>
          <c:order val="1"/>
          <c:tx>
            <c:strRef>
              <c:f>'Dashboard VRP'!$AB$51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'Dashboard VRP'!$Z$52:$Z$57</c:f>
            </c:strRef>
          </c:cat>
          <c:val>
            <c:numRef>
              <c:f>'Dashboard VRP'!$AB$52:$AB$57</c:f>
              <c:numCache/>
            </c:numRef>
          </c:val>
        </c:ser>
        <c:axId val="605461485"/>
        <c:axId val="896522856"/>
      </c:barChart>
      <c:catAx>
        <c:axId val="6054614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522856"/>
      </c:catAx>
      <c:valAx>
        <c:axId val="8965228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46148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Тренд CWV p90 (before/after)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'Dashboard VRP'!$B$70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'Dashboard VRP'!$A$71:$A$80</c:f>
            </c:strRef>
          </c:cat>
          <c:val>
            <c:numRef>
              <c:f>'Dashboard VRP'!$B$71:$B$80</c:f>
              <c:numCache/>
            </c:numRef>
          </c:val>
          <c:smooth val="1"/>
        </c:ser>
        <c:ser>
          <c:idx val="1"/>
          <c:order val="1"/>
          <c:tx>
            <c:strRef>
              <c:f>'Dashboard VRP'!$C$70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'Dashboard VRP'!$A$71:$A$80</c:f>
            </c:strRef>
          </c:cat>
          <c:val>
            <c:numRef>
              <c:f>'Dashboard VRP'!$C$71:$C$80</c:f>
              <c:numCache/>
            </c:numRef>
          </c:val>
          <c:smooth val="1"/>
        </c:ser>
        <c:ser>
          <c:idx val="2"/>
          <c:order val="2"/>
          <c:tx>
            <c:strRef>
              <c:f>'Dashboard VRP'!$D$70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'Dashboard VRP'!$A$71:$A$80</c:f>
            </c:strRef>
          </c:cat>
          <c:val>
            <c:numRef>
              <c:f>'Dashboard VRP'!$D$71:$D$80</c:f>
              <c:numCache/>
            </c:numRef>
          </c:val>
          <c:smooth val="1"/>
        </c:ser>
        <c:ser>
          <c:idx val="3"/>
          <c:order val="3"/>
          <c:tx>
            <c:strRef>
              <c:f>'Dashboard VRP'!$E$70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'Dashboard VRP'!$A$71:$A$80</c:f>
            </c:strRef>
          </c:cat>
          <c:val>
            <c:numRef>
              <c:f>'Dashboard VRP'!$E$71:$E$80</c:f>
              <c:numCache/>
            </c:numRef>
          </c:val>
          <c:smooth val="1"/>
        </c:ser>
        <c:axId val="1392107520"/>
        <c:axId val="1887575790"/>
      </c:lineChart>
      <c:catAx>
        <c:axId val="139210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575790"/>
      </c:catAx>
      <c:valAx>
        <c:axId val="1887575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10752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 deviation по страницам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'Dashboard VRP'!$AA$69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'Dashboard VRP'!$Z$70:$Z$77</c:f>
            </c:strRef>
          </c:cat>
          <c:val>
            <c:numRef>
              <c:f>'Dashboard VRP'!$AA$70:$AA$77</c:f>
              <c:numCache/>
            </c:numRef>
          </c:val>
          <c:smooth val="1"/>
        </c:ser>
        <c:ser>
          <c:idx val="1"/>
          <c:order val="1"/>
          <c:tx>
            <c:strRef>
              <c:f>'Dashboard VRP'!$AB$69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'Dashboard VRP'!$Z$70:$Z$77</c:f>
            </c:strRef>
          </c:cat>
          <c:val>
            <c:numRef>
              <c:f>'Dashboard VRP'!$AB$70:$AB$77</c:f>
              <c:numCache/>
            </c:numRef>
          </c:val>
          <c:smooth val="1"/>
        </c:ser>
        <c:ser>
          <c:idx val="2"/>
          <c:order val="2"/>
          <c:tx>
            <c:strRef>
              <c:f>'Dashboard VRP'!$AC$69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'Dashboard VRP'!$Z$70:$Z$77</c:f>
            </c:strRef>
          </c:cat>
          <c:val>
            <c:numRef>
              <c:f>'Dashboard VRP'!$AC$70:$AC$77</c:f>
              <c:numCache/>
            </c:numRef>
          </c:val>
          <c:smooth val="1"/>
        </c:ser>
        <c:axId val="1626672688"/>
        <c:axId val="1462337693"/>
      </c:lineChart>
      <c:catAx>
        <c:axId val="162667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337693"/>
      </c:catAx>
      <c:valAx>
        <c:axId val="1462337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6726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Тренд CWV p90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'Dashboard VRS'!$B$70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'Dashboard VRS'!$A$71:$A$73</c:f>
            </c:strRef>
          </c:cat>
          <c:val>
            <c:numRef>
              <c:f>'Dashboard VRS'!$B$71:$B$73</c:f>
              <c:numCache/>
            </c:numRef>
          </c:val>
          <c:smooth val="1"/>
        </c:ser>
        <c:ser>
          <c:idx val="1"/>
          <c:order val="1"/>
          <c:tx>
            <c:strRef>
              <c:f>'Dashboard VRS'!$C$70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'Dashboard VRS'!$A$71:$A$73</c:f>
            </c:strRef>
          </c:cat>
          <c:val>
            <c:numRef>
              <c:f>'Dashboard VRS'!$C$71:$C$73</c:f>
              <c:numCache/>
            </c:numRef>
          </c:val>
          <c:smooth val="1"/>
        </c:ser>
        <c:ser>
          <c:idx val="2"/>
          <c:order val="2"/>
          <c:tx>
            <c:strRef>
              <c:f>'Dashboard VRS'!$D$70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'Dashboard VRS'!$A$71:$A$73</c:f>
            </c:strRef>
          </c:cat>
          <c:val>
            <c:numRef>
              <c:f>'Dashboard VRS'!$D$71:$D$73</c:f>
              <c:numCache/>
            </c:numRef>
          </c:val>
          <c:smooth val="1"/>
        </c:ser>
        <c:axId val="1003229517"/>
        <c:axId val="1173482098"/>
      </c:lineChart>
      <c:catAx>
        <c:axId val="1003229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482098"/>
      </c:catAx>
      <c:valAx>
        <c:axId val="1173482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22951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 deviation по страницам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'Dashboard VRS'!$AA$69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'Dashboard VRS'!$Z$70:$Z$77</c:f>
            </c:strRef>
          </c:cat>
          <c:val>
            <c:numRef>
              <c:f>'Dashboard VRS'!$AA$70:$AA$77</c:f>
              <c:numCache/>
            </c:numRef>
          </c:val>
          <c:smooth val="1"/>
        </c:ser>
        <c:ser>
          <c:idx val="1"/>
          <c:order val="1"/>
          <c:tx>
            <c:strRef>
              <c:f>'Dashboard VRS'!$AB$69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'Dashboard VRS'!$Z$70:$Z$77</c:f>
            </c:strRef>
          </c:cat>
          <c:val>
            <c:numRef>
              <c:f>'Dashboard VRS'!$AB$70:$AB$77</c:f>
              <c:numCache/>
            </c:numRef>
          </c:val>
          <c:smooth val="1"/>
        </c:ser>
        <c:ser>
          <c:idx val="2"/>
          <c:order val="2"/>
          <c:tx>
            <c:strRef>
              <c:f>'Dashboard VRS'!$AC$69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'Dashboard VRS'!$Z$70:$Z$77</c:f>
            </c:strRef>
          </c:cat>
          <c:val>
            <c:numRef>
              <c:f>'Dashboard VRS'!$AC$70:$AC$77</c:f>
              <c:numCache/>
            </c:numRef>
          </c:val>
          <c:smooth val="1"/>
        </c:ser>
        <c:axId val="359930689"/>
        <c:axId val="1578059973"/>
      </c:lineChart>
      <c:catAx>
        <c:axId val="359930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059973"/>
      </c:catAx>
      <c:valAx>
        <c:axId val="1578059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993068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Mobile vs Desktop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'Dashboard VRS'!$U$123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VRS'!$T$124:$T$126</c:f>
            </c:strRef>
          </c:cat>
          <c:val>
            <c:numRef>
              <c:f>'Dashboard VRS'!$U$124:$U$126</c:f>
              <c:numCache/>
            </c:numRef>
          </c:val>
        </c:ser>
        <c:ser>
          <c:idx val="1"/>
          <c:order val="1"/>
          <c:tx>
            <c:strRef>
              <c:f>'Dashboard VRS'!$V$123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'Dashboard VRS'!$T$124:$T$126</c:f>
            </c:strRef>
          </c:cat>
          <c:val>
            <c:numRef>
              <c:f>'Dashboard VRS'!$V$124:$V$126</c:f>
              <c:numCache/>
            </c:numRef>
          </c:val>
        </c:ser>
        <c:ser>
          <c:idx val="2"/>
          <c:order val="2"/>
          <c:tx>
            <c:strRef>
              <c:f>'Dashboard VRS'!$W$123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'Dashboard VRS'!$T$124:$T$126</c:f>
            </c:strRef>
          </c:cat>
          <c:val>
            <c:numRef>
              <c:f>'Dashboard VRS'!$W$124:$W$126</c:f>
              <c:numCache/>
            </c:numRef>
          </c:val>
        </c:ser>
        <c:axId val="376689041"/>
        <c:axId val="1444408005"/>
      </c:barChart>
      <c:catAx>
        <c:axId val="3766890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408005"/>
      </c:catAx>
      <c:valAx>
        <c:axId val="14444080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68904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51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69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87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76200</xdr:colOff>
      <xdr:row>3</xdr:row>
      <xdr:rowOff>57150</xdr:rowOff>
    </xdr:from>
    <xdr:ext cx="2095500" cy="4191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69</xdr:row>
      <xdr:rowOff>0</xdr:rowOff>
    </xdr:from>
    <xdr:ext cx="5715000" cy="35337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87</xdr:row>
      <xdr:rowOff>0</xdr:rowOff>
    </xdr:from>
    <xdr:ext cx="5715000" cy="35337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123</xdr:row>
      <xdr:rowOff>0</xdr:rowOff>
    </xdr:from>
    <xdr:ext cx="5715000" cy="35337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76200</xdr:colOff>
      <xdr:row>3</xdr:row>
      <xdr:rowOff>57150</xdr:rowOff>
    </xdr:from>
    <xdr:ext cx="2095500" cy="4191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Q2000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CrUX-style" showColumnStripes="0" showFirstColumn="1" showLastColumn="1" showRowStripes="1"/>
</table>
</file>

<file path=xl/tables/table2.xml><?xml version="1.0" encoding="utf-8"?>
<table xmlns="http://schemas.openxmlformats.org/spreadsheetml/2006/main" headerRowCount="0" ref="A4:S2000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VRP PROD-style" showColumnStripes="0" showFirstColumn="1" showLastColumn="1" showRowStripes="1"/>
</table>
</file>

<file path=xl/tables/table3.xml><?xml version="1.0" encoding="utf-8"?>
<table xmlns="http://schemas.openxmlformats.org/spreadsheetml/2006/main" headerRowCount="0" ref="A4:S2000" displayName="Table_3" name="Table_3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VRP TEST-style" showColumnStripes="0" showFirstColumn="1" showLastColumn="1" showRowStripes="1"/>
</table>
</file>

<file path=xl/tables/table4.xml><?xml version="1.0" encoding="utf-8"?>
<table xmlns="http://schemas.openxmlformats.org/spreadsheetml/2006/main" headerRowCount="0" ref="A4:S2000" displayName="Table_4" name="Table_4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VRP DEV-style" showColumnStripes="0" showFirstColumn="1" showLastColumn="1" showRowStripes="1"/>
</table>
</file>

<file path=xl/tables/table5.xml><?xml version="1.0" encoding="utf-8"?>
<table xmlns="http://schemas.openxmlformats.org/spreadsheetml/2006/main" headerRowCount="0" ref="A4:S2001" displayName="Table_5" name="Table_5" id="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VRS PROD-style" showColumnStripes="0" showFirstColumn="1" showLastColumn="1" showRowStripes="1"/>
</table>
</file>

<file path=xl/tables/table6.xml><?xml version="1.0" encoding="utf-8"?>
<table xmlns="http://schemas.openxmlformats.org/spreadsheetml/2006/main" headerRowCount="0" ref="A4:S2000" displayName="Table_6" name="Table_6" id="6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VRS TEST-style" showColumnStripes="0" showFirstColumn="1" showLastColumn="1" showRowStripes="1"/>
</table>
</file>

<file path=xl/tables/table7.xml><?xml version="1.0" encoding="utf-8"?>
<table xmlns="http://schemas.openxmlformats.org/spreadsheetml/2006/main" headerRowCount="0" ref="A4:S2000" displayName="Table_7" name="Table_7" id="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VRS DE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url?q=https://www.google.com/url?q%3Dhttps://vrporn.com/pornstars/samy-sun/%26sa%3DD%26source%3Deditors%26ust%3D1774015640160211%26usg%3DAOvVaw1VIihE7p9bqFomoTTRd88K&amp;sa=D&amp;source=editors&amp;ust=1774027110893597&amp;usg=AOvVaw3BVjMnmLB36XxYx4xrGDDZ" TargetMode="External"/><Relationship Id="rId84" Type="http://schemas.openxmlformats.org/officeDocument/2006/relationships/drawing" Target="../drawings/drawing3.xml"/><Relationship Id="rId83" Type="http://schemas.openxmlformats.org/officeDocument/2006/relationships/hyperlink" Target="https://www.google.com/url?q=https://vrporn.com/camgirls/model-vrporn/&amp;sa=D&amp;source=editors&amp;ust=1774027110921720&amp;usg=AOvVaw3ItJMp8W_LaBlkplbGugxs" TargetMode="External"/><Relationship Id="rId42" Type="http://schemas.openxmlformats.org/officeDocument/2006/relationships/hyperlink" Target="https://www.google.com/url?q=https://www.google.com/url?q%3Dhttps://vrporn.com/tag/anal/%26sa%3DD%26source%3Deditors%26ust%3D1774015640161454%26usg%3DAOvVaw0jL7UEa2u4zFKru_WHtlZa&amp;sa=D&amp;source=editors&amp;ust=1774027110895026&amp;usg=AOvVaw2duN2GUr6VXYs83eyfsCj3" TargetMode="External"/><Relationship Id="rId86" Type="http://schemas.openxmlformats.org/officeDocument/2006/relationships/table" Target="../tables/table2.xml"/><Relationship Id="rId41" Type="http://schemas.openxmlformats.org/officeDocument/2006/relationships/hyperlink" Target="https://www.google.com/url?q=https://www.google.com/url?q%3Dhttps://vrporn.com/categories/%26sa%3DD%26source%3Deditors%26ust%3D1774015640160848%26usg%3DAOvVaw0DM5t0WdCTbuGrGF_xbSyr&amp;sa=D&amp;source=editors&amp;ust=1774027110894286&amp;usg=AOvVaw0tQIlbExa2RGEUzxRIh8rG" TargetMode="External"/><Relationship Id="rId44" Type="http://schemas.openxmlformats.org/officeDocument/2006/relationships/hyperlink" Target="https://www.google.com/url?q=https://www.google.com/url?q%3Dhttps://vrporn.com/camgirls/%26sa%3DD%26source%3Deditors%26ust%3D1774015640162726%26usg%3DAOvVaw0jOj0OV32sv73fH8z1bnGZ&amp;sa=D&amp;source=editors&amp;ust=1774027110896586&amp;usg=AOvVaw3LAHhCqoxQiM6pV8W1OF7p" TargetMode="External"/><Relationship Id="rId43" Type="http://schemas.openxmlformats.org/officeDocument/2006/relationships/hyperlink" Target="https://www.google.com/url?q=https://www.google.com/url?q%3Dhttps://vrporn.com/studio/vrbangers/%26sa%3DD%26source%3Deditors%26ust%3D1774015640162146%26usg%3DAOvVaw3G03jiRkqXu0le7nmlss3x&amp;sa=D&amp;source=editors&amp;ust=1774027110895822&amp;usg=AOvVaw2gf5iQz4RcjI24AnPwsK7t" TargetMode="External"/><Relationship Id="rId46" Type="http://schemas.openxmlformats.org/officeDocument/2006/relationships/hyperlink" Target="https://www.google.com/url?q=https://www.google.com/url?q%3Dhttps://vrporn.com/%26sa%3DD%26source%3Deditors%26ust%3D1774015640163926%26usg%3DAOvVaw3Hr8lSREuVAfOs5bl2afs1&amp;sa=D&amp;source=editors&amp;ust=1774027110898207&amp;usg=AOvVaw2VIeIc4nFWw4xiUQh_9CLW" TargetMode="External"/><Relationship Id="rId45" Type="http://schemas.openxmlformats.org/officeDocument/2006/relationships/hyperlink" Target="https://www.google.com/url?q=https://www.google.com/url?q%3Dhttps://vrporn.com/camgirls/model-vrporn/%26sa%3DD%26source%3Deditors%26ust%3D1774015640163324%26usg%3DAOvVaw04-GCZIkyTnX9UpEgyAHJ3&amp;sa=D&amp;source=editors&amp;ust=1774027110897434&amp;usg=AOvVaw3HKhIYZ803YkbRaoJp1VBL" TargetMode="External"/><Relationship Id="rId80" Type="http://schemas.openxmlformats.org/officeDocument/2006/relationships/hyperlink" Target="https://www.google.com/url?q=https://vrporn.com/tag/anal/&amp;sa=D&amp;source=editors&amp;ust=1774027110919976&amp;usg=AOvVaw00L5iNYdRyg2qycre-NmuM" TargetMode="External"/><Relationship Id="rId82" Type="http://schemas.openxmlformats.org/officeDocument/2006/relationships/hyperlink" Target="https://www.google.com/url?q=https://vrporn.com/camgirls/&amp;sa=D&amp;source=editors&amp;ust=1774027110921133&amp;usg=AOvVaw2vaPWMm8kRJ16zVGzg3mE8" TargetMode="External"/><Relationship Id="rId81" Type="http://schemas.openxmlformats.org/officeDocument/2006/relationships/hyperlink" Target="https://www.google.com/url?q=https://vrporn.com/studio/vrbangers/&amp;sa=D&amp;source=editors&amp;ust=1774027110920526&amp;usg=AOvVaw2JjtwtLUYjlvWWcUiOomWF" TargetMode="External"/><Relationship Id="rId1" Type="http://schemas.openxmlformats.org/officeDocument/2006/relationships/hyperlink" Target="https://www.google.com/url?q=https://www.google.com/url?q%3Dhttps://vrporn.com/%26sa%3DD%26source%3Deditors%26ust%3D1774015640136639%26usg%3DAOvVaw3GvB2WrdxNFsw333CgNJ1j&amp;sa=D&amp;source=editors&amp;ust=1774027110865912&amp;usg=AOvVaw1A5Bbm6I9gbPDQ3mUxp0ZT" TargetMode="External"/><Relationship Id="rId2" Type="http://schemas.openxmlformats.org/officeDocument/2006/relationships/hyperlink" Target="https://www.google.com/url?q=https://www.google.com/url?q%3Dhttps://vrporn.com/%26sa%3DD%26source%3Deditors%26ust%3D1774015640137321%26usg%3DAOvVaw2OiUZXg4nLxG6JN31oOyH_&amp;sa=D&amp;source=editors&amp;ust=1774027110866811&amp;usg=AOvVaw1Eln1uzizRTPJBR6967Pbi" TargetMode="External"/><Relationship Id="rId3" Type="http://schemas.openxmlformats.org/officeDocument/2006/relationships/hyperlink" Target="https://www.google.com/url?q=https://www.google.com/url?q%3Dhttps://vrporn.com/%26sa%3DD%26source%3Deditors%26ust%3D1774015640137936%26usg%3DAOvVaw187Xgp3BUSlaAaCdc6m86w&amp;sa=D&amp;source=editors&amp;ust=1774027110867548&amp;usg=AOvVaw1hiBKpGSQOC4yn7aTdTq89" TargetMode="External"/><Relationship Id="rId4" Type="http://schemas.openxmlformats.org/officeDocument/2006/relationships/hyperlink" Target="https://www.google.com/url?q=https://www.google.com/url?q%3Dhttps://vrporn.com/%26sa%3DD%26source%3Deditors%26ust%3D1774015640138537%26usg%3DAOvVaw03PhDVjSiRIDf1wqjw__QT&amp;sa=D&amp;source=editors&amp;ust=1774027110868324&amp;usg=AOvVaw0h6ulqTk0VnrX6r8Kedj8_" TargetMode="External"/><Relationship Id="rId9" Type="http://schemas.openxmlformats.org/officeDocument/2006/relationships/hyperlink" Target="https://www.google.com/url?q=https://www.google.com/url?q%3Dhttps://vrporn.com/pornstars/samy-sun/%26sa%3DD%26source%3Deditors%26ust%3D1774015640141609%26usg%3DAOvVaw02aCAKwxDqjpB9KJ0uZefX&amp;sa=D&amp;source=editors&amp;ust=1774027110871943&amp;usg=AOvVaw0G9nR9wTbBitn6lyg2eC8a" TargetMode="External"/><Relationship Id="rId48" Type="http://schemas.openxmlformats.org/officeDocument/2006/relationships/hyperlink" Target="https://www.google.com/url?q=https://www.google.com/url?q%3Dhttps://vrporn.com/pornstars/?sort%253Dlatest%26sa%3DD%26source%3Deditors%26ust%3D1774015640165099%26usg%3DAOvVaw3QtxD39-sU-CjXAbZks4Xe&amp;sa=D&amp;source=editors&amp;ust=1774027110899745&amp;usg=AOvVaw3rIQJCGpbVEhueKiQwRy3q" TargetMode="External"/><Relationship Id="rId47" Type="http://schemas.openxmlformats.org/officeDocument/2006/relationships/hyperlink" Target="https://www.google.com/url?q=https://www.google.com/url?q%3Dhttps://vrporn.com/pretty-petite-vr-pmv/%26sa%3DD%26source%3Deditors%26ust%3D1774015640164516%26usg%3DAOvVaw1kBobHq3wlIMOaflTdJblq&amp;sa=D&amp;source=editors&amp;ust=1774027110898979&amp;usg=AOvVaw2Y-bHAfbjOE7eq61g3ny03" TargetMode="External"/><Relationship Id="rId49" Type="http://schemas.openxmlformats.org/officeDocument/2006/relationships/hyperlink" Target="https://www.google.com/url?q=https://www.google.com/url?q%3Dhttps://vrporn.com/pornstars/samy-sun/%26sa%3DD%26source%3Deditors%26ust%3D1774015640165692%26usg%3DAOvVaw3iGYVaI6o4qCZF1xHCig9H&amp;sa=D&amp;source=editors&amp;ust=1774027110900536&amp;usg=AOvVaw0lPDOU0gh0VAMMBCv1K_SN" TargetMode="External"/><Relationship Id="rId5" Type="http://schemas.openxmlformats.org/officeDocument/2006/relationships/hyperlink" Target="https://www.google.com/url?q=https://www.google.com/url?q%3Dhttps://vrporn.com/%26sa%3DD%26source%3Deditors%26ust%3D1774015640139217%26usg%3DAOvVaw2radA4c3QQeeCKh4fdva0N&amp;sa=D&amp;source=editors&amp;ust=1774027110869053&amp;usg=AOvVaw2gNnVjE4TVW5hZMSItmCZB" TargetMode="External"/><Relationship Id="rId6" Type="http://schemas.openxmlformats.org/officeDocument/2006/relationships/hyperlink" Target="https://www.google.com/url?q=https://www.google.com/url?q%3Dhttps://vrporn.com/%26sa%3DD%26source%3Deditors%26ust%3D1774015640139823%26usg%3DAOvVaw394OnEWb2cxWpGv0-7IwwR&amp;sa=D&amp;source=editors&amp;ust=1774027110869832&amp;usg=AOvVaw2WH4FquDijyo_PLNHV8FYl" TargetMode="External"/><Relationship Id="rId7" Type="http://schemas.openxmlformats.org/officeDocument/2006/relationships/hyperlink" Target="https://www.google.com/url?q=https://www.google.com/url?q%3Dhttps://vrporn.com/pretty-petite-vr-pmv/%26sa%3DD%26source%3Deditors%26ust%3D1774015640140429%26usg%3DAOvVaw2ZSE6Tm5_tD7pq7Nm7DEle&amp;sa=D&amp;source=editors&amp;ust=1774027110870590&amp;usg=AOvVaw3i91flpJAqGlanH1hFXkFI" TargetMode="External"/><Relationship Id="rId8" Type="http://schemas.openxmlformats.org/officeDocument/2006/relationships/hyperlink" Target="https://www.google.com/url?q=https://www.google.com/url?q%3Dhttps://vrporn.com/pornstars/?sort%253Dlatest%26sa%3DD%26source%3Deditors%26ust%3D1774015640141023%26usg%3DAOvVaw2npv9DbwcNayBff2H5utBY&amp;sa=D&amp;source=editors&amp;ust=1774027110871251&amp;usg=AOvVaw3E7W2M0VD4AiQGcKkWlBbn" TargetMode="External"/><Relationship Id="rId73" Type="http://schemas.openxmlformats.org/officeDocument/2006/relationships/hyperlink" Target="https://www.google.com/url?q=https://vrporn.com/studio/vrbangers/&amp;sa=D&amp;source=editors&amp;ust=1774027110915526&amp;usg=AOvVaw34FtQSuQA2t988esWrKrcg" TargetMode="External"/><Relationship Id="rId72" Type="http://schemas.openxmlformats.org/officeDocument/2006/relationships/hyperlink" Target="https://www.google.com/url?q=https://vrporn.com/tag/anal/&amp;sa=D&amp;source=editors&amp;ust=1774027110914963&amp;usg=AOvVaw2Op96gR2swKvzI3vW78vE0" TargetMode="External"/><Relationship Id="rId31" Type="http://schemas.openxmlformats.org/officeDocument/2006/relationships/hyperlink" Target="https://www.google.com/url?q=https://www.google.com/url?q%3Dhttps://vrporn.com/pretty-petite-vr-pmv/%26sa%3DD%26source%3Deditors%26ust%3D1774015640154794%26usg%3DAOvVaw1_J4vWHIlzTRXqSwhTRi6E&amp;sa=D&amp;source=editors&amp;ust=1774027110886789&amp;usg=AOvVaw2XnxsiV3-1PsgWyxKHs8no" TargetMode="External"/><Relationship Id="rId75" Type="http://schemas.openxmlformats.org/officeDocument/2006/relationships/hyperlink" Target="https://www.google.com/url?q=https://vrporn.com/&amp;sa=D&amp;source=editors&amp;ust=1774027110916719&amp;usg=AOvVaw282C79GuvbdLNq94cv9c8s" TargetMode="External"/><Relationship Id="rId30" Type="http://schemas.openxmlformats.org/officeDocument/2006/relationships/hyperlink" Target="https://www.google.com/url?q=https://www.google.com/url?q%3Dhttps://vrporn.com/%26sa%3DD%26source%3Deditors%26ust%3D1774015640154214%26usg%3DAOvVaw3C-tlAgmE-3ggBxzjbKhus&amp;sa=D&amp;source=editors&amp;ust=1774027110886139&amp;usg=AOvVaw2JwxcOAwv7uAlICLTrTscy" TargetMode="External"/><Relationship Id="rId74" Type="http://schemas.openxmlformats.org/officeDocument/2006/relationships/hyperlink" Target="https://www.google.com/url?q=https://vrporn.com/camgirls/&amp;sa=D&amp;source=editors&amp;ust=1774027110916099&amp;usg=AOvVaw20kIUbj61BSQotwLMa9EAI" TargetMode="External"/><Relationship Id="rId33" Type="http://schemas.openxmlformats.org/officeDocument/2006/relationships/hyperlink" Target="https://www.google.com/url?q=https://www.google.com/url?q%3Dhttps://vrporn.com/pornstars/samy-sun/%26sa%3DD%26source%3Deditors%26ust%3D1774015640156003%26usg%3DAOvVaw37D_iyuT8_IgxTCDomxTro&amp;sa=D&amp;source=editors&amp;ust=1774027110888239&amp;usg=AOvVaw323D_7XYpYx15hUJ3tPlus" TargetMode="External"/><Relationship Id="rId77" Type="http://schemas.openxmlformats.org/officeDocument/2006/relationships/hyperlink" Target="https://www.google.com/url?q=https://vrporn.com/pornstars/?sort%3Dlatest&amp;sa=D&amp;source=editors&amp;ust=1774027110917976&amp;usg=AOvVaw1SjHGPb1IKqskH7T8a7b4a" TargetMode="External"/><Relationship Id="rId32" Type="http://schemas.openxmlformats.org/officeDocument/2006/relationships/hyperlink" Target="https://www.google.com/url?q=https://www.google.com/url?q%3Dhttps://vrporn.com/pornstars/?sort%253Dlatest%26sa%3DD%26source%3Deditors%26ust%3D1774015640155404%26usg%3DAOvVaw3FgEidZPGLxfUrwt72TRfx&amp;sa=D&amp;source=editors&amp;ust=1774027110887508&amp;usg=AOvVaw0HMg6aMuXU1e7l-Ng4OfJ-" TargetMode="External"/><Relationship Id="rId76" Type="http://schemas.openxmlformats.org/officeDocument/2006/relationships/hyperlink" Target="https://www.google.com/url?q=https://vrporn.com/pretty-petite-vr-pmv/&amp;sa=D&amp;source=editors&amp;ust=1774027110917361&amp;usg=AOvVaw06Bt6c1Nitz0VuzBp10tET" TargetMode="External"/><Relationship Id="rId35" Type="http://schemas.openxmlformats.org/officeDocument/2006/relationships/hyperlink" Target="https://www.google.com/url?q=https://www.google.com/url?q%3Dhttps://vrporn.com/tag/anal/%26sa%3DD%26source%3Deditors%26ust%3D1774015640157243%26usg%3DAOvVaw2HhltGln6QcbP-79UuVK5t&amp;sa=D&amp;source=editors&amp;ust=1774027110889703&amp;usg=AOvVaw3za_5n2Neq-mBjPIxD5D_v" TargetMode="External"/><Relationship Id="rId79" Type="http://schemas.openxmlformats.org/officeDocument/2006/relationships/hyperlink" Target="https://www.google.com/url?q=https://vrporn.com/categories/&amp;sa=D&amp;source=editors&amp;ust=1774027110919358&amp;usg=AOvVaw0qxaBxuJzxLbJ0QhRQN_C7" TargetMode="External"/><Relationship Id="rId34" Type="http://schemas.openxmlformats.org/officeDocument/2006/relationships/hyperlink" Target="https://www.google.com/url?q=https://www.google.com/url?q%3Dhttps://vrporn.com/categories/%26sa%3DD%26source%3Deditors%26ust%3D1774015640156626%26usg%3DAOvVaw03AY3FTG3oaTNlWRO3QGK6&amp;sa=D&amp;source=editors&amp;ust=1774027110888988&amp;usg=AOvVaw1Awea-7NLDjkcm-qMGfADZ" TargetMode="External"/><Relationship Id="rId78" Type="http://schemas.openxmlformats.org/officeDocument/2006/relationships/hyperlink" Target="https://www.google.com/url?q=https://vrporn.com/pornstars/samy-sun/&amp;sa=D&amp;source=editors&amp;ust=1774027110918684&amp;usg=AOvVaw3LKVsfWOfsN1ZjMVKe8v13" TargetMode="External"/><Relationship Id="rId71" Type="http://schemas.openxmlformats.org/officeDocument/2006/relationships/hyperlink" Target="https://www.google.com/url?q=https://vrporn.com/categories/&amp;sa=D&amp;source=editors&amp;ust=1774027110914391&amp;usg=AOvVaw05w4RdUXZlQpdgOi5RyIDN" TargetMode="External"/><Relationship Id="rId70" Type="http://schemas.openxmlformats.org/officeDocument/2006/relationships/hyperlink" Target="https://www.google.com/url?q=https://vrporn.com/pornstars/samy-sun/&amp;sa=D&amp;source=editors&amp;ust=1774027110913771&amp;usg=AOvVaw0lh9cIzV4TILU16dyPgnKM" TargetMode="External"/><Relationship Id="rId37" Type="http://schemas.openxmlformats.org/officeDocument/2006/relationships/hyperlink" Target="https://www.google.com/url?q=https://www.google.com/url?q%3Dhttps://vrporn.com/%26sa%3DD%26source%3Deditors%26ust%3D1774015640158445%26usg%3DAOvVaw0NRTMdcLf9m73QJxzdT5wf&amp;sa=D&amp;source=editors&amp;ust=1774027110891250&amp;usg=AOvVaw0AJ3vmEjf6tXZxdW7rD7wU" TargetMode="External"/><Relationship Id="rId36" Type="http://schemas.openxmlformats.org/officeDocument/2006/relationships/hyperlink" Target="https://www.google.com/url?q=https://www.google.com/url?q%3Dhttps://vrporn.com/studio/vrbangers/%26sa%3DD%26source%3Deditors%26ust%3D1774015640157858%26usg%3DAOvVaw3m0-lmNaDkFgtlUE-h2uxE&amp;sa=D&amp;source=editors&amp;ust=1774027110890457&amp;usg=AOvVaw3uOg0eo3EB1GA-dEIZZZv3" TargetMode="External"/><Relationship Id="rId39" Type="http://schemas.openxmlformats.org/officeDocument/2006/relationships/hyperlink" Target="https://www.google.com/url?q=https://www.google.com/url?q%3Dhttps://vrporn.com/pornstars/?sort%253Dlatest%26sa%3DD%26source%3Deditors%26ust%3D1774015640159629%26usg%3DAOvVaw3gtKgYhcpcSLGchmmdwfJu&amp;sa=D&amp;source=editors&amp;ust=1774027110892815&amp;usg=AOvVaw2M3ap_bzf8Rk0g-TiOclbF" TargetMode="External"/><Relationship Id="rId38" Type="http://schemas.openxmlformats.org/officeDocument/2006/relationships/hyperlink" Target="https://www.google.com/url?q=https://www.google.com/url?q%3Dhttps://vrporn.com/pretty-petite-vr-pmv/%26sa%3DD%26source%3Deditors%26ust%3D1774015640159028%26usg%3DAOvVaw0o6VXdBzb-NR56Jtc7Olbq&amp;sa=D&amp;source=editors&amp;ust=1774027110892046&amp;usg=AOvVaw2cJv-R76Yk4C5jkGCptTld" TargetMode="External"/><Relationship Id="rId62" Type="http://schemas.openxmlformats.org/officeDocument/2006/relationships/hyperlink" Target="https://www.google.com/url?q=https://vrporn.com/pornstars/samy-sun/&amp;sa=D&amp;source=editors&amp;ust=1774027110908792&amp;usg=AOvVaw1Fdp30xv7qgK-8kTqK41nJ" TargetMode="External"/><Relationship Id="rId61" Type="http://schemas.openxmlformats.org/officeDocument/2006/relationships/hyperlink" Target="https://www.google.com/url?q=https://vrporn.com/pornstars/?sort%3Dlatest&amp;sa=D&amp;source=editors&amp;ust=1774027110908204&amp;usg=AOvVaw3Z4ryHuhpxZCUcG414Qe0Y" TargetMode="External"/><Relationship Id="rId20" Type="http://schemas.openxmlformats.org/officeDocument/2006/relationships/hyperlink" Target="https://www.google.com/url?q=https://www.google.com/url?q%3Dhttps://vrporn.com/studio/vrbangers/%26sa%3DD%26source%3Deditors%26ust%3D1774015640148227%26usg%3DAOvVaw3lzxSPkdygWbvzTSR8Pqym&amp;sa=D&amp;source=editors&amp;ust=1774027110879417&amp;usg=AOvVaw0Xf6lgi4ris2TJTGAGDT4Y" TargetMode="External"/><Relationship Id="rId64" Type="http://schemas.openxmlformats.org/officeDocument/2006/relationships/hyperlink" Target="https://www.google.com/url?q=https://vrporn.com/tag/anal/&amp;sa=D&amp;source=editors&amp;ust=1774027110909935&amp;usg=AOvVaw3lLWrwbaKSEBOgXSCS6dOZ" TargetMode="External"/><Relationship Id="rId63" Type="http://schemas.openxmlformats.org/officeDocument/2006/relationships/hyperlink" Target="https://www.google.com/url?q=https://vrporn.com/categories/&amp;sa=D&amp;source=editors&amp;ust=1774027110909356&amp;usg=AOvVaw1BP0P7unMaf1H794jyw9Xm" TargetMode="External"/><Relationship Id="rId22" Type="http://schemas.openxmlformats.org/officeDocument/2006/relationships/hyperlink" Target="https://www.google.com/url?q=https://www.google.com/url?q%3Dhttps://vrporn.com/%26sa%3DD%26source%3Deditors%26ust%3D1774015640149446%26usg%3DAOvVaw26n8TIBvOCHujRgo-_-zeO&amp;sa=D&amp;source=editors&amp;ust=1774027110880702&amp;usg=AOvVaw1J7rNmtX_P9St6B5RmQ_tQ" TargetMode="External"/><Relationship Id="rId66" Type="http://schemas.openxmlformats.org/officeDocument/2006/relationships/hyperlink" Target="https://www.google.com/url?q=https://vrporn.com/camgirls/&amp;sa=D&amp;source=editors&amp;ust=1774027110911180&amp;usg=AOvVaw2jfMw-6OSVn8hEbI2t3f8V" TargetMode="External"/><Relationship Id="rId21" Type="http://schemas.openxmlformats.org/officeDocument/2006/relationships/hyperlink" Target="https://www.google.com/url?q=https://www.google.com/url?q%3Dhttps://vrporn.com/camgirls/%26sa%3DD%26source%3Deditors%26ust%3D1774015640148846%26usg%3DAOvVaw10TRsHPuixHYnB4XHnY21a&amp;sa=D&amp;source=editors&amp;ust=1774027110880153&amp;usg=AOvVaw2FucDJMsTQp9q_i9mZRBMg" TargetMode="External"/><Relationship Id="rId65" Type="http://schemas.openxmlformats.org/officeDocument/2006/relationships/hyperlink" Target="https://www.google.com/url?q=https://vrporn.com/studio/vrbangers/&amp;sa=D&amp;source=editors&amp;ust=1774027110910517&amp;usg=AOvVaw3a7DAhpXCMIcv_UmJS1lDp" TargetMode="External"/><Relationship Id="rId24" Type="http://schemas.openxmlformats.org/officeDocument/2006/relationships/hyperlink" Target="https://www.google.com/url?q=https://www.google.com/url?q%3Dhttps://vrporn.com/pornstars/?sort%253Dlatest%26sa%3DD%26source%3Deditors%26ust%3D1774015640150646%26usg%3DAOvVaw0QauT0L9Klrl-hNpH2Gd5a&amp;sa=D&amp;source=editors&amp;ust=1774027110882173&amp;usg=AOvVaw16ZzLFCZ2Nt1n92t_tAmdO" TargetMode="External"/><Relationship Id="rId68" Type="http://schemas.openxmlformats.org/officeDocument/2006/relationships/hyperlink" Target="https://www.google.com/url?q=https://vrporn.com/pretty-petite-vr-pmv/&amp;sa=D&amp;source=editors&amp;ust=1774027110912358&amp;usg=AOvVaw3eUe2ZVWWrXqx2SwHn_s1T" TargetMode="External"/><Relationship Id="rId23" Type="http://schemas.openxmlformats.org/officeDocument/2006/relationships/hyperlink" Target="https://www.google.com/url?q=https://www.google.com/url?q%3Dhttps://vrporn.com/pretty-petite-vr-pmv/%26sa%3DD%26source%3Deditors%26ust%3D1774015640150031%26usg%3DAOvVaw3Ln3yT5xeYRX5rsieA30tZ&amp;sa=D&amp;source=editors&amp;ust=1774027110881568&amp;usg=AOvVaw38YCGkg0NKiQ82yMWkUbpk" TargetMode="External"/><Relationship Id="rId67" Type="http://schemas.openxmlformats.org/officeDocument/2006/relationships/hyperlink" Target="https://www.google.com/url?q=https://vrporn.com/camgirls/model-vrporn/&amp;sa=D&amp;source=editors&amp;ust=1774027110911785&amp;usg=AOvVaw2gSYC6qnAGbCpQ2cLKT3b2" TargetMode="External"/><Relationship Id="rId60" Type="http://schemas.openxmlformats.org/officeDocument/2006/relationships/hyperlink" Target="https://www.google.com/url?q=https://vrporn.com/pretty-petite-vr-pmv/&amp;sa=D&amp;source=editors&amp;ust=1774027110907657&amp;usg=AOvVaw0vwOEKRDK1ZMvnYPormrF1" TargetMode="External"/><Relationship Id="rId26" Type="http://schemas.openxmlformats.org/officeDocument/2006/relationships/hyperlink" Target="https://www.google.com/url?q=https://www.google.com/url?q%3Dhttps://vrporn.com/categories/%26sa%3DD%26source%3Deditors%26ust%3D1774015640151846%26usg%3DAOvVaw3hsosecNrKPRXcwY4aUEol&amp;sa=D&amp;source=editors&amp;ust=1774027110883675&amp;usg=AOvVaw3Ws11T_7yrNhtSGwbTl7rl" TargetMode="External"/><Relationship Id="rId25" Type="http://schemas.openxmlformats.org/officeDocument/2006/relationships/hyperlink" Target="https://www.google.com/url?q=https://www.google.com/url?q%3Dhttps://vrporn.com/pornstars/samy-sun/%26sa%3DD%26source%3Deditors%26ust%3D1774015640151250%26usg%3DAOvVaw3cC3ZUf3-la72A3fa-hafY&amp;sa=D&amp;source=editors&amp;ust=1774027110882959&amp;usg=AOvVaw2yKQxmQHgJTeQxUBPZtLVZ" TargetMode="External"/><Relationship Id="rId69" Type="http://schemas.openxmlformats.org/officeDocument/2006/relationships/hyperlink" Target="https://www.google.com/url?q=https://vrporn.com/pornstars/?sort%3Dlatest&amp;sa=D&amp;source=editors&amp;ust=1774027110913056&amp;usg=AOvVaw2f7Es5WkqT0Ilcu4tB9mS1" TargetMode="External"/><Relationship Id="rId28" Type="http://schemas.openxmlformats.org/officeDocument/2006/relationships/hyperlink" Target="https://www.google.com/url?q=https://www.google.com/url?q%3Dhttps://vrporn.com/studio/vrbangers/%26sa%3DD%26source%3Deditors%26ust%3D1774015640153041%26usg%3DAOvVaw1tfWumD3qZd2Pm1BCcDvU7&amp;sa=D&amp;source=editors&amp;ust=1774027110885036&amp;usg=AOvVaw2VYeJ7xzW2wQKY9lP4ZxV9" TargetMode="External"/><Relationship Id="rId27" Type="http://schemas.openxmlformats.org/officeDocument/2006/relationships/hyperlink" Target="https://www.google.com/url?q=https://www.google.com/url?q%3Dhttps://vrporn.com/tag/anal/%26sa%3DD%26source%3Deditors%26ust%3D1774015640152449%26usg%3DAOvVaw1VaDrY1JXgdTxXldB_HsMe&amp;sa=D&amp;source=editors&amp;ust=1774027110884466&amp;usg=AOvVaw2kPRkrc_dqPrH-0ekF4ica" TargetMode="External"/><Relationship Id="rId29" Type="http://schemas.openxmlformats.org/officeDocument/2006/relationships/hyperlink" Target="https://www.google.com/url?q=https://www.google.com/url?q%3Dhttps://vrporn.com/camgirls/%26sa%3DD%26source%3Deditors%26ust%3D1774015640153627%26usg%3DAOvVaw2WdnP483p6zAiW96gIt6bx&amp;sa=D&amp;source=editors&amp;ust=1774027110885558&amp;usg=AOvVaw393j1OzO5tBaTlXZIkZqqA" TargetMode="External"/><Relationship Id="rId51" Type="http://schemas.openxmlformats.org/officeDocument/2006/relationships/hyperlink" Target="https://www.google.com/url?q=https://www.google.com/url?q%3Dhttps://vrporn.com/tag/anal/%26sa%3DD%26source%3Deditors%26ust%3D1774015640166848%26usg%3DAOvVaw2ENMri5cFYAqn9qdIbIdvh&amp;sa=D&amp;source=editors&amp;ust=1774027110902091&amp;usg=AOvVaw0Zh2-_lD30dCs5HNuKYHd3" TargetMode="External"/><Relationship Id="rId50" Type="http://schemas.openxmlformats.org/officeDocument/2006/relationships/hyperlink" Target="https://www.google.com/url?q=https://www.google.com/url?q%3Dhttps://vrporn.com/categories/%26sa%3DD%26source%3Deditors%26ust%3D1774015640166273%26usg%3DAOvVaw0AyOpX00HBw4nB54WeGf0t&amp;sa=D&amp;source=editors&amp;ust=1774027110901304&amp;usg=AOvVaw0dMMTehcVYrWxiEsfQJpw5" TargetMode="External"/><Relationship Id="rId53" Type="http://schemas.openxmlformats.org/officeDocument/2006/relationships/hyperlink" Target="https://www.google.com/url?q=https://www.google.com/url?q%3Dhttps://vrporn.com/camgirls/%26sa%3DD%26source%3Deditors%26ust%3D1774015640168003%26usg%3DAOvVaw2mkuAXdfSYQDTeYGkg5P5b&amp;sa=D&amp;source=editors&amp;ust=1774027110903444&amp;usg=AOvVaw0lLkpl3gkV8l4JAJjAcRpg" TargetMode="External"/><Relationship Id="rId52" Type="http://schemas.openxmlformats.org/officeDocument/2006/relationships/hyperlink" Target="https://www.google.com/url?q=https://www.google.com/url?q%3Dhttps://vrporn.com/studio/vrbangers/%26sa%3DD%26source%3Deditors%26ust%3D1774015640167418%26usg%3DAOvVaw0yONlwKYzAnDmuWRhoNcz8&amp;sa=D&amp;source=editors&amp;ust=1774027110902810&amp;usg=AOvVaw3j2zi5peKxOZhlhGLbh1VZ" TargetMode="External"/><Relationship Id="rId11" Type="http://schemas.openxmlformats.org/officeDocument/2006/relationships/hyperlink" Target="https://www.google.com/url?q=https://www.google.com/url?q%3Dhttps://vrporn.com/tag/anal/%26sa%3DD%26source%3Deditors%26ust%3D1774015640142801%26usg%3DAOvVaw1TE3DWjjwzvPodBQTe6sA8&amp;sa=D&amp;source=editors&amp;ust=1774027110873267&amp;usg=AOvVaw208GIZTS0V3fyIRrrnuY62" TargetMode="External"/><Relationship Id="rId55" Type="http://schemas.openxmlformats.org/officeDocument/2006/relationships/hyperlink" Target="https://www.google.com/url?q=https://www.google.com/url?q%3Dhttps://vrporn.com/%26sa%3DD%26source%3Deditors%26ust%3D1774015640169217%26usg%3DAOvVaw2wqRIc_NSe4oZrAkCczsMo&amp;sa=D&amp;source=editors&amp;ust=1774027110904698&amp;usg=AOvVaw15cU8CSGWZNU8NhBUyIC2R" TargetMode="External"/><Relationship Id="rId10" Type="http://schemas.openxmlformats.org/officeDocument/2006/relationships/hyperlink" Target="https://www.google.com/url?q=https://www.google.com/url?q%3Dhttps://vrporn.com/categories/%26sa%3DD%26source%3Deditors%26ust%3D1774015640142208%26usg%3DAOvVaw0A_PIpSVFwDKBEfMJ9QuYc&amp;sa=D&amp;source=editors&amp;ust=1774027110872646&amp;usg=AOvVaw2PJxWbDPM3033MyZzE_YCY" TargetMode="External"/><Relationship Id="rId54" Type="http://schemas.openxmlformats.org/officeDocument/2006/relationships/hyperlink" Target="https://www.google.com/url?q=https://www.google.com/url?q%3Dhttps://vrporn.com/camgirls/model-vrporn/%26sa%3DD%26source%3Deditors%26ust%3D1774015640168590%26usg%3DAOvVaw1mvBJyqBIBDPkbVL2rF-_0&amp;sa=D&amp;source=editors&amp;ust=1774027110904049&amp;usg=AOvVaw0etX2qzGMN0g-fT_j2cIgm" TargetMode="External"/><Relationship Id="rId13" Type="http://schemas.openxmlformats.org/officeDocument/2006/relationships/hyperlink" Target="https://www.google.com/url?q=https://www.google.com/url?q%3Dhttps://vrporn.com/camgirls/%26sa%3DD%26source%3Deditors%26ust%3D1774015640143997%26usg%3DAOvVaw0vz8qcsZrwYvdBsLJ54UCQ&amp;sa=D&amp;source=editors&amp;ust=1774027110874608&amp;usg=AOvVaw2BvU2cIKDrjjsjnqEUTlTP" TargetMode="External"/><Relationship Id="rId57" Type="http://schemas.openxmlformats.org/officeDocument/2006/relationships/hyperlink" Target="https://www.google.com/url?q=https://www.google.com/url?q%3Dhttps://vrporn.com/%26sa%3DD%26source%3Deditors%26ust%3D1774015640170495%26usg%3DAOvVaw1YtaLQF4GSi67SITfBlQxd&amp;sa=D&amp;source=editors&amp;ust=1774027110905843&amp;usg=AOvVaw0DkKmotQat0g0XxMKPi_xf" TargetMode="External"/><Relationship Id="rId12" Type="http://schemas.openxmlformats.org/officeDocument/2006/relationships/hyperlink" Target="https://www.google.com/url?q=https://www.google.com/url?q%3Dhttps://vrporn.com/studio/vrbangers/%26sa%3DD%26source%3Deditors%26ust%3D1774015640143398%26usg%3DAOvVaw2fA0NZVjqgD_dXF4doMTGV&amp;sa=D&amp;source=editors&amp;ust=1774027110873889&amp;usg=AOvVaw0m13uDOngZftAg5yIMfegE" TargetMode="External"/><Relationship Id="rId56" Type="http://schemas.openxmlformats.org/officeDocument/2006/relationships/hyperlink" Target="https://www.google.com/url?q=https://www.google.com/url?q%3Dhttps://vrporn.com/pornstars/?sort%253Dlatest%26sa%3DD%26source%3Deditors%26ust%3D1774015640169859%26usg%3DAOvVaw0xaX4nV6qh0YY71ePBE8Bg&amp;sa=D&amp;source=editors&amp;ust=1774027110905232&amp;usg=AOvVaw1JCYaBAdXBV87di5qSOEYJ" TargetMode="External"/><Relationship Id="rId15" Type="http://schemas.openxmlformats.org/officeDocument/2006/relationships/hyperlink" Target="https://www.google.com/url?q=https://www.google.com/url?q%3Dhttps://vrporn.com/pretty-petite-vr-pmv/%26sa%3DD%26source%3Deditors%26ust%3D1774015640145189%26usg%3DAOvVaw2r45zMI4K1MfCHLGdb5V5F&amp;sa=D&amp;source=editors&amp;ust=1774027110876051&amp;usg=AOvVaw1r8Jzu0vRsquDjTd-kPO_t" TargetMode="External"/><Relationship Id="rId59" Type="http://schemas.openxmlformats.org/officeDocument/2006/relationships/hyperlink" Target="https://www.google.com/url?q=https://vrporn.com/&amp;sa=D&amp;source=editors&amp;ust=1774027110906972&amp;usg=AOvVaw1sQOsXcH0PAj6sEuDxzhYd" TargetMode="External"/><Relationship Id="rId14" Type="http://schemas.openxmlformats.org/officeDocument/2006/relationships/hyperlink" Target="https://www.google.com/url?q=https://www.google.com/url?q%3Dhttps://vrporn.com/%26sa%3DD%26source%3Deditors%26ust%3D1774015640144598%26usg%3DAOvVaw2uXD-cH4Rqj5l0Hxo9dCDZ&amp;sa=D&amp;source=editors&amp;ust=1774027110875426&amp;usg=AOvVaw1n544IHVfVfsNVg73h4nZC" TargetMode="External"/><Relationship Id="rId58" Type="http://schemas.openxmlformats.org/officeDocument/2006/relationships/hyperlink" Target="https://www.google.com/url?q=https://www.google.com/url?q%3Dhttps://vrporn.com/pornstars/?sort%253Dlatest%26sa%3DD%26source%3Deditors%26ust%3D1774015640171142%26usg%3DAOvVaw13zXi_JfgJuEqucO2fXovH&amp;sa=D&amp;source=editors&amp;ust=1774027110906419&amp;usg=AOvVaw3RmhwDh4INUnUOvHaQzZsb" TargetMode="External"/><Relationship Id="rId17" Type="http://schemas.openxmlformats.org/officeDocument/2006/relationships/hyperlink" Target="https://www.google.com/url?q=https://www.google.com/url?q%3Dhttps://vrporn.com/pornstars/samy-sun/%26sa%3DD%26source%3Deditors%26ust%3D1774015640146415%26usg%3DAOvVaw06KtQdcde-UbOHFIjl0j8Z&amp;sa=D&amp;source=editors&amp;ust=1774027110877511&amp;usg=AOvVaw3WdOx7OUBmjFCEKDZNb6fS" TargetMode="External"/><Relationship Id="rId16" Type="http://schemas.openxmlformats.org/officeDocument/2006/relationships/hyperlink" Target="https://www.google.com/url?q=https://www.google.com/url?q%3Dhttps://vrporn.com/pornstars/?sort%253Dlatest%26sa%3DD%26source%3Deditors%26ust%3D1774015640145811%26usg%3DAOvVaw1cL7pZd8DApp1mGK_wYr5k&amp;sa=D&amp;source=editors&amp;ust=1774027110876771&amp;usg=AOvVaw3m5i4yVDN7msyZysgvw_Ba" TargetMode="External"/><Relationship Id="rId19" Type="http://schemas.openxmlformats.org/officeDocument/2006/relationships/hyperlink" Target="https://www.google.com/url?q=https://www.google.com/url?q%3Dhttps://vrporn.com/tag/anal/%26sa%3DD%26source%3Deditors%26ust%3D1774015640147628%26usg%3DAOvVaw1DSiG5nhdVKOfceC4v3JE-&amp;sa=D&amp;source=editors&amp;ust=1774027110878692&amp;usg=AOvVaw1ydNZt34xRIG_VdDBDclsk" TargetMode="External"/><Relationship Id="rId18" Type="http://schemas.openxmlformats.org/officeDocument/2006/relationships/hyperlink" Target="https://www.google.com/url?q=https://www.google.com/url?q%3Dhttps://vrporn.com/categories/%26sa%3DD%26source%3Deditors%26ust%3D1774015640147026%26usg%3DAOvVaw34eqnb7hSoSX5GdtZXPBdk&amp;sa=D&amp;source=editors&amp;ust=1774027110878126&amp;usg=AOvVaw1reh6WaXCtNoLhqEv4L-M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5.5"/>
    <col customWidth="1" min="3" max="3" width="18.25"/>
    <col customWidth="1" min="4" max="4" width="11.38"/>
    <col customWidth="1" min="5" max="5" width="11.75"/>
    <col customWidth="1" min="6" max="6" width="7.63"/>
    <col customWidth="1" min="7" max="8" width="7.0"/>
    <col customWidth="1" min="9" max="9" width="7.63"/>
    <col customWidth="1" min="10" max="11" width="7.0"/>
    <col customWidth="1" min="12" max="13" width="7.63"/>
    <col customWidth="1" min="14" max="14" width="10.75"/>
    <col customWidth="1" min="15" max="16" width="8.88"/>
    <col customWidth="1" min="17" max="17" width="14.5"/>
    <col customWidth="1" min="18" max="18" width="18.25"/>
  </cols>
  <sheetData>
    <row r="1" ht="21.0" hidden="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J2" s="3" t="s">
        <v>22</v>
      </c>
      <c r="N2" s="3" t="s">
        <v>23</v>
      </c>
      <c r="O2" s="3" t="s">
        <v>14</v>
      </c>
      <c r="P2" s="3" t="s">
        <v>15</v>
      </c>
      <c r="Q2" s="4"/>
      <c r="R2" s="4"/>
    </row>
    <row r="3">
      <c r="A3" s="5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13</v>
      </c>
      <c r="O3" s="3" t="s">
        <v>14</v>
      </c>
      <c r="P3" s="3" t="s">
        <v>15</v>
      </c>
      <c r="Q3" s="4"/>
      <c r="R3" s="4"/>
    </row>
    <row r="4">
      <c r="A4" s="6">
        <v>46100.799525462964</v>
      </c>
      <c r="B4" s="7" t="s">
        <v>33</v>
      </c>
      <c r="C4" s="8"/>
      <c r="D4" s="9" t="str">
        <f>HYPERLINK("https://www.vrsmash.com/", "main")</f>
        <v>main</v>
      </c>
      <c r="E4" s="7" t="s">
        <v>34</v>
      </c>
      <c r="F4" s="10">
        <v>2305.0</v>
      </c>
      <c r="G4" s="10">
        <v>1812.0</v>
      </c>
      <c r="H4" s="10">
        <v>88.0</v>
      </c>
      <c r="I4" s="10">
        <v>6.0</v>
      </c>
      <c r="J4" s="10">
        <v>78.12</v>
      </c>
      <c r="K4" s="10">
        <v>74.63</v>
      </c>
      <c r="L4" s="10">
        <v>89.08</v>
      </c>
      <c r="M4" s="10">
        <v>78.63</v>
      </c>
      <c r="N4" s="10">
        <v>1248.0</v>
      </c>
      <c r="O4" s="11"/>
      <c r="P4" s="11"/>
      <c r="Q4" s="11"/>
      <c r="R4" s="11"/>
    </row>
    <row r="5">
      <c r="A5" s="12">
        <v>46100.79975694444</v>
      </c>
      <c r="B5" s="7" t="s">
        <v>33</v>
      </c>
      <c r="C5" s="8"/>
      <c r="D5" s="9" t="str">
        <f>HYPERLINK("https://www.vrsmash.com/pretty-petite-vr-pmv/", "s_video")</f>
        <v>s_video</v>
      </c>
      <c r="E5" s="7" t="s">
        <v>34</v>
      </c>
      <c r="F5" s="10">
        <v>2986.0</v>
      </c>
      <c r="G5" s="10">
        <v>2374.0</v>
      </c>
      <c r="H5" s="10">
        <v>79.0</v>
      </c>
      <c r="I5" s="10">
        <v>4.0</v>
      </c>
      <c r="J5" s="10">
        <v>66.29</v>
      </c>
      <c r="K5" s="10">
        <v>60.9</v>
      </c>
      <c r="L5" s="10">
        <v>90.69</v>
      </c>
      <c r="M5" s="10">
        <v>80.02</v>
      </c>
      <c r="N5" s="10">
        <v>1877.0</v>
      </c>
      <c r="O5" s="11"/>
      <c r="P5" s="11"/>
      <c r="Q5" s="11"/>
      <c r="R5" s="11"/>
    </row>
    <row r="6">
      <c r="A6" s="6">
        <v>46100.80003472222</v>
      </c>
      <c r="B6" s="7" t="s">
        <v>33</v>
      </c>
      <c r="C6" s="8"/>
      <c r="D6" s="9" t="str">
        <f>HYPERLINK("https://www.vrsmash.com/pornstars/?sort=latest", "models")</f>
        <v>models</v>
      </c>
      <c r="E6" s="7" t="s">
        <v>34</v>
      </c>
      <c r="F6" s="10">
        <v>2986.0</v>
      </c>
      <c r="G6" s="10">
        <v>2374.0</v>
      </c>
      <c r="H6" s="10">
        <v>79.0</v>
      </c>
      <c r="I6" s="10">
        <v>4.0</v>
      </c>
      <c r="J6" s="10">
        <v>66.29</v>
      </c>
      <c r="K6" s="10">
        <v>60.9</v>
      </c>
      <c r="L6" s="10">
        <v>90.69</v>
      </c>
      <c r="M6" s="10">
        <v>80.02</v>
      </c>
      <c r="N6" s="10">
        <v>1877.0</v>
      </c>
      <c r="O6" s="11"/>
      <c r="P6" s="11"/>
      <c r="Q6" s="11"/>
      <c r="R6" s="11"/>
    </row>
    <row r="7">
      <c r="A7" s="12">
        <v>46100.8002662037</v>
      </c>
      <c r="B7" s="7" t="s">
        <v>33</v>
      </c>
      <c r="C7" s="8"/>
      <c r="D7" s="9" t="str">
        <f>HYPERLINK("https://www.vrsmash.com/pornstars/samy-sun/", "s_model")</f>
        <v>s_model</v>
      </c>
      <c r="E7" s="7" t="s">
        <v>34</v>
      </c>
      <c r="F7" s="10">
        <v>2986.0</v>
      </c>
      <c r="G7" s="10">
        <v>2374.0</v>
      </c>
      <c r="H7" s="10">
        <v>79.0</v>
      </c>
      <c r="I7" s="10">
        <v>4.0</v>
      </c>
      <c r="J7" s="10">
        <v>66.29</v>
      </c>
      <c r="K7" s="10">
        <v>60.9</v>
      </c>
      <c r="L7" s="10">
        <v>90.69</v>
      </c>
      <c r="M7" s="10">
        <v>80.02</v>
      </c>
      <c r="N7" s="10">
        <v>1877.0</v>
      </c>
      <c r="O7" s="11"/>
      <c r="P7" s="11"/>
      <c r="Q7" s="11"/>
      <c r="R7" s="11"/>
    </row>
    <row r="8">
      <c r="A8" s="6">
        <v>46100.80060185185</v>
      </c>
      <c r="B8" s="7" t="s">
        <v>33</v>
      </c>
      <c r="C8" s="8"/>
      <c r="D8" s="9" t="str">
        <f>HYPERLINK("https://www.vrsmash.com/categories/", "categories")</f>
        <v>categories</v>
      </c>
      <c r="E8" s="7" t="s">
        <v>34</v>
      </c>
      <c r="F8" s="10">
        <v>2986.0</v>
      </c>
      <c r="G8" s="10">
        <v>2374.0</v>
      </c>
      <c r="H8" s="10">
        <v>79.0</v>
      </c>
      <c r="I8" s="10">
        <v>4.0</v>
      </c>
      <c r="J8" s="10">
        <v>66.29</v>
      </c>
      <c r="K8" s="10">
        <v>60.9</v>
      </c>
      <c r="L8" s="10">
        <v>90.69</v>
      </c>
      <c r="M8" s="10">
        <v>80.02</v>
      </c>
      <c r="N8" s="10">
        <v>1877.0</v>
      </c>
      <c r="O8" s="11"/>
      <c r="P8" s="11"/>
      <c r="Q8" s="11"/>
      <c r="R8" s="11"/>
    </row>
    <row r="9">
      <c r="A9" s="12">
        <v>46100.80090277778</v>
      </c>
      <c r="B9" s="7" t="s">
        <v>33</v>
      </c>
      <c r="C9" s="8"/>
      <c r="D9" s="9" t="str">
        <f>HYPERLINK("https://www.vrsmash.com/tag/anal/", "s_category")</f>
        <v>s_category</v>
      </c>
      <c r="E9" s="7" t="s">
        <v>34</v>
      </c>
      <c r="F9" s="10">
        <v>2986.0</v>
      </c>
      <c r="G9" s="10">
        <v>2374.0</v>
      </c>
      <c r="H9" s="10">
        <v>79.0</v>
      </c>
      <c r="I9" s="10">
        <v>4.0</v>
      </c>
      <c r="J9" s="10">
        <v>66.29</v>
      </c>
      <c r="K9" s="10">
        <v>60.9</v>
      </c>
      <c r="L9" s="10">
        <v>90.69</v>
      </c>
      <c r="M9" s="10">
        <v>80.02</v>
      </c>
      <c r="N9" s="10">
        <v>1877.0</v>
      </c>
      <c r="O9" s="11"/>
      <c r="P9" s="11"/>
      <c r="Q9" s="11"/>
      <c r="R9" s="11"/>
    </row>
    <row r="10">
      <c r="A10" s="6">
        <v>46100.80118055556</v>
      </c>
      <c r="B10" s="7" t="s">
        <v>33</v>
      </c>
      <c r="C10" s="8"/>
      <c r="D10" s="9" t="str">
        <f>HYPERLINK("https://www.vrsmash.com/studio/vrbangers/", "s_studio")</f>
        <v>s_studio</v>
      </c>
      <c r="E10" s="7" t="s">
        <v>34</v>
      </c>
      <c r="F10" s="10">
        <v>2986.0</v>
      </c>
      <c r="G10" s="10">
        <v>2374.0</v>
      </c>
      <c r="H10" s="10">
        <v>79.0</v>
      </c>
      <c r="I10" s="10">
        <v>4.0</v>
      </c>
      <c r="J10" s="10">
        <v>66.29</v>
      </c>
      <c r="K10" s="10">
        <v>60.9</v>
      </c>
      <c r="L10" s="10">
        <v>90.69</v>
      </c>
      <c r="M10" s="10">
        <v>80.02</v>
      </c>
      <c r="N10" s="10">
        <v>1877.0</v>
      </c>
      <c r="O10" s="11"/>
      <c r="P10" s="11"/>
      <c r="Q10" s="11"/>
      <c r="R10" s="11"/>
    </row>
    <row r="11">
      <c r="A11" s="12">
        <v>46100.80144675926</v>
      </c>
      <c r="B11" s="7" t="s">
        <v>33</v>
      </c>
      <c r="C11" s="8"/>
      <c r="D11" s="9" t="str">
        <f>HYPERLINK("https://www.vrsmash.com/camgirls/", "dreams")</f>
        <v>dreams</v>
      </c>
      <c r="E11" s="7" t="s">
        <v>34</v>
      </c>
      <c r="F11" s="10">
        <v>2986.0</v>
      </c>
      <c r="G11" s="10">
        <v>2374.0</v>
      </c>
      <c r="H11" s="10">
        <v>79.0</v>
      </c>
      <c r="I11" s="10">
        <v>4.0</v>
      </c>
      <c r="J11" s="10">
        <v>66.29</v>
      </c>
      <c r="K11" s="10">
        <v>60.9</v>
      </c>
      <c r="L11" s="10">
        <v>90.69</v>
      </c>
      <c r="M11" s="10">
        <v>80.02</v>
      </c>
      <c r="N11" s="10">
        <v>1877.0</v>
      </c>
      <c r="O11" s="11"/>
      <c r="P11" s="11"/>
      <c r="Q11" s="11"/>
      <c r="R11" s="11"/>
    </row>
    <row r="12">
      <c r="A12" s="6">
        <v>46100.80175925926</v>
      </c>
      <c r="B12" s="7" t="s">
        <v>33</v>
      </c>
      <c r="C12" s="8"/>
      <c r="D12" s="9" t="str">
        <f>HYPERLINK("https://www.vrsmash.com/camgirls/model-vrporn/", "s_dream")</f>
        <v>s_dream</v>
      </c>
      <c r="E12" s="7" t="s">
        <v>34</v>
      </c>
      <c r="F12" s="10">
        <v>2986.0</v>
      </c>
      <c r="G12" s="10">
        <v>2374.0</v>
      </c>
      <c r="H12" s="10">
        <v>79.0</v>
      </c>
      <c r="I12" s="10">
        <v>4.0</v>
      </c>
      <c r="J12" s="10">
        <v>66.29</v>
      </c>
      <c r="K12" s="10">
        <v>60.9</v>
      </c>
      <c r="L12" s="10">
        <v>90.69</v>
      </c>
      <c r="M12" s="10">
        <v>80.02</v>
      </c>
      <c r="N12" s="10">
        <v>1877.0</v>
      </c>
      <c r="O12" s="11"/>
      <c r="P12" s="11"/>
      <c r="Q12" s="11"/>
      <c r="R12" s="11"/>
    </row>
    <row r="13">
      <c r="A13" s="12">
        <v>46100.80204861111</v>
      </c>
      <c r="B13" s="7" t="s">
        <v>33</v>
      </c>
      <c r="C13" s="8"/>
      <c r="D13" s="9" t="str">
        <f>HYPERLINK("https://www.vrsmash.com/", "main")</f>
        <v>main</v>
      </c>
      <c r="E13" s="7" t="s">
        <v>35</v>
      </c>
      <c r="F13" s="10">
        <v>3068.0</v>
      </c>
      <c r="G13" s="10">
        <v>2478.0</v>
      </c>
      <c r="H13" s="10">
        <v>313.0</v>
      </c>
      <c r="I13" s="10">
        <v>3.0</v>
      </c>
      <c r="J13" s="10">
        <v>61.47</v>
      </c>
      <c r="K13" s="10">
        <v>53.45</v>
      </c>
      <c r="L13" s="10">
        <v>58.95</v>
      </c>
      <c r="M13" s="10">
        <v>84.53</v>
      </c>
      <c r="N13" s="10">
        <v>1763.0</v>
      </c>
      <c r="O13" s="11"/>
      <c r="P13" s="11"/>
      <c r="Q13" s="11"/>
      <c r="R13" s="11"/>
    </row>
    <row r="14">
      <c r="A14" s="6">
        <v>46100.80300925926</v>
      </c>
      <c r="B14" s="7" t="s">
        <v>33</v>
      </c>
      <c r="C14" s="8"/>
      <c r="D14" s="9" t="str">
        <f>HYPERLINK("https://www.vrsmash.com/pretty-petite-vr-pmv/", "s_video")</f>
        <v>s_video</v>
      </c>
      <c r="E14" s="7" t="s">
        <v>35</v>
      </c>
      <c r="F14" s="10">
        <v>3525.0</v>
      </c>
      <c r="G14" s="10">
        <v>2929.0</v>
      </c>
      <c r="H14" s="10">
        <v>315.0</v>
      </c>
      <c r="I14" s="10">
        <v>1.0</v>
      </c>
      <c r="J14" s="10">
        <v>53.21</v>
      </c>
      <c r="K14" s="10">
        <v>45.4</v>
      </c>
      <c r="L14" s="10">
        <v>59.42</v>
      </c>
      <c r="M14" s="10">
        <v>87.69</v>
      </c>
      <c r="N14" s="10">
        <v>2225.0</v>
      </c>
      <c r="O14" s="11"/>
      <c r="P14" s="11"/>
      <c r="Q14" s="11"/>
      <c r="R14" s="11"/>
    </row>
    <row r="15">
      <c r="A15" s="12">
        <v>46100.80333333334</v>
      </c>
      <c r="B15" s="7" t="s">
        <v>33</v>
      </c>
      <c r="C15" s="8"/>
      <c r="D15" s="9" t="str">
        <f>HYPERLINK("https://www.vrsmash.com/pornstars/?sort=latest", "models")</f>
        <v>models</v>
      </c>
      <c r="E15" s="7" t="s">
        <v>35</v>
      </c>
      <c r="F15" s="10">
        <v>3525.0</v>
      </c>
      <c r="G15" s="10">
        <v>2929.0</v>
      </c>
      <c r="H15" s="10">
        <v>315.0</v>
      </c>
      <c r="I15" s="10">
        <v>1.0</v>
      </c>
      <c r="J15" s="10">
        <v>53.21</v>
      </c>
      <c r="K15" s="10">
        <v>45.4</v>
      </c>
      <c r="L15" s="10">
        <v>59.42</v>
      </c>
      <c r="M15" s="10">
        <v>87.69</v>
      </c>
      <c r="N15" s="10">
        <v>2225.0</v>
      </c>
      <c r="O15" s="11"/>
      <c r="P15" s="11"/>
      <c r="Q15" s="11"/>
      <c r="R15" s="11"/>
    </row>
    <row r="16">
      <c r="A16" s="6">
        <v>46100.80359953704</v>
      </c>
      <c r="B16" s="7" t="s">
        <v>33</v>
      </c>
      <c r="C16" s="8"/>
      <c r="D16" s="9" t="str">
        <f>HYPERLINK("https://www.vrsmash.com/pornstars/samy-sun/", "s_model")</f>
        <v>s_model</v>
      </c>
      <c r="E16" s="7" t="s">
        <v>35</v>
      </c>
      <c r="F16" s="10">
        <v>3525.0</v>
      </c>
      <c r="G16" s="10">
        <v>2929.0</v>
      </c>
      <c r="H16" s="10">
        <v>315.0</v>
      </c>
      <c r="I16" s="10">
        <v>1.0</v>
      </c>
      <c r="J16" s="10">
        <v>53.21</v>
      </c>
      <c r="K16" s="10">
        <v>45.4</v>
      </c>
      <c r="L16" s="10">
        <v>59.42</v>
      </c>
      <c r="M16" s="10">
        <v>87.69</v>
      </c>
      <c r="N16" s="10">
        <v>2225.0</v>
      </c>
      <c r="O16" s="11"/>
      <c r="P16" s="11"/>
      <c r="Q16" s="11"/>
      <c r="R16" s="11"/>
    </row>
    <row r="17">
      <c r="A17" s="12">
        <v>46100.80385416667</v>
      </c>
      <c r="B17" s="7" t="s">
        <v>33</v>
      </c>
      <c r="C17" s="8"/>
      <c r="D17" s="9" t="str">
        <f>HYPERLINK("https://www.vrsmash.com/categories/", "categories")</f>
        <v>categories</v>
      </c>
      <c r="E17" s="7" t="s">
        <v>35</v>
      </c>
      <c r="F17" s="10">
        <v>3525.0</v>
      </c>
      <c r="G17" s="10">
        <v>2929.0</v>
      </c>
      <c r="H17" s="10">
        <v>315.0</v>
      </c>
      <c r="I17" s="10">
        <v>1.0</v>
      </c>
      <c r="J17" s="10">
        <v>53.21</v>
      </c>
      <c r="K17" s="10">
        <v>45.4</v>
      </c>
      <c r="L17" s="10">
        <v>59.42</v>
      </c>
      <c r="M17" s="10">
        <v>87.69</v>
      </c>
      <c r="N17" s="10">
        <v>2225.0</v>
      </c>
      <c r="O17" s="11"/>
      <c r="P17" s="11"/>
      <c r="Q17" s="11"/>
      <c r="R17" s="11"/>
    </row>
    <row r="18">
      <c r="A18" s="6">
        <v>46100.80412037037</v>
      </c>
      <c r="B18" s="7" t="s">
        <v>33</v>
      </c>
      <c r="C18" s="8"/>
      <c r="D18" s="9" t="str">
        <f>HYPERLINK("https://www.vrsmash.com/tag/anal/", "s_category")</f>
        <v>s_category</v>
      </c>
      <c r="E18" s="7" t="s">
        <v>35</v>
      </c>
      <c r="F18" s="10">
        <v>3525.0</v>
      </c>
      <c r="G18" s="10">
        <v>2929.0</v>
      </c>
      <c r="H18" s="10">
        <v>315.0</v>
      </c>
      <c r="I18" s="10">
        <v>1.0</v>
      </c>
      <c r="J18" s="10">
        <v>53.21</v>
      </c>
      <c r="K18" s="10">
        <v>45.4</v>
      </c>
      <c r="L18" s="10">
        <v>59.42</v>
      </c>
      <c r="M18" s="10">
        <v>87.69</v>
      </c>
      <c r="N18" s="10">
        <v>2225.0</v>
      </c>
      <c r="O18" s="11"/>
      <c r="P18" s="11"/>
      <c r="Q18" s="11"/>
      <c r="R18" s="11"/>
    </row>
    <row r="19">
      <c r="A19" s="12">
        <v>46100.80431712963</v>
      </c>
      <c r="B19" s="7" t="s">
        <v>33</v>
      </c>
      <c r="C19" s="8"/>
      <c r="D19" s="9" t="str">
        <f>HYPERLINK("https://www.vrsmash.com/studio/vrbangers/", "s_studio")</f>
        <v>s_studio</v>
      </c>
      <c r="E19" s="7" t="s">
        <v>35</v>
      </c>
      <c r="F19" s="10">
        <v>3525.0</v>
      </c>
      <c r="G19" s="10">
        <v>2929.0</v>
      </c>
      <c r="H19" s="10">
        <v>315.0</v>
      </c>
      <c r="I19" s="10">
        <v>1.0</v>
      </c>
      <c r="J19" s="10">
        <v>53.21</v>
      </c>
      <c r="K19" s="10">
        <v>45.4</v>
      </c>
      <c r="L19" s="10">
        <v>59.42</v>
      </c>
      <c r="M19" s="10">
        <v>87.69</v>
      </c>
      <c r="N19" s="10">
        <v>2225.0</v>
      </c>
      <c r="O19" s="11"/>
      <c r="P19" s="11"/>
      <c r="Q19" s="11"/>
      <c r="R19" s="11"/>
    </row>
    <row r="20">
      <c r="A20" s="6">
        <v>46100.80462962963</v>
      </c>
      <c r="B20" s="7" t="s">
        <v>33</v>
      </c>
      <c r="C20" s="8"/>
      <c r="D20" s="9" t="str">
        <f>HYPERLINK("https://www.vrsmash.com/camgirls/", "dreams")</f>
        <v>dreams</v>
      </c>
      <c r="E20" s="7" t="s">
        <v>35</v>
      </c>
      <c r="F20" s="10">
        <v>3525.0</v>
      </c>
      <c r="G20" s="10">
        <v>2929.0</v>
      </c>
      <c r="H20" s="10">
        <v>315.0</v>
      </c>
      <c r="I20" s="10">
        <v>1.0</v>
      </c>
      <c r="J20" s="10">
        <v>53.21</v>
      </c>
      <c r="K20" s="10">
        <v>45.4</v>
      </c>
      <c r="L20" s="10">
        <v>59.42</v>
      </c>
      <c r="M20" s="10">
        <v>87.69</v>
      </c>
      <c r="N20" s="10">
        <v>2225.0</v>
      </c>
      <c r="O20" s="11"/>
      <c r="P20" s="11"/>
      <c r="Q20" s="11"/>
      <c r="R20" s="11"/>
    </row>
    <row r="21">
      <c r="A21" s="12">
        <v>46100.804930555554</v>
      </c>
      <c r="B21" s="7" t="s">
        <v>33</v>
      </c>
      <c r="C21" s="8"/>
      <c r="D21" s="9" t="str">
        <f>HYPERLINK("https://www.vrsmash.com/camgirls/model-vrporn/", "s_dream")</f>
        <v>s_dream</v>
      </c>
      <c r="E21" s="7" t="s">
        <v>35</v>
      </c>
      <c r="F21" s="10">
        <v>3525.0</v>
      </c>
      <c r="G21" s="10">
        <v>2929.0</v>
      </c>
      <c r="H21" s="10">
        <v>315.0</v>
      </c>
      <c r="I21" s="10">
        <v>1.0</v>
      </c>
      <c r="J21" s="10">
        <v>53.21</v>
      </c>
      <c r="K21" s="10">
        <v>45.4</v>
      </c>
      <c r="L21" s="10">
        <v>59.42</v>
      </c>
      <c r="M21" s="10">
        <v>87.69</v>
      </c>
      <c r="N21" s="10">
        <v>2225.0</v>
      </c>
      <c r="O21" s="11"/>
      <c r="P21" s="11"/>
      <c r="Q21" s="11"/>
      <c r="R21" s="11"/>
    </row>
    <row r="22">
      <c r="A22" s="6">
        <v>46100.793171296296</v>
      </c>
      <c r="B22" s="7" t="s">
        <v>36</v>
      </c>
      <c r="C22" s="8" t="s">
        <v>37</v>
      </c>
      <c r="D22" s="9" t="str">
        <f t="shared" ref="D22:D23" si="1">HYPERLINK("https://vrporn.com/", "main")</f>
        <v>main</v>
      </c>
      <c r="E22" s="7" t="s">
        <v>34</v>
      </c>
      <c r="F22" s="10">
        <v>2150.0</v>
      </c>
      <c r="G22" s="10">
        <v>1826.0</v>
      </c>
      <c r="H22" s="10">
        <v>89.0</v>
      </c>
      <c r="I22" s="10">
        <v>14.0</v>
      </c>
      <c r="J22" s="10">
        <v>82.15</v>
      </c>
      <c r="K22" s="10">
        <v>74.57</v>
      </c>
      <c r="L22" s="10">
        <v>92.79</v>
      </c>
      <c r="M22" s="10">
        <v>72.22</v>
      </c>
      <c r="N22" s="10">
        <v>1388.0</v>
      </c>
      <c r="O22" s="11"/>
      <c r="P22" s="13" t="s">
        <v>38</v>
      </c>
      <c r="Q22" s="14"/>
      <c r="R22" s="15"/>
    </row>
    <row r="23">
      <c r="A23" s="12">
        <v>46100.79366898148</v>
      </c>
      <c r="B23" s="7" t="s">
        <v>36</v>
      </c>
      <c r="C23" s="8" t="s">
        <v>37</v>
      </c>
      <c r="D23" s="9" t="str">
        <f t="shared" si="1"/>
        <v>main</v>
      </c>
      <c r="E23" s="7" t="s">
        <v>34</v>
      </c>
      <c r="F23" s="10">
        <v>2150.0</v>
      </c>
      <c r="G23" s="10">
        <v>1826.0</v>
      </c>
      <c r="H23" s="10">
        <v>89.0</v>
      </c>
      <c r="I23" s="10">
        <v>14.0</v>
      </c>
      <c r="J23" s="10">
        <v>82.15</v>
      </c>
      <c r="K23" s="10">
        <v>74.57</v>
      </c>
      <c r="L23" s="10">
        <v>92.79</v>
      </c>
      <c r="M23" s="10">
        <v>72.22</v>
      </c>
      <c r="N23" s="10">
        <v>1388.0</v>
      </c>
      <c r="O23" s="11"/>
      <c r="P23" s="13" t="s">
        <v>38</v>
      </c>
      <c r="Q23" s="14"/>
      <c r="R23" s="15"/>
    </row>
    <row r="24">
      <c r="A24" s="6">
        <v>46100.79393518518</v>
      </c>
      <c r="B24" s="7" t="s">
        <v>36</v>
      </c>
      <c r="C24" s="8" t="s">
        <v>37</v>
      </c>
      <c r="D24" s="9" t="str">
        <f>HYPERLINK("https://vrporn.com/pretty-petite-vr-pmv/", "s_video")</f>
        <v>s_video</v>
      </c>
      <c r="E24" s="7" t="s">
        <v>34</v>
      </c>
      <c r="F24" s="10">
        <v>2890.0</v>
      </c>
      <c r="G24" s="10">
        <v>2196.0</v>
      </c>
      <c r="H24" s="10">
        <v>78.0</v>
      </c>
      <c r="I24" s="10">
        <v>3.0</v>
      </c>
      <c r="J24" s="10">
        <v>68.2</v>
      </c>
      <c r="K24" s="10">
        <v>64.02</v>
      </c>
      <c r="L24" s="10">
        <v>93.55</v>
      </c>
      <c r="M24" s="10">
        <v>81.8</v>
      </c>
      <c r="N24" s="10">
        <v>1812.0</v>
      </c>
      <c r="O24" s="11"/>
      <c r="P24" s="16" t="s">
        <v>38</v>
      </c>
      <c r="Q24" s="17"/>
      <c r="R24" s="15"/>
    </row>
    <row r="25">
      <c r="A25" s="12">
        <v>46100.79423611111</v>
      </c>
      <c r="B25" s="7" t="s">
        <v>36</v>
      </c>
      <c r="C25" s="8" t="s">
        <v>37</v>
      </c>
      <c r="D25" s="9" t="str">
        <f>HYPERLINK("https://vrporn.com/pornstars/?sort=latest", "models")</f>
        <v>models</v>
      </c>
      <c r="E25" s="7" t="s">
        <v>34</v>
      </c>
      <c r="F25" s="10">
        <v>2747.0</v>
      </c>
      <c r="G25" s="10">
        <v>2352.0</v>
      </c>
      <c r="H25" s="10">
        <v>64.0</v>
      </c>
      <c r="I25" s="10">
        <v>59.0</v>
      </c>
      <c r="J25" s="10">
        <v>69.05</v>
      </c>
      <c r="K25" s="10">
        <v>52.84</v>
      </c>
      <c r="L25" s="10">
        <v>96.26</v>
      </c>
      <c r="M25" s="10">
        <v>60.3</v>
      </c>
      <c r="N25" s="10">
        <v>2081.0</v>
      </c>
      <c r="O25" s="11"/>
      <c r="P25" s="13" t="s">
        <v>38</v>
      </c>
      <c r="Q25" s="14"/>
      <c r="R25" s="15"/>
    </row>
    <row r="26">
      <c r="A26" s="6">
        <v>46100.79456018518</v>
      </c>
      <c r="B26" s="7" t="s">
        <v>36</v>
      </c>
      <c r="C26" s="8" t="s">
        <v>37</v>
      </c>
      <c r="D26" s="9" t="str">
        <f>HYPERLINK("https://vrporn.com/pornstars/samy-sun/", "s_model")</f>
        <v>s_model</v>
      </c>
      <c r="E26" s="7" t="s">
        <v>34</v>
      </c>
      <c r="F26" s="10">
        <v>2890.0</v>
      </c>
      <c r="G26" s="10">
        <v>2196.0</v>
      </c>
      <c r="H26" s="10">
        <v>78.0</v>
      </c>
      <c r="I26" s="10">
        <v>3.0</v>
      </c>
      <c r="J26" s="10">
        <v>68.2</v>
      </c>
      <c r="K26" s="10">
        <v>64.02</v>
      </c>
      <c r="L26" s="10">
        <v>93.55</v>
      </c>
      <c r="M26" s="10">
        <v>81.8</v>
      </c>
      <c r="N26" s="10">
        <v>1812.0</v>
      </c>
      <c r="O26" s="11"/>
      <c r="P26" s="16" t="s">
        <v>38</v>
      </c>
      <c r="Q26" s="17"/>
      <c r="R26" s="15"/>
    </row>
    <row r="27">
      <c r="A27" s="12">
        <v>46100.79482638889</v>
      </c>
      <c r="B27" s="7" t="s">
        <v>36</v>
      </c>
      <c r="C27" s="8" t="s">
        <v>37</v>
      </c>
      <c r="D27" s="9" t="str">
        <f>HYPERLINK("https://vrporn.com/categories/", "categories")</f>
        <v>categories</v>
      </c>
      <c r="E27" s="7" t="s">
        <v>34</v>
      </c>
      <c r="F27" s="10">
        <v>1649.0</v>
      </c>
      <c r="G27" s="10">
        <v>1325.0</v>
      </c>
      <c r="H27" s="10">
        <v>56.0</v>
      </c>
      <c r="I27" s="10">
        <v>5.0</v>
      </c>
      <c r="J27" s="10">
        <v>89.86</v>
      </c>
      <c r="K27" s="10">
        <v>86.59</v>
      </c>
      <c r="L27" s="10">
        <v>96.63</v>
      </c>
      <c r="M27" s="10">
        <v>77.19</v>
      </c>
      <c r="N27" s="10">
        <v>883.0</v>
      </c>
      <c r="O27" s="11"/>
      <c r="P27" s="13" t="s">
        <v>38</v>
      </c>
      <c r="Q27" s="14"/>
      <c r="R27" s="15"/>
    </row>
    <row r="28">
      <c r="A28" s="6">
        <v>46100.79515046296</v>
      </c>
      <c r="B28" s="7" t="s">
        <v>36</v>
      </c>
      <c r="C28" s="8" t="s">
        <v>37</v>
      </c>
      <c r="D28" s="9" t="str">
        <f>HYPERLINK("https://vrporn.com/tag/anal/", "s_category")</f>
        <v>s_category</v>
      </c>
      <c r="E28" s="7" t="s">
        <v>34</v>
      </c>
      <c r="F28" s="10">
        <v>2890.0</v>
      </c>
      <c r="G28" s="10">
        <v>2196.0</v>
      </c>
      <c r="H28" s="10">
        <v>78.0</v>
      </c>
      <c r="I28" s="10">
        <v>3.0</v>
      </c>
      <c r="J28" s="10">
        <v>68.2</v>
      </c>
      <c r="K28" s="10">
        <v>64.02</v>
      </c>
      <c r="L28" s="10">
        <v>93.55</v>
      </c>
      <c r="M28" s="10">
        <v>81.8</v>
      </c>
      <c r="N28" s="10">
        <v>1812.0</v>
      </c>
      <c r="O28" s="11"/>
      <c r="P28" s="16" t="s">
        <v>38</v>
      </c>
      <c r="Q28" s="17"/>
      <c r="R28" s="15"/>
    </row>
    <row r="29">
      <c r="A29" s="12">
        <v>46100.79554398148</v>
      </c>
      <c r="B29" s="7" t="s">
        <v>36</v>
      </c>
      <c r="C29" s="8" t="s">
        <v>37</v>
      </c>
      <c r="D29" s="9" t="str">
        <f>HYPERLINK("https://vrporn.com/studio/vrbangers/", "s_studio")</f>
        <v>s_studio</v>
      </c>
      <c r="E29" s="7" t="s">
        <v>34</v>
      </c>
      <c r="F29" s="10">
        <v>2529.0</v>
      </c>
      <c r="G29" s="10">
        <v>2393.0</v>
      </c>
      <c r="H29" s="10">
        <v>63.0</v>
      </c>
      <c r="I29" s="10">
        <v>28.0</v>
      </c>
      <c r="J29" s="10">
        <v>74.0</v>
      </c>
      <c r="K29" s="10">
        <v>56.34</v>
      </c>
      <c r="L29" s="10">
        <v>96.49</v>
      </c>
      <c r="M29" s="10">
        <v>70.7</v>
      </c>
      <c r="N29" s="10">
        <v>2102.0</v>
      </c>
      <c r="O29" s="11"/>
      <c r="P29" s="13" t="s">
        <v>38</v>
      </c>
      <c r="Q29" s="14"/>
      <c r="R29" s="15"/>
    </row>
    <row r="30">
      <c r="A30" s="6">
        <v>46100.795902777776</v>
      </c>
      <c r="B30" s="7" t="s">
        <v>36</v>
      </c>
      <c r="C30" s="8" t="s">
        <v>37</v>
      </c>
      <c r="D30" s="9" t="str">
        <f>HYPERLINK("https://vrporn.com/camgirls/", "dreams")</f>
        <v>dreams</v>
      </c>
      <c r="E30" s="7" t="s">
        <v>34</v>
      </c>
      <c r="F30" s="10">
        <v>2587.0</v>
      </c>
      <c r="G30" s="10">
        <v>1654.0</v>
      </c>
      <c r="H30" s="10">
        <v>79.0</v>
      </c>
      <c r="I30" s="10">
        <v>27.0</v>
      </c>
      <c r="J30" s="10">
        <v>73.79</v>
      </c>
      <c r="K30" s="10">
        <v>79.32</v>
      </c>
      <c r="L30" s="10">
        <v>93.95</v>
      </c>
      <c r="M30" s="10">
        <v>65.71</v>
      </c>
      <c r="N30" s="10">
        <v>1356.0</v>
      </c>
      <c r="O30" s="11"/>
      <c r="P30" s="16" t="s">
        <v>38</v>
      </c>
      <c r="Q30" s="17"/>
      <c r="R30" s="15"/>
    </row>
    <row r="31">
      <c r="A31" s="12">
        <v>46100.79623842592</v>
      </c>
      <c r="B31" s="7" t="s">
        <v>36</v>
      </c>
      <c r="C31" s="8" t="s">
        <v>37</v>
      </c>
      <c r="D31" s="9" t="str">
        <f>HYPERLINK("https://vrporn.com/camgirls/model-vrporn/", "s_dream")</f>
        <v>s_dream</v>
      </c>
      <c r="E31" s="7" t="s">
        <v>34</v>
      </c>
      <c r="F31" s="10">
        <v>2890.0</v>
      </c>
      <c r="G31" s="10">
        <v>2196.0</v>
      </c>
      <c r="H31" s="10">
        <v>78.0</v>
      </c>
      <c r="I31" s="10">
        <v>3.0</v>
      </c>
      <c r="J31" s="10">
        <v>68.2</v>
      </c>
      <c r="K31" s="10">
        <v>64.02</v>
      </c>
      <c r="L31" s="10">
        <v>93.55</v>
      </c>
      <c r="M31" s="10">
        <v>81.8</v>
      </c>
      <c r="N31" s="10">
        <v>1812.0</v>
      </c>
      <c r="O31" s="11"/>
      <c r="P31" s="13" t="s">
        <v>38</v>
      </c>
      <c r="Q31" s="14"/>
      <c r="R31" s="15"/>
    </row>
    <row r="32">
      <c r="A32" s="6">
        <v>46100.79657407408</v>
      </c>
      <c r="B32" s="7" t="s">
        <v>36</v>
      </c>
      <c r="C32" s="8" t="s">
        <v>37</v>
      </c>
      <c r="D32" s="9" t="str">
        <f>HYPERLINK("https://vrporn.com/", "main")</f>
        <v>main</v>
      </c>
      <c r="E32" s="7" t="s">
        <v>35</v>
      </c>
      <c r="F32" s="10">
        <v>2713.0</v>
      </c>
      <c r="G32" s="10">
        <v>2504.0</v>
      </c>
      <c r="H32" s="10">
        <v>242.0</v>
      </c>
      <c r="I32" s="10">
        <v>4.0</v>
      </c>
      <c r="J32" s="10">
        <v>70.76</v>
      </c>
      <c r="K32" s="10">
        <v>57.77</v>
      </c>
      <c r="L32" s="10">
        <v>69.54</v>
      </c>
      <c r="M32" s="10">
        <v>83.92</v>
      </c>
      <c r="N32" s="10">
        <v>1784.0</v>
      </c>
      <c r="O32" s="11"/>
      <c r="P32" s="16" t="s">
        <v>38</v>
      </c>
      <c r="Q32" s="17"/>
      <c r="R32" s="15"/>
    </row>
    <row r="33">
      <c r="A33" s="12">
        <v>46100.79688657408</v>
      </c>
      <c r="B33" s="7" t="s">
        <v>36</v>
      </c>
      <c r="C33" s="8" t="s">
        <v>37</v>
      </c>
      <c r="D33" s="9" t="str">
        <f>HYPERLINK("https://vrporn.com/pretty-petite-vr-pmv/", "s_video")</f>
        <v>s_video</v>
      </c>
      <c r="E33" s="7" t="s">
        <v>35</v>
      </c>
      <c r="F33" s="10">
        <v>3558.0</v>
      </c>
      <c r="G33" s="10">
        <v>3136.0</v>
      </c>
      <c r="H33" s="10">
        <v>311.0</v>
      </c>
      <c r="I33" s="10">
        <v>2.0</v>
      </c>
      <c r="J33" s="10">
        <v>52.91</v>
      </c>
      <c r="K33" s="10">
        <v>40.25</v>
      </c>
      <c r="L33" s="10">
        <v>60.61</v>
      </c>
      <c r="M33" s="10">
        <v>89.69</v>
      </c>
      <c r="N33" s="10">
        <v>2349.0</v>
      </c>
      <c r="O33" s="11"/>
      <c r="P33" s="13" t="s">
        <v>38</v>
      </c>
      <c r="Q33" s="14"/>
      <c r="R33" s="15"/>
    </row>
    <row r="34">
      <c r="A34" s="6">
        <v>46100.79730324074</v>
      </c>
      <c r="B34" s="7" t="s">
        <v>36</v>
      </c>
      <c r="C34" s="8" t="s">
        <v>37</v>
      </c>
      <c r="D34" s="9" t="str">
        <f>HYPERLINK("https://vrporn.com/pornstars/?sort=latest", "models")</f>
        <v>models</v>
      </c>
      <c r="E34" s="7" t="s">
        <v>35</v>
      </c>
      <c r="F34" s="10">
        <v>3192.0</v>
      </c>
      <c r="G34" s="10">
        <v>2898.0</v>
      </c>
      <c r="H34" s="10">
        <v>164.0</v>
      </c>
      <c r="I34" s="10">
        <v>54.0</v>
      </c>
      <c r="J34" s="10">
        <v>56.13</v>
      </c>
      <c r="K34" s="10">
        <v>36.79</v>
      </c>
      <c r="L34" s="10">
        <v>78.7</v>
      </c>
      <c r="M34" s="10">
        <v>70.49</v>
      </c>
      <c r="N34" s="10">
        <v>2386.0</v>
      </c>
      <c r="O34" s="11"/>
      <c r="P34" s="16" t="s">
        <v>38</v>
      </c>
      <c r="Q34" s="17"/>
      <c r="R34" s="15"/>
    </row>
    <row r="35">
      <c r="A35" s="12">
        <v>46100.79760416667</v>
      </c>
      <c r="B35" s="7" t="s">
        <v>36</v>
      </c>
      <c r="C35" s="8" t="s">
        <v>37</v>
      </c>
      <c r="D35" s="9" t="str">
        <f>HYPERLINK("https://vrporn.com/pornstars/samy-sun/", "s_model")</f>
        <v>s_model</v>
      </c>
      <c r="E35" s="7" t="s">
        <v>35</v>
      </c>
      <c r="F35" s="10">
        <v>3558.0</v>
      </c>
      <c r="G35" s="10">
        <v>3136.0</v>
      </c>
      <c r="H35" s="10">
        <v>311.0</v>
      </c>
      <c r="I35" s="10">
        <v>2.0</v>
      </c>
      <c r="J35" s="10">
        <v>52.91</v>
      </c>
      <c r="K35" s="10">
        <v>40.25</v>
      </c>
      <c r="L35" s="10">
        <v>60.61</v>
      </c>
      <c r="M35" s="10">
        <v>89.69</v>
      </c>
      <c r="N35" s="10">
        <v>2349.0</v>
      </c>
      <c r="O35" s="11"/>
      <c r="P35" s="13" t="s">
        <v>38</v>
      </c>
      <c r="Q35" s="14"/>
      <c r="R35" s="15"/>
    </row>
    <row r="36">
      <c r="A36" s="6">
        <v>46100.79787037037</v>
      </c>
      <c r="B36" s="7" t="s">
        <v>36</v>
      </c>
      <c r="C36" s="8" t="s">
        <v>37</v>
      </c>
      <c r="D36" s="9" t="str">
        <f>HYPERLINK("https://vrporn.com/categories/", "categories")</f>
        <v>categories</v>
      </c>
      <c r="E36" s="7" t="s">
        <v>35</v>
      </c>
      <c r="F36" s="10">
        <v>1784.0</v>
      </c>
      <c r="G36" s="10">
        <v>1576.0</v>
      </c>
      <c r="H36" s="10">
        <v>192.0</v>
      </c>
      <c r="I36" s="10">
        <v>8.0</v>
      </c>
      <c r="J36" s="10">
        <v>86.86</v>
      </c>
      <c r="K36" s="10">
        <v>79.99</v>
      </c>
      <c r="L36" s="10">
        <v>76.31</v>
      </c>
      <c r="M36" s="10">
        <v>75.64</v>
      </c>
      <c r="N36" s="10">
        <v>1017.0</v>
      </c>
      <c r="O36" s="11"/>
      <c r="P36" s="16" t="s">
        <v>38</v>
      </c>
      <c r="Q36" s="17"/>
      <c r="R36" s="15"/>
    </row>
    <row r="37">
      <c r="A37" s="12">
        <v>46100.79821759259</v>
      </c>
      <c r="B37" s="7" t="s">
        <v>36</v>
      </c>
      <c r="C37" s="8" t="s">
        <v>37</v>
      </c>
      <c r="D37" s="9" t="str">
        <f>HYPERLINK("https://vrporn.com/tag/anal/", "s_category")</f>
        <v>s_category</v>
      </c>
      <c r="E37" s="7" t="s">
        <v>35</v>
      </c>
      <c r="F37" s="10">
        <v>3558.0</v>
      </c>
      <c r="G37" s="10">
        <v>3136.0</v>
      </c>
      <c r="H37" s="10">
        <v>311.0</v>
      </c>
      <c r="I37" s="10">
        <v>2.0</v>
      </c>
      <c r="J37" s="10">
        <v>52.91</v>
      </c>
      <c r="K37" s="10">
        <v>40.25</v>
      </c>
      <c r="L37" s="10">
        <v>60.61</v>
      </c>
      <c r="M37" s="10">
        <v>89.69</v>
      </c>
      <c r="N37" s="10">
        <v>2349.0</v>
      </c>
      <c r="O37" s="11"/>
      <c r="P37" s="13" t="s">
        <v>38</v>
      </c>
      <c r="Q37" s="14"/>
      <c r="R37" s="15"/>
    </row>
    <row r="38">
      <c r="A38" s="6">
        <v>46100.79856481482</v>
      </c>
      <c r="B38" s="7" t="s">
        <v>36</v>
      </c>
      <c r="C38" s="8" t="s">
        <v>37</v>
      </c>
      <c r="D38" s="9" t="str">
        <f>HYPERLINK("https://vrporn.com/studio/vrbangers/", "s_studio")</f>
        <v>s_studio</v>
      </c>
      <c r="E38" s="7" t="s">
        <v>35</v>
      </c>
      <c r="F38" s="10">
        <v>3460.0</v>
      </c>
      <c r="G38" s="10">
        <v>3109.0</v>
      </c>
      <c r="H38" s="10">
        <v>336.0</v>
      </c>
      <c r="I38" s="10">
        <v>8.0</v>
      </c>
      <c r="J38" s="10">
        <v>55.6</v>
      </c>
      <c r="K38" s="10">
        <v>35.92</v>
      </c>
      <c r="L38" s="10">
        <v>60.56</v>
      </c>
      <c r="M38" s="10">
        <v>75.28</v>
      </c>
      <c r="N38" s="10">
        <v>2347.0</v>
      </c>
      <c r="O38" s="11"/>
      <c r="P38" s="16" t="s">
        <v>38</v>
      </c>
      <c r="Q38" s="17"/>
      <c r="R38" s="15"/>
    </row>
    <row r="39">
      <c r="A39" s="12">
        <v>46100.79883101852</v>
      </c>
      <c r="B39" s="7" t="s">
        <v>36</v>
      </c>
      <c r="C39" s="8" t="s">
        <v>37</v>
      </c>
      <c r="D39" s="9" t="str">
        <f>HYPERLINK("https://vrporn.com/camgirls/", "dreams")</f>
        <v>dreams</v>
      </c>
      <c r="E39" s="7" t="s">
        <v>35</v>
      </c>
      <c r="F39" s="10">
        <v>2571.0</v>
      </c>
      <c r="G39" s="10">
        <v>2226.0</v>
      </c>
      <c r="H39" s="10">
        <v>192.0</v>
      </c>
      <c r="I39" s="10">
        <v>8.0</v>
      </c>
      <c r="J39" s="10">
        <v>73.5</v>
      </c>
      <c r="K39" s="10">
        <v>60.98</v>
      </c>
      <c r="L39" s="10">
        <v>76.56</v>
      </c>
      <c r="M39" s="10">
        <v>75.24</v>
      </c>
      <c r="N39" s="10">
        <v>1596.0</v>
      </c>
      <c r="O39" s="11"/>
      <c r="P39" s="13" t="s">
        <v>38</v>
      </c>
      <c r="Q39" s="14"/>
      <c r="R39" s="15"/>
    </row>
    <row r="40">
      <c r="A40" s="6">
        <v>46100.79913194444</v>
      </c>
      <c r="B40" s="7" t="s">
        <v>36</v>
      </c>
      <c r="C40" s="8" t="s">
        <v>37</v>
      </c>
      <c r="D40" s="9" t="str">
        <f>HYPERLINK("https://vrporn.com/camgirls/model-vrporn/", "s_dream")</f>
        <v>s_dream</v>
      </c>
      <c r="E40" s="7" t="s">
        <v>35</v>
      </c>
      <c r="F40" s="10">
        <v>3558.0</v>
      </c>
      <c r="G40" s="10">
        <v>3136.0</v>
      </c>
      <c r="H40" s="10">
        <v>311.0</v>
      </c>
      <c r="I40" s="10">
        <v>2.0</v>
      </c>
      <c r="J40" s="10">
        <v>52.91</v>
      </c>
      <c r="K40" s="10">
        <v>40.25</v>
      </c>
      <c r="L40" s="10">
        <v>60.61</v>
      </c>
      <c r="M40" s="10">
        <v>89.69</v>
      </c>
      <c r="N40" s="10">
        <v>2349.0</v>
      </c>
      <c r="O40" s="11"/>
      <c r="P40" s="16" t="s">
        <v>38</v>
      </c>
      <c r="Q40" s="17"/>
      <c r="R40" s="15"/>
    </row>
    <row r="41">
      <c r="A41" s="18">
        <v>46104.0</v>
      </c>
      <c r="B41" s="7" t="s">
        <v>36</v>
      </c>
      <c r="C41" s="8" t="s">
        <v>37</v>
      </c>
      <c r="D41" s="9" t="str">
        <f>HYPERLINK("https://vrporn.com/", "main")</f>
        <v>main</v>
      </c>
      <c r="E41" s="7" t="s">
        <v>35</v>
      </c>
      <c r="F41" s="10">
        <v>2672.0</v>
      </c>
      <c r="G41" s="10">
        <v>2451.0</v>
      </c>
      <c r="H41" s="10">
        <v>243.0</v>
      </c>
      <c r="I41" s="10">
        <v>4.0</v>
      </c>
      <c r="J41" s="10">
        <v>71.67</v>
      </c>
      <c r="K41" s="10">
        <v>59.6</v>
      </c>
      <c r="L41" s="10">
        <v>69.06</v>
      </c>
      <c r="M41" s="10">
        <v>83.83</v>
      </c>
      <c r="N41" s="10">
        <v>1707.0</v>
      </c>
      <c r="O41" s="11"/>
      <c r="P41" s="13" t="s">
        <v>38</v>
      </c>
      <c r="Q41" s="14"/>
      <c r="R41" s="15"/>
    </row>
    <row r="42">
      <c r="A42" s="19">
        <v>46104.0</v>
      </c>
      <c r="B42" s="7" t="s">
        <v>36</v>
      </c>
      <c r="C42" s="8" t="s">
        <v>37</v>
      </c>
      <c r="D42" s="9" t="str">
        <f>HYPERLINK("https://vrporn.com/pretty-petite-vr-pmv/", "s_video")</f>
        <v>s_video</v>
      </c>
      <c r="E42" s="7" t="s">
        <v>35</v>
      </c>
      <c r="F42" s="10">
        <v>3524.0</v>
      </c>
      <c r="G42" s="10">
        <v>3091.0</v>
      </c>
      <c r="H42" s="10">
        <v>306.0</v>
      </c>
      <c r="I42" s="10">
        <v>2.0</v>
      </c>
      <c r="J42" s="10">
        <v>53.7</v>
      </c>
      <c r="K42" s="10">
        <v>41.57</v>
      </c>
      <c r="L42" s="10">
        <v>60.92</v>
      </c>
      <c r="M42" s="10">
        <v>89.82</v>
      </c>
      <c r="N42" s="10">
        <v>2298.0</v>
      </c>
      <c r="O42" s="11"/>
      <c r="P42" s="16" t="s">
        <v>38</v>
      </c>
      <c r="Q42" s="17"/>
      <c r="R42" s="15"/>
    </row>
    <row r="43">
      <c r="A43" s="18">
        <v>46104.0</v>
      </c>
      <c r="B43" s="7" t="s">
        <v>36</v>
      </c>
      <c r="C43" s="8" t="s">
        <v>37</v>
      </c>
      <c r="D43" s="9" t="str">
        <f>HYPERLINK("https://vrporn.com/pornstars/?sort=latest", "models")</f>
        <v>models</v>
      </c>
      <c r="E43" s="7" t="s">
        <v>35</v>
      </c>
      <c r="F43" s="10">
        <v>3031.0</v>
      </c>
      <c r="G43" s="10">
        <v>2765.0</v>
      </c>
      <c r="H43" s="10">
        <v>162.0</v>
      </c>
      <c r="I43" s="10">
        <v>53.0</v>
      </c>
      <c r="J43" s="10">
        <v>58.42</v>
      </c>
      <c r="K43" s="10">
        <v>39.81</v>
      </c>
      <c r="L43" s="10">
        <v>79.67</v>
      </c>
      <c r="M43" s="10">
        <v>71.43</v>
      </c>
      <c r="N43" s="10">
        <v>2323.0</v>
      </c>
      <c r="O43" s="11"/>
      <c r="P43" s="13" t="s">
        <v>38</v>
      </c>
      <c r="Q43" s="14"/>
      <c r="R43" s="15"/>
    </row>
    <row r="44">
      <c r="A44" s="19">
        <v>46104.0</v>
      </c>
      <c r="B44" s="7" t="s">
        <v>36</v>
      </c>
      <c r="C44" s="8" t="s">
        <v>37</v>
      </c>
      <c r="D44" s="9" t="str">
        <f>HYPERLINK("https://vrporn.com/pornstars/samy-sun/", "s_model")</f>
        <v>s_model</v>
      </c>
      <c r="E44" s="7" t="s">
        <v>35</v>
      </c>
      <c r="F44" s="10">
        <v>3524.0</v>
      </c>
      <c r="G44" s="10">
        <v>3091.0</v>
      </c>
      <c r="H44" s="10">
        <v>306.0</v>
      </c>
      <c r="I44" s="10">
        <v>2.0</v>
      </c>
      <c r="J44" s="10">
        <v>53.7</v>
      </c>
      <c r="K44" s="10">
        <v>41.57</v>
      </c>
      <c r="L44" s="10">
        <v>60.92</v>
      </c>
      <c r="M44" s="10">
        <v>89.82</v>
      </c>
      <c r="N44" s="10">
        <v>2298.0</v>
      </c>
      <c r="O44" s="11"/>
      <c r="P44" s="16" t="s">
        <v>38</v>
      </c>
      <c r="Q44" s="17"/>
      <c r="R44" s="15"/>
    </row>
    <row r="45">
      <c r="A45" s="18">
        <v>46104.0</v>
      </c>
      <c r="B45" s="7" t="s">
        <v>36</v>
      </c>
      <c r="C45" s="8" t="s">
        <v>37</v>
      </c>
      <c r="D45" s="9" t="str">
        <f>HYPERLINK("https://vrporn.com/categories/", "categories")</f>
        <v>categories</v>
      </c>
      <c r="E45" s="7" t="s">
        <v>35</v>
      </c>
      <c r="F45" s="10">
        <v>1797.0</v>
      </c>
      <c r="G45" s="10">
        <v>1554.0</v>
      </c>
      <c r="H45" s="10">
        <v>186.0</v>
      </c>
      <c r="I45" s="10">
        <v>8.0</v>
      </c>
      <c r="J45" s="10">
        <v>86.29</v>
      </c>
      <c r="K45" s="10">
        <v>79.97</v>
      </c>
      <c r="L45" s="10">
        <v>76.66</v>
      </c>
      <c r="M45" s="10">
        <v>75.26</v>
      </c>
      <c r="N45" s="10">
        <v>1026.0</v>
      </c>
      <c r="O45" s="11"/>
      <c r="P45" s="13" t="s">
        <v>38</v>
      </c>
      <c r="Q45" s="14"/>
      <c r="R45" s="15"/>
    </row>
    <row r="46">
      <c r="A46" s="19">
        <v>46104.0</v>
      </c>
      <c r="B46" s="7" t="s">
        <v>36</v>
      </c>
      <c r="C46" s="8" t="s">
        <v>37</v>
      </c>
      <c r="D46" s="9" t="str">
        <f>HYPERLINK("https://vrporn.com/tag/anal/", "s_category")</f>
        <v>s_category</v>
      </c>
      <c r="E46" s="7" t="s">
        <v>35</v>
      </c>
      <c r="F46" s="10">
        <v>3524.0</v>
      </c>
      <c r="G46" s="10">
        <v>3091.0</v>
      </c>
      <c r="H46" s="10">
        <v>306.0</v>
      </c>
      <c r="I46" s="10">
        <v>2.0</v>
      </c>
      <c r="J46" s="10">
        <v>53.7</v>
      </c>
      <c r="K46" s="10">
        <v>41.57</v>
      </c>
      <c r="L46" s="10">
        <v>60.92</v>
      </c>
      <c r="M46" s="10">
        <v>89.82</v>
      </c>
      <c r="N46" s="10">
        <v>2298.0</v>
      </c>
      <c r="O46" s="11"/>
      <c r="P46" s="16" t="s">
        <v>38</v>
      </c>
      <c r="Q46" s="17"/>
      <c r="R46" s="15"/>
    </row>
    <row r="47">
      <c r="A47" s="18">
        <v>46104.0</v>
      </c>
      <c r="B47" s="7" t="s">
        <v>36</v>
      </c>
      <c r="C47" s="8" t="s">
        <v>37</v>
      </c>
      <c r="D47" s="9" t="str">
        <f>HYPERLINK("https://vrporn.com/studio/vrbangers/", "s_studio")</f>
        <v>s_studio</v>
      </c>
      <c r="E47" s="7" t="s">
        <v>35</v>
      </c>
      <c r="F47" s="10">
        <v>3460.0</v>
      </c>
      <c r="G47" s="10">
        <v>3134.0</v>
      </c>
      <c r="H47" s="10">
        <v>302.0</v>
      </c>
      <c r="I47" s="10">
        <v>20.0</v>
      </c>
      <c r="J47" s="10">
        <v>57.28</v>
      </c>
      <c r="K47" s="10">
        <v>37.85</v>
      </c>
      <c r="L47" s="10">
        <v>63.52</v>
      </c>
      <c r="M47" s="10">
        <v>74.29</v>
      </c>
      <c r="N47" s="10">
        <v>2329.0</v>
      </c>
      <c r="O47" s="11"/>
      <c r="P47" s="13" t="s">
        <v>38</v>
      </c>
      <c r="Q47" s="14"/>
      <c r="R47" s="15"/>
    </row>
    <row r="48">
      <c r="A48" s="19">
        <v>46104.0</v>
      </c>
      <c r="B48" s="7" t="s">
        <v>36</v>
      </c>
      <c r="C48" s="8" t="s">
        <v>37</v>
      </c>
      <c r="D48" s="9" t="str">
        <f>HYPERLINK("https://vrporn.com/camgirls/", "dreams")</f>
        <v>dreams</v>
      </c>
      <c r="E48" s="7" t="s">
        <v>35</v>
      </c>
      <c r="F48" s="10">
        <v>2431.0</v>
      </c>
      <c r="G48" s="10">
        <v>2131.0</v>
      </c>
      <c r="H48" s="10">
        <v>194.0</v>
      </c>
      <c r="I48" s="10">
        <v>17.0</v>
      </c>
      <c r="J48" s="10">
        <v>76.43</v>
      </c>
      <c r="K48" s="10">
        <v>64.33</v>
      </c>
      <c r="L48" s="10">
        <v>76.34</v>
      </c>
      <c r="M48" s="10">
        <v>73.28</v>
      </c>
      <c r="N48" s="10">
        <v>1480.0</v>
      </c>
      <c r="O48" s="11"/>
      <c r="P48" s="16" t="s">
        <v>38</v>
      </c>
      <c r="Q48" s="17"/>
      <c r="R48" s="15"/>
    </row>
    <row r="49">
      <c r="A49" s="18">
        <v>46104.0</v>
      </c>
      <c r="B49" s="7" t="s">
        <v>36</v>
      </c>
      <c r="C49" s="8" t="s">
        <v>37</v>
      </c>
      <c r="D49" s="9" t="str">
        <f>HYPERLINK("https://vrporn.com/camgirls/model-vrporn/", "s_dream")</f>
        <v>s_dream</v>
      </c>
      <c r="E49" s="7" t="s">
        <v>35</v>
      </c>
      <c r="F49" s="10">
        <v>3524.0</v>
      </c>
      <c r="G49" s="10">
        <v>3091.0</v>
      </c>
      <c r="H49" s="10">
        <v>306.0</v>
      </c>
      <c r="I49" s="10">
        <v>2.0</v>
      </c>
      <c r="J49" s="10">
        <v>53.7</v>
      </c>
      <c r="K49" s="10">
        <v>41.57</v>
      </c>
      <c r="L49" s="10">
        <v>60.92</v>
      </c>
      <c r="M49" s="10">
        <v>89.82</v>
      </c>
      <c r="N49" s="10">
        <v>2298.0</v>
      </c>
      <c r="O49" s="11"/>
      <c r="P49" s="13" t="s">
        <v>38</v>
      </c>
      <c r="Q49" s="14"/>
      <c r="R49" s="15"/>
    </row>
    <row r="50">
      <c r="A50" s="19">
        <v>46104.0</v>
      </c>
      <c r="B50" s="7" t="s">
        <v>36</v>
      </c>
      <c r="C50" s="8" t="s">
        <v>37</v>
      </c>
      <c r="D50" s="9" t="str">
        <f>HYPERLINK("https://vrporn.com/", "main")</f>
        <v>main</v>
      </c>
      <c r="E50" s="7" t="s">
        <v>34</v>
      </c>
      <c r="F50" s="10">
        <v>2084.0</v>
      </c>
      <c r="G50" s="10">
        <v>1727.0</v>
      </c>
      <c r="H50" s="10">
        <v>89.0</v>
      </c>
      <c r="I50" s="10">
        <v>14.0</v>
      </c>
      <c r="J50" s="10">
        <v>83.11</v>
      </c>
      <c r="K50" s="10">
        <v>76.73</v>
      </c>
      <c r="L50" s="10">
        <v>93.11</v>
      </c>
      <c r="M50" s="10">
        <v>72.01</v>
      </c>
      <c r="N50" s="10">
        <v>1284.0</v>
      </c>
      <c r="O50" s="11"/>
      <c r="P50" s="16" t="s">
        <v>38</v>
      </c>
      <c r="Q50" s="17"/>
      <c r="R50" s="15"/>
    </row>
    <row r="51">
      <c r="A51" s="18">
        <v>46104.0</v>
      </c>
      <c r="B51" s="7" t="s">
        <v>36</v>
      </c>
      <c r="C51" s="8" t="s">
        <v>37</v>
      </c>
      <c r="D51" s="9" t="str">
        <f>HYPERLINK("https://vrporn.com/pretty-petite-vr-pmv/", "s_video")</f>
        <v>s_video</v>
      </c>
      <c r="E51" s="7" t="s">
        <v>34</v>
      </c>
      <c r="F51" s="10">
        <v>2846.0</v>
      </c>
      <c r="G51" s="10">
        <v>2134.0</v>
      </c>
      <c r="H51" s="10">
        <v>78.0</v>
      </c>
      <c r="I51" s="10">
        <v>3.0</v>
      </c>
      <c r="J51" s="10">
        <v>69.31</v>
      </c>
      <c r="K51" s="10">
        <v>65.7</v>
      </c>
      <c r="L51" s="10">
        <v>93.67</v>
      </c>
      <c r="M51" s="10">
        <v>81.65</v>
      </c>
      <c r="N51" s="10">
        <v>1754.0</v>
      </c>
      <c r="O51" s="11"/>
      <c r="P51" s="13" t="s">
        <v>38</v>
      </c>
      <c r="Q51" s="14"/>
      <c r="R51" s="15"/>
    </row>
    <row r="52">
      <c r="A52" s="19">
        <v>46104.0</v>
      </c>
      <c r="B52" s="7" t="s">
        <v>36</v>
      </c>
      <c r="C52" s="8" t="s">
        <v>37</v>
      </c>
      <c r="D52" s="9" t="str">
        <f>HYPERLINK("https://vrporn.com/pornstars/?sort=latest", "models")</f>
        <v>models</v>
      </c>
      <c r="E52" s="7" t="s">
        <v>34</v>
      </c>
      <c r="F52" s="10">
        <v>2707.0</v>
      </c>
      <c r="G52" s="10">
        <v>2296.0</v>
      </c>
      <c r="H52" s="10">
        <v>64.0</v>
      </c>
      <c r="I52" s="10">
        <v>59.0</v>
      </c>
      <c r="J52" s="10">
        <v>69.97</v>
      </c>
      <c r="K52" s="10">
        <v>53.53</v>
      </c>
      <c r="L52" s="10">
        <v>94.99</v>
      </c>
      <c r="M52" s="10">
        <v>61.34</v>
      </c>
      <c r="N52" s="10">
        <v>1973.0</v>
      </c>
      <c r="O52" s="11"/>
      <c r="P52" s="16" t="s">
        <v>38</v>
      </c>
      <c r="Q52" s="17"/>
      <c r="R52" s="15"/>
    </row>
    <row r="53">
      <c r="A53" s="18">
        <v>46104.0</v>
      </c>
      <c r="B53" s="7" t="s">
        <v>36</v>
      </c>
      <c r="C53" s="8" t="s">
        <v>37</v>
      </c>
      <c r="D53" s="9" t="str">
        <f>HYPERLINK("https://vrporn.com/pornstars/samy-sun/", "s_model")</f>
        <v>s_model</v>
      </c>
      <c r="E53" s="7" t="s">
        <v>34</v>
      </c>
      <c r="F53" s="10">
        <v>2846.0</v>
      </c>
      <c r="G53" s="10">
        <v>2134.0</v>
      </c>
      <c r="H53" s="10">
        <v>78.0</v>
      </c>
      <c r="I53" s="10">
        <v>3.0</v>
      </c>
      <c r="J53" s="10">
        <v>69.31</v>
      </c>
      <c r="K53" s="10">
        <v>65.7</v>
      </c>
      <c r="L53" s="10">
        <v>93.67</v>
      </c>
      <c r="M53" s="10">
        <v>81.65</v>
      </c>
      <c r="N53" s="10">
        <v>1754.0</v>
      </c>
      <c r="O53" s="11"/>
      <c r="P53" s="13" t="s">
        <v>38</v>
      </c>
      <c r="Q53" s="14"/>
      <c r="R53" s="15"/>
    </row>
    <row r="54">
      <c r="A54" s="19">
        <v>46104.0</v>
      </c>
      <c r="B54" s="7" t="s">
        <v>36</v>
      </c>
      <c r="C54" s="8" t="s">
        <v>37</v>
      </c>
      <c r="D54" s="9" t="str">
        <f>HYPERLINK("https://vrporn.com/categories/", "categories")</f>
        <v>categories</v>
      </c>
      <c r="E54" s="7" t="s">
        <v>34</v>
      </c>
      <c r="F54" s="10">
        <v>1582.0</v>
      </c>
      <c r="G54" s="10">
        <v>1192.0</v>
      </c>
      <c r="H54" s="10">
        <v>56.0</v>
      </c>
      <c r="I54" s="10">
        <v>4.0</v>
      </c>
      <c r="J54" s="10">
        <v>89.6</v>
      </c>
      <c r="K54" s="10">
        <v>88.65</v>
      </c>
      <c r="L54" s="10">
        <v>96.49</v>
      </c>
      <c r="M54" s="10">
        <v>78.7</v>
      </c>
      <c r="N54" s="10">
        <v>811.0</v>
      </c>
      <c r="O54" s="11"/>
      <c r="P54" s="16" t="s">
        <v>38</v>
      </c>
      <c r="Q54" s="17"/>
      <c r="R54" s="15"/>
    </row>
    <row r="55">
      <c r="A55" s="18">
        <v>46104.0</v>
      </c>
      <c r="B55" s="7" t="s">
        <v>36</v>
      </c>
      <c r="C55" s="8" t="s">
        <v>37</v>
      </c>
      <c r="D55" s="9" t="str">
        <f>HYPERLINK("https://vrporn.com/tag/anal/", "s_category")</f>
        <v>s_category</v>
      </c>
      <c r="E55" s="7" t="s">
        <v>34</v>
      </c>
      <c r="F55" s="10">
        <v>2846.0</v>
      </c>
      <c r="G55" s="10">
        <v>2134.0</v>
      </c>
      <c r="H55" s="10">
        <v>78.0</v>
      </c>
      <c r="I55" s="10">
        <v>3.0</v>
      </c>
      <c r="J55" s="10">
        <v>69.31</v>
      </c>
      <c r="K55" s="10">
        <v>65.7</v>
      </c>
      <c r="L55" s="10">
        <v>93.67</v>
      </c>
      <c r="M55" s="10">
        <v>81.65</v>
      </c>
      <c r="N55" s="10">
        <v>1754.0</v>
      </c>
      <c r="O55" s="11"/>
      <c r="P55" s="13" t="s">
        <v>38</v>
      </c>
      <c r="Q55" s="14"/>
      <c r="R55" s="15"/>
    </row>
    <row r="56">
      <c r="A56" s="19">
        <v>46104.0</v>
      </c>
      <c r="B56" s="7" t="s">
        <v>36</v>
      </c>
      <c r="C56" s="8" t="s">
        <v>37</v>
      </c>
      <c r="D56" s="9" t="str">
        <f>HYPERLINK("https://vrporn.com/studio/vrbangers/", "s_studio")</f>
        <v>s_studio</v>
      </c>
      <c r="E56" s="7" t="s">
        <v>34</v>
      </c>
      <c r="F56" s="10">
        <v>2481.0</v>
      </c>
      <c r="G56" s="10">
        <v>2320.0</v>
      </c>
      <c r="H56" s="10">
        <v>64.0</v>
      </c>
      <c r="I56" s="10">
        <v>27.0</v>
      </c>
      <c r="J56" s="10">
        <v>75.88</v>
      </c>
      <c r="K56" s="10">
        <v>57.95</v>
      </c>
      <c r="L56" s="10">
        <v>95.65</v>
      </c>
      <c r="M56" s="10">
        <v>71.95</v>
      </c>
      <c r="N56" s="10">
        <v>1955.0</v>
      </c>
      <c r="O56" s="11"/>
      <c r="P56" s="16" t="s">
        <v>38</v>
      </c>
      <c r="Q56" s="17"/>
      <c r="R56" s="15"/>
    </row>
    <row r="57">
      <c r="A57" s="18">
        <v>46104.0</v>
      </c>
      <c r="B57" s="7" t="s">
        <v>36</v>
      </c>
      <c r="C57" s="8" t="s">
        <v>37</v>
      </c>
      <c r="D57" s="9" t="str">
        <f>HYPERLINK("https://vrporn.com/camgirls/", "dreams")</f>
        <v>dreams</v>
      </c>
      <c r="E57" s="7" t="s">
        <v>34</v>
      </c>
      <c r="F57" s="10">
        <v>2470.0</v>
      </c>
      <c r="G57" s="10">
        <v>1590.0</v>
      </c>
      <c r="H57" s="10">
        <v>80.0</v>
      </c>
      <c r="I57" s="10">
        <v>28.0</v>
      </c>
      <c r="J57" s="10">
        <v>75.46</v>
      </c>
      <c r="K57" s="10">
        <v>80.88</v>
      </c>
      <c r="L57" s="10">
        <v>93.8</v>
      </c>
      <c r="M57" s="10">
        <v>62.74</v>
      </c>
      <c r="N57" s="10">
        <v>1249.0</v>
      </c>
      <c r="O57" s="11"/>
      <c r="P57" s="13" t="s">
        <v>38</v>
      </c>
      <c r="Q57" s="14"/>
      <c r="R57" s="15"/>
    </row>
    <row r="58">
      <c r="A58" s="19">
        <v>46104.0</v>
      </c>
      <c r="B58" s="7" t="s">
        <v>36</v>
      </c>
      <c r="C58" s="8" t="s">
        <v>37</v>
      </c>
      <c r="D58" s="9" t="str">
        <f>HYPERLINK("https://vrporn.com/camgirls/model-vrporn/", "s_dream")</f>
        <v>s_dream</v>
      </c>
      <c r="E58" s="7" t="s">
        <v>34</v>
      </c>
      <c r="F58" s="10">
        <v>2846.0</v>
      </c>
      <c r="G58" s="10">
        <v>2134.0</v>
      </c>
      <c r="H58" s="10">
        <v>78.0</v>
      </c>
      <c r="I58" s="10">
        <v>3.0</v>
      </c>
      <c r="J58" s="10">
        <v>69.31</v>
      </c>
      <c r="K58" s="10">
        <v>65.7</v>
      </c>
      <c r="L58" s="10">
        <v>93.67</v>
      </c>
      <c r="M58" s="10">
        <v>81.65</v>
      </c>
      <c r="N58" s="10">
        <v>1754.0</v>
      </c>
      <c r="O58" s="11"/>
      <c r="P58" s="16" t="s">
        <v>38</v>
      </c>
      <c r="Q58" s="8"/>
      <c r="R58" s="15"/>
    </row>
    <row r="59">
      <c r="A59" s="12"/>
      <c r="B59" s="7"/>
      <c r="C59" s="8"/>
      <c r="D59" s="20"/>
      <c r="E59" s="7"/>
      <c r="F59" s="10"/>
      <c r="G59" s="10"/>
      <c r="H59" s="10"/>
      <c r="I59" s="10"/>
      <c r="J59" s="10"/>
      <c r="K59" s="10"/>
      <c r="L59" s="10"/>
      <c r="M59" s="10"/>
      <c r="N59" s="10"/>
      <c r="O59" s="11"/>
      <c r="P59" s="11"/>
      <c r="Q59" s="11"/>
      <c r="R59" s="15"/>
    </row>
    <row r="60">
      <c r="A60" s="6"/>
      <c r="B60" s="7"/>
      <c r="C60" s="8"/>
      <c r="D60" s="20"/>
      <c r="E60" s="7"/>
      <c r="F60" s="10"/>
      <c r="G60" s="10"/>
      <c r="H60" s="10"/>
      <c r="I60" s="10"/>
      <c r="J60" s="10"/>
      <c r="K60" s="10"/>
      <c r="L60" s="10"/>
      <c r="M60" s="10"/>
      <c r="N60" s="10"/>
      <c r="O60" s="11"/>
      <c r="P60" s="11"/>
      <c r="Q60" s="11"/>
      <c r="R60" s="15"/>
    </row>
    <row r="61">
      <c r="A61" s="12"/>
      <c r="B61" s="7"/>
      <c r="C61" s="8"/>
      <c r="D61" s="20"/>
      <c r="E61" s="7"/>
      <c r="F61" s="10"/>
      <c r="G61" s="10"/>
      <c r="H61" s="10"/>
      <c r="I61" s="10"/>
      <c r="J61" s="10"/>
      <c r="K61" s="10"/>
      <c r="L61" s="10"/>
      <c r="M61" s="10"/>
      <c r="N61" s="10"/>
      <c r="O61" s="11"/>
      <c r="P61" s="11"/>
      <c r="Q61" s="11"/>
      <c r="R61" s="15"/>
    </row>
    <row r="62">
      <c r="A62" s="6"/>
      <c r="B62" s="7"/>
      <c r="C62" s="8"/>
      <c r="D62" s="20"/>
      <c r="E62" s="7"/>
      <c r="F62" s="10"/>
      <c r="G62" s="10"/>
      <c r="H62" s="10"/>
      <c r="I62" s="10"/>
      <c r="J62" s="10"/>
      <c r="K62" s="10"/>
      <c r="L62" s="10"/>
      <c r="M62" s="10"/>
      <c r="N62" s="10"/>
      <c r="O62" s="11"/>
      <c r="P62" s="11"/>
      <c r="Q62" s="11"/>
      <c r="R62" s="15"/>
    </row>
    <row r="63">
      <c r="A63" s="12"/>
      <c r="B63" s="7"/>
      <c r="C63" s="8"/>
      <c r="D63" s="20"/>
      <c r="E63" s="7"/>
      <c r="F63" s="10"/>
      <c r="G63" s="10"/>
      <c r="H63" s="10"/>
      <c r="I63" s="10"/>
      <c r="J63" s="10"/>
      <c r="K63" s="10"/>
      <c r="L63" s="10"/>
      <c r="M63" s="10"/>
      <c r="N63" s="10"/>
      <c r="O63" s="11"/>
      <c r="P63" s="11"/>
      <c r="Q63" s="11"/>
      <c r="R63" s="15"/>
    </row>
    <row r="64">
      <c r="A64" s="6"/>
      <c r="B64" s="7"/>
      <c r="C64" s="8"/>
      <c r="D64" s="20"/>
      <c r="E64" s="7"/>
      <c r="F64" s="10"/>
      <c r="G64" s="10"/>
      <c r="H64" s="10"/>
      <c r="I64" s="10"/>
      <c r="J64" s="10"/>
      <c r="K64" s="10"/>
      <c r="L64" s="10"/>
      <c r="M64" s="10"/>
      <c r="N64" s="10"/>
      <c r="O64" s="11"/>
      <c r="P64" s="11"/>
      <c r="Q64" s="11"/>
      <c r="R64" s="15"/>
    </row>
    <row r="65">
      <c r="A65" s="12"/>
      <c r="B65" s="7"/>
      <c r="C65" s="8"/>
      <c r="D65" s="20"/>
      <c r="E65" s="7"/>
      <c r="F65" s="10"/>
      <c r="G65" s="10"/>
      <c r="H65" s="10"/>
      <c r="I65" s="10"/>
      <c r="J65" s="10"/>
      <c r="K65" s="10"/>
      <c r="L65" s="10"/>
      <c r="M65" s="10"/>
      <c r="N65" s="10"/>
      <c r="O65" s="11"/>
      <c r="P65" s="11"/>
      <c r="Q65" s="11"/>
      <c r="R65" s="15"/>
    </row>
    <row r="66">
      <c r="A66" s="6"/>
      <c r="B66" s="7"/>
      <c r="C66" s="8"/>
      <c r="D66" s="20"/>
      <c r="E66" s="7"/>
      <c r="F66" s="10"/>
      <c r="G66" s="10"/>
      <c r="H66" s="10"/>
      <c r="I66" s="10"/>
      <c r="J66" s="10"/>
      <c r="K66" s="10"/>
      <c r="L66" s="10"/>
      <c r="M66" s="10"/>
      <c r="N66" s="10"/>
      <c r="O66" s="11"/>
      <c r="P66" s="11"/>
      <c r="Q66" s="11"/>
      <c r="R66" s="15"/>
    </row>
    <row r="67">
      <c r="A67" s="12"/>
      <c r="B67" s="7"/>
      <c r="C67" s="8"/>
      <c r="D67" s="20"/>
      <c r="E67" s="7"/>
      <c r="F67" s="10"/>
      <c r="G67" s="10"/>
      <c r="H67" s="10"/>
      <c r="I67" s="10"/>
      <c r="J67" s="10"/>
      <c r="K67" s="10"/>
      <c r="L67" s="10"/>
      <c r="M67" s="10"/>
      <c r="N67" s="10"/>
      <c r="O67" s="11"/>
      <c r="P67" s="11"/>
      <c r="Q67" s="11"/>
      <c r="R67" s="15"/>
    </row>
    <row r="68">
      <c r="A68" s="6"/>
      <c r="B68" s="11"/>
      <c r="C68" s="8"/>
      <c r="D68" s="2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5"/>
    </row>
    <row r="69">
      <c r="A69" s="12"/>
      <c r="B69" s="11"/>
      <c r="C69" s="8"/>
      <c r="D69" s="2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5"/>
    </row>
    <row r="70">
      <c r="A70" s="6"/>
      <c r="B70" s="11"/>
      <c r="C70" s="8"/>
      <c r="D70" s="2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5"/>
    </row>
    <row r="71">
      <c r="A71" s="12"/>
      <c r="B71" s="11"/>
      <c r="C71" s="8"/>
      <c r="D71" s="2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5"/>
    </row>
    <row r="72">
      <c r="A72" s="6"/>
      <c r="B72" s="11"/>
      <c r="C72" s="8"/>
      <c r="D72" s="2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5"/>
    </row>
    <row r="73">
      <c r="A73" s="12"/>
      <c r="B73" s="11"/>
      <c r="C73" s="8"/>
      <c r="D73" s="2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5"/>
    </row>
    <row r="74">
      <c r="A74" s="6"/>
      <c r="B74" s="11"/>
      <c r="C74" s="8"/>
      <c r="D74" s="2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5"/>
    </row>
    <row r="75">
      <c r="A75" s="12"/>
      <c r="B75" s="11"/>
      <c r="C75" s="8"/>
      <c r="D75" s="2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5"/>
    </row>
    <row r="76">
      <c r="A76" s="6"/>
      <c r="B76" s="11"/>
      <c r="C76" s="8"/>
      <c r="D76" s="2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5"/>
    </row>
    <row r="77">
      <c r="A77" s="12"/>
      <c r="B77" s="11"/>
      <c r="C77" s="8"/>
      <c r="D77" s="2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5"/>
    </row>
    <row r="78">
      <c r="A78" s="6"/>
      <c r="B78" s="11"/>
      <c r="C78" s="8"/>
      <c r="D78" s="2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5"/>
    </row>
    <row r="79">
      <c r="A79" s="12"/>
      <c r="B79" s="11"/>
      <c r="C79" s="8"/>
      <c r="D79" s="2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5"/>
    </row>
    <row r="80">
      <c r="A80" s="6"/>
      <c r="B80" s="11"/>
      <c r="C80" s="8"/>
      <c r="D80" s="2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5"/>
    </row>
    <row r="81">
      <c r="A81" s="12"/>
      <c r="B81" s="11"/>
      <c r="C81" s="8"/>
      <c r="D81" s="2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5"/>
    </row>
    <row r="82">
      <c r="A82" s="6"/>
      <c r="B82" s="11"/>
      <c r="C82" s="8"/>
      <c r="D82" s="2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5"/>
    </row>
    <row r="83">
      <c r="A83" s="12"/>
      <c r="B83" s="11"/>
      <c r="C83" s="8"/>
      <c r="D83" s="2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5"/>
    </row>
    <row r="84">
      <c r="A84" s="6"/>
      <c r="B84" s="11"/>
      <c r="C84" s="8"/>
      <c r="D84" s="2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5"/>
    </row>
    <row r="85">
      <c r="A85" s="12"/>
      <c r="B85" s="11"/>
      <c r="C85" s="8"/>
      <c r="D85" s="2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5"/>
    </row>
    <row r="86">
      <c r="A86" s="6"/>
      <c r="B86" s="11"/>
      <c r="C86" s="8"/>
      <c r="D86" s="2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5"/>
    </row>
    <row r="87">
      <c r="A87" s="12"/>
      <c r="B87" s="11"/>
      <c r="C87" s="8"/>
      <c r="D87" s="20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5"/>
    </row>
    <row r="88">
      <c r="A88" s="6"/>
      <c r="B88" s="11"/>
      <c r="C88" s="8"/>
      <c r="D88" s="2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5"/>
    </row>
    <row r="89">
      <c r="A89" s="12"/>
      <c r="B89" s="11"/>
      <c r="C89" s="8"/>
      <c r="D89" s="2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5"/>
    </row>
    <row r="90">
      <c r="A90" s="6"/>
      <c r="B90" s="11"/>
      <c r="C90" s="8"/>
      <c r="D90" s="2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5"/>
    </row>
    <row r="91">
      <c r="A91" s="12"/>
      <c r="B91" s="11"/>
      <c r="C91" s="8"/>
      <c r="D91" s="2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5"/>
    </row>
    <row r="92">
      <c r="A92" s="6"/>
      <c r="B92" s="11"/>
      <c r="C92" s="8"/>
      <c r="D92" s="2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5"/>
    </row>
    <row r="93">
      <c r="A93" s="12"/>
      <c r="B93" s="11"/>
      <c r="C93" s="8"/>
      <c r="D93" s="2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5"/>
    </row>
    <row r="94">
      <c r="A94" s="6"/>
      <c r="B94" s="11"/>
      <c r="C94" s="8"/>
      <c r="D94" s="2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5"/>
    </row>
    <row r="95">
      <c r="A95" s="12"/>
      <c r="B95" s="11"/>
      <c r="C95" s="8"/>
      <c r="D95" s="2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5"/>
    </row>
    <row r="96">
      <c r="A96" s="6"/>
      <c r="B96" s="11"/>
      <c r="C96" s="8"/>
      <c r="D96" s="2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5"/>
    </row>
    <row r="97">
      <c r="A97" s="12"/>
      <c r="B97" s="11"/>
      <c r="C97" s="8"/>
      <c r="D97" s="2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5"/>
    </row>
    <row r="98">
      <c r="A98" s="6"/>
      <c r="B98" s="11"/>
      <c r="C98" s="8"/>
      <c r="D98" s="2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5"/>
    </row>
    <row r="99">
      <c r="A99" s="12"/>
      <c r="B99" s="11"/>
      <c r="C99" s="8"/>
      <c r="D99" s="2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5"/>
    </row>
    <row r="100">
      <c r="A100" s="6"/>
      <c r="B100" s="11"/>
      <c r="C100" s="8"/>
      <c r="D100" s="2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5"/>
    </row>
    <row r="101">
      <c r="A101" s="12"/>
      <c r="B101" s="11"/>
      <c r="C101" s="8"/>
      <c r="D101" s="2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5"/>
    </row>
    <row r="102">
      <c r="A102" s="6"/>
      <c r="B102" s="11"/>
      <c r="C102" s="8"/>
      <c r="D102" s="2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5"/>
    </row>
    <row r="103">
      <c r="A103" s="12"/>
      <c r="B103" s="11"/>
      <c r="C103" s="8"/>
      <c r="D103" s="2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5"/>
    </row>
    <row r="104">
      <c r="A104" s="6"/>
      <c r="B104" s="11"/>
      <c r="C104" s="8"/>
      <c r="D104" s="2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5"/>
    </row>
    <row r="105">
      <c r="A105" s="12"/>
      <c r="B105" s="11"/>
      <c r="C105" s="8"/>
      <c r="D105" s="2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5"/>
    </row>
    <row r="106">
      <c r="A106" s="6"/>
      <c r="B106" s="11"/>
      <c r="C106" s="8"/>
      <c r="D106" s="2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5"/>
    </row>
    <row r="107">
      <c r="A107" s="12"/>
      <c r="B107" s="11"/>
      <c r="C107" s="8"/>
      <c r="D107" s="2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5"/>
    </row>
    <row r="108">
      <c r="A108" s="6"/>
      <c r="B108" s="11"/>
      <c r="C108" s="8"/>
      <c r="D108" s="2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5"/>
    </row>
    <row r="109">
      <c r="A109" s="12"/>
      <c r="B109" s="11"/>
      <c r="C109" s="8"/>
      <c r="D109" s="2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5"/>
    </row>
    <row r="110">
      <c r="A110" s="6"/>
      <c r="B110" s="11"/>
      <c r="C110" s="8"/>
      <c r="D110" s="2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5"/>
    </row>
    <row r="111">
      <c r="A111" s="12"/>
      <c r="B111" s="11"/>
      <c r="C111" s="8"/>
      <c r="D111" s="2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5"/>
    </row>
    <row r="112">
      <c r="A112" s="6"/>
      <c r="B112" s="11"/>
      <c r="C112" s="8"/>
      <c r="D112" s="2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5"/>
    </row>
    <row r="113">
      <c r="A113" s="12"/>
      <c r="B113" s="11"/>
      <c r="C113" s="8"/>
      <c r="D113" s="2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5"/>
    </row>
    <row r="114">
      <c r="A114" s="6"/>
      <c r="B114" s="11"/>
      <c r="C114" s="8"/>
      <c r="D114" s="2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5"/>
    </row>
    <row r="115">
      <c r="A115" s="12"/>
      <c r="B115" s="11"/>
      <c r="C115" s="8"/>
      <c r="D115" s="2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5"/>
    </row>
    <row r="116">
      <c r="A116" s="6"/>
      <c r="B116" s="11"/>
      <c r="C116" s="8"/>
      <c r="D116" s="2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5"/>
    </row>
    <row r="117">
      <c r="A117" s="12"/>
      <c r="B117" s="11"/>
      <c r="C117" s="8"/>
      <c r="D117" s="2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5"/>
    </row>
    <row r="118">
      <c r="A118" s="6"/>
      <c r="B118" s="11"/>
      <c r="C118" s="8"/>
      <c r="D118" s="2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5"/>
    </row>
    <row r="119">
      <c r="A119" s="12"/>
      <c r="B119" s="11"/>
      <c r="C119" s="8"/>
      <c r="D119" s="2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5"/>
    </row>
    <row r="120">
      <c r="A120" s="6"/>
      <c r="B120" s="11"/>
      <c r="C120" s="8"/>
      <c r="D120" s="2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5"/>
    </row>
    <row r="121">
      <c r="A121" s="12"/>
      <c r="B121" s="11"/>
      <c r="C121" s="21"/>
      <c r="D121" s="2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5"/>
    </row>
    <row r="122">
      <c r="A122" s="6"/>
      <c r="B122" s="11"/>
      <c r="C122" s="21"/>
      <c r="D122" s="2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5"/>
    </row>
    <row r="123">
      <c r="A123" s="12"/>
      <c r="B123" s="11"/>
      <c r="C123" s="21"/>
      <c r="D123" s="2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5"/>
    </row>
    <row r="124">
      <c r="A124" s="6"/>
      <c r="B124" s="11"/>
      <c r="C124" s="21"/>
      <c r="D124" s="2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5"/>
    </row>
    <row r="125">
      <c r="A125" s="12"/>
      <c r="B125" s="11"/>
      <c r="C125" s="8"/>
      <c r="D125" s="2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5"/>
    </row>
    <row r="126">
      <c r="A126" s="6"/>
      <c r="B126" s="11"/>
      <c r="C126" s="8"/>
      <c r="D126" s="2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5"/>
    </row>
    <row r="127">
      <c r="A127" s="12"/>
      <c r="B127" s="11"/>
      <c r="C127" s="8"/>
      <c r="D127" s="2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5"/>
    </row>
    <row r="128">
      <c r="A128" s="6"/>
      <c r="B128" s="11"/>
      <c r="C128" s="8"/>
      <c r="D128" s="2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5"/>
    </row>
    <row r="129">
      <c r="A129" s="12"/>
      <c r="B129" s="11"/>
      <c r="C129" s="8"/>
      <c r="D129" s="2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5"/>
    </row>
    <row r="130">
      <c r="A130" s="6"/>
      <c r="B130" s="11"/>
      <c r="C130" s="8"/>
      <c r="D130" s="2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5"/>
    </row>
    <row r="131">
      <c r="A131" s="12"/>
      <c r="B131" s="11"/>
      <c r="C131" s="8"/>
      <c r="D131" s="2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5"/>
    </row>
    <row r="132">
      <c r="A132" s="6"/>
      <c r="B132" s="11"/>
      <c r="C132" s="21"/>
      <c r="D132" s="2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5"/>
    </row>
    <row r="133">
      <c r="A133" s="12"/>
      <c r="B133" s="11"/>
      <c r="C133" s="21"/>
      <c r="D133" s="2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5"/>
    </row>
    <row r="134">
      <c r="A134" s="6"/>
      <c r="B134" s="11"/>
      <c r="C134" s="21"/>
      <c r="D134" s="2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5"/>
    </row>
    <row r="135">
      <c r="A135" s="12"/>
      <c r="B135" s="11"/>
      <c r="C135" s="21"/>
      <c r="D135" s="2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5"/>
    </row>
    <row r="136">
      <c r="A136" s="6"/>
      <c r="B136" s="11"/>
      <c r="C136" s="8"/>
      <c r="D136" s="2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5"/>
    </row>
    <row r="137">
      <c r="A137" s="12"/>
      <c r="B137" s="11"/>
      <c r="C137" s="8"/>
      <c r="D137" s="2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5"/>
    </row>
    <row r="138">
      <c r="A138" s="6"/>
      <c r="B138" s="11"/>
      <c r="C138" s="8"/>
      <c r="D138" s="2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5"/>
    </row>
    <row r="139">
      <c r="A139" s="12"/>
      <c r="B139" s="11"/>
      <c r="C139" s="8"/>
      <c r="D139" s="2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5"/>
    </row>
    <row r="140">
      <c r="A140" s="6"/>
      <c r="B140" s="11"/>
      <c r="C140" s="8"/>
      <c r="D140" s="2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5"/>
    </row>
    <row r="141">
      <c r="A141" s="12"/>
      <c r="B141" s="11"/>
      <c r="C141" s="8"/>
      <c r="D141" s="2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5"/>
    </row>
    <row r="142">
      <c r="A142" s="6"/>
      <c r="B142" s="11"/>
      <c r="C142" s="21"/>
      <c r="D142" s="2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5"/>
    </row>
    <row r="143">
      <c r="A143" s="12"/>
      <c r="B143" s="11"/>
      <c r="C143" s="21"/>
      <c r="D143" s="2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5"/>
    </row>
    <row r="144">
      <c r="A144" s="6"/>
      <c r="B144" s="11"/>
      <c r="C144" s="21"/>
      <c r="D144" s="2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5"/>
    </row>
    <row r="145">
      <c r="A145" s="12"/>
      <c r="B145" s="11"/>
      <c r="C145" s="21"/>
      <c r="D145" s="2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5"/>
    </row>
    <row r="146">
      <c r="A146" s="6"/>
      <c r="B146" s="11"/>
      <c r="C146" s="8"/>
      <c r="D146" s="2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5"/>
    </row>
    <row r="147">
      <c r="A147" s="12"/>
      <c r="B147" s="11"/>
      <c r="C147" s="8"/>
      <c r="D147" s="2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5"/>
    </row>
    <row r="148">
      <c r="A148" s="6"/>
      <c r="B148" s="11"/>
      <c r="C148" s="8"/>
      <c r="D148" s="2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5"/>
    </row>
    <row r="149">
      <c r="A149" s="12"/>
      <c r="B149" s="11"/>
      <c r="C149" s="8"/>
      <c r="D149" s="2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5"/>
    </row>
    <row r="150">
      <c r="A150" s="6"/>
      <c r="B150" s="11"/>
      <c r="C150" s="8"/>
      <c r="D150" s="2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5"/>
    </row>
    <row r="151">
      <c r="A151" s="12"/>
      <c r="B151" s="11"/>
      <c r="C151" s="8"/>
      <c r="D151" s="2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5"/>
    </row>
    <row r="152">
      <c r="A152" s="6"/>
      <c r="B152" s="11"/>
      <c r="C152" s="8"/>
      <c r="D152" s="2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5"/>
    </row>
    <row r="153">
      <c r="A153" s="12"/>
      <c r="B153" s="11"/>
      <c r="C153" s="21"/>
      <c r="D153" s="2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5"/>
    </row>
    <row r="154">
      <c r="A154" s="6"/>
      <c r="B154" s="11"/>
      <c r="C154" s="21"/>
      <c r="D154" s="2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5"/>
    </row>
    <row r="155">
      <c r="A155" s="12"/>
      <c r="B155" s="11"/>
      <c r="C155" s="21"/>
      <c r="D155" s="2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5"/>
    </row>
    <row r="156">
      <c r="A156" s="6"/>
      <c r="B156" s="11"/>
      <c r="C156" s="21"/>
      <c r="D156" s="2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5"/>
    </row>
    <row r="157">
      <c r="A157" s="12"/>
      <c r="B157" s="11"/>
      <c r="C157" s="8"/>
      <c r="D157" s="2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5"/>
    </row>
    <row r="158">
      <c r="A158" s="6"/>
      <c r="B158" s="11"/>
      <c r="C158" s="8"/>
      <c r="D158" s="2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5"/>
    </row>
    <row r="159">
      <c r="A159" s="12"/>
      <c r="B159" s="11"/>
      <c r="C159" s="8"/>
      <c r="D159" s="2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5"/>
    </row>
    <row r="160">
      <c r="A160" s="6"/>
      <c r="B160" s="11"/>
      <c r="C160" s="8"/>
      <c r="D160" s="2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5"/>
    </row>
    <row r="161">
      <c r="A161" s="12"/>
      <c r="B161" s="11"/>
      <c r="C161" s="8"/>
      <c r="D161" s="2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5"/>
    </row>
    <row r="162">
      <c r="A162" s="6"/>
      <c r="B162" s="11"/>
      <c r="C162" s="20"/>
      <c r="D162" s="2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5"/>
    </row>
    <row r="163">
      <c r="A163" s="12"/>
      <c r="B163" s="11"/>
      <c r="C163" s="20"/>
      <c r="D163" s="2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5"/>
    </row>
    <row r="164">
      <c r="A164" s="6"/>
      <c r="B164" s="11"/>
      <c r="C164" s="20"/>
      <c r="D164" s="2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5"/>
    </row>
    <row r="165">
      <c r="A165" s="12"/>
      <c r="B165" s="11"/>
      <c r="C165" s="20"/>
      <c r="D165" s="2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5"/>
    </row>
    <row r="166">
      <c r="A166" s="6"/>
      <c r="B166" s="11"/>
      <c r="C166" s="20"/>
      <c r="D166" s="2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5"/>
    </row>
    <row r="167">
      <c r="A167" s="12"/>
      <c r="B167" s="11"/>
      <c r="C167" s="20"/>
      <c r="D167" s="2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5"/>
    </row>
    <row r="168">
      <c r="A168" s="6"/>
      <c r="B168" s="11"/>
      <c r="C168" s="20"/>
      <c r="D168" s="2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5"/>
    </row>
    <row r="169">
      <c r="A169" s="12"/>
      <c r="B169" s="11"/>
      <c r="C169" s="20"/>
      <c r="D169" s="2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5"/>
    </row>
    <row r="170">
      <c r="A170" s="6"/>
      <c r="B170" s="11"/>
      <c r="C170" s="20"/>
      <c r="D170" s="2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5"/>
    </row>
    <row r="171">
      <c r="A171" s="12"/>
      <c r="B171" s="11"/>
      <c r="C171" s="20"/>
      <c r="D171" s="2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5"/>
    </row>
    <row r="172">
      <c r="A172" s="6"/>
      <c r="B172" s="11"/>
      <c r="C172" s="20"/>
      <c r="D172" s="2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5"/>
    </row>
    <row r="173">
      <c r="A173" s="12"/>
      <c r="B173" s="11"/>
      <c r="C173" s="20"/>
      <c r="D173" s="2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5"/>
    </row>
    <row r="174">
      <c r="A174" s="6"/>
      <c r="B174" s="11"/>
      <c r="C174" s="20"/>
      <c r="D174" s="2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5"/>
    </row>
    <row r="175">
      <c r="A175" s="12"/>
      <c r="B175" s="11"/>
      <c r="C175" s="20"/>
      <c r="D175" s="2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5"/>
    </row>
    <row r="176">
      <c r="A176" s="6"/>
      <c r="B176" s="11"/>
      <c r="C176" s="20"/>
      <c r="D176" s="2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5"/>
    </row>
    <row r="177">
      <c r="A177" s="12"/>
      <c r="B177" s="11"/>
      <c r="C177" s="20"/>
      <c r="D177" s="2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5"/>
    </row>
    <row r="178">
      <c r="A178" s="6"/>
      <c r="B178" s="11"/>
      <c r="C178" s="20"/>
      <c r="D178" s="2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5"/>
    </row>
    <row r="179">
      <c r="A179" s="12"/>
      <c r="B179" s="11"/>
      <c r="C179" s="20"/>
      <c r="D179" s="2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5"/>
    </row>
    <row r="180">
      <c r="A180" s="6"/>
      <c r="B180" s="11"/>
      <c r="C180" s="20"/>
      <c r="D180" s="2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5"/>
    </row>
    <row r="181">
      <c r="A181" s="12"/>
      <c r="B181" s="11"/>
      <c r="C181" s="20"/>
      <c r="D181" s="2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5"/>
    </row>
    <row r="182">
      <c r="A182" s="6"/>
      <c r="B182" s="11"/>
      <c r="C182" s="20"/>
      <c r="D182" s="2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5"/>
    </row>
    <row r="183">
      <c r="A183" s="12"/>
      <c r="B183" s="11"/>
      <c r="C183" s="20"/>
      <c r="D183" s="2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5"/>
    </row>
    <row r="184">
      <c r="A184" s="6"/>
      <c r="B184" s="11"/>
      <c r="C184" s="20"/>
      <c r="D184" s="2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5"/>
    </row>
    <row r="185">
      <c r="A185" s="12"/>
      <c r="B185" s="11"/>
      <c r="C185" s="20"/>
      <c r="D185" s="2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5"/>
    </row>
    <row r="186">
      <c r="A186" s="6"/>
      <c r="B186" s="11"/>
      <c r="C186" s="20"/>
      <c r="D186" s="2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5"/>
    </row>
    <row r="187">
      <c r="A187" s="12"/>
      <c r="B187" s="11"/>
      <c r="C187" s="20"/>
      <c r="D187" s="2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5"/>
    </row>
    <row r="188">
      <c r="A188" s="6"/>
      <c r="B188" s="11"/>
      <c r="C188" s="20"/>
      <c r="D188" s="2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5"/>
    </row>
    <row r="189">
      <c r="A189" s="12"/>
      <c r="B189" s="11"/>
      <c r="C189" s="20"/>
      <c r="D189" s="2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5"/>
    </row>
    <row r="190">
      <c r="A190" s="6"/>
      <c r="B190" s="11"/>
      <c r="C190" s="20"/>
      <c r="D190" s="2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5"/>
    </row>
    <row r="191">
      <c r="A191" s="12"/>
      <c r="B191" s="11"/>
      <c r="C191" s="20"/>
      <c r="D191" s="2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5"/>
    </row>
    <row r="192">
      <c r="A192" s="6"/>
      <c r="B192" s="11"/>
      <c r="C192" s="20"/>
      <c r="D192" s="2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5"/>
    </row>
    <row r="193">
      <c r="A193" s="12"/>
      <c r="B193" s="11"/>
      <c r="C193" s="20"/>
      <c r="D193" s="2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5"/>
    </row>
    <row r="194">
      <c r="A194" s="6"/>
      <c r="B194" s="11"/>
      <c r="C194" s="20"/>
      <c r="D194" s="2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5"/>
    </row>
    <row r="195">
      <c r="A195" s="12"/>
      <c r="B195" s="11"/>
      <c r="C195" s="20"/>
      <c r="D195" s="2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5"/>
    </row>
    <row r="196">
      <c r="A196" s="6"/>
      <c r="B196" s="11"/>
      <c r="C196" s="20"/>
      <c r="D196" s="2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5"/>
    </row>
    <row r="197">
      <c r="A197" s="12"/>
      <c r="B197" s="11"/>
      <c r="C197" s="20"/>
      <c r="D197" s="2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5"/>
    </row>
    <row r="198">
      <c r="A198" s="6"/>
      <c r="B198" s="11"/>
      <c r="C198" s="20"/>
      <c r="D198" s="2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5"/>
    </row>
    <row r="199">
      <c r="A199" s="12"/>
      <c r="B199" s="11"/>
      <c r="C199" s="20"/>
      <c r="D199" s="2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5"/>
    </row>
    <row r="200">
      <c r="A200" s="6"/>
      <c r="B200" s="11"/>
      <c r="C200" s="20"/>
      <c r="D200" s="2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5"/>
    </row>
    <row r="201">
      <c r="A201" s="12"/>
      <c r="B201" s="11"/>
      <c r="C201" s="20"/>
      <c r="D201" s="2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5"/>
    </row>
    <row r="202">
      <c r="A202" s="6"/>
      <c r="B202" s="11"/>
      <c r="C202" s="20"/>
      <c r="D202" s="2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5"/>
    </row>
    <row r="203">
      <c r="A203" s="12"/>
      <c r="B203" s="11"/>
      <c r="C203" s="20"/>
      <c r="D203" s="2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5"/>
    </row>
    <row r="204">
      <c r="A204" s="6"/>
      <c r="B204" s="11"/>
      <c r="C204" s="20"/>
      <c r="D204" s="2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5"/>
    </row>
    <row r="205">
      <c r="A205" s="12"/>
      <c r="B205" s="11"/>
      <c r="C205" s="20"/>
      <c r="D205" s="2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5"/>
    </row>
    <row r="206">
      <c r="A206" s="6"/>
      <c r="B206" s="11"/>
      <c r="C206" s="20"/>
      <c r="D206" s="2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5"/>
    </row>
    <row r="207">
      <c r="A207" s="12"/>
      <c r="B207" s="11"/>
      <c r="C207" s="20"/>
      <c r="D207" s="2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5"/>
    </row>
    <row r="208">
      <c r="A208" s="6"/>
      <c r="B208" s="11"/>
      <c r="C208" s="20"/>
      <c r="D208" s="2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5"/>
    </row>
    <row r="209">
      <c r="A209" s="12"/>
      <c r="B209" s="11"/>
      <c r="C209" s="20"/>
      <c r="D209" s="2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5"/>
    </row>
    <row r="210">
      <c r="A210" s="6"/>
      <c r="B210" s="11"/>
      <c r="C210" s="20"/>
      <c r="D210" s="2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5"/>
    </row>
    <row r="211">
      <c r="A211" s="12"/>
      <c r="B211" s="11"/>
      <c r="C211" s="20"/>
      <c r="D211" s="2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5"/>
    </row>
    <row r="212">
      <c r="A212" s="6"/>
      <c r="B212" s="11"/>
      <c r="C212" s="20"/>
      <c r="D212" s="2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5"/>
    </row>
    <row r="213">
      <c r="A213" s="12"/>
      <c r="B213" s="11"/>
      <c r="C213" s="20"/>
      <c r="D213" s="2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5"/>
    </row>
    <row r="214">
      <c r="A214" s="6"/>
      <c r="B214" s="11"/>
      <c r="C214" s="20"/>
      <c r="D214" s="2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5"/>
    </row>
    <row r="215">
      <c r="A215" s="12"/>
      <c r="B215" s="11"/>
      <c r="C215" s="20"/>
      <c r="D215" s="2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5"/>
    </row>
    <row r="216">
      <c r="A216" s="6"/>
      <c r="B216" s="11"/>
      <c r="C216" s="20"/>
      <c r="D216" s="2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5"/>
    </row>
    <row r="217">
      <c r="A217" s="12"/>
      <c r="B217" s="11"/>
      <c r="C217" s="20"/>
      <c r="D217" s="2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5"/>
    </row>
    <row r="218">
      <c r="A218" s="6"/>
      <c r="B218" s="11"/>
      <c r="C218" s="20"/>
      <c r="D218" s="2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5"/>
    </row>
    <row r="219">
      <c r="A219" s="12"/>
      <c r="B219" s="11"/>
      <c r="C219" s="20"/>
      <c r="D219" s="2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5"/>
    </row>
    <row r="220">
      <c r="A220" s="6"/>
      <c r="B220" s="11"/>
      <c r="C220" s="20"/>
      <c r="D220" s="2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5"/>
    </row>
    <row r="221">
      <c r="A221" s="12"/>
      <c r="B221" s="11"/>
      <c r="C221" s="20"/>
      <c r="D221" s="2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5"/>
    </row>
    <row r="222">
      <c r="A222" s="6"/>
      <c r="B222" s="11"/>
      <c r="C222" s="20"/>
      <c r="D222" s="2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5"/>
    </row>
    <row r="223">
      <c r="A223" s="12"/>
      <c r="B223" s="11"/>
      <c r="C223" s="20"/>
      <c r="D223" s="2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5"/>
    </row>
    <row r="224">
      <c r="A224" s="6"/>
      <c r="B224" s="11"/>
      <c r="C224" s="20"/>
      <c r="D224" s="2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5"/>
    </row>
    <row r="225">
      <c r="A225" s="12"/>
      <c r="B225" s="11"/>
      <c r="C225" s="20"/>
      <c r="D225" s="2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5"/>
    </row>
    <row r="226">
      <c r="A226" s="6"/>
      <c r="B226" s="11"/>
      <c r="C226" s="20"/>
      <c r="D226" s="2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5"/>
    </row>
    <row r="227">
      <c r="A227" s="12"/>
      <c r="B227" s="11"/>
      <c r="C227" s="20"/>
      <c r="D227" s="2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5"/>
    </row>
    <row r="228">
      <c r="A228" s="6"/>
      <c r="B228" s="11"/>
      <c r="C228" s="20"/>
      <c r="D228" s="2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5"/>
    </row>
    <row r="229">
      <c r="A229" s="12"/>
      <c r="B229" s="11"/>
      <c r="C229" s="20"/>
      <c r="D229" s="2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5"/>
    </row>
    <row r="230">
      <c r="A230" s="6"/>
      <c r="B230" s="11"/>
      <c r="C230" s="20"/>
      <c r="D230" s="2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5"/>
    </row>
    <row r="231">
      <c r="A231" s="12"/>
      <c r="B231" s="11"/>
      <c r="C231" s="20"/>
      <c r="D231" s="2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5"/>
    </row>
    <row r="232">
      <c r="A232" s="6"/>
      <c r="B232" s="11"/>
      <c r="C232" s="20"/>
      <c r="D232" s="2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5"/>
    </row>
    <row r="233">
      <c r="A233" s="12"/>
      <c r="B233" s="11"/>
      <c r="C233" s="20"/>
      <c r="D233" s="2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5"/>
    </row>
    <row r="234">
      <c r="A234" s="6"/>
      <c r="B234" s="11"/>
      <c r="C234" s="20"/>
      <c r="D234" s="2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5"/>
    </row>
    <row r="235">
      <c r="A235" s="12"/>
      <c r="B235" s="11"/>
      <c r="C235" s="20"/>
      <c r="D235" s="2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5"/>
    </row>
    <row r="236">
      <c r="A236" s="6"/>
      <c r="B236" s="11"/>
      <c r="C236" s="20"/>
      <c r="D236" s="2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5"/>
    </row>
    <row r="237">
      <c r="A237" s="12"/>
      <c r="B237" s="11"/>
      <c r="C237" s="20"/>
      <c r="D237" s="2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5"/>
    </row>
    <row r="238">
      <c r="A238" s="6"/>
      <c r="B238" s="11"/>
      <c r="C238" s="20"/>
      <c r="D238" s="2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5"/>
    </row>
    <row r="239">
      <c r="A239" s="12"/>
      <c r="B239" s="11"/>
      <c r="C239" s="20"/>
      <c r="D239" s="2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5"/>
    </row>
    <row r="240">
      <c r="A240" s="6"/>
      <c r="B240" s="11"/>
      <c r="C240" s="20"/>
      <c r="D240" s="2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5"/>
    </row>
    <row r="241">
      <c r="A241" s="12"/>
      <c r="B241" s="11"/>
      <c r="C241" s="20"/>
      <c r="D241" s="2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5"/>
    </row>
    <row r="242">
      <c r="A242" s="6"/>
      <c r="B242" s="11"/>
      <c r="C242" s="20"/>
      <c r="D242" s="2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5"/>
    </row>
    <row r="243">
      <c r="A243" s="12"/>
      <c r="B243" s="11"/>
      <c r="C243" s="20"/>
      <c r="D243" s="2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5"/>
    </row>
    <row r="244">
      <c r="A244" s="6"/>
      <c r="B244" s="11"/>
      <c r="C244" s="20"/>
      <c r="D244" s="2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5"/>
    </row>
    <row r="245">
      <c r="A245" s="12"/>
      <c r="B245" s="11"/>
      <c r="C245" s="20"/>
      <c r="D245" s="2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5"/>
    </row>
    <row r="246">
      <c r="A246" s="6"/>
      <c r="B246" s="11"/>
      <c r="C246" s="20"/>
      <c r="D246" s="2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5"/>
    </row>
    <row r="247">
      <c r="A247" s="12"/>
      <c r="B247" s="11"/>
      <c r="C247" s="20"/>
      <c r="D247" s="2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5"/>
    </row>
    <row r="248">
      <c r="A248" s="6"/>
      <c r="B248" s="11"/>
      <c r="C248" s="20"/>
      <c r="D248" s="2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5"/>
    </row>
    <row r="249">
      <c r="A249" s="12"/>
      <c r="B249" s="11"/>
      <c r="C249" s="20"/>
      <c r="D249" s="2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5"/>
    </row>
    <row r="250">
      <c r="A250" s="6"/>
      <c r="B250" s="11"/>
      <c r="C250" s="20"/>
      <c r="D250" s="2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5"/>
    </row>
    <row r="251">
      <c r="A251" s="12"/>
      <c r="B251" s="11"/>
      <c r="C251" s="20"/>
      <c r="D251" s="2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5"/>
    </row>
    <row r="252">
      <c r="A252" s="6"/>
      <c r="B252" s="11"/>
      <c r="C252" s="20"/>
      <c r="D252" s="2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5"/>
    </row>
    <row r="253">
      <c r="A253" s="12"/>
      <c r="B253" s="11"/>
      <c r="C253" s="20"/>
      <c r="D253" s="2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5"/>
    </row>
    <row r="254">
      <c r="A254" s="6"/>
      <c r="B254" s="11"/>
      <c r="C254" s="20"/>
      <c r="D254" s="2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5"/>
    </row>
    <row r="255">
      <c r="A255" s="12"/>
      <c r="B255" s="11"/>
      <c r="C255" s="20"/>
      <c r="D255" s="2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5"/>
    </row>
    <row r="256">
      <c r="A256" s="6"/>
      <c r="B256" s="11"/>
      <c r="C256" s="20"/>
      <c r="D256" s="2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5"/>
    </row>
    <row r="257">
      <c r="A257" s="12"/>
      <c r="B257" s="11"/>
      <c r="C257" s="20"/>
      <c r="D257" s="2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5"/>
    </row>
    <row r="258">
      <c r="A258" s="6"/>
      <c r="B258" s="11"/>
      <c r="C258" s="20"/>
      <c r="D258" s="2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5"/>
    </row>
    <row r="259">
      <c r="A259" s="12"/>
      <c r="B259" s="11"/>
      <c r="C259" s="20"/>
      <c r="D259" s="2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5"/>
    </row>
    <row r="260">
      <c r="A260" s="6"/>
      <c r="B260" s="11"/>
      <c r="C260" s="20"/>
      <c r="D260" s="2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5"/>
    </row>
    <row r="261">
      <c r="A261" s="12"/>
      <c r="B261" s="11"/>
      <c r="C261" s="20"/>
      <c r="D261" s="2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5"/>
    </row>
    <row r="262">
      <c r="A262" s="6"/>
      <c r="B262" s="11"/>
      <c r="C262" s="20"/>
      <c r="D262" s="2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5"/>
    </row>
    <row r="263">
      <c r="A263" s="12"/>
      <c r="B263" s="11"/>
      <c r="C263" s="20"/>
      <c r="D263" s="2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5"/>
    </row>
    <row r="264">
      <c r="A264" s="6"/>
      <c r="B264" s="11"/>
      <c r="C264" s="20"/>
      <c r="D264" s="20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5"/>
    </row>
    <row r="265">
      <c r="A265" s="12"/>
      <c r="B265" s="11"/>
      <c r="C265" s="20"/>
      <c r="D265" s="20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5"/>
    </row>
    <row r="266">
      <c r="A266" s="6"/>
      <c r="B266" s="11"/>
      <c r="C266" s="20"/>
      <c r="D266" s="20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5"/>
    </row>
    <row r="267">
      <c r="A267" s="12"/>
      <c r="B267" s="11"/>
      <c r="C267" s="20"/>
      <c r="D267" s="20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5"/>
    </row>
    <row r="268">
      <c r="A268" s="6"/>
      <c r="B268" s="11"/>
      <c r="C268" s="20"/>
      <c r="D268" s="20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5"/>
    </row>
    <row r="269">
      <c r="A269" s="12"/>
      <c r="B269" s="11"/>
      <c r="C269" s="20"/>
      <c r="D269" s="20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5"/>
    </row>
    <row r="270">
      <c r="A270" s="6"/>
      <c r="B270" s="11"/>
      <c r="C270" s="20"/>
      <c r="D270" s="20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5"/>
    </row>
    <row r="271">
      <c r="A271" s="12"/>
      <c r="B271" s="11"/>
      <c r="C271" s="20"/>
      <c r="D271" s="20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5"/>
    </row>
    <row r="272">
      <c r="A272" s="6"/>
      <c r="B272" s="11"/>
      <c r="C272" s="20"/>
      <c r="D272" s="20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5"/>
    </row>
    <row r="273">
      <c r="A273" s="12"/>
      <c r="B273" s="11"/>
      <c r="C273" s="20"/>
      <c r="D273" s="20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5"/>
    </row>
    <row r="274">
      <c r="A274" s="6"/>
      <c r="B274" s="11"/>
      <c r="C274" s="20"/>
      <c r="D274" s="2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5"/>
    </row>
    <row r="275">
      <c r="A275" s="12"/>
      <c r="B275" s="11"/>
      <c r="C275" s="20"/>
      <c r="D275" s="20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5"/>
    </row>
    <row r="276">
      <c r="A276" s="6"/>
      <c r="B276" s="11"/>
      <c r="C276" s="20"/>
      <c r="D276" s="20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5"/>
    </row>
    <row r="277">
      <c r="A277" s="12"/>
      <c r="B277" s="11"/>
      <c r="C277" s="20"/>
      <c r="D277" s="20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5"/>
    </row>
    <row r="278">
      <c r="A278" s="6"/>
      <c r="B278" s="11"/>
      <c r="C278" s="20"/>
      <c r="D278" s="20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5"/>
    </row>
    <row r="279">
      <c r="A279" s="12"/>
      <c r="B279" s="11"/>
      <c r="C279" s="20"/>
      <c r="D279" s="20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5"/>
    </row>
    <row r="280">
      <c r="A280" s="6"/>
      <c r="B280" s="11"/>
      <c r="C280" s="20"/>
      <c r="D280" s="2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5"/>
    </row>
    <row r="281">
      <c r="A281" s="12"/>
      <c r="B281" s="11"/>
      <c r="C281" s="20"/>
      <c r="D281" s="20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5"/>
    </row>
    <row r="282">
      <c r="A282" s="6"/>
      <c r="B282" s="11"/>
      <c r="C282" s="20"/>
      <c r="D282" s="20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5"/>
    </row>
    <row r="283">
      <c r="A283" s="12"/>
      <c r="B283" s="11"/>
      <c r="C283" s="20"/>
      <c r="D283" s="20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5"/>
    </row>
    <row r="284">
      <c r="A284" s="6"/>
      <c r="B284" s="11"/>
      <c r="C284" s="20"/>
      <c r="D284" s="20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5"/>
    </row>
    <row r="285">
      <c r="A285" s="12"/>
      <c r="B285" s="11"/>
      <c r="C285" s="20"/>
      <c r="D285" s="20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5"/>
    </row>
    <row r="286">
      <c r="A286" s="6"/>
      <c r="B286" s="11"/>
      <c r="C286" s="20"/>
      <c r="D286" s="20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5"/>
    </row>
    <row r="287">
      <c r="A287" s="12"/>
      <c r="B287" s="11"/>
      <c r="C287" s="20"/>
      <c r="D287" s="20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5"/>
    </row>
    <row r="288">
      <c r="A288" s="6"/>
      <c r="B288" s="11"/>
      <c r="C288" s="20"/>
      <c r="D288" s="20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5"/>
    </row>
    <row r="289">
      <c r="A289" s="12"/>
      <c r="B289" s="11"/>
      <c r="C289" s="20"/>
      <c r="D289" s="20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5"/>
    </row>
    <row r="290">
      <c r="A290" s="6"/>
      <c r="B290" s="11"/>
      <c r="C290" s="20"/>
      <c r="D290" s="20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5"/>
    </row>
    <row r="291">
      <c r="A291" s="12"/>
      <c r="B291" s="11"/>
      <c r="C291" s="20"/>
      <c r="D291" s="20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5"/>
    </row>
    <row r="292">
      <c r="A292" s="6"/>
      <c r="B292" s="11"/>
      <c r="C292" s="20"/>
      <c r="D292" s="20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5"/>
    </row>
    <row r="293">
      <c r="A293" s="12"/>
      <c r="B293" s="11"/>
      <c r="C293" s="20"/>
      <c r="D293" s="20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5"/>
    </row>
    <row r="294">
      <c r="A294" s="6"/>
      <c r="B294" s="11"/>
      <c r="C294" s="20"/>
      <c r="D294" s="20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5"/>
    </row>
    <row r="295">
      <c r="A295" s="12"/>
      <c r="B295" s="11"/>
      <c r="C295" s="20"/>
      <c r="D295" s="20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5"/>
    </row>
    <row r="296">
      <c r="A296" s="6"/>
      <c r="B296" s="11"/>
      <c r="C296" s="20"/>
      <c r="D296" s="20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5"/>
    </row>
    <row r="297">
      <c r="A297" s="12"/>
      <c r="B297" s="11"/>
      <c r="C297" s="20"/>
      <c r="D297" s="20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5"/>
    </row>
    <row r="298">
      <c r="A298" s="6"/>
      <c r="B298" s="11"/>
      <c r="C298" s="20"/>
      <c r="D298" s="20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5"/>
    </row>
    <row r="299">
      <c r="A299" s="12"/>
      <c r="B299" s="11"/>
      <c r="C299" s="20"/>
      <c r="D299" s="20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5"/>
    </row>
    <row r="300">
      <c r="A300" s="6"/>
      <c r="B300" s="11"/>
      <c r="C300" s="20"/>
      <c r="D300" s="20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5"/>
    </row>
    <row r="301">
      <c r="A301" s="12"/>
      <c r="B301" s="11"/>
      <c r="C301" s="20"/>
      <c r="D301" s="20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5"/>
    </row>
    <row r="302">
      <c r="A302" s="6"/>
      <c r="B302" s="11"/>
      <c r="C302" s="20"/>
      <c r="D302" s="20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5"/>
    </row>
    <row r="303">
      <c r="A303" s="12"/>
      <c r="B303" s="11"/>
      <c r="C303" s="20"/>
      <c r="D303" s="20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5"/>
    </row>
    <row r="304">
      <c r="A304" s="6"/>
      <c r="B304" s="11"/>
      <c r="C304" s="20"/>
      <c r="D304" s="20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5"/>
    </row>
    <row r="305">
      <c r="A305" s="12"/>
      <c r="B305" s="11"/>
      <c r="C305" s="20"/>
      <c r="D305" s="20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5"/>
    </row>
    <row r="306">
      <c r="A306" s="6"/>
      <c r="B306" s="11"/>
      <c r="C306" s="20"/>
      <c r="D306" s="20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5"/>
    </row>
    <row r="307">
      <c r="A307" s="12"/>
      <c r="B307" s="11"/>
      <c r="C307" s="20"/>
      <c r="D307" s="20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5"/>
    </row>
    <row r="308">
      <c r="A308" s="6"/>
      <c r="B308" s="11"/>
      <c r="C308" s="20"/>
      <c r="D308" s="20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5"/>
    </row>
    <row r="309">
      <c r="A309" s="12"/>
      <c r="B309" s="11"/>
      <c r="C309" s="20"/>
      <c r="D309" s="20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5"/>
    </row>
    <row r="310">
      <c r="A310" s="6"/>
      <c r="B310" s="11"/>
      <c r="C310" s="20"/>
      <c r="D310" s="20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5"/>
    </row>
    <row r="311">
      <c r="A311" s="12"/>
      <c r="B311" s="11"/>
      <c r="C311" s="20"/>
      <c r="D311" s="2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5"/>
    </row>
    <row r="312">
      <c r="A312" s="6"/>
      <c r="B312" s="11"/>
      <c r="C312" s="20"/>
      <c r="D312" s="20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5"/>
    </row>
    <row r="313">
      <c r="A313" s="12"/>
      <c r="B313" s="11"/>
      <c r="C313" s="20"/>
      <c r="D313" s="20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5"/>
    </row>
    <row r="314">
      <c r="A314" s="6"/>
      <c r="B314" s="11"/>
      <c r="C314" s="20"/>
      <c r="D314" s="20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5"/>
    </row>
    <row r="315">
      <c r="A315" s="12"/>
      <c r="B315" s="11"/>
      <c r="C315" s="20"/>
      <c r="D315" s="20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5"/>
    </row>
    <row r="316">
      <c r="A316" s="6"/>
      <c r="B316" s="11"/>
      <c r="C316" s="20"/>
      <c r="D316" s="20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5"/>
    </row>
    <row r="317">
      <c r="A317" s="12"/>
      <c r="B317" s="11"/>
      <c r="C317" s="20"/>
      <c r="D317" s="20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5"/>
    </row>
    <row r="318">
      <c r="A318" s="6"/>
      <c r="B318" s="11"/>
      <c r="C318" s="20"/>
      <c r="D318" s="20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5"/>
    </row>
    <row r="319">
      <c r="A319" s="12"/>
      <c r="B319" s="11"/>
      <c r="C319" s="20"/>
      <c r="D319" s="20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5"/>
    </row>
    <row r="320">
      <c r="A320" s="6"/>
      <c r="B320" s="11"/>
      <c r="C320" s="20"/>
      <c r="D320" s="20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5"/>
    </row>
    <row r="321">
      <c r="A321" s="12"/>
      <c r="B321" s="11"/>
      <c r="C321" s="20"/>
      <c r="D321" s="20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5"/>
    </row>
    <row r="322">
      <c r="A322" s="6"/>
      <c r="B322" s="11"/>
      <c r="C322" s="20"/>
      <c r="D322" s="2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5"/>
    </row>
    <row r="323">
      <c r="A323" s="12"/>
      <c r="B323" s="11"/>
      <c r="C323" s="20"/>
      <c r="D323" s="20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5"/>
    </row>
    <row r="324">
      <c r="A324" s="6"/>
      <c r="B324" s="11"/>
      <c r="C324" s="20"/>
      <c r="D324" s="20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5"/>
    </row>
    <row r="325">
      <c r="A325" s="12"/>
      <c r="B325" s="11"/>
      <c r="C325" s="20"/>
      <c r="D325" s="20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5"/>
    </row>
    <row r="326">
      <c r="A326" s="6"/>
      <c r="B326" s="11"/>
      <c r="C326" s="20"/>
      <c r="D326" s="20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5"/>
    </row>
    <row r="327">
      <c r="A327" s="12"/>
      <c r="B327" s="11"/>
      <c r="C327" s="20"/>
      <c r="D327" s="20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5"/>
    </row>
    <row r="328">
      <c r="A328" s="6"/>
      <c r="B328" s="11"/>
      <c r="C328" s="20"/>
      <c r="D328" s="2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5"/>
    </row>
    <row r="329">
      <c r="A329" s="12"/>
      <c r="B329" s="11"/>
      <c r="C329" s="20"/>
      <c r="D329" s="20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5"/>
    </row>
    <row r="330">
      <c r="A330" s="6"/>
      <c r="B330" s="11"/>
      <c r="C330" s="20"/>
      <c r="D330" s="2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5"/>
    </row>
    <row r="331">
      <c r="A331" s="12"/>
      <c r="B331" s="11"/>
      <c r="C331" s="20"/>
      <c r="D331" s="20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5"/>
    </row>
    <row r="332">
      <c r="A332" s="6"/>
      <c r="B332" s="11"/>
      <c r="C332" s="20"/>
      <c r="D332" s="20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5"/>
    </row>
    <row r="333">
      <c r="A333" s="12"/>
      <c r="B333" s="11"/>
      <c r="C333" s="20"/>
      <c r="D333" s="20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5"/>
    </row>
    <row r="334">
      <c r="A334" s="6"/>
      <c r="B334" s="11"/>
      <c r="C334" s="20"/>
      <c r="D334" s="20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5"/>
    </row>
    <row r="335">
      <c r="A335" s="12"/>
      <c r="B335" s="11"/>
      <c r="C335" s="20"/>
      <c r="D335" s="20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5"/>
    </row>
    <row r="336">
      <c r="A336" s="6"/>
      <c r="B336" s="11"/>
      <c r="C336" s="20"/>
      <c r="D336" s="2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5"/>
    </row>
    <row r="337">
      <c r="A337" s="12"/>
      <c r="B337" s="11"/>
      <c r="C337" s="20"/>
      <c r="D337" s="20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5"/>
    </row>
    <row r="338">
      <c r="A338" s="6"/>
      <c r="B338" s="11"/>
      <c r="C338" s="20"/>
      <c r="D338" s="20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5"/>
    </row>
    <row r="339">
      <c r="A339" s="12"/>
      <c r="B339" s="11"/>
      <c r="C339" s="20"/>
      <c r="D339" s="20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5"/>
    </row>
    <row r="340">
      <c r="A340" s="6"/>
      <c r="B340" s="11"/>
      <c r="C340" s="20"/>
      <c r="D340" s="20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5"/>
    </row>
    <row r="341">
      <c r="A341" s="12"/>
      <c r="B341" s="11"/>
      <c r="C341" s="20"/>
      <c r="D341" s="20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5"/>
    </row>
    <row r="342">
      <c r="A342" s="6"/>
      <c r="B342" s="11"/>
      <c r="C342" s="20"/>
      <c r="D342" s="20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5"/>
    </row>
    <row r="343">
      <c r="A343" s="12"/>
      <c r="B343" s="11"/>
      <c r="C343" s="20"/>
      <c r="D343" s="20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5"/>
    </row>
    <row r="344">
      <c r="A344" s="6"/>
      <c r="B344" s="11"/>
      <c r="C344" s="20"/>
      <c r="D344" s="20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5"/>
    </row>
    <row r="345">
      <c r="A345" s="12"/>
      <c r="B345" s="11"/>
      <c r="C345" s="20"/>
      <c r="D345" s="20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5"/>
    </row>
    <row r="346">
      <c r="A346" s="6"/>
      <c r="B346" s="11"/>
      <c r="C346" s="20"/>
      <c r="D346" s="20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5"/>
    </row>
    <row r="347">
      <c r="A347" s="12"/>
      <c r="B347" s="11"/>
      <c r="C347" s="20"/>
      <c r="D347" s="20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5"/>
    </row>
    <row r="348">
      <c r="A348" s="6"/>
      <c r="B348" s="11"/>
      <c r="C348" s="20"/>
      <c r="D348" s="20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5"/>
    </row>
    <row r="349">
      <c r="A349" s="12"/>
      <c r="B349" s="11"/>
      <c r="C349" s="20"/>
      <c r="D349" s="20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5"/>
    </row>
    <row r="350">
      <c r="A350" s="6"/>
      <c r="B350" s="11"/>
      <c r="C350" s="20"/>
      <c r="D350" s="20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5"/>
    </row>
    <row r="351">
      <c r="A351" s="12"/>
      <c r="B351" s="11"/>
      <c r="C351" s="20"/>
      <c r="D351" s="20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5"/>
    </row>
    <row r="352">
      <c r="A352" s="6"/>
      <c r="B352" s="11"/>
      <c r="C352" s="20"/>
      <c r="D352" s="20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5"/>
    </row>
    <row r="353">
      <c r="A353" s="12"/>
      <c r="B353" s="11"/>
      <c r="C353" s="20"/>
      <c r="D353" s="20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5"/>
    </row>
    <row r="354">
      <c r="A354" s="6"/>
      <c r="B354" s="11"/>
      <c r="C354" s="20"/>
      <c r="D354" s="20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5"/>
    </row>
    <row r="355">
      <c r="A355" s="12"/>
      <c r="B355" s="11"/>
      <c r="C355" s="20"/>
      <c r="D355" s="20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5"/>
    </row>
    <row r="356">
      <c r="A356" s="6"/>
      <c r="B356" s="11"/>
      <c r="C356" s="20"/>
      <c r="D356" s="20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5"/>
    </row>
    <row r="357">
      <c r="A357" s="12"/>
      <c r="B357" s="11"/>
      <c r="C357" s="20"/>
      <c r="D357" s="20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5"/>
    </row>
    <row r="358">
      <c r="A358" s="6"/>
      <c r="B358" s="11"/>
      <c r="C358" s="20"/>
      <c r="D358" s="20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5"/>
    </row>
    <row r="359">
      <c r="A359" s="12"/>
      <c r="B359" s="11"/>
      <c r="C359" s="20"/>
      <c r="D359" s="20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5"/>
    </row>
    <row r="360">
      <c r="A360" s="6"/>
      <c r="B360" s="11"/>
      <c r="C360" s="20"/>
      <c r="D360" s="20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5"/>
    </row>
    <row r="361">
      <c r="A361" s="12"/>
      <c r="B361" s="11"/>
      <c r="C361" s="20"/>
      <c r="D361" s="2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5"/>
    </row>
    <row r="362">
      <c r="A362" s="6"/>
      <c r="B362" s="11"/>
      <c r="C362" s="20"/>
      <c r="D362" s="20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5"/>
    </row>
    <row r="363">
      <c r="A363" s="12"/>
      <c r="B363" s="11"/>
      <c r="C363" s="20"/>
      <c r="D363" s="20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5"/>
    </row>
    <row r="364">
      <c r="A364" s="6"/>
      <c r="B364" s="11"/>
      <c r="C364" s="20"/>
      <c r="D364" s="20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5"/>
    </row>
    <row r="365">
      <c r="A365" s="12"/>
      <c r="B365" s="11"/>
      <c r="C365" s="20"/>
      <c r="D365" s="20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5"/>
    </row>
    <row r="366">
      <c r="A366" s="6"/>
      <c r="B366" s="11"/>
      <c r="C366" s="20"/>
      <c r="D366" s="2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5"/>
    </row>
    <row r="367">
      <c r="A367" s="12"/>
      <c r="B367" s="11"/>
      <c r="C367" s="20"/>
      <c r="D367" s="20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5"/>
    </row>
    <row r="368">
      <c r="A368" s="6"/>
      <c r="B368" s="11"/>
      <c r="C368" s="20"/>
      <c r="D368" s="20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5"/>
    </row>
    <row r="369">
      <c r="A369" s="12"/>
      <c r="B369" s="11"/>
      <c r="C369" s="20"/>
      <c r="D369" s="20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5"/>
    </row>
    <row r="370">
      <c r="A370" s="6"/>
      <c r="B370" s="11"/>
      <c r="C370" s="20"/>
      <c r="D370" s="20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5"/>
    </row>
    <row r="371">
      <c r="A371" s="12"/>
      <c r="B371" s="11"/>
      <c r="C371" s="20"/>
      <c r="D371" s="20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5"/>
    </row>
    <row r="372">
      <c r="A372" s="6"/>
      <c r="B372" s="11"/>
      <c r="C372" s="20"/>
      <c r="D372" s="20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5"/>
    </row>
    <row r="373">
      <c r="A373" s="12"/>
      <c r="B373" s="11"/>
      <c r="C373" s="20"/>
      <c r="D373" s="20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5"/>
    </row>
    <row r="374">
      <c r="A374" s="6"/>
      <c r="B374" s="11"/>
      <c r="C374" s="20"/>
      <c r="D374" s="20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5"/>
    </row>
    <row r="375">
      <c r="A375" s="12"/>
      <c r="B375" s="11"/>
      <c r="C375" s="20"/>
      <c r="D375" s="20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5"/>
    </row>
    <row r="376">
      <c r="A376" s="6"/>
      <c r="B376" s="11"/>
      <c r="C376" s="20"/>
      <c r="D376" s="20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5"/>
    </row>
    <row r="377">
      <c r="A377" s="12"/>
      <c r="B377" s="11"/>
      <c r="C377" s="20"/>
      <c r="D377" s="20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5"/>
    </row>
    <row r="378">
      <c r="A378" s="6"/>
      <c r="B378" s="11"/>
      <c r="C378" s="20"/>
      <c r="D378" s="20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5"/>
    </row>
    <row r="379">
      <c r="A379" s="12"/>
      <c r="B379" s="11"/>
      <c r="C379" s="20"/>
      <c r="D379" s="20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5"/>
    </row>
    <row r="380">
      <c r="A380" s="6"/>
      <c r="B380" s="11"/>
      <c r="C380" s="20"/>
      <c r="D380" s="20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5"/>
    </row>
    <row r="381">
      <c r="A381" s="12"/>
      <c r="B381" s="11"/>
      <c r="C381" s="20"/>
      <c r="D381" s="20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5"/>
    </row>
    <row r="382">
      <c r="A382" s="6"/>
      <c r="B382" s="11"/>
      <c r="C382" s="20"/>
      <c r="D382" s="20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5"/>
    </row>
    <row r="383">
      <c r="A383" s="12"/>
      <c r="B383" s="11"/>
      <c r="C383" s="20"/>
      <c r="D383" s="20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5"/>
    </row>
    <row r="384">
      <c r="A384" s="6"/>
      <c r="B384" s="11"/>
      <c r="C384" s="20"/>
      <c r="D384" s="20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5"/>
    </row>
    <row r="385">
      <c r="A385" s="12"/>
      <c r="B385" s="11"/>
      <c r="C385" s="20"/>
      <c r="D385" s="20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5"/>
    </row>
    <row r="386">
      <c r="A386" s="6"/>
      <c r="B386" s="11"/>
      <c r="C386" s="20"/>
      <c r="D386" s="2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5"/>
    </row>
    <row r="387">
      <c r="A387" s="12"/>
      <c r="B387" s="11"/>
      <c r="C387" s="20"/>
      <c r="D387" s="20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5"/>
    </row>
    <row r="388">
      <c r="A388" s="6"/>
      <c r="B388" s="11"/>
      <c r="C388" s="20"/>
      <c r="D388" s="20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5"/>
    </row>
    <row r="389">
      <c r="A389" s="12"/>
      <c r="B389" s="11"/>
      <c r="C389" s="20"/>
      <c r="D389" s="20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5"/>
    </row>
    <row r="390">
      <c r="A390" s="6"/>
      <c r="B390" s="11"/>
      <c r="C390" s="20"/>
      <c r="D390" s="20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5"/>
    </row>
    <row r="391">
      <c r="A391" s="12"/>
      <c r="B391" s="11"/>
      <c r="C391" s="20"/>
      <c r="D391" s="20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5"/>
    </row>
    <row r="392">
      <c r="A392" s="6"/>
      <c r="B392" s="11"/>
      <c r="C392" s="20"/>
      <c r="D392" s="20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5"/>
    </row>
    <row r="393">
      <c r="A393" s="12"/>
      <c r="B393" s="11"/>
      <c r="C393" s="20"/>
      <c r="D393" s="20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5"/>
    </row>
    <row r="394">
      <c r="A394" s="6"/>
      <c r="B394" s="11"/>
      <c r="C394" s="20"/>
      <c r="D394" s="20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5"/>
    </row>
    <row r="395">
      <c r="A395" s="12"/>
      <c r="B395" s="11"/>
      <c r="C395" s="20"/>
      <c r="D395" s="20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5"/>
    </row>
    <row r="396">
      <c r="A396" s="6"/>
      <c r="B396" s="11"/>
      <c r="C396" s="20"/>
      <c r="D396" s="2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5"/>
    </row>
    <row r="397">
      <c r="A397" s="12"/>
      <c r="B397" s="11"/>
      <c r="C397" s="20"/>
      <c r="D397" s="20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5"/>
    </row>
    <row r="398">
      <c r="A398" s="6"/>
      <c r="B398" s="11"/>
      <c r="C398" s="20"/>
      <c r="D398" s="2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5"/>
    </row>
    <row r="399">
      <c r="A399" s="12"/>
      <c r="B399" s="11"/>
      <c r="C399" s="20"/>
      <c r="D399" s="20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5"/>
    </row>
    <row r="400">
      <c r="A400" s="6"/>
      <c r="B400" s="11"/>
      <c r="C400" s="20"/>
      <c r="D400" s="20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5"/>
    </row>
    <row r="401">
      <c r="A401" s="12"/>
      <c r="B401" s="11"/>
      <c r="C401" s="20"/>
      <c r="D401" s="20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5"/>
    </row>
    <row r="402">
      <c r="A402" s="6"/>
      <c r="B402" s="11"/>
      <c r="C402" s="20"/>
      <c r="D402" s="20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5"/>
    </row>
    <row r="403">
      <c r="A403" s="12"/>
      <c r="B403" s="11"/>
      <c r="C403" s="20"/>
      <c r="D403" s="20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5"/>
    </row>
    <row r="404">
      <c r="A404" s="6"/>
      <c r="B404" s="11"/>
      <c r="C404" s="20"/>
      <c r="D404" s="20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5"/>
    </row>
    <row r="405">
      <c r="A405" s="12"/>
      <c r="B405" s="11"/>
      <c r="C405" s="20"/>
      <c r="D405" s="20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5"/>
    </row>
    <row r="406">
      <c r="A406" s="6"/>
      <c r="B406" s="11"/>
      <c r="C406" s="20"/>
      <c r="D406" s="20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5"/>
    </row>
    <row r="407">
      <c r="A407" s="12"/>
      <c r="B407" s="11"/>
      <c r="C407" s="20"/>
      <c r="D407" s="20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5"/>
    </row>
    <row r="408">
      <c r="A408" s="6"/>
      <c r="B408" s="11"/>
      <c r="C408" s="20"/>
      <c r="D408" s="20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5"/>
    </row>
    <row r="409">
      <c r="A409" s="12"/>
      <c r="B409" s="11"/>
      <c r="C409" s="20"/>
      <c r="D409" s="20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5"/>
    </row>
    <row r="410">
      <c r="A410" s="6"/>
      <c r="B410" s="11"/>
      <c r="C410" s="20"/>
      <c r="D410" s="20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5"/>
    </row>
    <row r="411">
      <c r="A411" s="12"/>
      <c r="B411" s="11"/>
      <c r="C411" s="20"/>
      <c r="D411" s="2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5"/>
    </row>
    <row r="412">
      <c r="A412" s="6"/>
      <c r="B412" s="11"/>
      <c r="C412" s="20"/>
      <c r="D412" s="20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5"/>
    </row>
    <row r="413">
      <c r="A413" s="12"/>
      <c r="B413" s="11"/>
      <c r="C413" s="20"/>
      <c r="D413" s="20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5"/>
    </row>
    <row r="414">
      <c r="A414" s="6"/>
      <c r="B414" s="11"/>
      <c r="C414" s="20"/>
      <c r="D414" s="20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5"/>
    </row>
    <row r="415">
      <c r="A415" s="12"/>
      <c r="B415" s="11"/>
      <c r="C415" s="20"/>
      <c r="D415" s="20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5"/>
    </row>
    <row r="416">
      <c r="A416" s="6"/>
      <c r="B416" s="11"/>
      <c r="C416" s="20"/>
      <c r="D416" s="20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5"/>
    </row>
    <row r="417">
      <c r="A417" s="12"/>
      <c r="B417" s="11"/>
      <c r="C417" s="20"/>
      <c r="D417" s="20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5"/>
    </row>
    <row r="418">
      <c r="A418" s="6"/>
      <c r="B418" s="11"/>
      <c r="C418" s="20"/>
      <c r="D418" s="20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5"/>
    </row>
    <row r="419">
      <c r="A419" s="12"/>
      <c r="B419" s="11"/>
      <c r="C419" s="20"/>
      <c r="D419" s="20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5"/>
    </row>
    <row r="420">
      <c r="A420" s="6"/>
      <c r="B420" s="11"/>
      <c r="C420" s="20"/>
      <c r="D420" s="20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5"/>
    </row>
    <row r="421">
      <c r="A421" s="12"/>
      <c r="B421" s="11"/>
      <c r="C421" s="20"/>
      <c r="D421" s="20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5"/>
    </row>
    <row r="422">
      <c r="A422" s="6"/>
      <c r="B422" s="11"/>
      <c r="C422" s="20"/>
      <c r="D422" s="2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5"/>
    </row>
    <row r="423">
      <c r="A423" s="12"/>
      <c r="B423" s="11"/>
      <c r="C423" s="20"/>
      <c r="D423" s="20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5"/>
    </row>
    <row r="424">
      <c r="A424" s="6"/>
      <c r="B424" s="11"/>
      <c r="C424" s="20"/>
      <c r="D424" s="20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5"/>
    </row>
    <row r="425">
      <c r="A425" s="12"/>
      <c r="B425" s="11"/>
      <c r="C425" s="20"/>
      <c r="D425" s="20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5"/>
    </row>
    <row r="426">
      <c r="A426" s="6"/>
      <c r="B426" s="11"/>
      <c r="C426" s="20"/>
      <c r="D426" s="20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5"/>
    </row>
    <row r="427">
      <c r="A427" s="12"/>
      <c r="B427" s="11"/>
      <c r="C427" s="20"/>
      <c r="D427" s="20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5"/>
    </row>
    <row r="428">
      <c r="A428" s="6"/>
      <c r="B428" s="11"/>
      <c r="C428" s="20"/>
      <c r="D428" s="20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5"/>
    </row>
    <row r="429">
      <c r="A429" s="12"/>
      <c r="B429" s="11"/>
      <c r="C429" s="20"/>
      <c r="D429" s="20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5"/>
    </row>
    <row r="430">
      <c r="A430" s="6"/>
      <c r="B430" s="11"/>
      <c r="C430" s="20"/>
      <c r="D430" s="20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5"/>
    </row>
    <row r="431">
      <c r="A431" s="12"/>
      <c r="B431" s="11"/>
      <c r="C431" s="20"/>
      <c r="D431" s="20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5"/>
    </row>
    <row r="432">
      <c r="A432" s="6"/>
      <c r="B432" s="11"/>
      <c r="C432" s="20"/>
      <c r="D432" s="20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5"/>
    </row>
    <row r="433">
      <c r="A433" s="12"/>
      <c r="B433" s="11"/>
      <c r="C433" s="20"/>
      <c r="D433" s="20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5"/>
    </row>
    <row r="434">
      <c r="A434" s="6"/>
      <c r="B434" s="11"/>
      <c r="C434" s="20"/>
      <c r="D434" s="20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5"/>
    </row>
    <row r="435">
      <c r="A435" s="12"/>
      <c r="B435" s="11"/>
      <c r="C435" s="20"/>
      <c r="D435" s="20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5"/>
    </row>
    <row r="436">
      <c r="A436" s="6"/>
      <c r="B436" s="11"/>
      <c r="C436" s="20"/>
      <c r="D436" s="2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5"/>
    </row>
    <row r="437">
      <c r="A437" s="12"/>
      <c r="B437" s="11"/>
      <c r="C437" s="20"/>
      <c r="D437" s="20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5"/>
    </row>
    <row r="438">
      <c r="A438" s="6"/>
      <c r="B438" s="11"/>
      <c r="C438" s="20"/>
      <c r="D438" s="20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5"/>
    </row>
    <row r="439">
      <c r="A439" s="12"/>
      <c r="B439" s="11"/>
      <c r="C439" s="20"/>
      <c r="D439" s="20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5"/>
    </row>
    <row r="440">
      <c r="A440" s="6"/>
      <c r="B440" s="11"/>
      <c r="C440" s="20"/>
      <c r="D440" s="20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5"/>
    </row>
    <row r="441">
      <c r="A441" s="12"/>
      <c r="B441" s="11"/>
      <c r="C441" s="20"/>
      <c r="D441" s="20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5"/>
    </row>
    <row r="442">
      <c r="A442" s="6"/>
      <c r="B442" s="11"/>
      <c r="C442" s="20"/>
      <c r="D442" s="20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5"/>
    </row>
    <row r="443">
      <c r="A443" s="12"/>
      <c r="B443" s="11"/>
      <c r="C443" s="20"/>
      <c r="D443" s="20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5"/>
    </row>
    <row r="444">
      <c r="A444" s="6"/>
      <c r="B444" s="11"/>
      <c r="C444" s="20"/>
      <c r="D444" s="20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5"/>
    </row>
    <row r="445">
      <c r="A445" s="12"/>
      <c r="B445" s="11"/>
      <c r="C445" s="20"/>
      <c r="D445" s="20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5"/>
    </row>
    <row r="446">
      <c r="A446" s="6"/>
      <c r="B446" s="11"/>
      <c r="C446" s="20"/>
      <c r="D446" s="20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5"/>
    </row>
    <row r="447">
      <c r="A447" s="12"/>
      <c r="B447" s="11"/>
      <c r="C447" s="20"/>
      <c r="D447" s="20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5"/>
    </row>
    <row r="448">
      <c r="A448" s="6"/>
      <c r="B448" s="11"/>
      <c r="C448" s="20"/>
      <c r="D448" s="20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5"/>
    </row>
    <row r="449">
      <c r="A449" s="12"/>
      <c r="B449" s="11"/>
      <c r="C449" s="20"/>
      <c r="D449" s="20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5"/>
    </row>
    <row r="450">
      <c r="A450" s="6"/>
      <c r="B450" s="11"/>
      <c r="C450" s="20"/>
      <c r="D450" s="20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5"/>
    </row>
    <row r="451">
      <c r="A451" s="12"/>
      <c r="B451" s="11"/>
      <c r="C451" s="20"/>
      <c r="D451" s="20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5"/>
    </row>
    <row r="452">
      <c r="A452" s="6"/>
      <c r="B452" s="11"/>
      <c r="C452" s="20"/>
      <c r="D452" s="20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5"/>
    </row>
    <row r="453">
      <c r="A453" s="12"/>
      <c r="B453" s="11"/>
      <c r="C453" s="20"/>
      <c r="D453" s="20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5"/>
    </row>
    <row r="454">
      <c r="A454" s="6"/>
      <c r="B454" s="11"/>
      <c r="C454" s="20"/>
      <c r="D454" s="20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5"/>
    </row>
    <row r="455">
      <c r="A455" s="12"/>
      <c r="B455" s="11"/>
      <c r="C455" s="20"/>
      <c r="D455" s="20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5"/>
    </row>
    <row r="456">
      <c r="A456" s="6"/>
      <c r="B456" s="11"/>
      <c r="C456" s="20"/>
      <c r="D456" s="20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5"/>
    </row>
    <row r="457">
      <c r="A457" s="12"/>
      <c r="B457" s="11"/>
      <c r="C457" s="20"/>
      <c r="D457" s="20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5"/>
    </row>
    <row r="458">
      <c r="A458" s="6"/>
      <c r="B458" s="11"/>
      <c r="C458" s="20"/>
      <c r="D458" s="20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5"/>
    </row>
    <row r="459">
      <c r="A459" s="12"/>
      <c r="B459" s="11"/>
      <c r="C459" s="20"/>
      <c r="D459" s="20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5"/>
    </row>
    <row r="460">
      <c r="A460" s="6"/>
      <c r="B460" s="11"/>
      <c r="C460" s="20"/>
      <c r="D460" s="20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5"/>
    </row>
    <row r="461">
      <c r="A461" s="12"/>
      <c r="B461" s="11"/>
      <c r="C461" s="20"/>
      <c r="D461" s="2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5"/>
    </row>
    <row r="462">
      <c r="A462" s="6"/>
      <c r="B462" s="11"/>
      <c r="C462" s="20"/>
      <c r="D462" s="20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5"/>
    </row>
    <row r="463">
      <c r="A463" s="12"/>
      <c r="B463" s="11"/>
      <c r="C463" s="20"/>
      <c r="D463" s="20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5"/>
    </row>
    <row r="464">
      <c r="A464" s="6"/>
      <c r="B464" s="11"/>
      <c r="C464" s="20"/>
      <c r="D464" s="20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5"/>
    </row>
    <row r="465">
      <c r="A465" s="12"/>
      <c r="B465" s="11"/>
      <c r="C465" s="20"/>
      <c r="D465" s="20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5"/>
    </row>
    <row r="466">
      <c r="A466" s="6"/>
      <c r="B466" s="11"/>
      <c r="C466" s="20"/>
      <c r="D466" s="20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5"/>
    </row>
    <row r="467">
      <c r="A467" s="12"/>
      <c r="B467" s="11"/>
      <c r="C467" s="20"/>
      <c r="D467" s="20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5"/>
    </row>
    <row r="468">
      <c r="A468" s="6"/>
      <c r="B468" s="11"/>
      <c r="C468" s="20"/>
      <c r="D468" s="20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5"/>
    </row>
    <row r="469">
      <c r="A469" s="12"/>
      <c r="B469" s="11"/>
      <c r="C469" s="20"/>
      <c r="D469" s="20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5"/>
    </row>
    <row r="470">
      <c r="A470" s="6"/>
      <c r="B470" s="11"/>
      <c r="C470" s="20"/>
      <c r="D470" s="20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5"/>
    </row>
    <row r="471">
      <c r="A471" s="12"/>
      <c r="B471" s="11"/>
      <c r="C471" s="20"/>
      <c r="D471" s="20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5"/>
    </row>
    <row r="472">
      <c r="A472" s="6"/>
      <c r="B472" s="11"/>
      <c r="C472" s="20"/>
      <c r="D472" s="20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5"/>
    </row>
    <row r="473">
      <c r="A473" s="12"/>
      <c r="B473" s="11"/>
      <c r="C473" s="20"/>
      <c r="D473" s="20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5"/>
    </row>
    <row r="474">
      <c r="A474" s="6"/>
      <c r="B474" s="11"/>
      <c r="C474" s="20"/>
      <c r="D474" s="20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5"/>
    </row>
    <row r="475">
      <c r="A475" s="12"/>
      <c r="B475" s="11"/>
      <c r="C475" s="20"/>
      <c r="D475" s="20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5"/>
    </row>
    <row r="476">
      <c r="A476" s="6"/>
      <c r="B476" s="11"/>
      <c r="C476" s="20"/>
      <c r="D476" s="20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5"/>
    </row>
    <row r="477">
      <c r="A477" s="12"/>
      <c r="B477" s="11"/>
      <c r="C477" s="20"/>
      <c r="D477" s="20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5"/>
    </row>
    <row r="478">
      <c r="A478" s="6"/>
      <c r="B478" s="11"/>
      <c r="C478" s="20"/>
      <c r="D478" s="20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5"/>
    </row>
    <row r="479">
      <c r="A479" s="12"/>
      <c r="B479" s="11"/>
      <c r="C479" s="20"/>
      <c r="D479" s="20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5"/>
    </row>
    <row r="480">
      <c r="A480" s="6"/>
      <c r="B480" s="11"/>
      <c r="C480" s="20"/>
      <c r="D480" s="20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5"/>
    </row>
    <row r="481">
      <c r="A481" s="12"/>
      <c r="B481" s="11"/>
      <c r="C481" s="20"/>
      <c r="D481" s="20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5"/>
    </row>
    <row r="482">
      <c r="A482" s="6"/>
      <c r="B482" s="11"/>
      <c r="C482" s="20"/>
      <c r="D482" s="20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5"/>
    </row>
    <row r="483">
      <c r="A483" s="12"/>
      <c r="B483" s="11"/>
      <c r="C483" s="20"/>
      <c r="D483" s="20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5"/>
    </row>
    <row r="484">
      <c r="A484" s="6"/>
      <c r="B484" s="11"/>
      <c r="C484" s="20"/>
      <c r="D484" s="20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5"/>
    </row>
    <row r="485">
      <c r="A485" s="12"/>
      <c r="B485" s="11"/>
      <c r="C485" s="20"/>
      <c r="D485" s="20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5"/>
    </row>
    <row r="486">
      <c r="A486" s="6"/>
      <c r="B486" s="11"/>
      <c r="C486" s="20"/>
      <c r="D486" s="2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5"/>
    </row>
    <row r="487">
      <c r="A487" s="12"/>
      <c r="B487" s="11"/>
      <c r="C487" s="20"/>
      <c r="D487" s="2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5"/>
    </row>
    <row r="488">
      <c r="A488" s="6"/>
      <c r="B488" s="11"/>
      <c r="C488" s="20"/>
      <c r="D488" s="20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5"/>
    </row>
    <row r="489">
      <c r="A489" s="12"/>
      <c r="B489" s="11"/>
      <c r="C489" s="20"/>
      <c r="D489" s="20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5"/>
    </row>
    <row r="490">
      <c r="A490" s="6"/>
      <c r="B490" s="11"/>
      <c r="C490" s="20"/>
      <c r="D490" s="20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5"/>
    </row>
    <row r="491">
      <c r="A491" s="12"/>
      <c r="B491" s="11"/>
      <c r="C491" s="20"/>
      <c r="D491" s="20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5"/>
    </row>
    <row r="492">
      <c r="A492" s="6"/>
      <c r="B492" s="11"/>
      <c r="C492" s="20"/>
      <c r="D492" s="20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5"/>
    </row>
    <row r="493">
      <c r="A493" s="12"/>
      <c r="B493" s="11"/>
      <c r="C493" s="20"/>
      <c r="D493" s="20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5"/>
    </row>
    <row r="494">
      <c r="A494" s="6"/>
      <c r="B494" s="11"/>
      <c r="C494" s="20"/>
      <c r="D494" s="20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5"/>
    </row>
    <row r="495">
      <c r="A495" s="12"/>
      <c r="B495" s="11"/>
      <c r="C495" s="20"/>
      <c r="D495" s="20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5"/>
    </row>
    <row r="496">
      <c r="A496" s="6"/>
      <c r="B496" s="11"/>
      <c r="C496" s="20"/>
      <c r="D496" s="20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5"/>
    </row>
    <row r="497">
      <c r="A497" s="12"/>
      <c r="B497" s="11"/>
      <c r="C497" s="20"/>
      <c r="D497" s="20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5"/>
    </row>
    <row r="498">
      <c r="A498" s="6"/>
      <c r="B498" s="11"/>
      <c r="C498" s="20"/>
      <c r="D498" s="20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5"/>
    </row>
    <row r="499">
      <c r="A499" s="12"/>
      <c r="B499" s="11"/>
      <c r="C499" s="20"/>
      <c r="D499" s="20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5"/>
    </row>
    <row r="500">
      <c r="A500" s="6"/>
      <c r="B500" s="11"/>
      <c r="C500" s="20"/>
      <c r="D500" s="20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5"/>
    </row>
    <row r="501">
      <c r="A501" s="12"/>
      <c r="B501" s="11"/>
      <c r="C501" s="20"/>
      <c r="D501" s="20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5"/>
    </row>
    <row r="502">
      <c r="A502" s="6"/>
      <c r="B502" s="11"/>
      <c r="C502" s="20"/>
      <c r="D502" s="20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5"/>
    </row>
    <row r="503">
      <c r="A503" s="12"/>
      <c r="B503" s="11"/>
      <c r="C503" s="20"/>
      <c r="D503" s="20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5"/>
    </row>
    <row r="504">
      <c r="A504" s="6"/>
      <c r="B504" s="11"/>
      <c r="C504" s="20"/>
      <c r="D504" s="20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5"/>
    </row>
    <row r="505">
      <c r="A505" s="12"/>
      <c r="B505" s="11"/>
      <c r="C505" s="20"/>
      <c r="D505" s="20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5"/>
    </row>
    <row r="506">
      <c r="A506" s="6"/>
      <c r="B506" s="11"/>
      <c r="C506" s="20"/>
      <c r="D506" s="20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5"/>
    </row>
    <row r="507">
      <c r="A507" s="12"/>
      <c r="B507" s="11"/>
      <c r="C507" s="20"/>
      <c r="D507" s="20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5"/>
    </row>
    <row r="508">
      <c r="A508" s="6"/>
      <c r="B508" s="11"/>
      <c r="C508" s="20"/>
      <c r="D508" s="20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5"/>
    </row>
    <row r="509">
      <c r="A509" s="12"/>
      <c r="B509" s="11"/>
      <c r="C509" s="20"/>
      <c r="D509" s="20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5"/>
    </row>
    <row r="510">
      <c r="A510" s="6"/>
      <c r="B510" s="11"/>
      <c r="C510" s="20"/>
      <c r="D510" s="20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5"/>
    </row>
    <row r="511">
      <c r="A511" s="12"/>
      <c r="B511" s="11"/>
      <c r="C511" s="20"/>
      <c r="D511" s="20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5"/>
    </row>
    <row r="512">
      <c r="A512" s="6"/>
      <c r="B512" s="11"/>
      <c r="C512" s="20"/>
      <c r="D512" s="20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5"/>
    </row>
    <row r="513">
      <c r="A513" s="12"/>
      <c r="B513" s="11"/>
      <c r="C513" s="20"/>
      <c r="D513" s="20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5"/>
    </row>
    <row r="514">
      <c r="A514" s="6"/>
      <c r="B514" s="11"/>
      <c r="C514" s="20"/>
      <c r="D514" s="20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5"/>
    </row>
    <row r="515">
      <c r="A515" s="12"/>
      <c r="B515" s="11"/>
      <c r="C515" s="20"/>
      <c r="D515" s="20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5"/>
    </row>
    <row r="516">
      <c r="A516" s="6"/>
      <c r="B516" s="11"/>
      <c r="C516" s="20"/>
      <c r="D516" s="20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5"/>
    </row>
    <row r="517">
      <c r="A517" s="12"/>
      <c r="B517" s="11"/>
      <c r="C517" s="20"/>
      <c r="D517" s="20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5"/>
    </row>
    <row r="518">
      <c r="A518" s="6"/>
      <c r="B518" s="11"/>
      <c r="C518" s="20"/>
      <c r="D518" s="20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5"/>
    </row>
    <row r="519">
      <c r="A519" s="12"/>
      <c r="B519" s="11"/>
      <c r="C519" s="20"/>
      <c r="D519" s="20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5"/>
    </row>
    <row r="520">
      <c r="A520" s="6"/>
      <c r="B520" s="11"/>
      <c r="C520" s="20"/>
      <c r="D520" s="20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5"/>
    </row>
    <row r="521">
      <c r="A521" s="12"/>
      <c r="B521" s="11"/>
      <c r="C521" s="20"/>
      <c r="D521" s="20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5"/>
    </row>
    <row r="522">
      <c r="A522" s="6"/>
      <c r="B522" s="11"/>
      <c r="C522" s="20"/>
      <c r="D522" s="20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5"/>
    </row>
    <row r="523">
      <c r="A523" s="12"/>
      <c r="B523" s="11"/>
      <c r="C523" s="20"/>
      <c r="D523" s="20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5"/>
    </row>
    <row r="524">
      <c r="A524" s="6"/>
      <c r="B524" s="11"/>
      <c r="C524" s="20"/>
      <c r="D524" s="20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5"/>
    </row>
    <row r="525">
      <c r="A525" s="12"/>
      <c r="B525" s="11"/>
      <c r="C525" s="20"/>
      <c r="D525" s="20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5"/>
    </row>
    <row r="526">
      <c r="A526" s="6"/>
      <c r="B526" s="11"/>
      <c r="C526" s="20"/>
      <c r="D526" s="20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5"/>
    </row>
    <row r="527">
      <c r="A527" s="12"/>
      <c r="B527" s="11"/>
      <c r="C527" s="20"/>
      <c r="D527" s="20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5"/>
    </row>
    <row r="528">
      <c r="A528" s="6"/>
      <c r="B528" s="11"/>
      <c r="C528" s="20"/>
      <c r="D528" s="20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5"/>
    </row>
    <row r="529">
      <c r="A529" s="12"/>
      <c r="B529" s="11"/>
      <c r="C529" s="20"/>
      <c r="D529" s="20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5"/>
    </row>
    <row r="530">
      <c r="A530" s="6"/>
      <c r="B530" s="11"/>
      <c r="C530" s="20"/>
      <c r="D530" s="20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5"/>
    </row>
    <row r="531">
      <c r="A531" s="12"/>
      <c r="B531" s="11"/>
      <c r="C531" s="20"/>
      <c r="D531" s="20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5"/>
    </row>
    <row r="532">
      <c r="A532" s="6"/>
      <c r="B532" s="11"/>
      <c r="C532" s="20"/>
      <c r="D532" s="20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5"/>
    </row>
    <row r="533">
      <c r="A533" s="12"/>
      <c r="B533" s="11"/>
      <c r="C533" s="20"/>
      <c r="D533" s="20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5"/>
    </row>
    <row r="534">
      <c r="A534" s="6"/>
      <c r="B534" s="11"/>
      <c r="C534" s="20"/>
      <c r="D534" s="20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5"/>
    </row>
    <row r="535">
      <c r="A535" s="12"/>
      <c r="B535" s="11"/>
      <c r="C535" s="20"/>
      <c r="D535" s="20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5"/>
    </row>
    <row r="536">
      <c r="A536" s="6"/>
      <c r="B536" s="11"/>
      <c r="C536" s="20"/>
      <c r="D536" s="20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5"/>
    </row>
    <row r="537">
      <c r="A537" s="12"/>
      <c r="B537" s="11"/>
      <c r="C537" s="20"/>
      <c r="D537" s="20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5"/>
    </row>
    <row r="538">
      <c r="A538" s="6"/>
      <c r="B538" s="11"/>
      <c r="C538" s="20"/>
      <c r="D538" s="20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5"/>
    </row>
    <row r="539">
      <c r="A539" s="12"/>
      <c r="B539" s="11"/>
      <c r="C539" s="20"/>
      <c r="D539" s="20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5"/>
    </row>
    <row r="540">
      <c r="A540" s="6"/>
      <c r="B540" s="11"/>
      <c r="C540" s="20"/>
      <c r="D540" s="20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5"/>
    </row>
    <row r="541">
      <c r="A541" s="12"/>
      <c r="B541" s="11"/>
      <c r="C541" s="20"/>
      <c r="D541" s="20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5"/>
    </row>
    <row r="542">
      <c r="A542" s="6"/>
      <c r="B542" s="11"/>
      <c r="C542" s="20"/>
      <c r="D542" s="20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5"/>
    </row>
    <row r="543">
      <c r="A543" s="12"/>
      <c r="B543" s="11"/>
      <c r="C543" s="20"/>
      <c r="D543" s="20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5"/>
    </row>
    <row r="544">
      <c r="A544" s="6"/>
      <c r="B544" s="11"/>
      <c r="C544" s="20"/>
      <c r="D544" s="20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5"/>
    </row>
    <row r="545">
      <c r="A545" s="12"/>
      <c r="B545" s="11"/>
      <c r="C545" s="20"/>
      <c r="D545" s="20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5"/>
    </row>
    <row r="546">
      <c r="A546" s="6"/>
      <c r="B546" s="11"/>
      <c r="C546" s="20"/>
      <c r="D546" s="20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5"/>
    </row>
    <row r="547">
      <c r="A547" s="12"/>
      <c r="B547" s="11"/>
      <c r="C547" s="20"/>
      <c r="D547" s="20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5"/>
    </row>
    <row r="548">
      <c r="A548" s="6"/>
      <c r="B548" s="11"/>
      <c r="C548" s="20"/>
      <c r="D548" s="20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5"/>
    </row>
    <row r="549">
      <c r="A549" s="12"/>
      <c r="B549" s="11"/>
      <c r="C549" s="20"/>
      <c r="D549" s="20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5"/>
    </row>
    <row r="550">
      <c r="A550" s="6"/>
      <c r="B550" s="11"/>
      <c r="C550" s="20"/>
      <c r="D550" s="20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5"/>
    </row>
    <row r="551">
      <c r="A551" s="12"/>
      <c r="B551" s="11"/>
      <c r="C551" s="20"/>
      <c r="D551" s="20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5"/>
    </row>
    <row r="552">
      <c r="A552" s="6"/>
      <c r="B552" s="11"/>
      <c r="C552" s="20"/>
      <c r="D552" s="20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5"/>
    </row>
    <row r="553">
      <c r="A553" s="12"/>
      <c r="B553" s="11"/>
      <c r="C553" s="20"/>
      <c r="D553" s="20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5"/>
    </row>
    <row r="554">
      <c r="A554" s="6"/>
      <c r="B554" s="11"/>
      <c r="C554" s="20"/>
      <c r="D554" s="20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5"/>
    </row>
    <row r="555">
      <c r="A555" s="12"/>
      <c r="B555" s="11"/>
      <c r="C555" s="20"/>
      <c r="D555" s="20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5"/>
    </row>
    <row r="556">
      <c r="A556" s="6"/>
      <c r="B556" s="11"/>
      <c r="C556" s="20"/>
      <c r="D556" s="20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5"/>
    </row>
    <row r="557">
      <c r="A557" s="12"/>
      <c r="B557" s="11"/>
      <c r="C557" s="20"/>
      <c r="D557" s="20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5"/>
    </row>
    <row r="558">
      <c r="A558" s="6"/>
      <c r="B558" s="11"/>
      <c r="C558" s="20"/>
      <c r="D558" s="20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5"/>
    </row>
    <row r="559">
      <c r="A559" s="12"/>
      <c r="B559" s="11"/>
      <c r="C559" s="20"/>
      <c r="D559" s="20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5"/>
    </row>
    <row r="560">
      <c r="A560" s="6"/>
      <c r="B560" s="11"/>
      <c r="C560" s="20"/>
      <c r="D560" s="20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5"/>
    </row>
    <row r="561">
      <c r="A561" s="12"/>
      <c r="B561" s="11"/>
      <c r="C561" s="20"/>
      <c r="D561" s="20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5"/>
    </row>
    <row r="562">
      <c r="A562" s="6"/>
      <c r="B562" s="11"/>
      <c r="C562" s="20"/>
      <c r="D562" s="20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5"/>
    </row>
    <row r="563">
      <c r="A563" s="12"/>
      <c r="B563" s="11"/>
      <c r="C563" s="20"/>
      <c r="D563" s="20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5"/>
    </row>
    <row r="564">
      <c r="A564" s="6"/>
      <c r="B564" s="11"/>
      <c r="C564" s="20"/>
      <c r="D564" s="20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5"/>
    </row>
    <row r="565">
      <c r="A565" s="12"/>
      <c r="B565" s="11"/>
      <c r="C565" s="20"/>
      <c r="D565" s="20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5"/>
    </row>
    <row r="566">
      <c r="A566" s="6"/>
      <c r="B566" s="11"/>
      <c r="C566" s="20"/>
      <c r="D566" s="20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5"/>
    </row>
    <row r="567">
      <c r="A567" s="12"/>
      <c r="B567" s="11"/>
      <c r="C567" s="20"/>
      <c r="D567" s="20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5"/>
    </row>
    <row r="568">
      <c r="A568" s="6"/>
      <c r="B568" s="11"/>
      <c r="C568" s="20"/>
      <c r="D568" s="20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5"/>
    </row>
    <row r="569">
      <c r="A569" s="12"/>
      <c r="B569" s="11"/>
      <c r="C569" s="20"/>
      <c r="D569" s="20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5"/>
    </row>
    <row r="570">
      <c r="A570" s="6"/>
      <c r="B570" s="11"/>
      <c r="C570" s="20"/>
      <c r="D570" s="20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5"/>
    </row>
    <row r="571">
      <c r="A571" s="12"/>
      <c r="B571" s="11"/>
      <c r="C571" s="20"/>
      <c r="D571" s="20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5"/>
    </row>
    <row r="572">
      <c r="A572" s="6"/>
      <c r="B572" s="11"/>
      <c r="C572" s="20"/>
      <c r="D572" s="20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5"/>
    </row>
    <row r="573">
      <c r="A573" s="12"/>
      <c r="B573" s="11"/>
      <c r="C573" s="20"/>
      <c r="D573" s="20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5"/>
    </row>
    <row r="574">
      <c r="A574" s="6"/>
      <c r="B574" s="11"/>
      <c r="C574" s="20"/>
      <c r="D574" s="20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5"/>
    </row>
    <row r="575">
      <c r="A575" s="12"/>
      <c r="B575" s="11"/>
      <c r="C575" s="20"/>
      <c r="D575" s="20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5"/>
    </row>
    <row r="576">
      <c r="A576" s="6"/>
      <c r="B576" s="11"/>
      <c r="C576" s="20"/>
      <c r="D576" s="20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5"/>
    </row>
    <row r="577">
      <c r="A577" s="12"/>
      <c r="B577" s="11"/>
      <c r="C577" s="20"/>
      <c r="D577" s="20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5"/>
    </row>
    <row r="578">
      <c r="A578" s="6"/>
      <c r="B578" s="11"/>
      <c r="C578" s="20"/>
      <c r="D578" s="20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5"/>
    </row>
    <row r="579">
      <c r="A579" s="12"/>
      <c r="B579" s="11"/>
      <c r="C579" s="20"/>
      <c r="D579" s="20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5"/>
    </row>
    <row r="580">
      <c r="A580" s="6"/>
      <c r="B580" s="11"/>
      <c r="C580" s="20"/>
      <c r="D580" s="20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5"/>
    </row>
    <row r="581">
      <c r="A581" s="12"/>
      <c r="B581" s="11"/>
      <c r="C581" s="20"/>
      <c r="D581" s="20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5"/>
    </row>
    <row r="582">
      <c r="A582" s="6"/>
      <c r="B582" s="11"/>
      <c r="C582" s="20"/>
      <c r="D582" s="20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5"/>
    </row>
    <row r="583">
      <c r="A583" s="12"/>
      <c r="B583" s="11"/>
      <c r="C583" s="20"/>
      <c r="D583" s="20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5"/>
    </row>
    <row r="584">
      <c r="A584" s="6"/>
      <c r="B584" s="11"/>
      <c r="C584" s="20"/>
      <c r="D584" s="20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5"/>
    </row>
    <row r="585">
      <c r="A585" s="12"/>
      <c r="B585" s="11"/>
      <c r="C585" s="20"/>
      <c r="D585" s="20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5"/>
    </row>
    <row r="586">
      <c r="A586" s="6"/>
      <c r="B586" s="11"/>
      <c r="C586" s="20"/>
      <c r="D586" s="20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5"/>
    </row>
    <row r="587">
      <c r="A587" s="12"/>
      <c r="B587" s="11"/>
      <c r="C587" s="20"/>
      <c r="D587" s="20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5"/>
    </row>
    <row r="588">
      <c r="A588" s="6"/>
      <c r="B588" s="11"/>
      <c r="C588" s="20"/>
      <c r="D588" s="20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5"/>
    </row>
    <row r="589">
      <c r="A589" s="12"/>
      <c r="B589" s="11"/>
      <c r="C589" s="20"/>
      <c r="D589" s="20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5"/>
    </row>
    <row r="590">
      <c r="A590" s="6"/>
      <c r="B590" s="11"/>
      <c r="C590" s="20"/>
      <c r="D590" s="20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5"/>
    </row>
    <row r="591">
      <c r="A591" s="12"/>
      <c r="B591" s="11"/>
      <c r="C591" s="20"/>
      <c r="D591" s="20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5"/>
    </row>
    <row r="592">
      <c r="A592" s="6"/>
      <c r="B592" s="11"/>
      <c r="C592" s="20"/>
      <c r="D592" s="20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5"/>
    </row>
    <row r="593">
      <c r="A593" s="12"/>
      <c r="B593" s="11"/>
      <c r="C593" s="20"/>
      <c r="D593" s="20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5"/>
    </row>
    <row r="594">
      <c r="A594" s="6"/>
      <c r="B594" s="11"/>
      <c r="C594" s="20"/>
      <c r="D594" s="20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5"/>
    </row>
    <row r="595">
      <c r="A595" s="12"/>
      <c r="B595" s="11"/>
      <c r="C595" s="20"/>
      <c r="D595" s="20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5"/>
    </row>
    <row r="596">
      <c r="A596" s="6"/>
      <c r="B596" s="11"/>
      <c r="C596" s="20"/>
      <c r="D596" s="20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5"/>
    </row>
    <row r="597">
      <c r="A597" s="12"/>
      <c r="B597" s="11"/>
      <c r="C597" s="20"/>
      <c r="D597" s="20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5"/>
    </row>
    <row r="598">
      <c r="A598" s="6"/>
      <c r="B598" s="11"/>
      <c r="C598" s="20"/>
      <c r="D598" s="20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5"/>
    </row>
    <row r="599">
      <c r="A599" s="12"/>
      <c r="B599" s="11"/>
      <c r="C599" s="20"/>
      <c r="D599" s="20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5"/>
    </row>
    <row r="600">
      <c r="A600" s="6"/>
      <c r="B600" s="11"/>
      <c r="C600" s="20"/>
      <c r="D600" s="20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5"/>
    </row>
    <row r="601">
      <c r="A601" s="12"/>
      <c r="B601" s="11"/>
      <c r="C601" s="20"/>
      <c r="D601" s="20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5"/>
    </row>
    <row r="602">
      <c r="A602" s="6"/>
      <c r="B602" s="11"/>
      <c r="C602" s="20"/>
      <c r="D602" s="20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5"/>
    </row>
    <row r="603">
      <c r="A603" s="12"/>
      <c r="B603" s="11"/>
      <c r="C603" s="20"/>
      <c r="D603" s="20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5"/>
    </row>
    <row r="604">
      <c r="A604" s="6"/>
      <c r="B604" s="11"/>
      <c r="C604" s="20"/>
      <c r="D604" s="20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5"/>
    </row>
    <row r="605">
      <c r="A605" s="12"/>
      <c r="B605" s="11"/>
      <c r="C605" s="20"/>
      <c r="D605" s="20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5"/>
    </row>
    <row r="606">
      <c r="A606" s="6"/>
      <c r="B606" s="11"/>
      <c r="C606" s="20"/>
      <c r="D606" s="20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5"/>
    </row>
    <row r="607">
      <c r="A607" s="12"/>
      <c r="B607" s="11"/>
      <c r="C607" s="20"/>
      <c r="D607" s="20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5"/>
    </row>
    <row r="608">
      <c r="A608" s="6"/>
      <c r="B608" s="11"/>
      <c r="C608" s="20"/>
      <c r="D608" s="20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5"/>
    </row>
    <row r="609">
      <c r="A609" s="12"/>
      <c r="B609" s="11"/>
      <c r="C609" s="20"/>
      <c r="D609" s="20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5"/>
    </row>
    <row r="610">
      <c r="A610" s="6"/>
      <c r="B610" s="11"/>
      <c r="C610" s="20"/>
      <c r="D610" s="20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5"/>
    </row>
    <row r="611">
      <c r="A611" s="12"/>
      <c r="B611" s="11"/>
      <c r="C611" s="20"/>
      <c r="D611" s="20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5"/>
    </row>
    <row r="612">
      <c r="A612" s="6"/>
      <c r="B612" s="11"/>
      <c r="C612" s="20"/>
      <c r="D612" s="20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5"/>
    </row>
    <row r="613">
      <c r="A613" s="12"/>
      <c r="B613" s="11"/>
      <c r="C613" s="20"/>
      <c r="D613" s="20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5"/>
    </row>
    <row r="614">
      <c r="A614" s="6"/>
      <c r="B614" s="11"/>
      <c r="C614" s="20"/>
      <c r="D614" s="20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5"/>
    </row>
    <row r="615">
      <c r="A615" s="12"/>
      <c r="B615" s="11"/>
      <c r="C615" s="20"/>
      <c r="D615" s="20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5"/>
    </row>
    <row r="616">
      <c r="A616" s="6"/>
      <c r="B616" s="11"/>
      <c r="C616" s="20"/>
      <c r="D616" s="20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5"/>
    </row>
    <row r="617">
      <c r="A617" s="12"/>
      <c r="B617" s="11"/>
      <c r="C617" s="20"/>
      <c r="D617" s="20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5"/>
    </row>
    <row r="618">
      <c r="A618" s="6"/>
      <c r="B618" s="11"/>
      <c r="C618" s="20"/>
      <c r="D618" s="20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5"/>
    </row>
    <row r="619">
      <c r="A619" s="12"/>
      <c r="B619" s="11"/>
      <c r="C619" s="20"/>
      <c r="D619" s="20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5"/>
    </row>
    <row r="620">
      <c r="A620" s="6"/>
      <c r="B620" s="11"/>
      <c r="C620" s="20"/>
      <c r="D620" s="20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5"/>
    </row>
    <row r="621">
      <c r="A621" s="12"/>
      <c r="B621" s="11"/>
      <c r="C621" s="20"/>
      <c r="D621" s="20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5"/>
    </row>
    <row r="622">
      <c r="A622" s="6"/>
      <c r="B622" s="11"/>
      <c r="C622" s="20"/>
      <c r="D622" s="20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5"/>
    </row>
    <row r="623">
      <c r="A623" s="12"/>
      <c r="B623" s="11"/>
      <c r="C623" s="20"/>
      <c r="D623" s="20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5"/>
    </row>
    <row r="624">
      <c r="A624" s="6"/>
      <c r="B624" s="11"/>
      <c r="C624" s="20"/>
      <c r="D624" s="20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5"/>
    </row>
    <row r="625">
      <c r="A625" s="12"/>
      <c r="B625" s="11"/>
      <c r="C625" s="20"/>
      <c r="D625" s="20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5"/>
    </row>
    <row r="626">
      <c r="A626" s="6"/>
      <c r="B626" s="11"/>
      <c r="C626" s="20"/>
      <c r="D626" s="20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5"/>
    </row>
    <row r="627">
      <c r="A627" s="12"/>
      <c r="B627" s="11"/>
      <c r="C627" s="20"/>
      <c r="D627" s="20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5"/>
    </row>
    <row r="628">
      <c r="A628" s="6"/>
      <c r="B628" s="11"/>
      <c r="C628" s="20"/>
      <c r="D628" s="20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5"/>
    </row>
    <row r="629">
      <c r="A629" s="12"/>
      <c r="B629" s="11"/>
      <c r="C629" s="20"/>
      <c r="D629" s="20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5"/>
    </row>
    <row r="630">
      <c r="A630" s="6"/>
      <c r="B630" s="11"/>
      <c r="C630" s="20"/>
      <c r="D630" s="20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5"/>
    </row>
    <row r="631">
      <c r="A631" s="12"/>
      <c r="B631" s="11"/>
      <c r="C631" s="20"/>
      <c r="D631" s="20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5"/>
    </row>
    <row r="632">
      <c r="A632" s="6"/>
      <c r="B632" s="11"/>
      <c r="C632" s="20"/>
      <c r="D632" s="20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5"/>
    </row>
    <row r="633">
      <c r="A633" s="12"/>
      <c r="B633" s="11"/>
      <c r="C633" s="20"/>
      <c r="D633" s="20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5"/>
    </row>
    <row r="634">
      <c r="A634" s="6"/>
      <c r="B634" s="11"/>
      <c r="C634" s="20"/>
      <c r="D634" s="20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5"/>
    </row>
    <row r="635">
      <c r="A635" s="12"/>
      <c r="B635" s="11"/>
      <c r="C635" s="20"/>
      <c r="D635" s="20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5"/>
    </row>
    <row r="636">
      <c r="A636" s="6"/>
      <c r="B636" s="11"/>
      <c r="C636" s="20"/>
      <c r="D636" s="20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5"/>
    </row>
    <row r="637">
      <c r="A637" s="12"/>
      <c r="B637" s="11"/>
      <c r="C637" s="20"/>
      <c r="D637" s="20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5"/>
    </row>
    <row r="638">
      <c r="A638" s="6"/>
      <c r="B638" s="11"/>
      <c r="C638" s="20"/>
      <c r="D638" s="20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5"/>
    </row>
    <row r="639">
      <c r="A639" s="12"/>
      <c r="B639" s="11"/>
      <c r="C639" s="20"/>
      <c r="D639" s="20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5"/>
    </row>
    <row r="640">
      <c r="A640" s="6"/>
      <c r="B640" s="11"/>
      <c r="C640" s="20"/>
      <c r="D640" s="20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5"/>
    </row>
    <row r="641">
      <c r="A641" s="12"/>
      <c r="B641" s="11"/>
      <c r="C641" s="20"/>
      <c r="D641" s="20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5"/>
    </row>
    <row r="642">
      <c r="A642" s="6"/>
      <c r="B642" s="11"/>
      <c r="C642" s="20"/>
      <c r="D642" s="20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5"/>
    </row>
    <row r="643">
      <c r="A643" s="12"/>
      <c r="B643" s="11"/>
      <c r="C643" s="20"/>
      <c r="D643" s="20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5"/>
    </row>
    <row r="644">
      <c r="A644" s="6"/>
      <c r="B644" s="11"/>
      <c r="C644" s="20"/>
      <c r="D644" s="20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5"/>
    </row>
    <row r="645">
      <c r="A645" s="12"/>
      <c r="B645" s="11"/>
      <c r="C645" s="20"/>
      <c r="D645" s="20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5"/>
    </row>
    <row r="646">
      <c r="A646" s="6"/>
      <c r="B646" s="11"/>
      <c r="C646" s="20"/>
      <c r="D646" s="20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5"/>
    </row>
    <row r="647">
      <c r="A647" s="12"/>
      <c r="B647" s="11"/>
      <c r="C647" s="20"/>
      <c r="D647" s="20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5"/>
    </row>
    <row r="648">
      <c r="A648" s="6"/>
      <c r="B648" s="11"/>
      <c r="C648" s="20"/>
      <c r="D648" s="20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5"/>
    </row>
    <row r="649">
      <c r="A649" s="12"/>
      <c r="B649" s="11"/>
      <c r="C649" s="20"/>
      <c r="D649" s="20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5"/>
    </row>
    <row r="650">
      <c r="A650" s="6"/>
      <c r="B650" s="11"/>
      <c r="C650" s="20"/>
      <c r="D650" s="20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5"/>
    </row>
    <row r="651">
      <c r="A651" s="12"/>
      <c r="B651" s="11"/>
      <c r="C651" s="20"/>
      <c r="D651" s="20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5"/>
    </row>
    <row r="652">
      <c r="A652" s="6"/>
      <c r="B652" s="11"/>
      <c r="C652" s="20"/>
      <c r="D652" s="20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5"/>
    </row>
    <row r="653">
      <c r="A653" s="12"/>
      <c r="B653" s="11"/>
      <c r="C653" s="20"/>
      <c r="D653" s="20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5"/>
    </row>
    <row r="654">
      <c r="A654" s="6"/>
      <c r="B654" s="11"/>
      <c r="C654" s="20"/>
      <c r="D654" s="20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5"/>
    </row>
    <row r="655">
      <c r="A655" s="12"/>
      <c r="B655" s="11"/>
      <c r="C655" s="20"/>
      <c r="D655" s="20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5"/>
    </row>
    <row r="656">
      <c r="A656" s="6"/>
      <c r="B656" s="11"/>
      <c r="C656" s="20"/>
      <c r="D656" s="20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5"/>
    </row>
    <row r="657">
      <c r="A657" s="12"/>
      <c r="B657" s="11"/>
      <c r="C657" s="20"/>
      <c r="D657" s="20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5"/>
    </row>
    <row r="658">
      <c r="A658" s="6"/>
      <c r="B658" s="11"/>
      <c r="C658" s="20"/>
      <c r="D658" s="20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5"/>
    </row>
    <row r="659">
      <c r="A659" s="12"/>
      <c r="B659" s="11"/>
      <c r="C659" s="20"/>
      <c r="D659" s="20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5"/>
    </row>
    <row r="660">
      <c r="A660" s="6"/>
      <c r="B660" s="11"/>
      <c r="C660" s="20"/>
      <c r="D660" s="20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5"/>
    </row>
    <row r="661">
      <c r="A661" s="12"/>
      <c r="B661" s="11"/>
      <c r="C661" s="20"/>
      <c r="D661" s="20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5"/>
    </row>
    <row r="662">
      <c r="A662" s="6"/>
      <c r="B662" s="11"/>
      <c r="C662" s="20"/>
      <c r="D662" s="20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5"/>
    </row>
    <row r="663">
      <c r="A663" s="12"/>
      <c r="B663" s="11"/>
      <c r="C663" s="20"/>
      <c r="D663" s="20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5"/>
    </row>
    <row r="664">
      <c r="A664" s="6"/>
      <c r="B664" s="11"/>
      <c r="C664" s="20"/>
      <c r="D664" s="20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5"/>
    </row>
    <row r="665">
      <c r="A665" s="12"/>
      <c r="B665" s="11"/>
      <c r="C665" s="20"/>
      <c r="D665" s="20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5"/>
    </row>
    <row r="666">
      <c r="A666" s="6"/>
      <c r="B666" s="11"/>
      <c r="C666" s="20"/>
      <c r="D666" s="20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5"/>
    </row>
    <row r="667">
      <c r="A667" s="12"/>
      <c r="B667" s="11"/>
      <c r="C667" s="20"/>
      <c r="D667" s="20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5"/>
    </row>
    <row r="668">
      <c r="A668" s="6"/>
      <c r="B668" s="11"/>
      <c r="C668" s="20"/>
      <c r="D668" s="20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5"/>
    </row>
    <row r="669">
      <c r="A669" s="12"/>
      <c r="B669" s="11"/>
      <c r="C669" s="20"/>
      <c r="D669" s="20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5"/>
    </row>
    <row r="670">
      <c r="A670" s="6"/>
      <c r="B670" s="11"/>
      <c r="C670" s="20"/>
      <c r="D670" s="20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5"/>
    </row>
    <row r="671">
      <c r="A671" s="12"/>
      <c r="B671" s="11"/>
      <c r="C671" s="20"/>
      <c r="D671" s="20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5"/>
    </row>
    <row r="672">
      <c r="A672" s="6"/>
      <c r="B672" s="11"/>
      <c r="C672" s="20"/>
      <c r="D672" s="20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5"/>
    </row>
    <row r="673">
      <c r="A673" s="12"/>
      <c r="B673" s="11"/>
      <c r="C673" s="20"/>
      <c r="D673" s="20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5"/>
    </row>
    <row r="674">
      <c r="A674" s="6"/>
      <c r="B674" s="11"/>
      <c r="C674" s="20"/>
      <c r="D674" s="20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5"/>
    </row>
    <row r="675">
      <c r="A675" s="12"/>
      <c r="B675" s="11"/>
      <c r="C675" s="20"/>
      <c r="D675" s="20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5"/>
    </row>
    <row r="676">
      <c r="A676" s="6"/>
      <c r="B676" s="11"/>
      <c r="C676" s="20"/>
      <c r="D676" s="20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5"/>
    </row>
    <row r="677">
      <c r="A677" s="12"/>
      <c r="B677" s="11"/>
      <c r="C677" s="20"/>
      <c r="D677" s="20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5"/>
    </row>
    <row r="678">
      <c r="A678" s="6"/>
      <c r="B678" s="11"/>
      <c r="C678" s="20"/>
      <c r="D678" s="20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5"/>
    </row>
    <row r="679">
      <c r="A679" s="12"/>
      <c r="B679" s="11"/>
      <c r="C679" s="20"/>
      <c r="D679" s="20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5"/>
    </row>
    <row r="680">
      <c r="A680" s="6"/>
      <c r="B680" s="11"/>
      <c r="C680" s="20"/>
      <c r="D680" s="20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5"/>
    </row>
    <row r="681">
      <c r="A681" s="12"/>
      <c r="B681" s="11"/>
      <c r="C681" s="20"/>
      <c r="D681" s="20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5"/>
    </row>
    <row r="682">
      <c r="A682" s="6"/>
      <c r="B682" s="11"/>
      <c r="C682" s="20"/>
      <c r="D682" s="20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5"/>
    </row>
    <row r="683">
      <c r="A683" s="12"/>
      <c r="B683" s="11"/>
      <c r="C683" s="20"/>
      <c r="D683" s="20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5"/>
    </row>
    <row r="684">
      <c r="A684" s="6"/>
      <c r="B684" s="11"/>
      <c r="C684" s="20"/>
      <c r="D684" s="20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5"/>
    </row>
    <row r="685">
      <c r="A685" s="12"/>
      <c r="B685" s="11"/>
      <c r="C685" s="20"/>
      <c r="D685" s="20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5"/>
    </row>
    <row r="686">
      <c r="A686" s="6"/>
      <c r="B686" s="11"/>
      <c r="C686" s="20"/>
      <c r="D686" s="20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5"/>
    </row>
    <row r="687">
      <c r="A687" s="12"/>
      <c r="B687" s="11"/>
      <c r="C687" s="20"/>
      <c r="D687" s="20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5"/>
    </row>
    <row r="688">
      <c r="A688" s="6"/>
      <c r="B688" s="11"/>
      <c r="C688" s="20"/>
      <c r="D688" s="20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5"/>
    </row>
    <row r="689">
      <c r="A689" s="12"/>
      <c r="B689" s="11"/>
      <c r="C689" s="20"/>
      <c r="D689" s="20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5"/>
    </row>
    <row r="690">
      <c r="A690" s="6"/>
      <c r="B690" s="11"/>
      <c r="C690" s="20"/>
      <c r="D690" s="20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5"/>
    </row>
    <row r="691">
      <c r="A691" s="12"/>
      <c r="B691" s="11"/>
      <c r="C691" s="20"/>
      <c r="D691" s="20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5"/>
    </row>
    <row r="692">
      <c r="A692" s="6"/>
      <c r="B692" s="11"/>
      <c r="C692" s="20"/>
      <c r="D692" s="20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5"/>
    </row>
    <row r="693">
      <c r="A693" s="12"/>
      <c r="B693" s="11"/>
      <c r="C693" s="20"/>
      <c r="D693" s="20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5"/>
    </row>
    <row r="694">
      <c r="A694" s="6"/>
      <c r="B694" s="11"/>
      <c r="C694" s="20"/>
      <c r="D694" s="20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5"/>
    </row>
    <row r="695">
      <c r="A695" s="12"/>
      <c r="B695" s="11"/>
      <c r="C695" s="20"/>
      <c r="D695" s="20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5"/>
    </row>
    <row r="696">
      <c r="A696" s="6"/>
      <c r="B696" s="11"/>
      <c r="C696" s="20"/>
      <c r="D696" s="20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5"/>
    </row>
    <row r="697">
      <c r="A697" s="12"/>
      <c r="B697" s="11"/>
      <c r="C697" s="20"/>
      <c r="D697" s="20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5"/>
    </row>
    <row r="698">
      <c r="A698" s="6"/>
      <c r="B698" s="11"/>
      <c r="C698" s="20"/>
      <c r="D698" s="20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5"/>
    </row>
    <row r="699">
      <c r="A699" s="12"/>
      <c r="B699" s="11"/>
      <c r="C699" s="20"/>
      <c r="D699" s="20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5"/>
    </row>
    <row r="700">
      <c r="A700" s="6"/>
      <c r="B700" s="11"/>
      <c r="C700" s="20"/>
      <c r="D700" s="20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5"/>
    </row>
    <row r="701">
      <c r="A701" s="12"/>
      <c r="B701" s="11"/>
      <c r="C701" s="20"/>
      <c r="D701" s="20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5"/>
    </row>
    <row r="702">
      <c r="A702" s="6"/>
      <c r="B702" s="11"/>
      <c r="C702" s="20"/>
      <c r="D702" s="20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5"/>
    </row>
    <row r="703">
      <c r="A703" s="12"/>
      <c r="B703" s="11"/>
      <c r="C703" s="20"/>
      <c r="D703" s="20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5"/>
    </row>
    <row r="704">
      <c r="A704" s="6"/>
      <c r="B704" s="11"/>
      <c r="C704" s="20"/>
      <c r="D704" s="20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5"/>
    </row>
    <row r="705">
      <c r="A705" s="12"/>
      <c r="B705" s="11"/>
      <c r="C705" s="20"/>
      <c r="D705" s="20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5"/>
    </row>
    <row r="706">
      <c r="A706" s="6"/>
      <c r="B706" s="11"/>
      <c r="C706" s="20"/>
      <c r="D706" s="20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5"/>
    </row>
    <row r="707">
      <c r="A707" s="12"/>
      <c r="B707" s="11"/>
      <c r="C707" s="20"/>
      <c r="D707" s="20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5"/>
    </row>
    <row r="708">
      <c r="A708" s="6"/>
      <c r="B708" s="11"/>
      <c r="C708" s="20"/>
      <c r="D708" s="20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5"/>
    </row>
    <row r="709">
      <c r="A709" s="12"/>
      <c r="B709" s="11"/>
      <c r="C709" s="20"/>
      <c r="D709" s="20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5"/>
    </row>
    <row r="710">
      <c r="A710" s="6"/>
      <c r="B710" s="11"/>
      <c r="C710" s="20"/>
      <c r="D710" s="20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5"/>
    </row>
    <row r="711">
      <c r="A711" s="12"/>
      <c r="B711" s="11"/>
      <c r="C711" s="20"/>
      <c r="D711" s="20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5"/>
    </row>
    <row r="712">
      <c r="A712" s="6"/>
      <c r="B712" s="11"/>
      <c r="C712" s="20"/>
      <c r="D712" s="20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5"/>
    </row>
    <row r="713">
      <c r="A713" s="12"/>
      <c r="B713" s="11"/>
      <c r="C713" s="20"/>
      <c r="D713" s="20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5"/>
    </row>
    <row r="714">
      <c r="A714" s="6"/>
      <c r="B714" s="11"/>
      <c r="C714" s="20"/>
      <c r="D714" s="20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5"/>
    </row>
    <row r="715">
      <c r="A715" s="12"/>
      <c r="B715" s="11"/>
      <c r="C715" s="20"/>
      <c r="D715" s="20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5"/>
    </row>
    <row r="716">
      <c r="A716" s="6"/>
      <c r="B716" s="11"/>
      <c r="C716" s="20"/>
      <c r="D716" s="20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5"/>
    </row>
    <row r="717">
      <c r="A717" s="12"/>
      <c r="B717" s="11"/>
      <c r="C717" s="20"/>
      <c r="D717" s="20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5"/>
    </row>
    <row r="718">
      <c r="A718" s="6"/>
      <c r="B718" s="11"/>
      <c r="C718" s="20"/>
      <c r="D718" s="20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5"/>
    </row>
    <row r="719">
      <c r="A719" s="12"/>
      <c r="B719" s="11"/>
      <c r="C719" s="20"/>
      <c r="D719" s="20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5"/>
    </row>
    <row r="720">
      <c r="A720" s="6"/>
      <c r="B720" s="11"/>
      <c r="C720" s="20"/>
      <c r="D720" s="20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5"/>
    </row>
    <row r="721">
      <c r="A721" s="12"/>
      <c r="B721" s="11"/>
      <c r="C721" s="20"/>
      <c r="D721" s="20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5"/>
    </row>
    <row r="722">
      <c r="A722" s="6"/>
      <c r="B722" s="11"/>
      <c r="C722" s="20"/>
      <c r="D722" s="20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5"/>
    </row>
    <row r="723">
      <c r="A723" s="12"/>
      <c r="B723" s="11"/>
      <c r="C723" s="20"/>
      <c r="D723" s="20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5"/>
    </row>
    <row r="724">
      <c r="A724" s="6"/>
      <c r="B724" s="11"/>
      <c r="C724" s="20"/>
      <c r="D724" s="20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5"/>
    </row>
    <row r="725">
      <c r="A725" s="12"/>
      <c r="B725" s="11"/>
      <c r="C725" s="20"/>
      <c r="D725" s="20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5"/>
    </row>
    <row r="726">
      <c r="A726" s="6"/>
      <c r="B726" s="11"/>
      <c r="C726" s="20"/>
      <c r="D726" s="20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5"/>
    </row>
    <row r="727">
      <c r="A727" s="12"/>
      <c r="B727" s="11"/>
      <c r="C727" s="20"/>
      <c r="D727" s="20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5"/>
    </row>
    <row r="728">
      <c r="A728" s="6"/>
      <c r="B728" s="11"/>
      <c r="C728" s="20"/>
      <c r="D728" s="20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5"/>
    </row>
    <row r="729">
      <c r="A729" s="12"/>
      <c r="B729" s="11"/>
      <c r="C729" s="20"/>
      <c r="D729" s="20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5"/>
    </row>
    <row r="730">
      <c r="A730" s="6"/>
      <c r="B730" s="11"/>
      <c r="C730" s="20"/>
      <c r="D730" s="20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5"/>
    </row>
    <row r="731">
      <c r="A731" s="12"/>
      <c r="B731" s="11"/>
      <c r="C731" s="20"/>
      <c r="D731" s="20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5"/>
    </row>
    <row r="732">
      <c r="A732" s="6"/>
      <c r="B732" s="11"/>
      <c r="C732" s="20"/>
      <c r="D732" s="20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5"/>
    </row>
    <row r="733">
      <c r="A733" s="12"/>
      <c r="B733" s="11"/>
      <c r="C733" s="20"/>
      <c r="D733" s="20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5"/>
    </row>
    <row r="734">
      <c r="A734" s="6"/>
      <c r="B734" s="11"/>
      <c r="C734" s="20"/>
      <c r="D734" s="20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5"/>
    </row>
    <row r="735">
      <c r="A735" s="12"/>
      <c r="B735" s="11"/>
      <c r="C735" s="20"/>
      <c r="D735" s="20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5"/>
    </row>
    <row r="736">
      <c r="A736" s="6"/>
      <c r="B736" s="11"/>
      <c r="C736" s="20"/>
      <c r="D736" s="20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5"/>
    </row>
    <row r="737">
      <c r="A737" s="12"/>
      <c r="B737" s="11"/>
      <c r="C737" s="20"/>
      <c r="D737" s="20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5"/>
    </row>
    <row r="738">
      <c r="A738" s="6"/>
      <c r="B738" s="11"/>
      <c r="C738" s="20"/>
      <c r="D738" s="20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5"/>
    </row>
    <row r="739">
      <c r="A739" s="12"/>
      <c r="B739" s="11"/>
      <c r="C739" s="20"/>
      <c r="D739" s="20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5"/>
    </row>
    <row r="740">
      <c r="A740" s="6"/>
      <c r="B740" s="11"/>
      <c r="C740" s="20"/>
      <c r="D740" s="20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5"/>
    </row>
    <row r="741">
      <c r="A741" s="12"/>
      <c r="B741" s="11"/>
      <c r="C741" s="20"/>
      <c r="D741" s="20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5"/>
    </row>
    <row r="742">
      <c r="A742" s="6"/>
      <c r="B742" s="11"/>
      <c r="C742" s="20"/>
      <c r="D742" s="20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5"/>
    </row>
    <row r="743">
      <c r="A743" s="12"/>
      <c r="B743" s="11"/>
      <c r="C743" s="20"/>
      <c r="D743" s="20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5"/>
    </row>
    <row r="744">
      <c r="A744" s="6"/>
      <c r="B744" s="11"/>
      <c r="C744" s="20"/>
      <c r="D744" s="20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5"/>
    </row>
    <row r="745">
      <c r="A745" s="12"/>
      <c r="B745" s="11"/>
      <c r="C745" s="20"/>
      <c r="D745" s="20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5"/>
    </row>
    <row r="746">
      <c r="A746" s="6"/>
      <c r="B746" s="11"/>
      <c r="C746" s="20"/>
      <c r="D746" s="20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5"/>
    </row>
    <row r="747">
      <c r="A747" s="12"/>
      <c r="B747" s="11"/>
      <c r="C747" s="20"/>
      <c r="D747" s="20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5"/>
    </row>
    <row r="748">
      <c r="A748" s="6"/>
      <c r="B748" s="11"/>
      <c r="C748" s="20"/>
      <c r="D748" s="20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5"/>
    </row>
    <row r="749">
      <c r="A749" s="12"/>
      <c r="B749" s="11"/>
      <c r="C749" s="20"/>
      <c r="D749" s="20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5"/>
    </row>
    <row r="750">
      <c r="A750" s="6"/>
      <c r="B750" s="11"/>
      <c r="C750" s="20"/>
      <c r="D750" s="20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5"/>
    </row>
    <row r="751">
      <c r="A751" s="12"/>
      <c r="B751" s="11"/>
      <c r="C751" s="20"/>
      <c r="D751" s="20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5"/>
    </row>
    <row r="752">
      <c r="A752" s="6"/>
      <c r="B752" s="11"/>
      <c r="C752" s="20"/>
      <c r="D752" s="20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5"/>
    </row>
    <row r="753">
      <c r="A753" s="12"/>
      <c r="B753" s="11"/>
      <c r="C753" s="20"/>
      <c r="D753" s="20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5"/>
    </row>
    <row r="754">
      <c r="A754" s="6"/>
      <c r="B754" s="11"/>
      <c r="C754" s="20"/>
      <c r="D754" s="20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5"/>
    </row>
    <row r="755">
      <c r="A755" s="12"/>
      <c r="B755" s="11"/>
      <c r="C755" s="20"/>
      <c r="D755" s="20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5"/>
    </row>
    <row r="756">
      <c r="A756" s="6"/>
      <c r="B756" s="11"/>
      <c r="C756" s="20"/>
      <c r="D756" s="20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5"/>
    </row>
    <row r="757">
      <c r="A757" s="12"/>
      <c r="B757" s="11"/>
      <c r="C757" s="20"/>
      <c r="D757" s="20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5"/>
    </row>
    <row r="758">
      <c r="A758" s="6"/>
      <c r="B758" s="11"/>
      <c r="C758" s="20"/>
      <c r="D758" s="20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5"/>
    </row>
    <row r="759">
      <c r="A759" s="12"/>
      <c r="B759" s="11"/>
      <c r="C759" s="20"/>
      <c r="D759" s="20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5"/>
    </row>
    <row r="760">
      <c r="A760" s="6"/>
      <c r="B760" s="11"/>
      <c r="C760" s="20"/>
      <c r="D760" s="20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5"/>
    </row>
    <row r="761">
      <c r="A761" s="12"/>
      <c r="B761" s="11"/>
      <c r="C761" s="20"/>
      <c r="D761" s="20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5"/>
    </row>
    <row r="762">
      <c r="A762" s="6"/>
      <c r="B762" s="11"/>
      <c r="C762" s="20"/>
      <c r="D762" s="20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5"/>
    </row>
    <row r="763">
      <c r="A763" s="12"/>
      <c r="B763" s="11"/>
      <c r="C763" s="20"/>
      <c r="D763" s="20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5"/>
    </row>
    <row r="764">
      <c r="A764" s="6"/>
      <c r="B764" s="11"/>
      <c r="C764" s="20"/>
      <c r="D764" s="20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5"/>
    </row>
    <row r="765">
      <c r="A765" s="12"/>
      <c r="B765" s="11"/>
      <c r="C765" s="20"/>
      <c r="D765" s="20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5"/>
    </row>
    <row r="766">
      <c r="A766" s="6"/>
      <c r="B766" s="11"/>
      <c r="C766" s="20"/>
      <c r="D766" s="20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5"/>
    </row>
    <row r="767">
      <c r="A767" s="12"/>
      <c r="B767" s="11"/>
      <c r="C767" s="20"/>
      <c r="D767" s="20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5"/>
    </row>
    <row r="768">
      <c r="A768" s="6"/>
      <c r="B768" s="11"/>
      <c r="C768" s="20"/>
      <c r="D768" s="20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5"/>
    </row>
    <row r="769">
      <c r="A769" s="12"/>
      <c r="B769" s="11"/>
      <c r="C769" s="20"/>
      <c r="D769" s="20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5"/>
    </row>
    <row r="770">
      <c r="A770" s="6"/>
      <c r="B770" s="11"/>
      <c r="C770" s="20"/>
      <c r="D770" s="20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5"/>
    </row>
    <row r="771">
      <c r="A771" s="12"/>
      <c r="B771" s="11"/>
      <c r="C771" s="20"/>
      <c r="D771" s="20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5"/>
    </row>
    <row r="772">
      <c r="A772" s="6"/>
      <c r="B772" s="11"/>
      <c r="C772" s="20"/>
      <c r="D772" s="20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5"/>
    </row>
    <row r="773">
      <c r="A773" s="12"/>
      <c r="B773" s="11"/>
      <c r="C773" s="20"/>
      <c r="D773" s="20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5"/>
    </row>
    <row r="774">
      <c r="A774" s="6"/>
      <c r="B774" s="11"/>
      <c r="C774" s="20"/>
      <c r="D774" s="20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5"/>
    </row>
    <row r="775">
      <c r="A775" s="12"/>
      <c r="B775" s="11"/>
      <c r="C775" s="20"/>
      <c r="D775" s="20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5"/>
    </row>
    <row r="776">
      <c r="A776" s="6"/>
      <c r="B776" s="11"/>
      <c r="C776" s="20"/>
      <c r="D776" s="20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5"/>
    </row>
    <row r="777">
      <c r="A777" s="12"/>
      <c r="B777" s="11"/>
      <c r="C777" s="20"/>
      <c r="D777" s="20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5"/>
    </row>
    <row r="778">
      <c r="A778" s="6"/>
      <c r="B778" s="11"/>
      <c r="C778" s="20"/>
      <c r="D778" s="20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5"/>
    </row>
    <row r="779">
      <c r="A779" s="12"/>
      <c r="B779" s="11"/>
      <c r="C779" s="20"/>
      <c r="D779" s="20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5"/>
    </row>
    <row r="780">
      <c r="A780" s="6"/>
      <c r="B780" s="11"/>
      <c r="C780" s="20"/>
      <c r="D780" s="20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5"/>
    </row>
    <row r="781">
      <c r="A781" s="12"/>
      <c r="B781" s="11"/>
      <c r="C781" s="20"/>
      <c r="D781" s="20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5"/>
    </row>
    <row r="782">
      <c r="A782" s="6"/>
      <c r="B782" s="11"/>
      <c r="C782" s="20"/>
      <c r="D782" s="20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5"/>
    </row>
    <row r="783">
      <c r="A783" s="12"/>
      <c r="B783" s="11"/>
      <c r="C783" s="20"/>
      <c r="D783" s="20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5"/>
    </row>
    <row r="784">
      <c r="A784" s="6"/>
      <c r="B784" s="11"/>
      <c r="C784" s="20"/>
      <c r="D784" s="20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5"/>
    </row>
    <row r="785">
      <c r="A785" s="12"/>
      <c r="B785" s="11"/>
      <c r="C785" s="20"/>
      <c r="D785" s="20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5"/>
    </row>
    <row r="786">
      <c r="A786" s="6"/>
      <c r="B786" s="11"/>
      <c r="C786" s="20"/>
      <c r="D786" s="20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5"/>
    </row>
    <row r="787">
      <c r="A787" s="12"/>
      <c r="B787" s="11"/>
      <c r="C787" s="20"/>
      <c r="D787" s="20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5"/>
    </row>
    <row r="788">
      <c r="A788" s="6"/>
      <c r="B788" s="11"/>
      <c r="C788" s="20"/>
      <c r="D788" s="20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5"/>
    </row>
    <row r="789">
      <c r="A789" s="12"/>
      <c r="B789" s="11"/>
      <c r="C789" s="20"/>
      <c r="D789" s="20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5"/>
    </row>
    <row r="790">
      <c r="A790" s="6"/>
      <c r="B790" s="11"/>
      <c r="C790" s="20"/>
      <c r="D790" s="20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5"/>
    </row>
    <row r="791">
      <c r="A791" s="12"/>
      <c r="B791" s="11"/>
      <c r="C791" s="20"/>
      <c r="D791" s="20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5"/>
    </row>
    <row r="792">
      <c r="A792" s="6"/>
      <c r="B792" s="11"/>
      <c r="C792" s="20"/>
      <c r="D792" s="20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5"/>
    </row>
    <row r="793">
      <c r="A793" s="12"/>
      <c r="B793" s="11"/>
      <c r="C793" s="20"/>
      <c r="D793" s="20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5"/>
    </row>
    <row r="794">
      <c r="A794" s="6"/>
      <c r="B794" s="11"/>
      <c r="C794" s="20"/>
      <c r="D794" s="20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5"/>
    </row>
    <row r="795">
      <c r="A795" s="12"/>
      <c r="B795" s="11"/>
      <c r="C795" s="20"/>
      <c r="D795" s="20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5"/>
    </row>
    <row r="796">
      <c r="A796" s="6"/>
      <c r="B796" s="11"/>
      <c r="C796" s="20"/>
      <c r="D796" s="20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5"/>
    </row>
    <row r="797">
      <c r="A797" s="12"/>
      <c r="B797" s="11"/>
      <c r="C797" s="20"/>
      <c r="D797" s="20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5"/>
    </row>
    <row r="798">
      <c r="A798" s="6"/>
      <c r="B798" s="11"/>
      <c r="C798" s="20"/>
      <c r="D798" s="20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5"/>
    </row>
    <row r="799">
      <c r="A799" s="12"/>
      <c r="B799" s="11"/>
      <c r="C799" s="20"/>
      <c r="D799" s="20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5"/>
    </row>
    <row r="800">
      <c r="A800" s="6"/>
      <c r="B800" s="11"/>
      <c r="C800" s="20"/>
      <c r="D800" s="20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5"/>
    </row>
    <row r="801">
      <c r="A801" s="12"/>
      <c r="B801" s="11"/>
      <c r="C801" s="20"/>
      <c r="D801" s="20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5"/>
    </row>
    <row r="802">
      <c r="A802" s="6"/>
      <c r="B802" s="11"/>
      <c r="C802" s="20"/>
      <c r="D802" s="20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5"/>
    </row>
    <row r="803">
      <c r="A803" s="12"/>
      <c r="B803" s="11"/>
      <c r="C803" s="20"/>
      <c r="D803" s="20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5"/>
    </row>
    <row r="804">
      <c r="A804" s="6"/>
      <c r="B804" s="11"/>
      <c r="C804" s="20"/>
      <c r="D804" s="20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5"/>
    </row>
    <row r="805">
      <c r="A805" s="12"/>
      <c r="B805" s="11"/>
      <c r="C805" s="20"/>
      <c r="D805" s="20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5"/>
    </row>
    <row r="806">
      <c r="A806" s="6"/>
      <c r="B806" s="11"/>
      <c r="C806" s="20"/>
      <c r="D806" s="20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5"/>
    </row>
    <row r="807">
      <c r="A807" s="12"/>
      <c r="B807" s="11"/>
      <c r="C807" s="20"/>
      <c r="D807" s="20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5"/>
    </row>
    <row r="808">
      <c r="A808" s="6"/>
      <c r="B808" s="11"/>
      <c r="C808" s="20"/>
      <c r="D808" s="20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5"/>
    </row>
    <row r="809">
      <c r="A809" s="12"/>
      <c r="B809" s="11"/>
      <c r="C809" s="20"/>
      <c r="D809" s="20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5"/>
    </row>
    <row r="810">
      <c r="A810" s="6"/>
      <c r="B810" s="11"/>
      <c r="C810" s="20"/>
      <c r="D810" s="20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5"/>
    </row>
    <row r="811">
      <c r="A811" s="12"/>
      <c r="B811" s="11"/>
      <c r="C811" s="20"/>
      <c r="D811" s="20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5"/>
    </row>
    <row r="812">
      <c r="A812" s="6"/>
      <c r="B812" s="11"/>
      <c r="C812" s="20"/>
      <c r="D812" s="20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5"/>
    </row>
    <row r="813">
      <c r="A813" s="12"/>
      <c r="B813" s="11"/>
      <c r="C813" s="20"/>
      <c r="D813" s="20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5"/>
    </row>
    <row r="814">
      <c r="A814" s="6"/>
      <c r="B814" s="11"/>
      <c r="C814" s="20"/>
      <c r="D814" s="20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5"/>
    </row>
    <row r="815">
      <c r="A815" s="12"/>
      <c r="B815" s="11"/>
      <c r="C815" s="20"/>
      <c r="D815" s="20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5"/>
    </row>
    <row r="816">
      <c r="A816" s="6"/>
      <c r="B816" s="11"/>
      <c r="C816" s="20"/>
      <c r="D816" s="20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5"/>
    </row>
    <row r="817">
      <c r="A817" s="12"/>
      <c r="B817" s="11"/>
      <c r="C817" s="20"/>
      <c r="D817" s="20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5"/>
    </row>
    <row r="818">
      <c r="A818" s="6"/>
      <c r="B818" s="11"/>
      <c r="C818" s="20"/>
      <c r="D818" s="20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5"/>
    </row>
    <row r="819">
      <c r="A819" s="12"/>
      <c r="B819" s="11"/>
      <c r="C819" s="20"/>
      <c r="D819" s="20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5"/>
    </row>
    <row r="820">
      <c r="A820" s="6"/>
      <c r="B820" s="11"/>
      <c r="C820" s="20"/>
      <c r="D820" s="20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5"/>
    </row>
    <row r="821">
      <c r="A821" s="12"/>
      <c r="B821" s="11"/>
      <c r="C821" s="20"/>
      <c r="D821" s="20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5"/>
    </row>
    <row r="822">
      <c r="A822" s="6"/>
      <c r="B822" s="11"/>
      <c r="C822" s="20"/>
      <c r="D822" s="20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5"/>
    </row>
    <row r="823">
      <c r="A823" s="12"/>
      <c r="B823" s="11"/>
      <c r="C823" s="20"/>
      <c r="D823" s="20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5"/>
    </row>
    <row r="824">
      <c r="A824" s="6"/>
      <c r="B824" s="11"/>
      <c r="C824" s="20"/>
      <c r="D824" s="20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5"/>
    </row>
    <row r="825">
      <c r="A825" s="12"/>
      <c r="B825" s="11"/>
      <c r="C825" s="20"/>
      <c r="D825" s="20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5"/>
    </row>
    <row r="826">
      <c r="A826" s="6"/>
      <c r="B826" s="11"/>
      <c r="C826" s="20"/>
      <c r="D826" s="20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5"/>
    </row>
    <row r="827">
      <c r="A827" s="12"/>
      <c r="B827" s="11"/>
      <c r="C827" s="20"/>
      <c r="D827" s="20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5"/>
    </row>
    <row r="828">
      <c r="A828" s="6"/>
      <c r="B828" s="11"/>
      <c r="C828" s="20"/>
      <c r="D828" s="20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5"/>
    </row>
    <row r="829">
      <c r="A829" s="12"/>
      <c r="B829" s="11"/>
      <c r="C829" s="20"/>
      <c r="D829" s="20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5"/>
    </row>
    <row r="830">
      <c r="A830" s="6"/>
      <c r="B830" s="11"/>
      <c r="C830" s="20"/>
      <c r="D830" s="20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5"/>
    </row>
    <row r="831">
      <c r="A831" s="12"/>
      <c r="B831" s="11"/>
      <c r="C831" s="20"/>
      <c r="D831" s="20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5"/>
    </row>
    <row r="832">
      <c r="A832" s="6"/>
      <c r="B832" s="11"/>
      <c r="C832" s="20"/>
      <c r="D832" s="20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5"/>
    </row>
    <row r="833">
      <c r="A833" s="12"/>
      <c r="B833" s="11"/>
      <c r="C833" s="20"/>
      <c r="D833" s="20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5"/>
    </row>
    <row r="834">
      <c r="A834" s="6"/>
      <c r="B834" s="11"/>
      <c r="C834" s="20"/>
      <c r="D834" s="20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5"/>
    </row>
    <row r="835">
      <c r="A835" s="12"/>
      <c r="B835" s="11"/>
      <c r="C835" s="20"/>
      <c r="D835" s="20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5"/>
    </row>
    <row r="836">
      <c r="A836" s="6"/>
      <c r="B836" s="11"/>
      <c r="C836" s="20"/>
      <c r="D836" s="20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5"/>
    </row>
    <row r="837">
      <c r="A837" s="12"/>
      <c r="B837" s="11"/>
      <c r="C837" s="20"/>
      <c r="D837" s="20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5"/>
    </row>
    <row r="838">
      <c r="A838" s="6"/>
      <c r="B838" s="11"/>
      <c r="C838" s="20"/>
      <c r="D838" s="20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5"/>
    </row>
    <row r="839">
      <c r="A839" s="12"/>
      <c r="B839" s="11"/>
      <c r="C839" s="20"/>
      <c r="D839" s="20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5"/>
    </row>
    <row r="840">
      <c r="A840" s="6"/>
      <c r="B840" s="11"/>
      <c r="C840" s="20"/>
      <c r="D840" s="20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5"/>
    </row>
    <row r="841">
      <c r="A841" s="12"/>
      <c r="B841" s="11"/>
      <c r="C841" s="20"/>
      <c r="D841" s="20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5"/>
    </row>
    <row r="842">
      <c r="A842" s="6"/>
      <c r="B842" s="11"/>
      <c r="C842" s="20"/>
      <c r="D842" s="20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5"/>
    </row>
    <row r="843">
      <c r="A843" s="12"/>
      <c r="B843" s="11"/>
      <c r="C843" s="20"/>
      <c r="D843" s="20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5"/>
    </row>
    <row r="844">
      <c r="A844" s="6"/>
      <c r="B844" s="11"/>
      <c r="C844" s="20"/>
      <c r="D844" s="20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5"/>
    </row>
    <row r="845">
      <c r="A845" s="12"/>
      <c r="B845" s="11"/>
      <c r="C845" s="20"/>
      <c r="D845" s="20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5"/>
    </row>
    <row r="846">
      <c r="A846" s="6"/>
      <c r="B846" s="11"/>
      <c r="C846" s="20"/>
      <c r="D846" s="20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5"/>
    </row>
    <row r="847">
      <c r="A847" s="12"/>
      <c r="B847" s="11"/>
      <c r="C847" s="20"/>
      <c r="D847" s="20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5"/>
    </row>
    <row r="848">
      <c r="A848" s="6"/>
      <c r="B848" s="11"/>
      <c r="C848" s="20"/>
      <c r="D848" s="20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5"/>
    </row>
    <row r="849">
      <c r="A849" s="12"/>
      <c r="B849" s="11"/>
      <c r="C849" s="20"/>
      <c r="D849" s="20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5"/>
    </row>
    <row r="850">
      <c r="A850" s="6"/>
      <c r="B850" s="11"/>
      <c r="C850" s="20"/>
      <c r="D850" s="20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5"/>
    </row>
    <row r="851">
      <c r="A851" s="12"/>
      <c r="B851" s="11"/>
      <c r="C851" s="20"/>
      <c r="D851" s="20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5"/>
    </row>
    <row r="852">
      <c r="A852" s="6"/>
      <c r="B852" s="11"/>
      <c r="C852" s="20"/>
      <c r="D852" s="20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5"/>
    </row>
    <row r="853">
      <c r="A853" s="12"/>
      <c r="B853" s="11"/>
      <c r="C853" s="20"/>
      <c r="D853" s="20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5"/>
    </row>
    <row r="854">
      <c r="A854" s="6"/>
      <c r="B854" s="11"/>
      <c r="C854" s="20"/>
      <c r="D854" s="20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5"/>
    </row>
    <row r="855">
      <c r="A855" s="12"/>
      <c r="B855" s="11"/>
      <c r="C855" s="20"/>
      <c r="D855" s="20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5"/>
    </row>
    <row r="856">
      <c r="A856" s="6"/>
      <c r="B856" s="11"/>
      <c r="C856" s="20"/>
      <c r="D856" s="20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5"/>
    </row>
    <row r="857">
      <c r="A857" s="12"/>
      <c r="B857" s="11"/>
      <c r="C857" s="20"/>
      <c r="D857" s="20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5"/>
    </row>
    <row r="858">
      <c r="A858" s="6"/>
      <c r="B858" s="11"/>
      <c r="C858" s="20"/>
      <c r="D858" s="20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5"/>
    </row>
    <row r="859">
      <c r="A859" s="12"/>
      <c r="B859" s="11"/>
      <c r="C859" s="20"/>
      <c r="D859" s="20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5"/>
    </row>
    <row r="860">
      <c r="A860" s="6"/>
      <c r="B860" s="11"/>
      <c r="C860" s="20"/>
      <c r="D860" s="20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5"/>
    </row>
    <row r="861">
      <c r="A861" s="12"/>
      <c r="B861" s="11"/>
      <c r="C861" s="20"/>
      <c r="D861" s="20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5"/>
    </row>
    <row r="862">
      <c r="A862" s="6"/>
      <c r="B862" s="11"/>
      <c r="C862" s="20"/>
      <c r="D862" s="20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5"/>
    </row>
    <row r="863">
      <c r="A863" s="12"/>
      <c r="B863" s="11"/>
      <c r="C863" s="20"/>
      <c r="D863" s="20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5"/>
    </row>
    <row r="864">
      <c r="A864" s="6"/>
      <c r="B864" s="11"/>
      <c r="C864" s="20"/>
      <c r="D864" s="20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5"/>
    </row>
    <row r="865">
      <c r="A865" s="12"/>
      <c r="B865" s="11"/>
      <c r="C865" s="20"/>
      <c r="D865" s="20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5"/>
    </row>
    <row r="866">
      <c r="A866" s="6"/>
      <c r="B866" s="11"/>
      <c r="C866" s="20"/>
      <c r="D866" s="20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5"/>
    </row>
    <row r="867">
      <c r="A867" s="12"/>
      <c r="B867" s="11"/>
      <c r="C867" s="20"/>
      <c r="D867" s="20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5"/>
    </row>
    <row r="868">
      <c r="A868" s="6"/>
      <c r="B868" s="11"/>
      <c r="C868" s="20"/>
      <c r="D868" s="20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5"/>
    </row>
    <row r="869">
      <c r="A869" s="12"/>
      <c r="B869" s="11"/>
      <c r="C869" s="20"/>
      <c r="D869" s="20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5"/>
    </row>
    <row r="870">
      <c r="A870" s="6"/>
      <c r="B870" s="11"/>
      <c r="C870" s="20"/>
      <c r="D870" s="20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5"/>
    </row>
    <row r="871">
      <c r="A871" s="12"/>
      <c r="B871" s="11"/>
      <c r="C871" s="20"/>
      <c r="D871" s="20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5"/>
    </row>
    <row r="872">
      <c r="A872" s="6"/>
      <c r="B872" s="11"/>
      <c r="C872" s="20"/>
      <c r="D872" s="20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5"/>
    </row>
    <row r="873">
      <c r="A873" s="12"/>
      <c r="B873" s="11"/>
      <c r="C873" s="20"/>
      <c r="D873" s="20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5"/>
    </row>
    <row r="874">
      <c r="A874" s="6"/>
      <c r="B874" s="11"/>
      <c r="C874" s="20"/>
      <c r="D874" s="20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5"/>
    </row>
    <row r="875">
      <c r="A875" s="12"/>
      <c r="B875" s="11"/>
      <c r="C875" s="20"/>
      <c r="D875" s="20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5"/>
    </row>
    <row r="876">
      <c r="A876" s="6"/>
      <c r="B876" s="11"/>
      <c r="C876" s="20"/>
      <c r="D876" s="20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5"/>
    </row>
    <row r="877">
      <c r="A877" s="12"/>
      <c r="B877" s="11"/>
      <c r="C877" s="20"/>
      <c r="D877" s="20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5"/>
    </row>
    <row r="878">
      <c r="A878" s="6"/>
      <c r="B878" s="11"/>
      <c r="C878" s="20"/>
      <c r="D878" s="20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5"/>
    </row>
    <row r="879">
      <c r="A879" s="12"/>
      <c r="B879" s="11"/>
      <c r="C879" s="20"/>
      <c r="D879" s="20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5"/>
    </row>
    <row r="880">
      <c r="A880" s="6"/>
      <c r="B880" s="11"/>
      <c r="C880" s="20"/>
      <c r="D880" s="20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5"/>
    </row>
    <row r="881">
      <c r="A881" s="12"/>
      <c r="B881" s="11"/>
      <c r="C881" s="20"/>
      <c r="D881" s="20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5"/>
    </row>
    <row r="882">
      <c r="A882" s="6"/>
      <c r="B882" s="11"/>
      <c r="C882" s="20"/>
      <c r="D882" s="20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5"/>
    </row>
    <row r="883">
      <c r="A883" s="12"/>
      <c r="B883" s="11"/>
      <c r="C883" s="20"/>
      <c r="D883" s="20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5"/>
    </row>
    <row r="884">
      <c r="A884" s="6"/>
      <c r="B884" s="11"/>
      <c r="C884" s="20"/>
      <c r="D884" s="20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5"/>
    </row>
    <row r="885">
      <c r="A885" s="12"/>
      <c r="B885" s="11"/>
      <c r="C885" s="20"/>
      <c r="D885" s="20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5"/>
    </row>
    <row r="886">
      <c r="A886" s="6"/>
      <c r="B886" s="11"/>
      <c r="C886" s="20"/>
      <c r="D886" s="20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5"/>
    </row>
    <row r="887">
      <c r="A887" s="12"/>
      <c r="B887" s="11"/>
      <c r="C887" s="20"/>
      <c r="D887" s="20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5"/>
    </row>
    <row r="888">
      <c r="A888" s="6"/>
      <c r="B888" s="11"/>
      <c r="C888" s="20"/>
      <c r="D888" s="20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5"/>
    </row>
    <row r="889">
      <c r="A889" s="12"/>
      <c r="B889" s="11"/>
      <c r="C889" s="20"/>
      <c r="D889" s="20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5"/>
    </row>
    <row r="890">
      <c r="A890" s="6"/>
      <c r="B890" s="11"/>
      <c r="C890" s="20"/>
      <c r="D890" s="20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5"/>
    </row>
    <row r="891">
      <c r="A891" s="12"/>
      <c r="B891" s="11"/>
      <c r="C891" s="20"/>
      <c r="D891" s="20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5"/>
    </row>
    <row r="892">
      <c r="A892" s="6"/>
      <c r="B892" s="11"/>
      <c r="C892" s="20"/>
      <c r="D892" s="20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5"/>
    </row>
    <row r="893">
      <c r="A893" s="12"/>
      <c r="B893" s="11"/>
      <c r="C893" s="20"/>
      <c r="D893" s="20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5"/>
    </row>
    <row r="894">
      <c r="A894" s="6"/>
      <c r="B894" s="11"/>
      <c r="C894" s="20"/>
      <c r="D894" s="20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5"/>
    </row>
    <row r="895">
      <c r="A895" s="12"/>
      <c r="B895" s="11"/>
      <c r="C895" s="20"/>
      <c r="D895" s="20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5"/>
    </row>
    <row r="896">
      <c r="A896" s="6"/>
      <c r="B896" s="11"/>
      <c r="C896" s="20"/>
      <c r="D896" s="20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5"/>
    </row>
    <row r="897">
      <c r="A897" s="12"/>
      <c r="B897" s="11"/>
      <c r="C897" s="20"/>
      <c r="D897" s="20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5"/>
    </row>
    <row r="898">
      <c r="A898" s="6"/>
      <c r="B898" s="11"/>
      <c r="C898" s="20"/>
      <c r="D898" s="20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5"/>
    </row>
    <row r="899">
      <c r="A899" s="12"/>
      <c r="B899" s="11"/>
      <c r="C899" s="20"/>
      <c r="D899" s="20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5"/>
    </row>
    <row r="900">
      <c r="A900" s="6"/>
      <c r="B900" s="11"/>
      <c r="C900" s="20"/>
      <c r="D900" s="20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5"/>
    </row>
    <row r="901">
      <c r="A901" s="12"/>
      <c r="B901" s="11"/>
      <c r="C901" s="20"/>
      <c r="D901" s="20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5"/>
    </row>
    <row r="902">
      <c r="A902" s="6"/>
      <c r="B902" s="11"/>
      <c r="C902" s="20"/>
      <c r="D902" s="20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5"/>
    </row>
    <row r="903">
      <c r="A903" s="12"/>
      <c r="B903" s="11"/>
      <c r="C903" s="20"/>
      <c r="D903" s="20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5"/>
    </row>
    <row r="904">
      <c r="A904" s="6"/>
      <c r="B904" s="11"/>
      <c r="C904" s="20"/>
      <c r="D904" s="20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5"/>
    </row>
    <row r="905">
      <c r="A905" s="12"/>
      <c r="B905" s="11"/>
      <c r="C905" s="20"/>
      <c r="D905" s="20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5"/>
    </row>
    <row r="906">
      <c r="A906" s="6"/>
      <c r="B906" s="11"/>
      <c r="C906" s="20"/>
      <c r="D906" s="20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5"/>
    </row>
    <row r="907">
      <c r="A907" s="12"/>
      <c r="B907" s="11"/>
      <c r="C907" s="20"/>
      <c r="D907" s="20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5"/>
    </row>
    <row r="908">
      <c r="A908" s="6"/>
      <c r="B908" s="11"/>
      <c r="C908" s="20"/>
      <c r="D908" s="20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5"/>
    </row>
    <row r="909">
      <c r="A909" s="12"/>
      <c r="B909" s="11"/>
      <c r="C909" s="20"/>
      <c r="D909" s="20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5"/>
    </row>
    <row r="910">
      <c r="A910" s="6"/>
      <c r="B910" s="11"/>
      <c r="C910" s="20"/>
      <c r="D910" s="20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5"/>
    </row>
    <row r="911">
      <c r="A911" s="12"/>
      <c r="B911" s="11"/>
      <c r="C911" s="20"/>
      <c r="D911" s="20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5"/>
    </row>
    <row r="912">
      <c r="A912" s="6"/>
      <c r="B912" s="11"/>
      <c r="C912" s="20"/>
      <c r="D912" s="20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5"/>
    </row>
    <row r="913">
      <c r="A913" s="12"/>
      <c r="B913" s="11"/>
      <c r="C913" s="20"/>
      <c r="D913" s="20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5"/>
    </row>
    <row r="914">
      <c r="A914" s="6"/>
      <c r="B914" s="11"/>
      <c r="C914" s="20"/>
      <c r="D914" s="20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5"/>
    </row>
    <row r="915">
      <c r="A915" s="12"/>
      <c r="B915" s="11"/>
      <c r="C915" s="20"/>
      <c r="D915" s="20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5"/>
    </row>
    <row r="916">
      <c r="A916" s="6"/>
      <c r="B916" s="11"/>
      <c r="C916" s="20"/>
      <c r="D916" s="20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5"/>
    </row>
    <row r="917">
      <c r="A917" s="12"/>
      <c r="B917" s="11"/>
      <c r="C917" s="20"/>
      <c r="D917" s="20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5"/>
    </row>
    <row r="918">
      <c r="A918" s="6"/>
      <c r="B918" s="11"/>
      <c r="C918" s="20"/>
      <c r="D918" s="20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5"/>
    </row>
    <row r="919">
      <c r="A919" s="12"/>
      <c r="B919" s="11"/>
      <c r="C919" s="20"/>
      <c r="D919" s="20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5"/>
    </row>
    <row r="920">
      <c r="A920" s="6"/>
      <c r="B920" s="11"/>
      <c r="C920" s="20"/>
      <c r="D920" s="20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5"/>
    </row>
    <row r="921">
      <c r="A921" s="12"/>
      <c r="B921" s="11"/>
      <c r="C921" s="20"/>
      <c r="D921" s="20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5"/>
    </row>
    <row r="922">
      <c r="A922" s="6"/>
      <c r="B922" s="11"/>
      <c r="C922" s="20"/>
      <c r="D922" s="20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5"/>
    </row>
    <row r="923">
      <c r="A923" s="12"/>
      <c r="B923" s="11"/>
      <c r="C923" s="20"/>
      <c r="D923" s="20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5"/>
    </row>
    <row r="924">
      <c r="A924" s="6"/>
      <c r="B924" s="11"/>
      <c r="C924" s="20"/>
      <c r="D924" s="20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5"/>
    </row>
    <row r="925">
      <c r="A925" s="12"/>
      <c r="B925" s="11"/>
      <c r="C925" s="20"/>
      <c r="D925" s="20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5"/>
    </row>
    <row r="926">
      <c r="A926" s="6"/>
      <c r="B926" s="11"/>
      <c r="C926" s="20"/>
      <c r="D926" s="20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5"/>
    </row>
    <row r="927">
      <c r="A927" s="12"/>
      <c r="B927" s="11"/>
      <c r="C927" s="20"/>
      <c r="D927" s="20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5"/>
    </row>
    <row r="928">
      <c r="A928" s="6"/>
      <c r="B928" s="11"/>
      <c r="C928" s="20"/>
      <c r="D928" s="20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5"/>
    </row>
    <row r="929">
      <c r="A929" s="12"/>
      <c r="B929" s="11"/>
      <c r="C929" s="20"/>
      <c r="D929" s="20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5"/>
    </row>
    <row r="930">
      <c r="A930" s="6"/>
      <c r="B930" s="11"/>
      <c r="C930" s="20"/>
      <c r="D930" s="20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5"/>
    </row>
    <row r="931">
      <c r="A931" s="12"/>
      <c r="B931" s="11"/>
      <c r="C931" s="20"/>
      <c r="D931" s="20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5"/>
    </row>
    <row r="932">
      <c r="A932" s="6"/>
      <c r="B932" s="11"/>
      <c r="C932" s="20"/>
      <c r="D932" s="20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5"/>
    </row>
    <row r="933">
      <c r="A933" s="12"/>
      <c r="B933" s="11"/>
      <c r="C933" s="20"/>
      <c r="D933" s="20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5"/>
    </row>
    <row r="934">
      <c r="A934" s="6"/>
      <c r="B934" s="11"/>
      <c r="C934" s="20"/>
      <c r="D934" s="20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5"/>
    </row>
    <row r="935">
      <c r="A935" s="12"/>
      <c r="B935" s="11"/>
      <c r="C935" s="20"/>
      <c r="D935" s="20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5"/>
    </row>
    <row r="936">
      <c r="A936" s="6"/>
      <c r="B936" s="11"/>
      <c r="C936" s="20"/>
      <c r="D936" s="20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5"/>
    </row>
    <row r="937">
      <c r="A937" s="12"/>
      <c r="B937" s="11"/>
      <c r="C937" s="20"/>
      <c r="D937" s="20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5"/>
    </row>
    <row r="938">
      <c r="A938" s="6"/>
      <c r="B938" s="11"/>
      <c r="C938" s="20"/>
      <c r="D938" s="20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5"/>
    </row>
    <row r="939">
      <c r="A939" s="12"/>
      <c r="B939" s="11"/>
      <c r="C939" s="20"/>
      <c r="D939" s="20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5"/>
    </row>
    <row r="940">
      <c r="A940" s="6"/>
      <c r="B940" s="11"/>
      <c r="C940" s="20"/>
      <c r="D940" s="20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5"/>
    </row>
    <row r="941">
      <c r="A941" s="12"/>
      <c r="B941" s="11"/>
      <c r="C941" s="20"/>
      <c r="D941" s="20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5"/>
    </row>
    <row r="942">
      <c r="A942" s="6"/>
      <c r="B942" s="11"/>
      <c r="C942" s="20"/>
      <c r="D942" s="20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5"/>
    </row>
    <row r="943">
      <c r="A943" s="12"/>
      <c r="B943" s="11"/>
      <c r="C943" s="20"/>
      <c r="D943" s="20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5"/>
    </row>
    <row r="944">
      <c r="A944" s="6"/>
      <c r="B944" s="11"/>
      <c r="C944" s="20"/>
      <c r="D944" s="20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5"/>
    </row>
    <row r="945">
      <c r="A945" s="12"/>
      <c r="B945" s="11"/>
      <c r="C945" s="20"/>
      <c r="D945" s="20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5"/>
    </row>
    <row r="946">
      <c r="A946" s="6"/>
      <c r="B946" s="11"/>
      <c r="C946" s="20"/>
      <c r="D946" s="20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5"/>
    </row>
    <row r="947">
      <c r="A947" s="12"/>
      <c r="B947" s="11"/>
      <c r="C947" s="20"/>
      <c r="D947" s="20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5"/>
    </row>
    <row r="948">
      <c r="A948" s="6"/>
      <c r="B948" s="11"/>
      <c r="C948" s="20"/>
      <c r="D948" s="20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5"/>
    </row>
    <row r="949">
      <c r="A949" s="12"/>
      <c r="B949" s="11"/>
      <c r="C949" s="20"/>
      <c r="D949" s="20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5"/>
    </row>
    <row r="950">
      <c r="A950" s="6"/>
      <c r="B950" s="11"/>
      <c r="C950" s="20"/>
      <c r="D950" s="20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5"/>
    </row>
    <row r="951">
      <c r="A951" s="12"/>
      <c r="B951" s="11"/>
      <c r="C951" s="20"/>
      <c r="D951" s="20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5"/>
    </row>
    <row r="952">
      <c r="A952" s="6"/>
      <c r="B952" s="11"/>
      <c r="C952" s="20"/>
      <c r="D952" s="20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5"/>
    </row>
    <row r="953">
      <c r="A953" s="12"/>
      <c r="B953" s="11"/>
      <c r="C953" s="20"/>
      <c r="D953" s="20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5"/>
    </row>
    <row r="954">
      <c r="A954" s="6"/>
      <c r="B954" s="11"/>
      <c r="C954" s="20"/>
      <c r="D954" s="20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5"/>
    </row>
    <row r="955">
      <c r="A955" s="12"/>
      <c r="B955" s="11"/>
      <c r="C955" s="20"/>
      <c r="D955" s="20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5"/>
    </row>
    <row r="956">
      <c r="A956" s="6"/>
      <c r="B956" s="11"/>
      <c r="C956" s="20"/>
      <c r="D956" s="20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5"/>
    </row>
    <row r="957">
      <c r="A957" s="12"/>
      <c r="B957" s="11"/>
      <c r="C957" s="20"/>
      <c r="D957" s="20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5"/>
    </row>
    <row r="958">
      <c r="A958" s="6"/>
      <c r="B958" s="11"/>
      <c r="C958" s="20"/>
      <c r="D958" s="20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5"/>
    </row>
    <row r="959">
      <c r="A959" s="12"/>
      <c r="B959" s="11"/>
      <c r="C959" s="20"/>
      <c r="D959" s="20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5"/>
    </row>
    <row r="960">
      <c r="A960" s="6"/>
      <c r="B960" s="11"/>
      <c r="C960" s="20"/>
      <c r="D960" s="20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5"/>
    </row>
    <row r="961">
      <c r="A961" s="12"/>
      <c r="B961" s="11"/>
      <c r="C961" s="20"/>
      <c r="D961" s="20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5"/>
    </row>
    <row r="962">
      <c r="A962" s="6"/>
      <c r="B962" s="11"/>
      <c r="C962" s="20"/>
      <c r="D962" s="20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5"/>
    </row>
    <row r="963">
      <c r="A963" s="12"/>
      <c r="B963" s="11"/>
      <c r="C963" s="20"/>
      <c r="D963" s="20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5"/>
    </row>
    <row r="964">
      <c r="A964" s="6"/>
      <c r="B964" s="11"/>
      <c r="C964" s="20"/>
      <c r="D964" s="20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5"/>
    </row>
    <row r="965">
      <c r="A965" s="12"/>
      <c r="B965" s="11"/>
      <c r="C965" s="20"/>
      <c r="D965" s="20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5"/>
    </row>
    <row r="966">
      <c r="A966" s="6"/>
      <c r="B966" s="11"/>
      <c r="C966" s="20"/>
      <c r="D966" s="20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5"/>
    </row>
    <row r="967">
      <c r="A967" s="12"/>
      <c r="B967" s="11"/>
      <c r="C967" s="20"/>
      <c r="D967" s="20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5"/>
    </row>
    <row r="968">
      <c r="A968" s="6"/>
      <c r="B968" s="11"/>
      <c r="C968" s="20"/>
      <c r="D968" s="20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5"/>
    </row>
    <row r="969">
      <c r="A969" s="12"/>
      <c r="B969" s="11"/>
      <c r="C969" s="20"/>
      <c r="D969" s="20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5"/>
    </row>
    <row r="970">
      <c r="A970" s="6"/>
      <c r="B970" s="11"/>
      <c r="C970" s="20"/>
      <c r="D970" s="20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5"/>
    </row>
    <row r="971">
      <c r="A971" s="12"/>
      <c r="B971" s="11"/>
      <c r="C971" s="20"/>
      <c r="D971" s="20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5"/>
    </row>
    <row r="972">
      <c r="A972" s="6"/>
      <c r="B972" s="11"/>
      <c r="C972" s="20"/>
      <c r="D972" s="20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5"/>
    </row>
    <row r="973">
      <c r="A973" s="12"/>
      <c r="B973" s="11"/>
      <c r="C973" s="20"/>
      <c r="D973" s="20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5"/>
    </row>
    <row r="974">
      <c r="A974" s="6"/>
      <c r="B974" s="11"/>
      <c r="C974" s="20"/>
      <c r="D974" s="20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5"/>
    </row>
    <row r="975">
      <c r="A975" s="12"/>
      <c r="B975" s="11"/>
      <c r="C975" s="20"/>
      <c r="D975" s="20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5"/>
    </row>
    <row r="976">
      <c r="A976" s="6"/>
      <c r="B976" s="11"/>
      <c r="C976" s="20"/>
      <c r="D976" s="20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5"/>
    </row>
    <row r="977">
      <c r="A977" s="12"/>
      <c r="B977" s="11"/>
      <c r="C977" s="20"/>
      <c r="D977" s="20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5"/>
    </row>
    <row r="978">
      <c r="A978" s="6"/>
      <c r="B978" s="11"/>
      <c r="C978" s="20"/>
      <c r="D978" s="20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5"/>
    </row>
    <row r="979">
      <c r="A979" s="12"/>
      <c r="B979" s="11"/>
      <c r="C979" s="20"/>
      <c r="D979" s="20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5"/>
    </row>
    <row r="980">
      <c r="A980" s="6"/>
      <c r="B980" s="11"/>
      <c r="C980" s="20"/>
      <c r="D980" s="20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5"/>
    </row>
    <row r="981">
      <c r="A981" s="12"/>
      <c r="B981" s="11"/>
      <c r="C981" s="20"/>
      <c r="D981" s="20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5"/>
    </row>
    <row r="982">
      <c r="A982" s="6"/>
      <c r="B982" s="11"/>
      <c r="C982" s="20"/>
      <c r="D982" s="20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5"/>
    </row>
    <row r="983">
      <c r="A983" s="12"/>
      <c r="B983" s="11"/>
      <c r="C983" s="20"/>
      <c r="D983" s="20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5"/>
    </row>
    <row r="984">
      <c r="A984" s="6"/>
      <c r="B984" s="11"/>
      <c r="C984" s="20"/>
      <c r="D984" s="20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5"/>
    </row>
    <row r="985">
      <c r="A985" s="12"/>
      <c r="B985" s="11"/>
      <c r="C985" s="20"/>
      <c r="D985" s="20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5"/>
    </row>
    <row r="986">
      <c r="A986" s="6"/>
      <c r="B986" s="11"/>
      <c r="C986" s="20"/>
      <c r="D986" s="20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5"/>
    </row>
    <row r="987">
      <c r="A987" s="12"/>
      <c r="B987" s="11"/>
      <c r="C987" s="20"/>
      <c r="D987" s="20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5"/>
    </row>
    <row r="988">
      <c r="A988" s="6"/>
      <c r="B988" s="11"/>
      <c r="C988" s="20"/>
      <c r="D988" s="20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5"/>
    </row>
    <row r="989">
      <c r="A989" s="12"/>
      <c r="B989" s="11"/>
      <c r="C989" s="20"/>
      <c r="D989" s="20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5"/>
    </row>
    <row r="990">
      <c r="A990" s="6"/>
      <c r="B990" s="11"/>
      <c r="C990" s="20"/>
      <c r="D990" s="20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5"/>
    </row>
    <row r="991">
      <c r="A991" s="12"/>
      <c r="B991" s="11"/>
      <c r="C991" s="20"/>
      <c r="D991" s="20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5"/>
    </row>
    <row r="992">
      <c r="A992" s="6"/>
      <c r="B992" s="11"/>
      <c r="C992" s="20"/>
      <c r="D992" s="20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5"/>
    </row>
    <row r="993">
      <c r="A993" s="12"/>
      <c r="B993" s="11"/>
      <c r="C993" s="20"/>
      <c r="D993" s="20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5"/>
    </row>
    <row r="994">
      <c r="A994" s="6"/>
      <c r="B994" s="11"/>
      <c r="C994" s="20"/>
      <c r="D994" s="20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5"/>
    </row>
    <row r="995">
      <c r="A995" s="12"/>
      <c r="B995" s="11"/>
      <c r="C995" s="20"/>
      <c r="D995" s="20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5"/>
    </row>
    <row r="996">
      <c r="A996" s="6"/>
      <c r="B996" s="11"/>
      <c r="C996" s="20"/>
      <c r="D996" s="20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5"/>
    </row>
    <row r="997">
      <c r="A997" s="12"/>
      <c r="B997" s="11"/>
      <c r="C997" s="20"/>
      <c r="D997" s="20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5"/>
    </row>
    <row r="998">
      <c r="A998" s="6"/>
      <c r="B998" s="11"/>
      <c r="C998" s="20"/>
      <c r="D998" s="20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5"/>
    </row>
    <row r="999">
      <c r="A999" s="12"/>
      <c r="B999" s="11"/>
      <c r="C999" s="20"/>
      <c r="D999" s="20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5"/>
    </row>
    <row r="1000">
      <c r="A1000" s="6"/>
      <c r="B1000" s="11"/>
      <c r="C1000" s="20"/>
      <c r="D1000" s="20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5"/>
    </row>
    <row r="1001">
      <c r="A1001" s="12"/>
      <c r="B1001" s="11"/>
      <c r="C1001" s="20"/>
      <c r="D1001" s="20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5"/>
    </row>
    <row r="1002">
      <c r="A1002" s="6"/>
      <c r="B1002" s="11"/>
      <c r="C1002" s="20"/>
      <c r="D1002" s="20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5"/>
    </row>
    <row r="1003">
      <c r="A1003" s="12"/>
      <c r="B1003" s="11"/>
      <c r="C1003" s="20"/>
      <c r="D1003" s="20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5"/>
    </row>
    <row r="1004">
      <c r="A1004" s="6"/>
      <c r="B1004" s="11"/>
      <c r="C1004" s="20"/>
      <c r="D1004" s="20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5"/>
    </row>
    <row r="1005">
      <c r="A1005" s="12"/>
      <c r="B1005" s="11"/>
      <c r="C1005" s="20"/>
      <c r="D1005" s="20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5"/>
    </row>
    <row r="1006">
      <c r="A1006" s="6"/>
      <c r="B1006" s="11"/>
      <c r="C1006" s="20"/>
      <c r="D1006" s="20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5"/>
    </row>
    <row r="1007">
      <c r="A1007" s="12"/>
      <c r="B1007" s="11"/>
      <c r="C1007" s="20"/>
      <c r="D1007" s="20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5"/>
    </row>
    <row r="1008">
      <c r="A1008" s="6"/>
      <c r="B1008" s="11"/>
      <c r="C1008" s="20"/>
      <c r="D1008" s="20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5"/>
    </row>
    <row r="1009">
      <c r="A1009" s="12"/>
      <c r="B1009" s="11"/>
      <c r="C1009" s="20"/>
      <c r="D1009" s="20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5"/>
    </row>
    <row r="1010">
      <c r="A1010" s="6"/>
      <c r="B1010" s="11"/>
      <c r="C1010" s="20"/>
      <c r="D1010" s="20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5"/>
    </row>
    <row r="1011">
      <c r="A1011" s="12"/>
      <c r="B1011" s="11"/>
      <c r="C1011" s="20"/>
      <c r="D1011" s="20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5"/>
    </row>
    <row r="1012">
      <c r="A1012" s="6"/>
      <c r="B1012" s="11"/>
      <c r="C1012" s="20"/>
      <c r="D1012" s="20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5"/>
    </row>
    <row r="1013">
      <c r="A1013" s="12"/>
      <c r="B1013" s="11"/>
      <c r="C1013" s="20"/>
      <c r="D1013" s="20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5"/>
    </row>
    <row r="1014">
      <c r="A1014" s="6"/>
      <c r="B1014" s="11"/>
      <c r="C1014" s="20"/>
      <c r="D1014" s="20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5"/>
    </row>
    <row r="1015">
      <c r="A1015" s="12"/>
      <c r="B1015" s="11"/>
      <c r="C1015" s="20"/>
      <c r="D1015" s="20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5"/>
    </row>
    <row r="1016">
      <c r="A1016" s="6"/>
      <c r="B1016" s="11"/>
      <c r="C1016" s="20"/>
      <c r="D1016" s="20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5"/>
    </row>
    <row r="1017">
      <c r="A1017" s="12"/>
      <c r="B1017" s="11"/>
      <c r="C1017" s="20"/>
      <c r="D1017" s="20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5"/>
    </row>
    <row r="1018">
      <c r="A1018" s="6"/>
      <c r="B1018" s="11"/>
      <c r="C1018" s="20"/>
      <c r="D1018" s="20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5"/>
    </row>
    <row r="1019">
      <c r="A1019" s="12"/>
      <c r="B1019" s="11"/>
      <c r="C1019" s="20"/>
      <c r="D1019" s="20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5"/>
    </row>
    <row r="1020">
      <c r="A1020" s="6"/>
      <c r="B1020" s="11"/>
      <c r="C1020" s="20"/>
      <c r="D1020" s="20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5"/>
    </row>
    <row r="1021">
      <c r="A1021" s="12"/>
      <c r="B1021" s="11"/>
      <c r="C1021" s="20"/>
      <c r="D1021" s="20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5"/>
    </row>
    <row r="1022">
      <c r="A1022" s="6"/>
      <c r="B1022" s="11"/>
      <c r="C1022" s="20"/>
      <c r="D1022" s="20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5"/>
    </row>
    <row r="1023">
      <c r="A1023" s="12"/>
      <c r="B1023" s="11"/>
      <c r="C1023" s="20"/>
      <c r="D1023" s="20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5"/>
    </row>
    <row r="1024">
      <c r="A1024" s="6"/>
      <c r="B1024" s="11"/>
      <c r="C1024" s="20"/>
      <c r="D1024" s="20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5"/>
    </row>
    <row r="1025">
      <c r="A1025" s="12"/>
      <c r="B1025" s="11"/>
      <c r="C1025" s="20"/>
      <c r="D1025" s="20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5"/>
    </row>
    <row r="1026">
      <c r="A1026" s="6"/>
      <c r="B1026" s="11"/>
      <c r="C1026" s="20"/>
      <c r="D1026" s="20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5"/>
    </row>
    <row r="1027">
      <c r="A1027" s="12"/>
      <c r="B1027" s="11"/>
      <c r="C1027" s="20"/>
      <c r="D1027" s="20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5"/>
    </row>
    <row r="1028">
      <c r="A1028" s="6"/>
      <c r="B1028" s="11"/>
      <c r="C1028" s="20"/>
      <c r="D1028" s="20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5"/>
    </row>
    <row r="1029">
      <c r="A1029" s="12"/>
      <c r="B1029" s="11"/>
      <c r="C1029" s="20"/>
      <c r="D1029" s="20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5"/>
    </row>
    <row r="1030">
      <c r="A1030" s="6"/>
      <c r="B1030" s="11"/>
      <c r="C1030" s="20"/>
      <c r="D1030" s="20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5"/>
    </row>
    <row r="1031">
      <c r="A1031" s="12"/>
      <c r="B1031" s="11"/>
      <c r="C1031" s="20"/>
      <c r="D1031" s="20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5"/>
    </row>
    <row r="1032">
      <c r="A1032" s="6"/>
      <c r="B1032" s="11"/>
      <c r="C1032" s="20"/>
      <c r="D1032" s="20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5"/>
    </row>
    <row r="1033">
      <c r="A1033" s="12"/>
      <c r="B1033" s="11"/>
      <c r="C1033" s="20"/>
      <c r="D1033" s="20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5"/>
    </row>
    <row r="1034">
      <c r="A1034" s="6"/>
      <c r="B1034" s="11"/>
      <c r="C1034" s="20"/>
      <c r="D1034" s="20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5"/>
    </row>
    <row r="1035">
      <c r="A1035" s="12"/>
      <c r="B1035" s="11"/>
      <c r="C1035" s="20"/>
      <c r="D1035" s="20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5"/>
    </row>
    <row r="1036">
      <c r="A1036" s="6"/>
      <c r="B1036" s="11"/>
      <c r="C1036" s="20"/>
      <c r="D1036" s="20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5"/>
    </row>
    <row r="1037">
      <c r="A1037" s="12"/>
      <c r="B1037" s="11"/>
      <c r="C1037" s="20"/>
      <c r="D1037" s="20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5"/>
    </row>
    <row r="1038">
      <c r="A1038" s="6"/>
      <c r="B1038" s="11"/>
      <c r="C1038" s="20"/>
      <c r="D1038" s="20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5"/>
    </row>
    <row r="1039">
      <c r="A1039" s="12"/>
      <c r="B1039" s="11"/>
      <c r="C1039" s="20"/>
      <c r="D1039" s="20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5"/>
    </row>
    <row r="1040">
      <c r="A1040" s="6"/>
      <c r="B1040" s="11"/>
      <c r="C1040" s="20"/>
      <c r="D1040" s="20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5"/>
    </row>
    <row r="1041">
      <c r="A1041" s="12"/>
      <c r="B1041" s="11"/>
      <c r="C1041" s="20"/>
      <c r="D1041" s="20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5"/>
    </row>
    <row r="1042">
      <c r="A1042" s="6"/>
      <c r="B1042" s="11"/>
      <c r="C1042" s="20"/>
      <c r="D1042" s="20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5"/>
    </row>
    <row r="1043">
      <c r="A1043" s="12"/>
      <c r="B1043" s="11"/>
      <c r="C1043" s="20"/>
      <c r="D1043" s="20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5"/>
    </row>
    <row r="1044">
      <c r="A1044" s="6"/>
      <c r="B1044" s="11"/>
      <c r="C1044" s="20"/>
      <c r="D1044" s="20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5"/>
    </row>
    <row r="1045">
      <c r="A1045" s="12"/>
      <c r="B1045" s="11"/>
      <c r="C1045" s="20"/>
      <c r="D1045" s="20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5"/>
    </row>
    <row r="1046">
      <c r="A1046" s="6"/>
      <c r="B1046" s="11"/>
      <c r="C1046" s="20"/>
      <c r="D1046" s="20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5"/>
    </row>
    <row r="1047">
      <c r="A1047" s="12"/>
      <c r="B1047" s="11"/>
      <c r="C1047" s="20"/>
      <c r="D1047" s="20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5"/>
    </row>
    <row r="1048">
      <c r="A1048" s="6"/>
      <c r="B1048" s="11"/>
      <c r="C1048" s="20"/>
      <c r="D1048" s="20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5"/>
    </row>
    <row r="1049">
      <c r="A1049" s="12"/>
      <c r="B1049" s="11"/>
      <c r="C1049" s="20"/>
      <c r="D1049" s="20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5"/>
    </row>
    <row r="1050">
      <c r="A1050" s="6"/>
      <c r="B1050" s="11"/>
      <c r="C1050" s="20"/>
      <c r="D1050" s="20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5"/>
    </row>
    <row r="1051">
      <c r="A1051" s="12"/>
      <c r="B1051" s="11"/>
      <c r="C1051" s="20"/>
      <c r="D1051" s="20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5"/>
    </row>
    <row r="1052">
      <c r="A1052" s="6"/>
      <c r="B1052" s="11"/>
      <c r="C1052" s="20"/>
      <c r="D1052" s="20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5"/>
    </row>
    <row r="1053">
      <c r="A1053" s="12"/>
      <c r="B1053" s="11"/>
      <c r="C1053" s="20"/>
      <c r="D1053" s="20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5"/>
    </row>
    <row r="1054">
      <c r="A1054" s="6"/>
      <c r="B1054" s="11"/>
      <c r="C1054" s="20"/>
      <c r="D1054" s="20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5"/>
    </row>
    <row r="1055">
      <c r="A1055" s="12"/>
      <c r="B1055" s="11"/>
      <c r="C1055" s="20"/>
      <c r="D1055" s="20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5"/>
    </row>
    <row r="1056">
      <c r="A1056" s="6"/>
      <c r="B1056" s="11"/>
      <c r="C1056" s="20"/>
      <c r="D1056" s="20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5"/>
    </row>
    <row r="1057">
      <c r="A1057" s="12"/>
      <c r="B1057" s="11"/>
      <c r="C1057" s="20"/>
      <c r="D1057" s="20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5"/>
    </row>
    <row r="1058">
      <c r="A1058" s="6"/>
      <c r="B1058" s="11"/>
      <c r="C1058" s="20"/>
      <c r="D1058" s="20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5"/>
    </row>
    <row r="1059">
      <c r="A1059" s="12"/>
      <c r="B1059" s="11"/>
      <c r="C1059" s="20"/>
      <c r="D1059" s="20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5"/>
    </row>
    <row r="1060">
      <c r="A1060" s="6"/>
      <c r="B1060" s="11"/>
      <c r="C1060" s="20"/>
      <c r="D1060" s="20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5"/>
    </row>
    <row r="1061">
      <c r="A1061" s="12"/>
      <c r="B1061" s="11"/>
      <c r="C1061" s="20"/>
      <c r="D1061" s="20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5"/>
    </row>
    <row r="1062">
      <c r="A1062" s="6"/>
      <c r="B1062" s="11"/>
      <c r="C1062" s="20"/>
      <c r="D1062" s="20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5"/>
    </row>
    <row r="1063">
      <c r="A1063" s="12"/>
      <c r="B1063" s="11"/>
      <c r="C1063" s="20"/>
      <c r="D1063" s="20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5"/>
    </row>
    <row r="1064">
      <c r="A1064" s="6"/>
      <c r="B1064" s="11"/>
      <c r="C1064" s="20"/>
      <c r="D1064" s="20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5"/>
    </row>
    <row r="1065">
      <c r="A1065" s="12"/>
      <c r="B1065" s="11"/>
      <c r="C1065" s="20"/>
      <c r="D1065" s="20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5"/>
    </row>
    <row r="1066">
      <c r="A1066" s="6"/>
      <c r="B1066" s="11"/>
      <c r="C1066" s="20"/>
      <c r="D1066" s="20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5"/>
    </row>
    <row r="1067">
      <c r="A1067" s="12"/>
      <c r="B1067" s="11"/>
      <c r="C1067" s="20"/>
      <c r="D1067" s="20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5"/>
    </row>
    <row r="1068">
      <c r="A1068" s="6"/>
      <c r="B1068" s="11"/>
      <c r="C1068" s="20"/>
      <c r="D1068" s="20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5"/>
    </row>
    <row r="1069">
      <c r="A1069" s="12"/>
      <c r="B1069" s="11"/>
      <c r="C1069" s="20"/>
      <c r="D1069" s="20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5"/>
    </row>
    <row r="1070">
      <c r="A1070" s="6"/>
      <c r="B1070" s="11"/>
      <c r="C1070" s="20"/>
      <c r="D1070" s="20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5"/>
    </row>
    <row r="1071">
      <c r="A1071" s="12"/>
      <c r="B1071" s="11"/>
      <c r="C1071" s="20"/>
      <c r="D1071" s="20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5"/>
    </row>
    <row r="1072">
      <c r="A1072" s="6"/>
      <c r="B1072" s="11"/>
      <c r="C1072" s="20"/>
      <c r="D1072" s="20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5"/>
    </row>
    <row r="1073">
      <c r="A1073" s="12"/>
      <c r="B1073" s="11"/>
      <c r="C1073" s="20"/>
      <c r="D1073" s="20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5"/>
    </row>
    <row r="1074">
      <c r="A1074" s="6"/>
      <c r="B1074" s="11"/>
      <c r="C1074" s="20"/>
      <c r="D1074" s="20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5"/>
    </row>
    <row r="1075">
      <c r="A1075" s="12"/>
      <c r="B1075" s="11"/>
      <c r="C1075" s="20"/>
      <c r="D1075" s="20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5"/>
    </row>
    <row r="1076">
      <c r="A1076" s="6"/>
      <c r="B1076" s="11"/>
      <c r="C1076" s="20"/>
      <c r="D1076" s="20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5"/>
    </row>
    <row r="1077">
      <c r="A1077" s="12"/>
      <c r="B1077" s="11"/>
      <c r="C1077" s="20"/>
      <c r="D1077" s="20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5"/>
    </row>
    <row r="1078">
      <c r="A1078" s="6"/>
      <c r="B1078" s="11"/>
      <c r="C1078" s="20"/>
      <c r="D1078" s="20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5"/>
    </row>
    <row r="1079">
      <c r="A1079" s="12"/>
      <c r="B1079" s="11"/>
      <c r="C1079" s="20"/>
      <c r="D1079" s="20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5"/>
    </row>
    <row r="1080">
      <c r="A1080" s="6"/>
      <c r="B1080" s="11"/>
      <c r="C1080" s="20"/>
      <c r="D1080" s="20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5"/>
    </row>
    <row r="1081">
      <c r="A1081" s="12"/>
      <c r="B1081" s="11"/>
      <c r="C1081" s="20"/>
      <c r="D1081" s="20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5"/>
    </row>
    <row r="1082">
      <c r="A1082" s="6"/>
      <c r="B1082" s="11"/>
      <c r="C1082" s="20"/>
      <c r="D1082" s="20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5"/>
    </row>
    <row r="1083">
      <c r="A1083" s="12"/>
      <c r="B1083" s="11"/>
      <c r="C1083" s="20"/>
      <c r="D1083" s="20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5"/>
    </row>
    <row r="1084">
      <c r="A1084" s="6"/>
      <c r="B1084" s="11"/>
      <c r="C1084" s="20"/>
      <c r="D1084" s="20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5"/>
    </row>
    <row r="1085">
      <c r="A1085" s="12"/>
      <c r="B1085" s="11"/>
      <c r="C1085" s="20"/>
      <c r="D1085" s="20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5"/>
    </row>
    <row r="1086">
      <c r="A1086" s="6"/>
      <c r="B1086" s="11"/>
      <c r="C1086" s="20"/>
      <c r="D1086" s="20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5"/>
    </row>
    <row r="1087">
      <c r="A1087" s="12"/>
      <c r="B1087" s="11"/>
      <c r="C1087" s="20"/>
      <c r="D1087" s="20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5"/>
    </row>
    <row r="1088">
      <c r="A1088" s="6"/>
      <c r="B1088" s="11"/>
      <c r="C1088" s="20"/>
      <c r="D1088" s="20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5"/>
    </row>
    <row r="1089">
      <c r="A1089" s="12"/>
      <c r="B1089" s="11"/>
      <c r="C1089" s="20"/>
      <c r="D1089" s="20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5"/>
    </row>
    <row r="1090">
      <c r="A1090" s="6"/>
      <c r="B1090" s="11"/>
      <c r="C1090" s="20"/>
      <c r="D1090" s="20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5"/>
    </row>
    <row r="1091">
      <c r="A1091" s="12"/>
      <c r="B1091" s="11"/>
      <c r="C1091" s="20"/>
      <c r="D1091" s="20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5"/>
    </row>
    <row r="1092">
      <c r="A1092" s="6"/>
      <c r="B1092" s="11"/>
      <c r="C1092" s="20"/>
      <c r="D1092" s="20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5"/>
    </row>
    <row r="1093">
      <c r="A1093" s="12"/>
      <c r="B1093" s="11"/>
      <c r="C1093" s="20"/>
      <c r="D1093" s="20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5"/>
    </row>
    <row r="1094">
      <c r="A1094" s="6"/>
      <c r="B1094" s="11"/>
      <c r="C1094" s="20"/>
      <c r="D1094" s="20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5"/>
    </row>
    <row r="1095">
      <c r="A1095" s="12"/>
      <c r="B1095" s="11"/>
      <c r="C1095" s="20"/>
      <c r="D1095" s="20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5"/>
    </row>
    <row r="1096">
      <c r="A1096" s="6"/>
      <c r="B1096" s="11"/>
      <c r="C1096" s="20"/>
      <c r="D1096" s="20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5"/>
    </row>
    <row r="1097">
      <c r="A1097" s="12"/>
      <c r="B1097" s="11"/>
      <c r="C1097" s="20"/>
      <c r="D1097" s="20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5"/>
    </row>
    <row r="1098">
      <c r="A1098" s="6"/>
      <c r="B1098" s="11"/>
      <c r="C1098" s="20"/>
      <c r="D1098" s="20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5"/>
    </row>
    <row r="1099">
      <c r="A1099" s="12"/>
      <c r="B1099" s="11"/>
      <c r="C1099" s="20"/>
      <c r="D1099" s="20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5"/>
    </row>
    <row r="1100">
      <c r="A1100" s="6"/>
      <c r="B1100" s="11"/>
      <c r="C1100" s="20"/>
      <c r="D1100" s="20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5"/>
    </row>
    <row r="1101">
      <c r="A1101" s="12"/>
      <c r="B1101" s="11"/>
      <c r="C1101" s="20"/>
      <c r="D1101" s="20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5"/>
    </row>
    <row r="1102">
      <c r="A1102" s="6"/>
      <c r="B1102" s="11"/>
      <c r="C1102" s="20"/>
      <c r="D1102" s="20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5"/>
    </row>
    <row r="1103">
      <c r="A1103" s="12"/>
      <c r="B1103" s="11"/>
      <c r="C1103" s="20"/>
      <c r="D1103" s="20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5"/>
    </row>
    <row r="1104">
      <c r="A1104" s="6"/>
      <c r="B1104" s="11"/>
      <c r="C1104" s="20"/>
      <c r="D1104" s="20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5"/>
    </row>
    <row r="1105">
      <c r="A1105" s="12"/>
      <c r="B1105" s="11"/>
      <c r="C1105" s="20"/>
      <c r="D1105" s="20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5"/>
    </row>
    <row r="1106">
      <c r="A1106" s="6"/>
      <c r="B1106" s="11"/>
      <c r="C1106" s="20"/>
      <c r="D1106" s="20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5"/>
    </row>
    <row r="1107">
      <c r="A1107" s="12"/>
      <c r="B1107" s="11"/>
      <c r="C1107" s="20"/>
      <c r="D1107" s="20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5"/>
    </row>
    <row r="1108">
      <c r="A1108" s="6"/>
      <c r="B1108" s="11"/>
      <c r="C1108" s="20"/>
      <c r="D1108" s="20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5"/>
    </row>
    <row r="1109">
      <c r="A1109" s="12"/>
      <c r="B1109" s="11"/>
      <c r="C1109" s="20"/>
      <c r="D1109" s="20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5"/>
    </row>
    <row r="1110">
      <c r="A1110" s="6"/>
      <c r="B1110" s="11"/>
      <c r="C1110" s="20"/>
      <c r="D1110" s="20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5"/>
    </row>
    <row r="1111">
      <c r="A1111" s="12"/>
      <c r="B1111" s="11"/>
      <c r="C1111" s="20"/>
      <c r="D1111" s="20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5"/>
    </row>
    <row r="1112">
      <c r="A1112" s="6"/>
      <c r="B1112" s="11"/>
      <c r="C1112" s="20"/>
      <c r="D1112" s="20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5"/>
    </row>
    <row r="1113">
      <c r="A1113" s="12"/>
      <c r="B1113" s="11"/>
      <c r="C1113" s="20"/>
      <c r="D1113" s="20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5"/>
    </row>
    <row r="1114">
      <c r="A1114" s="6"/>
      <c r="B1114" s="11"/>
      <c r="C1114" s="20"/>
      <c r="D1114" s="20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5"/>
    </row>
    <row r="1115">
      <c r="A1115" s="12"/>
      <c r="B1115" s="11"/>
      <c r="C1115" s="20"/>
      <c r="D1115" s="20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5"/>
    </row>
    <row r="1116">
      <c r="A1116" s="6"/>
      <c r="B1116" s="11"/>
      <c r="C1116" s="20"/>
      <c r="D1116" s="20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5"/>
    </row>
    <row r="1117">
      <c r="A1117" s="12"/>
      <c r="B1117" s="11"/>
      <c r="C1117" s="20"/>
      <c r="D1117" s="20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5"/>
    </row>
    <row r="1118">
      <c r="A1118" s="6"/>
      <c r="B1118" s="11"/>
      <c r="C1118" s="20"/>
      <c r="D1118" s="20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5"/>
    </row>
    <row r="1119">
      <c r="A1119" s="12"/>
      <c r="B1119" s="11"/>
      <c r="C1119" s="20"/>
      <c r="D1119" s="20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5"/>
    </row>
    <row r="1120">
      <c r="A1120" s="6"/>
      <c r="B1120" s="11"/>
      <c r="C1120" s="20"/>
      <c r="D1120" s="20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5"/>
    </row>
    <row r="1121">
      <c r="A1121" s="12"/>
      <c r="B1121" s="11"/>
      <c r="C1121" s="20"/>
      <c r="D1121" s="20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5"/>
    </row>
    <row r="1122">
      <c r="A1122" s="6"/>
      <c r="B1122" s="11"/>
      <c r="C1122" s="20"/>
      <c r="D1122" s="20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5"/>
    </row>
    <row r="1123">
      <c r="A1123" s="12"/>
      <c r="B1123" s="11"/>
      <c r="C1123" s="20"/>
      <c r="D1123" s="20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5"/>
    </row>
    <row r="1124">
      <c r="A1124" s="6"/>
      <c r="B1124" s="11"/>
      <c r="C1124" s="20"/>
      <c r="D1124" s="20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5"/>
    </row>
    <row r="1125">
      <c r="A1125" s="12"/>
      <c r="B1125" s="11"/>
      <c r="C1125" s="20"/>
      <c r="D1125" s="20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5"/>
    </row>
    <row r="1126">
      <c r="A1126" s="6"/>
      <c r="B1126" s="11"/>
      <c r="C1126" s="20"/>
      <c r="D1126" s="20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5"/>
    </row>
    <row r="1127">
      <c r="A1127" s="12"/>
      <c r="B1127" s="11"/>
      <c r="C1127" s="20"/>
      <c r="D1127" s="20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5"/>
    </row>
    <row r="1128">
      <c r="A1128" s="6"/>
      <c r="B1128" s="11"/>
      <c r="C1128" s="20"/>
      <c r="D1128" s="20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5"/>
    </row>
    <row r="1129">
      <c r="A1129" s="12"/>
      <c r="B1129" s="11"/>
      <c r="C1129" s="20"/>
      <c r="D1129" s="20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5"/>
    </row>
    <row r="1130">
      <c r="A1130" s="6"/>
      <c r="B1130" s="11"/>
      <c r="C1130" s="20"/>
      <c r="D1130" s="20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5"/>
    </row>
    <row r="1131">
      <c r="A1131" s="12"/>
      <c r="B1131" s="11"/>
      <c r="C1131" s="20"/>
      <c r="D1131" s="20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5"/>
    </row>
    <row r="1132">
      <c r="A1132" s="6"/>
      <c r="B1132" s="11"/>
      <c r="C1132" s="20"/>
      <c r="D1132" s="20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5"/>
    </row>
    <row r="1133">
      <c r="A1133" s="12"/>
      <c r="B1133" s="11"/>
      <c r="C1133" s="20"/>
      <c r="D1133" s="20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5"/>
    </row>
    <row r="1134">
      <c r="A1134" s="6"/>
      <c r="B1134" s="11"/>
      <c r="C1134" s="20"/>
      <c r="D1134" s="20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5"/>
    </row>
    <row r="1135">
      <c r="A1135" s="12"/>
      <c r="B1135" s="11"/>
      <c r="C1135" s="20"/>
      <c r="D1135" s="20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5"/>
    </row>
    <row r="1136">
      <c r="A1136" s="6"/>
      <c r="B1136" s="11"/>
      <c r="C1136" s="20"/>
      <c r="D1136" s="20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5"/>
    </row>
    <row r="1137">
      <c r="A1137" s="12"/>
      <c r="B1137" s="11"/>
      <c r="C1137" s="20"/>
      <c r="D1137" s="20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5"/>
    </row>
    <row r="1138">
      <c r="A1138" s="6"/>
      <c r="B1138" s="11"/>
      <c r="C1138" s="20"/>
      <c r="D1138" s="20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5"/>
    </row>
    <row r="1139">
      <c r="A1139" s="12"/>
      <c r="B1139" s="11"/>
      <c r="C1139" s="20"/>
      <c r="D1139" s="20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5"/>
    </row>
    <row r="1140">
      <c r="A1140" s="6"/>
      <c r="B1140" s="11"/>
      <c r="C1140" s="20"/>
      <c r="D1140" s="20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5"/>
    </row>
    <row r="1141">
      <c r="A1141" s="12"/>
      <c r="B1141" s="11"/>
      <c r="C1141" s="20"/>
      <c r="D1141" s="20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5"/>
    </row>
    <row r="1142">
      <c r="A1142" s="6"/>
      <c r="B1142" s="11"/>
      <c r="C1142" s="20"/>
      <c r="D1142" s="20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5"/>
    </row>
    <row r="1143">
      <c r="A1143" s="12"/>
      <c r="B1143" s="11"/>
      <c r="C1143" s="20"/>
      <c r="D1143" s="20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5"/>
    </row>
    <row r="1144">
      <c r="A1144" s="6"/>
      <c r="B1144" s="11"/>
      <c r="C1144" s="20"/>
      <c r="D1144" s="20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5"/>
    </row>
    <row r="1145">
      <c r="A1145" s="12"/>
      <c r="B1145" s="11"/>
      <c r="C1145" s="20"/>
      <c r="D1145" s="20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5"/>
    </row>
    <row r="1146">
      <c r="A1146" s="6"/>
      <c r="B1146" s="11"/>
      <c r="C1146" s="20"/>
      <c r="D1146" s="20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5"/>
    </row>
    <row r="1147">
      <c r="A1147" s="12"/>
      <c r="B1147" s="11"/>
      <c r="C1147" s="20"/>
      <c r="D1147" s="20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5"/>
    </row>
    <row r="1148">
      <c r="A1148" s="6"/>
      <c r="B1148" s="11"/>
      <c r="C1148" s="20"/>
      <c r="D1148" s="20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5"/>
    </row>
    <row r="1149">
      <c r="A1149" s="12"/>
      <c r="B1149" s="11"/>
      <c r="C1149" s="20"/>
      <c r="D1149" s="20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5"/>
    </row>
    <row r="1150">
      <c r="A1150" s="6"/>
      <c r="B1150" s="11"/>
      <c r="C1150" s="20"/>
      <c r="D1150" s="20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5"/>
    </row>
    <row r="1151">
      <c r="A1151" s="12"/>
      <c r="B1151" s="11"/>
      <c r="C1151" s="20"/>
      <c r="D1151" s="20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5"/>
    </row>
    <row r="1152">
      <c r="A1152" s="6"/>
      <c r="B1152" s="11"/>
      <c r="C1152" s="20"/>
      <c r="D1152" s="20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5"/>
    </row>
    <row r="1153">
      <c r="A1153" s="12"/>
      <c r="B1153" s="11"/>
      <c r="C1153" s="20"/>
      <c r="D1153" s="20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5"/>
    </row>
    <row r="1154">
      <c r="A1154" s="6"/>
      <c r="B1154" s="11"/>
      <c r="C1154" s="20"/>
      <c r="D1154" s="20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5"/>
    </row>
    <row r="1155">
      <c r="A1155" s="12"/>
      <c r="B1155" s="11"/>
      <c r="C1155" s="20"/>
      <c r="D1155" s="20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5"/>
    </row>
    <row r="1156">
      <c r="A1156" s="6"/>
      <c r="B1156" s="11"/>
      <c r="C1156" s="20"/>
      <c r="D1156" s="20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5"/>
    </row>
    <row r="1157">
      <c r="A1157" s="12"/>
      <c r="B1157" s="11"/>
      <c r="C1157" s="20"/>
      <c r="D1157" s="20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5"/>
    </row>
    <row r="1158">
      <c r="A1158" s="6"/>
      <c r="B1158" s="11"/>
      <c r="C1158" s="20"/>
      <c r="D1158" s="20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5"/>
    </row>
    <row r="1159">
      <c r="A1159" s="12"/>
      <c r="B1159" s="11"/>
      <c r="C1159" s="20"/>
      <c r="D1159" s="20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5"/>
    </row>
    <row r="1160">
      <c r="A1160" s="6"/>
      <c r="B1160" s="11"/>
      <c r="C1160" s="20"/>
      <c r="D1160" s="20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5"/>
    </row>
    <row r="1161">
      <c r="A1161" s="12"/>
      <c r="B1161" s="11"/>
      <c r="C1161" s="20"/>
      <c r="D1161" s="20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5"/>
    </row>
    <row r="1162">
      <c r="A1162" s="6"/>
      <c r="B1162" s="11"/>
      <c r="C1162" s="20"/>
      <c r="D1162" s="20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5"/>
    </row>
    <row r="1163">
      <c r="A1163" s="12"/>
      <c r="B1163" s="11"/>
      <c r="C1163" s="20"/>
      <c r="D1163" s="20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5"/>
    </row>
    <row r="1164">
      <c r="A1164" s="6"/>
      <c r="B1164" s="11"/>
      <c r="C1164" s="20"/>
      <c r="D1164" s="20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5"/>
    </row>
    <row r="1165">
      <c r="A1165" s="12"/>
      <c r="B1165" s="11"/>
      <c r="C1165" s="20"/>
      <c r="D1165" s="20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5"/>
    </row>
    <row r="1166">
      <c r="A1166" s="6"/>
      <c r="B1166" s="11"/>
      <c r="C1166" s="20"/>
      <c r="D1166" s="20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5"/>
    </row>
    <row r="1167">
      <c r="A1167" s="12"/>
      <c r="B1167" s="11"/>
      <c r="C1167" s="20"/>
      <c r="D1167" s="20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5"/>
    </row>
    <row r="1168">
      <c r="A1168" s="6"/>
      <c r="B1168" s="11"/>
      <c r="C1168" s="20"/>
      <c r="D1168" s="20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5"/>
    </row>
    <row r="1169">
      <c r="A1169" s="12"/>
      <c r="B1169" s="11"/>
      <c r="C1169" s="20"/>
      <c r="D1169" s="20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5"/>
    </row>
    <row r="1170">
      <c r="A1170" s="6"/>
      <c r="B1170" s="11"/>
      <c r="C1170" s="20"/>
      <c r="D1170" s="20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5"/>
    </row>
    <row r="1171">
      <c r="A1171" s="12"/>
      <c r="B1171" s="11"/>
      <c r="C1171" s="20"/>
      <c r="D1171" s="20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5"/>
    </row>
    <row r="1172">
      <c r="A1172" s="6"/>
      <c r="B1172" s="11"/>
      <c r="C1172" s="20"/>
      <c r="D1172" s="20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5"/>
    </row>
    <row r="1173">
      <c r="A1173" s="12"/>
      <c r="B1173" s="11"/>
      <c r="C1173" s="20"/>
      <c r="D1173" s="20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5"/>
    </row>
    <row r="1174">
      <c r="A1174" s="6"/>
      <c r="B1174" s="11"/>
      <c r="C1174" s="20"/>
      <c r="D1174" s="20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5"/>
    </row>
    <row r="1175">
      <c r="A1175" s="12"/>
      <c r="B1175" s="11"/>
      <c r="C1175" s="20"/>
      <c r="D1175" s="20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5"/>
    </row>
    <row r="1176">
      <c r="A1176" s="6"/>
      <c r="B1176" s="11"/>
      <c r="C1176" s="20"/>
      <c r="D1176" s="20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5"/>
    </row>
    <row r="1177">
      <c r="A1177" s="12"/>
      <c r="B1177" s="11"/>
      <c r="C1177" s="20"/>
      <c r="D1177" s="20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5"/>
    </row>
    <row r="1178">
      <c r="A1178" s="6"/>
      <c r="B1178" s="11"/>
      <c r="C1178" s="20"/>
      <c r="D1178" s="20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5"/>
    </row>
    <row r="1179">
      <c r="A1179" s="12"/>
      <c r="B1179" s="11"/>
      <c r="C1179" s="20"/>
      <c r="D1179" s="20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5"/>
    </row>
    <row r="1180">
      <c r="A1180" s="6"/>
      <c r="B1180" s="11"/>
      <c r="C1180" s="20"/>
      <c r="D1180" s="20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5"/>
    </row>
    <row r="1181">
      <c r="A1181" s="12"/>
      <c r="B1181" s="11"/>
      <c r="C1181" s="20"/>
      <c r="D1181" s="20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5"/>
    </row>
    <row r="1182">
      <c r="A1182" s="6"/>
      <c r="B1182" s="11"/>
      <c r="C1182" s="20"/>
      <c r="D1182" s="20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5"/>
    </row>
    <row r="1183">
      <c r="A1183" s="12"/>
      <c r="B1183" s="11"/>
      <c r="C1183" s="20"/>
      <c r="D1183" s="20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5"/>
    </row>
    <row r="1184">
      <c r="A1184" s="6"/>
      <c r="B1184" s="11"/>
      <c r="C1184" s="20"/>
      <c r="D1184" s="20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5"/>
    </row>
    <row r="1185">
      <c r="A1185" s="12"/>
      <c r="B1185" s="11"/>
      <c r="C1185" s="20"/>
      <c r="D1185" s="20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5"/>
    </row>
    <row r="1186">
      <c r="A1186" s="6"/>
      <c r="B1186" s="11"/>
      <c r="C1186" s="20"/>
      <c r="D1186" s="20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5"/>
    </row>
    <row r="1187">
      <c r="A1187" s="12"/>
      <c r="B1187" s="11"/>
      <c r="C1187" s="20"/>
      <c r="D1187" s="20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5"/>
    </row>
    <row r="1188">
      <c r="A1188" s="6"/>
      <c r="B1188" s="11"/>
      <c r="C1188" s="20"/>
      <c r="D1188" s="20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5"/>
    </row>
    <row r="1189">
      <c r="A1189" s="12"/>
      <c r="B1189" s="11"/>
      <c r="C1189" s="20"/>
      <c r="D1189" s="20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5"/>
    </row>
    <row r="1190">
      <c r="A1190" s="6"/>
      <c r="B1190" s="11"/>
      <c r="C1190" s="20"/>
      <c r="D1190" s="20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5"/>
    </row>
    <row r="1191">
      <c r="A1191" s="12"/>
      <c r="B1191" s="11"/>
      <c r="C1191" s="20"/>
      <c r="D1191" s="20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5"/>
    </row>
    <row r="1192">
      <c r="A1192" s="6"/>
      <c r="B1192" s="11"/>
      <c r="C1192" s="20"/>
      <c r="D1192" s="20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5"/>
    </row>
    <row r="1193">
      <c r="A1193" s="12"/>
      <c r="B1193" s="11"/>
      <c r="C1193" s="20"/>
      <c r="D1193" s="20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5"/>
    </row>
    <row r="1194">
      <c r="A1194" s="6"/>
      <c r="B1194" s="11"/>
      <c r="C1194" s="20"/>
      <c r="D1194" s="20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5"/>
    </row>
    <row r="1195">
      <c r="A1195" s="12"/>
      <c r="B1195" s="11"/>
      <c r="C1195" s="20"/>
      <c r="D1195" s="20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5"/>
    </row>
    <row r="1196">
      <c r="A1196" s="6"/>
      <c r="B1196" s="11"/>
      <c r="C1196" s="20"/>
      <c r="D1196" s="20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5"/>
    </row>
    <row r="1197">
      <c r="A1197" s="12"/>
      <c r="B1197" s="11"/>
      <c r="C1197" s="20"/>
      <c r="D1197" s="20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5"/>
    </row>
    <row r="1198">
      <c r="A1198" s="6"/>
      <c r="B1198" s="11"/>
      <c r="C1198" s="20"/>
      <c r="D1198" s="20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5"/>
    </row>
    <row r="1199">
      <c r="A1199" s="12"/>
      <c r="B1199" s="11"/>
      <c r="C1199" s="20"/>
      <c r="D1199" s="20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5"/>
    </row>
    <row r="1200">
      <c r="A1200" s="6"/>
      <c r="B1200" s="11"/>
      <c r="C1200" s="20"/>
      <c r="D1200" s="20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5"/>
    </row>
    <row r="1201">
      <c r="A1201" s="12"/>
      <c r="B1201" s="11"/>
      <c r="C1201" s="20"/>
      <c r="D1201" s="20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5"/>
    </row>
    <row r="1202">
      <c r="A1202" s="6"/>
      <c r="B1202" s="11"/>
      <c r="C1202" s="20"/>
      <c r="D1202" s="20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5"/>
    </row>
    <row r="1203">
      <c r="A1203" s="12"/>
      <c r="B1203" s="11"/>
      <c r="C1203" s="20"/>
      <c r="D1203" s="20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5"/>
    </row>
    <row r="1204">
      <c r="A1204" s="6"/>
      <c r="B1204" s="11"/>
      <c r="C1204" s="20"/>
      <c r="D1204" s="20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5"/>
    </row>
    <row r="1205">
      <c r="A1205" s="12"/>
      <c r="B1205" s="11"/>
      <c r="C1205" s="20"/>
      <c r="D1205" s="20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5"/>
    </row>
    <row r="1206">
      <c r="A1206" s="6"/>
      <c r="B1206" s="11"/>
      <c r="C1206" s="20"/>
      <c r="D1206" s="20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5"/>
    </row>
    <row r="1207">
      <c r="A1207" s="12"/>
      <c r="B1207" s="11"/>
      <c r="C1207" s="20"/>
      <c r="D1207" s="20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5"/>
    </row>
    <row r="1208">
      <c r="A1208" s="6"/>
      <c r="B1208" s="11"/>
      <c r="C1208" s="20"/>
      <c r="D1208" s="20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5"/>
    </row>
    <row r="1209">
      <c r="A1209" s="12"/>
      <c r="B1209" s="11"/>
      <c r="C1209" s="20"/>
      <c r="D1209" s="20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5"/>
    </row>
    <row r="1210">
      <c r="A1210" s="6"/>
      <c r="B1210" s="11"/>
      <c r="C1210" s="20"/>
      <c r="D1210" s="20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5"/>
    </row>
    <row r="1211">
      <c r="A1211" s="12"/>
      <c r="B1211" s="11"/>
      <c r="C1211" s="20"/>
      <c r="D1211" s="20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5"/>
    </row>
    <row r="1212">
      <c r="A1212" s="6"/>
      <c r="B1212" s="11"/>
      <c r="C1212" s="20"/>
      <c r="D1212" s="20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5"/>
    </row>
    <row r="1213">
      <c r="A1213" s="12"/>
      <c r="B1213" s="11"/>
      <c r="C1213" s="20"/>
      <c r="D1213" s="20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5"/>
    </row>
    <row r="1214">
      <c r="A1214" s="6"/>
      <c r="B1214" s="11"/>
      <c r="C1214" s="20"/>
      <c r="D1214" s="20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5"/>
    </row>
    <row r="1215">
      <c r="A1215" s="12"/>
      <c r="B1215" s="11"/>
      <c r="C1215" s="20"/>
      <c r="D1215" s="20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5"/>
    </row>
    <row r="1216">
      <c r="A1216" s="6"/>
      <c r="B1216" s="11"/>
      <c r="C1216" s="20"/>
      <c r="D1216" s="20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5"/>
    </row>
    <row r="1217">
      <c r="A1217" s="12"/>
      <c r="B1217" s="11"/>
      <c r="C1217" s="20"/>
      <c r="D1217" s="20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5"/>
    </row>
    <row r="1218">
      <c r="A1218" s="6"/>
      <c r="B1218" s="11"/>
      <c r="C1218" s="20"/>
      <c r="D1218" s="20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5"/>
    </row>
    <row r="1219">
      <c r="A1219" s="12"/>
      <c r="B1219" s="11"/>
      <c r="C1219" s="20"/>
      <c r="D1219" s="20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5"/>
    </row>
    <row r="1220">
      <c r="A1220" s="6"/>
      <c r="B1220" s="11"/>
      <c r="C1220" s="20"/>
      <c r="D1220" s="20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5"/>
    </row>
    <row r="1221">
      <c r="A1221" s="12"/>
      <c r="B1221" s="11"/>
      <c r="C1221" s="20"/>
      <c r="D1221" s="20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5"/>
    </row>
    <row r="1222">
      <c r="A1222" s="6"/>
      <c r="B1222" s="11"/>
      <c r="C1222" s="20"/>
      <c r="D1222" s="20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5"/>
    </row>
    <row r="1223">
      <c r="A1223" s="12"/>
      <c r="B1223" s="11"/>
      <c r="C1223" s="20"/>
      <c r="D1223" s="20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5"/>
    </row>
    <row r="1224">
      <c r="A1224" s="6"/>
      <c r="B1224" s="11"/>
      <c r="C1224" s="20"/>
      <c r="D1224" s="20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5"/>
    </row>
    <row r="1225">
      <c r="A1225" s="12"/>
      <c r="B1225" s="11"/>
      <c r="C1225" s="20"/>
      <c r="D1225" s="20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5"/>
    </row>
    <row r="1226">
      <c r="A1226" s="6"/>
      <c r="B1226" s="11"/>
      <c r="C1226" s="20"/>
      <c r="D1226" s="20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5"/>
    </row>
    <row r="1227">
      <c r="A1227" s="12"/>
      <c r="B1227" s="11"/>
      <c r="C1227" s="20"/>
      <c r="D1227" s="20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5"/>
    </row>
    <row r="1228">
      <c r="A1228" s="6"/>
      <c r="B1228" s="11"/>
      <c r="C1228" s="20"/>
      <c r="D1228" s="20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5"/>
    </row>
    <row r="1229">
      <c r="A1229" s="12"/>
      <c r="B1229" s="11"/>
      <c r="C1229" s="20"/>
      <c r="D1229" s="20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5"/>
    </row>
    <row r="1230">
      <c r="A1230" s="6"/>
      <c r="B1230" s="11"/>
      <c r="C1230" s="20"/>
      <c r="D1230" s="20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5"/>
    </row>
    <row r="1231">
      <c r="A1231" s="12"/>
      <c r="B1231" s="11"/>
      <c r="C1231" s="20"/>
      <c r="D1231" s="20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5"/>
    </row>
    <row r="1232">
      <c r="A1232" s="6"/>
      <c r="B1232" s="11"/>
      <c r="C1232" s="20"/>
      <c r="D1232" s="20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5"/>
    </row>
    <row r="1233">
      <c r="A1233" s="12"/>
      <c r="B1233" s="11"/>
      <c r="C1233" s="20"/>
      <c r="D1233" s="20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5"/>
    </row>
    <row r="1234">
      <c r="A1234" s="6"/>
      <c r="B1234" s="11"/>
      <c r="C1234" s="20"/>
      <c r="D1234" s="20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5"/>
    </row>
    <row r="1235">
      <c r="A1235" s="12"/>
      <c r="B1235" s="11"/>
      <c r="C1235" s="20"/>
      <c r="D1235" s="20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5"/>
    </row>
    <row r="1236">
      <c r="A1236" s="6"/>
      <c r="B1236" s="11"/>
      <c r="C1236" s="20"/>
      <c r="D1236" s="20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5"/>
    </row>
    <row r="1237">
      <c r="A1237" s="12"/>
      <c r="B1237" s="11"/>
      <c r="C1237" s="20"/>
      <c r="D1237" s="20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5"/>
    </row>
    <row r="1238">
      <c r="A1238" s="6"/>
      <c r="B1238" s="11"/>
      <c r="C1238" s="20"/>
      <c r="D1238" s="20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5"/>
    </row>
    <row r="1239">
      <c r="A1239" s="12"/>
      <c r="B1239" s="11"/>
      <c r="C1239" s="20"/>
      <c r="D1239" s="20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5"/>
    </row>
    <row r="1240">
      <c r="A1240" s="6"/>
      <c r="B1240" s="11"/>
      <c r="C1240" s="20"/>
      <c r="D1240" s="20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5"/>
    </row>
    <row r="1241">
      <c r="A1241" s="12"/>
      <c r="B1241" s="11"/>
      <c r="C1241" s="20"/>
      <c r="D1241" s="20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5"/>
    </row>
    <row r="1242">
      <c r="A1242" s="6"/>
      <c r="B1242" s="11"/>
      <c r="C1242" s="20"/>
      <c r="D1242" s="20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5"/>
    </row>
    <row r="1243">
      <c r="A1243" s="12"/>
      <c r="B1243" s="11"/>
      <c r="C1243" s="20"/>
      <c r="D1243" s="20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5"/>
    </row>
    <row r="1244">
      <c r="A1244" s="6"/>
      <c r="B1244" s="11"/>
      <c r="C1244" s="20"/>
      <c r="D1244" s="20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5"/>
    </row>
    <row r="1245">
      <c r="A1245" s="12"/>
      <c r="B1245" s="11"/>
      <c r="C1245" s="20"/>
      <c r="D1245" s="20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5"/>
    </row>
    <row r="1246">
      <c r="A1246" s="6"/>
      <c r="B1246" s="11"/>
      <c r="C1246" s="20"/>
      <c r="D1246" s="20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5"/>
    </row>
    <row r="1247">
      <c r="A1247" s="12"/>
      <c r="B1247" s="11"/>
      <c r="C1247" s="20"/>
      <c r="D1247" s="20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5"/>
    </row>
    <row r="1248">
      <c r="A1248" s="6"/>
      <c r="B1248" s="11"/>
      <c r="C1248" s="20"/>
      <c r="D1248" s="20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5"/>
    </row>
    <row r="1249">
      <c r="A1249" s="12"/>
      <c r="B1249" s="11"/>
      <c r="C1249" s="20"/>
      <c r="D1249" s="20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5"/>
    </row>
    <row r="1250">
      <c r="A1250" s="6"/>
      <c r="B1250" s="11"/>
      <c r="C1250" s="20"/>
      <c r="D1250" s="20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5"/>
    </row>
    <row r="1251">
      <c r="A1251" s="12"/>
      <c r="B1251" s="11"/>
      <c r="C1251" s="20"/>
      <c r="D1251" s="20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5"/>
    </row>
    <row r="1252">
      <c r="A1252" s="6"/>
      <c r="B1252" s="11"/>
      <c r="C1252" s="20"/>
      <c r="D1252" s="20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5"/>
    </row>
    <row r="1253">
      <c r="A1253" s="12"/>
      <c r="B1253" s="11"/>
      <c r="C1253" s="20"/>
      <c r="D1253" s="20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5"/>
    </row>
    <row r="1254">
      <c r="A1254" s="6"/>
      <c r="B1254" s="11"/>
      <c r="C1254" s="20"/>
      <c r="D1254" s="20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5"/>
    </row>
    <row r="1255">
      <c r="A1255" s="12"/>
      <c r="B1255" s="11"/>
      <c r="C1255" s="20"/>
      <c r="D1255" s="20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5"/>
    </row>
    <row r="1256">
      <c r="A1256" s="6"/>
      <c r="B1256" s="11"/>
      <c r="C1256" s="20"/>
      <c r="D1256" s="20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5"/>
    </row>
    <row r="1257">
      <c r="A1257" s="12"/>
      <c r="B1257" s="11"/>
      <c r="C1257" s="20"/>
      <c r="D1257" s="20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5"/>
    </row>
    <row r="1258">
      <c r="A1258" s="6"/>
      <c r="B1258" s="11"/>
      <c r="C1258" s="20"/>
      <c r="D1258" s="20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5"/>
    </row>
    <row r="1259">
      <c r="A1259" s="12"/>
      <c r="B1259" s="11"/>
      <c r="C1259" s="20"/>
      <c r="D1259" s="20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5"/>
    </row>
    <row r="1260">
      <c r="A1260" s="6"/>
      <c r="B1260" s="11"/>
      <c r="C1260" s="20"/>
      <c r="D1260" s="20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5"/>
    </row>
    <row r="1261">
      <c r="A1261" s="12"/>
      <c r="B1261" s="11"/>
      <c r="C1261" s="20"/>
      <c r="D1261" s="20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5"/>
    </row>
    <row r="1262">
      <c r="A1262" s="6"/>
      <c r="B1262" s="11"/>
      <c r="C1262" s="20"/>
      <c r="D1262" s="20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5"/>
    </row>
    <row r="1263">
      <c r="A1263" s="12"/>
      <c r="B1263" s="11"/>
      <c r="C1263" s="20"/>
      <c r="D1263" s="20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5"/>
    </row>
    <row r="1264">
      <c r="A1264" s="6"/>
      <c r="B1264" s="11"/>
      <c r="C1264" s="20"/>
      <c r="D1264" s="20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5"/>
    </row>
    <row r="1265">
      <c r="A1265" s="12"/>
      <c r="B1265" s="11"/>
      <c r="C1265" s="20"/>
      <c r="D1265" s="20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5"/>
    </row>
    <row r="1266">
      <c r="A1266" s="6"/>
      <c r="B1266" s="11"/>
      <c r="C1266" s="20"/>
      <c r="D1266" s="20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5"/>
    </row>
    <row r="1267">
      <c r="A1267" s="12"/>
      <c r="B1267" s="11"/>
      <c r="C1267" s="20"/>
      <c r="D1267" s="20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5"/>
    </row>
    <row r="1268">
      <c r="A1268" s="6"/>
      <c r="B1268" s="11"/>
      <c r="C1268" s="20"/>
      <c r="D1268" s="20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5"/>
    </row>
    <row r="1269">
      <c r="A1269" s="12"/>
      <c r="B1269" s="11"/>
      <c r="C1269" s="20"/>
      <c r="D1269" s="20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5"/>
    </row>
    <row r="1270">
      <c r="A1270" s="6"/>
      <c r="B1270" s="11"/>
      <c r="C1270" s="20"/>
      <c r="D1270" s="20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5"/>
    </row>
    <row r="1271">
      <c r="A1271" s="12"/>
      <c r="B1271" s="11"/>
      <c r="C1271" s="20"/>
      <c r="D1271" s="20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5"/>
    </row>
    <row r="1272">
      <c r="A1272" s="6"/>
      <c r="B1272" s="11"/>
      <c r="C1272" s="20"/>
      <c r="D1272" s="20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5"/>
    </row>
    <row r="1273">
      <c r="A1273" s="12"/>
      <c r="B1273" s="11"/>
      <c r="C1273" s="20"/>
      <c r="D1273" s="20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5"/>
    </row>
    <row r="1274">
      <c r="A1274" s="6"/>
      <c r="B1274" s="11"/>
      <c r="C1274" s="20"/>
      <c r="D1274" s="20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5"/>
    </row>
    <row r="1275">
      <c r="A1275" s="12"/>
      <c r="B1275" s="11"/>
      <c r="C1275" s="20"/>
      <c r="D1275" s="20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5"/>
    </row>
    <row r="1276">
      <c r="A1276" s="6"/>
      <c r="B1276" s="11"/>
      <c r="C1276" s="20"/>
      <c r="D1276" s="20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5"/>
    </row>
    <row r="1277">
      <c r="A1277" s="12"/>
      <c r="B1277" s="11"/>
      <c r="C1277" s="20"/>
      <c r="D1277" s="20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5"/>
    </row>
    <row r="1278">
      <c r="A1278" s="6"/>
      <c r="B1278" s="11"/>
      <c r="C1278" s="20"/>
      <c r="D1278" s="20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5"/>
    </row>
    <row r="1279">
      <c r="A1279" s="12"/>
      <c r="B1279" s="11"/>
      <c r="C1279" s="20"/>
      <c r="D1279" s="20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5"/>
    </row>
    <row r="1280">
      <c r="A1280" s="6"/>
      <c r="B1280" s="11"/>
      <c r="C1280" s="20"/>
      <c r="D1280" s="20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5"/>
    </row>
    <row r="1281">
      <c r="A1281" s="12"/>
      <c r="B1281" s="11"/>
      <c r="C1281" s="20"/>
      <c r="D1281" s="20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5"/>
    </row>
    <row r="1282">
      <c r="A1282" s="6"/>
      <c r="B1282" s="11"/>
      <c r="C1282" s="20"/>
      <c r="D1282" s="20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5"/>
    </row>
    <row r="1283">
      <c r="A1283" s="12"/>
      <c r="B1283" s="11"/>
      <c r="C1283" s="20"/>
      <c r="D1283" s="20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5"/>
    </row>
    <row r="1284">
      <c r="A1284" s="6"/>
      <c r="B1284" s="11"/>
      <c r="C1284" s="20"/>
      <c r="D1284" s="20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5"/>
    </row>
    <row r="1285">
      <c r="A1285" s="12"/>
      <c r="B1285" s="11"/>
      <c r="C1285" s="20"/>
      <c r="D1285" s="20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5"/>
    </row>
    <row r="1286">
      <c r="A1286" s="6"/>
      <c r="B1286" s="11"/>
      <c r="C1286" s="20"/>
      <c r="D1286" s="20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5"/>
    </row>
    <row r="1287">
      <c r="A1287" s="12"/>
      <c r="B1287" s="11"/>
      <c r="C1287" s="20"/>
      <c r="D1287" s="20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5"/>
    </row>
    <row r="1288">
      <c r="A1288" s="6"/>
      <c r="B1288" s="11"/>
      <c r="C1288" s="20"/>
      <c r="D1288" s="20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5"/>
    </row>
    <row r="1289">
      <c r="A1289" s="12"/>
      <c r="B1289" s="11"/>
      <c r="C1289" s="20"/>
      <c r="D1289" s="20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5"/>
    </row>
    <row r="1290">
      <c r="A1290" s="6"/>
      <c r="B1290" s="11"/>
      <c r="C1290" s="20"/>
      <c r="D1290" s="20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5"/>
    </row>
    <row r="1291">
      <c r="A1291" s="12"/>
      <c r="B1291" s="11"/>
      <c r="C1291" s="20"/>
      <c r="D1291" s="20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5"/>
    </row>
    <row r="1292">
      <c r="A1292" s="6"/>
      <c r="B1292" s="11"/>
      <c r="C1292" s="20"/>
      <c r="D1292" s="20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5"/>
    </row>
    <row r="1293">
      <c r="A1293" s="12"/>
      <c r="B1293" s="11"/>
      <c r="C1293" s="20"/>
      <c r="D1293" s="20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5"/>
    </row>
    <row r="1294">
      <c r="A1294" s="6"/>
      <c r="B1294" s="11"/>
      <c r="C1294" s="20"/>
      <c r="D1294" s="20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5"/>
    </row>
    <row r="1295">
      <c r="A1295" s="12"/>
      <c r="B1295" s="11"/>
      <c r="C1295" s="20"/>
      <c r="D1295" s="20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5"/>
    </row>
    <row r="1296">
      <c r="A1296" s="6"/>
      <c r="B1296" s="11"/>
      <c r="C1296" s="20"/>
      <c r="D1296" s="20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5"/>
    </row>
    <row r="1297">
      <c r="A1297" s="12"/>
      <c r="B1297" s="11"/>
      <c r="C1297" s="20"/>
      <c r="D1297" s="20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5"/>
    </row>
    <row r="1298">
      <c r="A1298" s="6"/>
      <c r="B1298" s="11"/>
      <c r="C1298" s="20"/>
      <c r="D1298" s="20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5"/>
    </row>
    <row r="1299">
      <c r="A1299" s="12"/>
      <c r="B1299" s="11"/>
      <c r="C1299" s="20"/>
      <c r="D1299" s="20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5"/>
    </row>
    <row r="1300">
      <c r="A1300" s="6"/>
      <c r="B1300" s="11"/>
      <c r="C1300" s="20"/>
      <c r="D1300" s="20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5"/>
    </row>
    <row r="1301">
      <c r="A1301" s="12"/>
      <c r="B1301" s="11"/>
      <c r="C1301" s="20"/>
      <c r="D1301" s="20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5"/>
    </row>
    <row r="1302">
      <c r="A1302" s="6"/>
      <c r="B1302" s="11"/>
      <c r="C1302" s="20"/>
      <c r="D1302" s="20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5"/>
    </row>
    <row r="1303">
      <c r="A1303" s="12"/>
      <c r="B1303" s="11"/>
      <c r="C1303" s="20"/>
      <c r="D1303" s="20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5"/>
    </row>
    <row r="1304">
      <c r="A1304" s="6"/>
      <c r="B1304" s="11"/>
      <c r="C1304" s="20"/>
      <c r="D1304" s="20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5"/>
    </row>
    <row r="1305">
      <c r="A1305" s="12"/>
      <c r="B1305" s="11"/>
      <c r="C1305" s="20"/>
      <c r="D1305" s="20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5"/>
    </row>
    <row r="1306">
      <c r="A1306" s="6"/>
      <c r="B1306" s="11"/>
      <c r="C1306" s="20"/>
      <c r="D1306" s="20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5"/>
    </row>
    <row r="1307">
      <c r="A1307" s="12"/>
      <c r="B1307" s="11"/>
      <c r="C1307" s="20"/>
      <c r="D1307" s="20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5"/>
    </row>
    <row r="1308">
      <c r="A1308" s="6"/>
      <c r="B1308" s="11"/>
      <c r="C1308" s="20"/>
      <c r="D1308" s="20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5"/>
    </row>
    <row r="1309">
      <c r="A1309" s="12"/>
      <c r="B1309" s="11"/>
      <c r="C1309" s="20"/>
      <c r="D1309" s="20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5"/>
    </row>
    <row r="1310">
      <c r="A1310" s="6"/>
      <c r="B1310" s="11"/>
      <c r="C1310" s="20"/>
      <c r="D1310" s="20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5"/>
    </row>
    <row r="1311">
      <c r="A1311" s="12"/>
      <c r="B1311" s="11"/>
      <c r="C1311" s="20"/>
      <c r="D1311" s="20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5"/>
    </row>
    <row r="1312">
      <c r="A1312" s="6"/>
      <c r="B1312" s="11"/>
      <c r="C1312" s="20"/>
      <c r="D1312" s="20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5"/>
    </row>
    <row r="1313">
      <c r="A1313" s="12"/>
      <c r="B1313" s="11"/>
      <c r="C1313" s="20"/>
      <c r="D1313" s="20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5"/>
    </row>
    <row r="1314">
      <c r="A1314" s="6"/>
      <c r="B1314" s="11"/>
      <c r="C1314" s="20"/>
      <c r="D1314" s="20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5"/>
    </row>
    <row r="1315">
      <c r="A1315" s="12"/>
      <c r="B1315" s="11"/>
      <c r="C1315" s="20"/>
      <c r="D1315" s="20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5"/>
    </row>
    <row r="1316">
      <c r="A1316" s="6"/>
      <c r="B1316" s="11"/>
      <c r="C1316" s="20"/>
      <c r="D1316" s="20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5"/>
    </row>
    <row r="1317">
      <c r="A1317" s="12"/>
      <c r="B1317" s="11"/>
      <c r="C1317" s="20"/>
      <c r="D1317" s="20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5"/>
    </row>
    <row r="1318">
      <c r="A1318" s="6"/>
      <c r="B1318" s="11"/>
      <c r="C1318" s="20"/>
      <c r="D1318" s="20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5"/>
    </row>
    <row r="1319">
      <c r="A1319" s="12"/>
      <c r="B1319" s="11"/>
      <c r="C1319" s="20"/>
      <c r="D1319" s="20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5"/>
    </row>
    <row r="1320">
      <c r="A1320" s="6"/>
      <c r="B1320" s="11"/>
      <c r="C1320" s="20"/>
      <c r="D1320" s="20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5"/>
    </row>
    <row r="1321">
      <c r="A1321" s="12"/>
      <c r="B1321" s="11"/>
      <c r="C1321" s="20"/>
      <c r="D1321" s="20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5"/>
    </row>
    <row r="1322">
      <c r="A1322" s="6"/>
      <c r="B1322" s="11"/>
      <c r="C1322" s="20"/>
      <c r="D1322" s="20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5"/>
    </row>
    <row r="1323">
      <c r="A1323" s="12"/>
      <c r="B1323" s="11"/>
      <c r="C1323" s="20"/>
      <c r="D1323" s="20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5"/>
    </row>
    <row r="1324">
      <c r="A1324" s="6"/>
      <c r="B1324" s="11"/>
      <c r="C1324" s="20"/>
      <c r="D1324" s="20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5"/>
    </row>
    <row r="1325">
      <c r="A1325" s="12"/>
      <c r="B1325" s="11"/>
      <c r="C1325" s="20"/>
      <c r="D1325" s="20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5"/>
    </row>
    <row r="1326">
      <c r="A1326" s="6"/>
      <c r="B1326" s="11"/>
      <c r="C1326" s="20"/>
      <c r="D1326" s="20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5"/>
    </row>
    <row r="1327">
      <c r="A1327" s="12"/>
      <c r="B1327" s="11"/>
      <c r="C1327" s="20"/>
      <c r="D1327" s="20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5"/>
    </row>
    <row r="1328">
      <c r="A1328" s="6"/>
      <c r="B1328" s="11"/>
      <c r="C1328" s="20"/>
      <c r="D1328" s="20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5"/>
    </row>
    <row r="1329">
      <c r="A1329" s="12"/>
      <c r="B1329" s="11"/>
      <c r="C1329" s="20"/>
      <c r="D1329" s="20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5"/>
    </row>
    <row r="1330">
      <c r="A1330" s="6"/>
      <c r="B1330" s="11"/>
      <c r="C1330" s="20"/>
      <c r="D1330" s="20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5"/>
    </row>
    <row r="1331">
      <c r="A1331" s="12"/>
      <c r="B1331" s="11"/>
      <c r="C1331" s="20"/>
      <c r="D1331" s="20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5"/>
    </row>
    <row r="1332">
      <c r="A1332" s="6"/>
      <c r="B1332" s="11"/>
      <c r="C1332" s="20"/>
      <c r="D1332" s="20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5"/>
    </row>
    <row r="1333">
      <c r="A1333" s="12"/>
      <c r="B1333" s="11"/>
      <c r="C1333" s="20"/>
      <c r="D1333" s="20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5"/>
    </row>
    <row r="1334">
      <c r="A1334" s="6"/>
      <c r="B1334" s="11"/>
      <c r="C1334" s="20"/>
      <c r="D1334" s="20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5"/>
    </row>
    <row r="1335">
      <c r="A1335" s="12"/>
      <c r="B1335" s="11"/>
      <c r="C1335" s="20"/>
      <c r="D1335" s="20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5"/>
    </row>
    <row r="1336">
      <c r="A1336" s="6"/>
      <c r="B1336" s="11"/>
      <c r="C1336" s="20"/>
      <c r="D1336" s="20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5"/>
    </row>
    <row r="1337">
      <c r="A1337" s="12"/>
      <c r="B1337" s="11"/>
      <c r="C1337" s="20"/>
      <c r="D1337" s="20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5"/>
    </row>
    <row r="1338">
      <c r="A1338" s="6"/>
      <c r="B1338" s="11"/>
      <c r="C1338" s="20"/>
      <c r="D1338" s="20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5"/>
    </row>
    <row r="1339">
      <c r="A1339" s="12"/>
      <c r="B1339" s="11"/>
      <c r="C1339" s="20"/>
      <c r="D1339" s="20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5"/>
    </row>
    <row r="1340">
      <c r="A1340" s="6"/>
      <c r="B1340" s="11"/>
      <c r="C1340" s="20"/>
      <c r="D1340" s="20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5"/>
    </row>
    <row r="1341">
      <c r="A1341" s="12"/>
      <c r="B1341" s="11"/>
      <c r="C1341" s="20"/>
      <c r="D1341" s="20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5"/>
    </row>
    <row r="1342">
      <c r="A1342" s="6"/>
      <c r="B1342" s="11"/>
      <c r="C1342" s="20"/>
      <c r="D1342" s="20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5"/>
    </row>
    <row r="1343">
      <c r="A1343" s="12"/>
      <c r="B1343" s="11"/>
      <c r="C1343" s="20"/>
      <c r="D1343" s="20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5"/>
    </row>
    <row r="1344">
      <c r="A1344" s="6"/>
      <c r="B1344" s="11"/>
      <c r="C1344" s="20"/>
      <c r="D1344" s="20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5"/>
    </row>
    <row r="1345">
      <c r="A1345" s="12"/>
      <c r="B1345" s="11"/>
      <c r="C1345" s="20"/>
      <c r="D1345" s="20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5"/>
    </row>
    <row r="1346">
      <c r="A1346" s="6"/>
      <c r="B1346" s="11"/>
      <c r="C1346" s="20"/>
      <c r="D1346" s="20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5"/>
    </row>
    <row r="1347">
      <c r="A1347" s="12"/>
      <c r="B1347" s="11"/>
      <c r="C1347" s="20"/>
      <c r="D1347" s="20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5"/>
    </row>
    <row r="1348">
      <c r="A1348" s="6"/>
      <c r="B1348" s="11"/>
      <c r="C1348" s="20"/>
      <c r="D1348" s="20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5"/>
    </row>
    <row r="1349">
      <c r="A1349" s="12"/>
      <c r="B1349" s="11"/>
      <c r="C1349" s="20"/>
      <c r="D1349" s="20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5"/>
    </row>
    <row r="1350">
      <c r="A1350" s="6"/>
      <c r="B1350" s="11"/>
      <c r="C1350" s="20"/>
      <c r="D1350" s="20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5"/>
    </row>
    <row r="1351">
      <c r="A1351" s="12"/>
      <c r="B1351" s="11"/>
      <c r="C1351" s="20"/>
      <c r="D1351" s="20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5"/>
    </row>
    <row r="1352">
      <c r="A1352" s="6"/>
      <c r="B1352" s="11"/>
      <c r="C1352" s="20"/>
      <c r="D1352" s="20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5"/>
    </row>
    <row r="1353">
      <c r="A1353" s="12"/>
      <c r="B1353" s="11"/>
      <c r="C1353" s="20"/>
      <c r="D1353" s="20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5"/>
    </row>
    <row r="1354">
      <c r="A1354" s="6"/>
      <c r="B1354" s="11"/>
      <c r="C1354" s="20"/>
      <c r="D1354" s="20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5"/>
    </row>
    <row r="1355">
      <c r="A1355" s="12"/>
      <c r="B1355" s="11"/>
      <c r="C1355" s="20"/>
      <c r="D1355" s="20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5"/>
    </row>
    <row r="1356">
      <c r="A1356" s="6"/>
      <c r="B1356" s="11"/>
      <c r="C1356" s="20"/>
      <c r="D1356" s="20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5"/>
    </row>
    <row r="1357">
      <c r="A1357" s="12"/>
      <c r="B1357" s="11"/>
      <c r="C1357" s="20"/>
      <c r="D1357" s="20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5"/>
    </row>
    <row r="1358">
      <c r="A1358" s="6"/>
      <c r="B1358" s="11"/>
      <c r="C1358" s="20"/>
      <c r="D1358" s="20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5"/>
    </row>
    <row r="1359">
      <c r="A1359" s="12"/>
      <c r="B1359" s="11"/>
      <c r="C1359" s="20"/>
      <c r="D1359" s="20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5"/>
    </row>
    <row r="1360">
      <c r="A1360" s="6"/>
      <c r="B1360" s="11"/>
      <c r="C1360" s="20"/>
      <c r="D1360" s="20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5"/>
    </row>
    <row r="1361">
      <c r="A1361" s="12"/>
      <c r="B1361" s="11"/>
      <c r="C1361" s="20"/>
      <c r="D1361" s="20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5"/>
    </row>
    <row r="1362">
      <c r="A1362" s="6"/>
      <c r="B1362" s="11"/>
      <c r="C1362" s="20"/>
      <c r="D1362" s="20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5"/>
    </row>
    <row r="1363">
      <c r="A1363" s="12"/>
      <c r="B1363" s="11"/>
      <c r="C1363" s="20"/>
      <c r="D1363" s="20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5"/>
    </row>
    <row r="1364">
      <c r="A1364" s="6"/>
      <c r="B1364" s="11"/>
      <c r="C1364" s="20"/>
      <c r="D1364" s="20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5"/>
    </row>
    <row r="1365">
      <c r="A1365" s="12"/>
      <c r="B1365" s="11"/>
      <c r="C1365" s="20"/>
      <c r="D1365" s="20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5"/>
    </row>
    <row r="1366">
      <c r="A1366" s="6"/>
      <c r="B1366" s="11"/>
      <c r="C1366" s="20"/>
      <c r="D1366" s="20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5"/>
    </row>
    <row r="1367">
      <c r="A1367" s="12"/>
      <c r="B1367" s="11"/>
      <c r="C1367" s="20"/>
      <c r="D1367" s="20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5"/>
    </row>
    <row r="1368">
      <c r="A1368" s="6"/>
      <c r="B1368" s="11"/>
      <c r="C1368" s="20"/>
      <c r="D1368" s="20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5"/>
    </row>
    <row r="1369">
      <c r="A1369" s="12"/>
      <c r="B1369" s="11"/>
      <c r="C1369" s="20"/>
      <c r="D1369" s="20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5"/>
    </row>
    <row r="1370">
      <c r="A1370" s="6"/>
      <c r="B1370" s="11"/>
      <c r="C1370" s="20"/>
      <c r="D1370" s="20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5"/>
    </row>
    <row r="1371">
      <c r="A1371" s="12"/>
      <c r="B1371" s="11"/>
      <c r="C1371" s="20"/>
      <c r="D1371" s="20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5"/>
    </row>
    <row r="1372">
      <c r="A1372" s="6"/>
      <c r="B1372" s="11"/>
      <c r="C1372" s="20"/>
      <c r="D1372" s="20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5"/>
    </row>
    <row r="1373">
      <c r="A1373" s="12"/>
      <c r="B1373" s="11"/>
      <c r="C1373" s="20"/>
      <c r="D1373" s="20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5"/>
    </row>
    <row r="1374">
      <c r="A1374" s="6"/>
      <c r="B1374" s="11"/>
      <c r="C1374" s="20"/>
      <c r="D1374" s="20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5"/>
    </row>
    <row r="1375">
      <c r="A1375" s="12"/>
      <c r="B1375" s="11"/>
      <c r="C1375" s="20"/>
      <c r="D1375" s="20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5"/>
    </row>
    <row r="1376">
      <c r="A1376" s="6"/>
      <c r="B1376" s="11"/>
      <c r="C1376" s="20"/>
      <c r="D1376" s="20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5"/>
    </row>
    <row r="1377">
      <c r="A1377" s="12"/>
      <c r="B1377" s="11"/>
      <c r="C1377" s="20"/>
      <c r="D1377" s="20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5"/>
    </row>
    <row r="1378">
      <c r="A1378" s="6"/>
      <c r="B1378" s="11"/>
      <c r="C1378" s="20"/>
      <c r="D1378" s="20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5"/>
    </row>
    <row r="1379">
      <c r="A1379" s="12"/>
      <c r="B1379" s="11"/>
      <c r="C1379" s="20"/>
      <c r="D1379" s="20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5"/>
    </row>
    <row r="1380">
      <c r="A1380" s="6"/>
      <c r="B1380" s="11"/>
      <c r="C1380" s="20"/>
      <c r="D1380" s="20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5"/>
    </row>
    <row r="1381">
      <c r="A1381" s="12"/>
      <c r="B1381" s="11"/>
      <c r="C1381" s="20"/>
      <c r="D1381" s="20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5"/>
    </row>
    <row r="1382">
      <c r="A1382" s="6"/>
      <c r="B1382" s="11"/>
      <c r="C1382" s="20"/>
      <c r="D1382" s="20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5"/>
    </row>
    <row r="1383">
      <c r="A1383" s="12"/>
      <c r="B1383" s="11"/>
      <c r="C1383" s="20"/>
      <c r="D1383" s="20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5"/>
    </row>
    <row r="1384">
      <c r="A1384" s="6"/>
      <c r="B1384" s="11"/>
      <c r="C1384" s="20"/>
      <c r="D1384" s="20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5"/>
    </row>
    <row r="1385">
      <c r="A1385" s="12"/>
      <c r="B1385" s="11"/>
      <c r="C1385" s="20"/>
      <c r="D1385" s="20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5"/>
    </row>
    <row r="1386">
      <c r="A1386" s="6"/>
      <c r="B1386" s="11"/>
      <c r="C1386" s="20"/>
      <c r="D1386" s="20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5"/>
    </row>
    <row r="1387">
      <c r="A1387" s="12"/>
      <c r="B1387" s="11"/>
      <c r="C1387" s="20"/>
      <c r="D1387" s="20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5"/>
    </row>
    <row r="1388">
      <c r="A1388" s="6"/>
      <c r="B1388" s="11"/>
      <c r="C1388" s="20"/>
      <c r="D1388" s="20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5"/>
    </row>
    <row r="1389">
      <c r="A1389" s="12"/>
      <c r="B1389" s="11"/>
      <c r="C1389" s="20"/>
      <c r="D1389" s="20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5"/>
    </row>
    <row r="1390">
      <c r="A1390" s="6"/>
      <c r="B1390" s="11"/>
      <c r="C1390" s="20"/>
      <c r="D1390" s="20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5"/>
    </row>
    <row r="1391">
      <c r="A1391" s="12"/>
      <c r="B1391" s="11"/>
      <c r="C1391" s="20"/>
      <c r="D1391" s="20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5"/>
    </row>
    <row r="1392">
      <c r="A1392" s="6"/>
      <c r="B1392" s="11"/>
      <c r="C1392" s="20"/>
      <c r="D1392" s="20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5"/>
    </row>
    <row r="1393">
      <c r="A1393" s="12"/>
      <c r="B1393" s="11"/>
      <c r="C1393" s="20"/>
      <c r="D1393" s="20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5"/>
    </row>
    <row r="1394">
      <c r="A1394" s="6"/>
      <c r="B1394" s="11"/>
      <c r="C1394" s="20"/>
      <c r="D1394" s="20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5"/>
    </row>
    <row r="1395">
      <c r="A1395" s="12"/>
      <c r="B1395" s="11"/>
      <c r="C1395" s="20"/>
      <c r="D1395" s="20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5"/>
    </row>
    <row r="1396">
      <c r="A1396" s="6"/>
      <c r="B1396" s="11"/>
      <c r="C1396" s="20"/>
      <c r="D1396" s="20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5"/>
    </row>
    <row r="1397">
      <c r="A1397" s="12"/>
      <c r="B1397" s="11"/>
      <c r="C1397" s="20"/>
      <c r="D1397" s="20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5"/>
    </row>
    <row r="1398">
      <c r="A1398" s="6"/>
      <c r="B1398" s="11"/>
      <c r="C1398" s="20"/>
      <c r="D1398" s="20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5"/>
    </row>
    <row r="1399">
      <c r="A1399" s="12"/>
      <c r="B1399" s="11"/>
      <c r="C1399" s="20"/>
      <c r="D1399" s="20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5"/>
    </row>
    <row r="1400">
      <c r="A1400" s="6"/>
      <c r="B1400" s="11"/>
      <c r="C1400" s="20"/>
      <c r="D1400" s="20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5"/>
    </row>
    <row r="1401">
      <c r="A1401" s="12"/>
      <c r="B1401" s="11"/>
      <c r="C1401" s="20"/>
      <c r="D1401" s="20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5"/>
    </row>
    <row r="1402">
      <c r="A1402" s="6"/>
      <c r="B1402" s="11"/>
      <c r="C1402" s="20"/>
      <c r="D1402" s="20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5"/>
    </row>
    <row r="1403">
      <c r="A1403" s="12"/>
      <c r="B1403" s="11"/>
      <c r="C1403" s="20"/>
      <c r="D1403" s="20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5"/>
    </row>
    <row r="1404">
      <c r="A1404" s="6"/>
      <c r="B1404" s="11"/>
      <c r="C1404" s="20"/>
      <c r="D1404" s="20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5"/>
    </row>
    <row r="1405">
      <c r="A1405" s="12"/>
      <c r="B1405" s="11"/>
      <c r="C1405" s="20"/>
      <c r="D1405" s="20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5"/>
    </row>
    <row r="1406">
      <c r="A1406" s="6"/>
      <c r="B1406" s="11"/>
      <c r="C1406" s="20"/>
      <c r="D1406" s="20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5"/>
    </row>
    <row r="1407">
      <c r="A1407" s="12"/>
      <c r="B1407" s="11"/>
      <c r="C1407" s="20"/>
      <c r="D1407" s="20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5"/>
    </row>
    <row r="1408">
      <c r="A1408" s="6"/>
      <c r="B1408" s="11"/>
      <c r="C1408" s="20"/>
      <c r="D1408" s="20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5"/>
    </row>
    <row r="1409">
      <c r="A1409" s="12"/>
      <c r="B1409" s="11"/>
      <c r="C1409" s="20"/>
      <c r="D1409" s="20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5"/>
    </row>
    <row r="1410">
      <c r="A1410" s="6"/>
      <c r="B1410" s="11"/>
      <c r="C1410" s="20"/>
      <c r="D1410" s="20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5"/>
    </row>
    <row r="1411">
      <c r="A1411" s="12"/>
      <c r="B1411" s="11"/>
      <c r="C1411" s="20"/>
      <c r="D1411" s="20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5"/>
    </row>
    <row r="1412">
      <c r="A1412" s="6"/>
      <c r="B1412" s="11"/>
      <c r="C1412" s="20"/>
      <c r="D1412" s="20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5"/>
    </row>
    <row r="1413">
      <c r="A1413" s="12"/>
      <c r="B1413" s="11"/>
      <c r="C1413" s="20"/>
      <c r="D1413" s="20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5"/>
    </row>
    <row r="1414">
      <c r="A1414" s="6"/>
      <c r="B1414" s="11"/>
      <c r="C1414" s="20"/>
      <c r="D1414" s="20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5"/>
    </row>
    <row r="1415">
      <c r="A1415" s="12"/>
      <c r="B1415" s="11"/>
      <c r="C1415" s="20"/>
      <c r="D1415" s="20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5"/>
    </row>
    <row r="1416">
      <c r="A1416" s="6"/>
      <c r="B1416" s="11"/>
      <c r="C1416" s="20"/>
      <c r="D1416" s="20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5"/>
    </row>
    <row r="1417">
      <c r="A1417" s="12"/>
      <c r="B1417" s="11"/>
      <c r="C1417" s="20"/>
      <c r="D1417" s="20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5"/>
    </row>
    <row r="1418">
      <c r="A1418" s="6"/>
      <c r="B1418" s="11"/>
      <c r="C1418" s="20"/>
      <c r="D1418" s="20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5"/>
    </row>
    <row r="1419">
      <c r="A1419" s="12"/>
      <c r="B1419" s="11"/>
      <c r="C1419" s="20"/>
      <c r="D1419" s="20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5"/>
    </row>
    <row r="1420">
      <c r="A1420" s="6"/>
      <c r="B1420" s="11"/>
      <c r="C1420" s="20"/>
      <c r="D1420" s="20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5"/>
    </row>
    <row r="1421">
      <c r="A1421" s="12"/>
      <c r="B1421" s="11"/>
      <c r="C1421" s="20"/>
      <c r="D1421" s="20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5"/>
    </row>
    <row r="1422">
      <c r="A1422" s="6"/>
      <c r="B1422" s="11"/>
      <c r="C1422" s="20"/>
      <c r="D1422" s="20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5"/>
    </row>
    <row r="1423">
      <c r="A1423" s="12"/>
      <c r="B1423" s="11"/>
      <c r="C1423" s="20"/>
      <c r="D1423" s="20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5"/>
    </row>
    <row r="1424">
      <c r="A1424" s="6"/>
      <c r="B1424" s="11"/>
      <c r="C1424" s="20"/>
      <c r="D1424" s="20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5"/>
    </row>
    <row r="1425">
      <c r="A1425" s="12"/>
      <c r="B1425" s="11"/>
      <c r="C1425" s="20"/>
      <c r="D1425" s="20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5"/>
    </row>
    <row r="1426">
      <c r="A1426" s="6"/>
      <c r="B1426" s="11"/>
      <c r="C1426" s="20"/>
      <c r="D1426" s="20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5"/>
    </row>
    <row r="1427">
      <c r="A1427" s="12"/>
      <c r="B1427" s="11"/>
      <c r="C1427" s="20"/>
      <c r="D1427" s="20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5"/>
    </row>
    <row r="1428">
      <c r="A1428" s="6"/>
      <c r="B1428" s="11"/>
      <c r="C1428" s="20"/>
      <c r="D1428" s="20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5"/>
    </row>
    <row r="1429">
      <c r="A1429" s="12"/>
      <c r="B1429" s="11"/>
      <c r="C1429" s="20"/>
      <c r="D1429" s="20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5"/>
    </row>
    <row r="1430">
      <c r="A1430" s="6"/>
      <c r="B1430" s="11"/>
      <c r="C1430" s="20"/>
      <c r="D1430" s="20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5"/>
    </row>
    <row r="1431">
      <c r="A1431" s="12"/>
      <c r="B1431" s="11"/>
      <c r="C1431" s="20"/>
      <c r="D1431" s="20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5"/>
    </row>
    <row r="1432">
      <c r="A1432" s="6"/>
      <c r="B1432" s="11"/>
      <c r="C1432" s="20"/>
      <c r="D1432" s="20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5"/>
    </row>
    <row r="1433">
      <c r="A1433" s="12"/>
      <c r="B1433" s="11"/>
      <c r="C1433" s="20"/>
      <c r="D1433" s="20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5"/>
    </row>
    <row r="1434">
      <c r="A1434" s="6"/>
      <c r="B1434" s="11"/>
      <c r="C1434" s="20"/>
      <c r="D1434" s="20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5"/>
    </row>
    <row r="1435">
      <c r="A1435" s="12"/>
      <c r="B1435" s="11"/>
      <c r="C1435" s="20"/>
      <c r="D1435" s="20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5"/>
    </row>
    <row r="1436">
      <c r="A1436" s="6"/>
      <c r="B1436" s="11"/>
      <c r="C1436" s="20"/>
      <c r="D1436" s="20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5"/>
    </row>
    <row r="1437">
      <c r="A1437" s="12"/>
      <c r="B1437" s="11"/>
      <c r="C1437" s="20"/>
      <c r="D1437" s="20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5"/>
    </row>
    <row r="1438">
      <c r="A1438" s="6"/>
      <c r="B1438" s="11"/>
      <c r="C1438" s="20"/>
      <c r="D1438" s="20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5"/>
    </row>
    <row r="1439">
      <c r="A1439" s="12"/>
      <c r="B1439" s="11"/>
      <c r="C1439" s="20"/>
      <c r="D1439" s="20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5"/>
    </row>
    <row r="1440">
      <c r="A1440" s="6"/>
      <c r="B1440" s="11"/>
      <c r="C1440" s="20"/>
      <c r="D1440" s="20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5"/>
    </row>
    <row r="1441">
      <c r="A1441" s="12"/>
      <c r="B1441" s="11"/>
      <c r="C1441" s="20"/>
      <c r="D1441" s="20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5"/>
    </row>
    <row r="1442">
      <c r="A1442" s="6"/>
      <c r="B1442" s="11"/>
      <c r="C1442" s="20"/>
      <c r="D1442" s="20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5"/>
    </row>
    <row r="1443">
      <c r="A1443" s="12"/>
      <c r="B1443" s="11"/>
      <c r="C1443" s="20"/>
      <c r="D1443" s="20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5"/>
    </row>
    <row r="1444">
      <c r="A1444" s="6"/>
      <c r="B1444" s="11"/>
      <c r="C1444" s="20"/>
      <c r="D1444" s="20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5"/>
    </row>
    <row r="1445">
      <c r="A1445" s="12"/>
      <c r="B1445" s="11"/>
      <c r="C1445" s="20"/>
      <c r="D1445" s="20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5"/>
    </row>
    <row r="1446">
      <c r="A1446" s="6"/>
      <c r="B1446" s="11"/>
      <c r="C1446" s="20"/>
      <c r="D1446" s="20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5"/>
    </row>
    <row r="1447">
      <c r="A1447" s="12"/>
      <c r="B1447" s="11"/>
      <c r="C1447" s="20"/>
      <c r="D1447" s="20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5"/>
    </row>
    <row r="1448">
      <c r="A1448" s="6"/>
      <c r="B1448" s="11"/>
      <c r="C1448" s="20"/>
      <c r="D1448" s="20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5"/>
    </row>
    <row r="1449">
      <c r="A1449" s="12"/>
      <c r="B1449" s="11"/>
      <c r="C1449" s="20"/>
      <c r="D1449" s="20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5"/>
    </row>
    <row r="1450">
      <c r="A1450" s="6"/>
      <c r="B1450" s="11"/>
      <c r="C1450" s="20"/>
      <c r="D1450" s="20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5"/>
    </row>
    <row r="1451">
      <c r="A1451" s="12"/>
      <c r="B1451" s="11"/>
      <c r="C1451" s="20"/>
      <c r="D1451" s="20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5"/>
    </row>
    <row r="1452">
      <c r="A1452" s="6"/>
      <c r="B1452" s="11"/>
      <c r="C1452" s="20"/>
      <c r="D1452" s="20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5"/>
    </row>
    <row r="1453">
      <c r="A1453" s="12"/>
      <c r="B1453" s="11"/>
      <c r="C1453" s="20"/>
      <c r="D1453" s="20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5"/>
    </row>
    <row r="1454">
      <c r="A1454" s="6"/>
      <c r="B1454" s="11"/>
      <c r="C1454" s="20"/>
      <c r="D1454" s="20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5"/>
    </row>
    <row r="1455">
      <c r="A1455" s="12"/>
      <c r="B1455" s="11"/>
      <c r="C1455" s="20"/>
      <c r="D1455" s="20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5"/>
    </row>
    <row r="1456">
      <c r="A1456" s="6"/>
      <c r="B1456" s="11"/>
      <c r="C1456" s="20"/>
      <c r="D1456" s="20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5"/>
    </row>
    <row r="1457">
      <c r="A1457" s="12"/>
      <c r="B1457" s="11"/>
      <c r="C1457" s="20"/>
      <c r="D1457" s="20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5"/>
    </row>
    <row r="1458">
      <c r="A1458" s="6"/>
      <c r="B1458" s="11"/>
      <c r="C1458" s="20"/>
      <c r="D1458" s="20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5"/>
    </row>
    <row r="1459">
      <c r="A1459" s="12"/>
      <c r="B1459" s="11"/>
      <c r="C1459" s="20"/>
      <c r="D1459" s="20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5"/>
    </row>
    <row r="1460">
      <c r="A1460" s="6"/>
      <c r="B1460" s="11"/>
      <c r="C1460" s="20"/>
      <c r="D1460" s="20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5"/>
    </row>
    <row r="1461">
      <c r="A1461" s="12"/>
      <c r="B1461" s="11"/>
      <c r="C1461" s="20"/>
      <c r="D1461" s="20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5"/>
    </row>
    <row r="1462">
      <c r="A1462" s="6"/>
      <c r="B1462" s="11"/>
      <c r="C1462" s="20"/>
      <c r="D1462" s="20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5"/>
    </row>
    <row r="1463">
      <c r="A1463" s="12"/>
      <c r="B1463" s="11"/>
      <c r="C1463" s="20"/>
      <c r="D1463" s="20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5"/>
    </row>
    <row r="1464">
      <c r="A1464" s="6"/>
      <c r="B1464" s="11"/>
      <c r="C1464" s="20"/>
      <c r="D1464" s="20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5"/>
    </row>
    <row r="1465">
      <c r="A1465" s="12"/>
      <c r="B1465" s="11"/>
      <c r="C1465" s="20"/>
      <c r="D1465" s="20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5"/>
    </row>
    <row r="1466">
      <c r="A1466" s="6"/>
      <c r="B1466" s="11"/>
      <c r="C1466" s="20"/>
      <c r="D1466" s="20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5"/>
    </row>
    <row r="1467">
      <c r="A1467" s="12"/>
      <c r="B1467" s="11"/>
      <c r="C1467" s="20"/>
      <c r="D1467" s="20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5"/>
    </row>
    <row r="1468">
      <c r="A1468" s="6"/>
      <c r="B1468" s="11"/>
      <c r="C1468" s="20"/>
      <c r="D1468" s="20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5"/>
    </row>
    <row r="1469">
      <c r="A1469" s="12"/>
      <c r="B1469" s="11"/>
      <c r="C1469" s="20"/>
      <c r="D1469" s="20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5"/>
    </row>
    <row r="1470">
      <c r="A1470" s="6"/>
      <c r="B1470" s="11"/>
      <c r="C1470" s="20"/>
      <c r="D1470" s="20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5"/>
    </row>
    <row r="1471">
      <c r="A1471" s="12"/>
      <c r="B1471" s="11"/>
      <c r="C1471" s="20"/>
      <c r="D1471" s="20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5"/>
    </row>
    <row r="1472">
      <c r="A1472" s="6"/>
      <c r="B1472" s="11"/>
      <c r="C1472" s="20"/>
      <c r="D1472" s="20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5"/>
    </row>
    <row r="1473">
      <c r="A1473" s="12"/>
      <c r="B1473" s="11"/>
      <c r="C1473" s="20"/>
      <c r="D1473" s="20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5"/>
    </row>
    <row r="1474">
      <c r="A1474" s="6"/>
      <c r="B1474" s="11"/>
      <c r="C1474" s="20"/>
      <c r="D1474" s="20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5"/>
    </row>
    <row r="1475">
      <c r="A1475" s="12"/>
      <c r="B1475" s="11"/>
      <c r="C1475" s="20"/>
      <c r="D1475" s="20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5"/>
    </row>
    <row r="1476">
      <c r="A1476" s="6"/>
      <c r="B1476" s="11"/>
      <c r="C1476" s="20"/>
      <c r="D1476" s="20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5"/>
    </row>
    <row r="1477">
      <c r="A1477" s="12"/>
      <c r="B1477" s="11"/>
      <c r="C1477" s="20"/>
      <c r="D1477" s="20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5"/>
    </row>
    <row r="1478">
      <c r="A1478" s="6"/>
      <c r="B1478" s="11"/>
      <c r="C1478" s="20"/>
      <c r="D1478" s="20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5"/>
    </row>
    <row r="1479">
      <c r="A1479" s="12"/>
      <c r="B1479" s="11"/>
      <c r="C1479" s="20"/>
      <c r="D1479" s="20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5"/>
    </row>
    <row r="1480">
      <c r="A1480" s="6"/>
      <c r="B1480" s="11"/>
      <c r="C1480" s="20"/>
      <c r="D1480" s="20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5"/>
    </row>
    <row r="1481">
      <c r="A1481" s="12"/>
      <c r="B1481" s="11"/>
      <c r="C1481" s="20"/>
      <c r="D1481" s="20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5"/>
    </row>
    <row r="1482">
      <c r="A1482" s="6"/>
      <c r="B1482" s="11"/>
      <c r="C1482" s="20"/>
      <c r="D1482" s="20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5"/>
    </row>
    <row r="1483">
      <c r="A1483" s="12"/>
      <c r="B1483" s="11"/>
      <c r="C1483" s="20"/>
      <c r="D1483" s="20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5"/>
    </row>
    <row r="1484">
      <c r="A1484" s="6"/>
      <c r="B1484" s="11"/>
      <c r="C1484" s="20"/>
      <c r="D1484" s="20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5"/>
    </row>
    <row r="1485">
      <c r="A1485" s="12"/>
      <c r="B1485" s="11"/>
      <c r="C1485" s="20"/>
      <c r="D1485" s="20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5"/>
    </row>
    <row r="1486">
      <c r="A1486" s="6"/>
      <c r="B1486" s="11"/>
      <c r="C1486" s="20"/>
      <c r="D1486" s="20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5"/>
    </row>
    <row r="1487">
      <c r="A1487" s="12"/>
      <c r="B1487" s="11"/>
      <c r="C1487" s="20"/>
      <c r="D1487" s="20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5"/>
    </row>
    <row r="1488">
      <c r="A1488" s="6"/>
      <c r="B1488" s="11"/>
      <c r="C1488" s="20"/>
      <c r="D1488" s="20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5"/>
    </row>
    <row r="1489">
      <c r="A1489" s="12"/>
      <c r="B1489" s="11"/>
      <c r="C1489" s="20"/>
      <c r="D1489" s="20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5"/>
    </row>
    <row r="1490">
      <c r="A1490" s="6"/>
      <c r="B1490" s="11"/>
      <c r="C1490" s="20"/>
      <c r="D1490" s="20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5"/>
    </row>
    <row r="1491">
      <c r="A1491" s="12"/>
      <c r="B1491" s="11"/>
      <c r="C1491" s="20"/>
      <c r="D1491" s="20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5"/>
    </row>
    <row r="1492">
      <c r="A1492" s="6"/>
      <c r="B1492" s="11"/>
      <c r="C1492" s="20"/>
      <c r="D1492" s="20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5"/>
    </row>
    <row r="1493">
      <c r="A1493" s="12"/>
      <c r="B1493" s="11"/>
      <c r="C1493" s="20"/>
      <c r="D1493" s="20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5"/>
    </row>
    <row r="1494">
      <c r="A1494" s="6"/>
      <c r="B1494" s="11"/>
      <c r="C1494" s="20"/>
      <c r="D1494" s="20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5"/>
    </row>
    <row r="1495">
      <c r="A1495" s="12"/>
      <c r="B1495" s="11"/>
      <c r="C1495" s="20"/>
      <c r="D1495" s="20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5"/>
    </row>
    <row r="1496">
      <c r="A1496" s="6"/>
      <c r="B1496" s="11"/>
      <c r="C1496" s="20"/>
      <c r="D1496" s="20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5"/>
    </row>
    <row r="1497">
      <c r="A1497" s="12"/>
      <c r="B1497" s="11"/>
      <c r="C1497" s="20"/>
      <c r="D1497" s="20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5"/>
    </row>
    <row r="1498">
      <c r="A1498" s="6"/>
      <c r="B1498" s="11"/>
      <c r="C1498" s="20"/>
      <c r="D1498" s="20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5"/>
    </row>
    <row r="1499">
      <c r="A1499" s="12"/>
      <c r="B1499" s="11"/>
      <c r="C1499" s="20"/>
      <c r="D1499" s="20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5"/>
    </row>
    <row r="1500">
      <c r="A1500" s="6"/>
      <c r="B1500" s="11"/>
      <c r="C1500" s="20"/>
      <c r="D1500" s="20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5"/>
    </row>
    <row r="1501">
      <c r="A1501" s="12"/>
      <c r="B1501" s="11"/>
      <c r="C1501" s="20"/>
      <c r="D1501" s="20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5"/>
    </row>
    <row r="1502">
      <c r="A1502" s="6"/>
      <c r="B1502" s="11"/>
      <c r="C1502" s="20"/>
      <c r="D1502" s="20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5"/>
    </row>
    <row r="1503">
      <c r="A1503" s="12"/>
      <c r="B1503" s="11"/>
      <c r="C1503" s="20"/>
      <c r="D1503" s="20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5"/>
    </row>
    <row r="1504">
      <c r="A1504" s="6"/>
      <c r="B1504" s="11"/>
      <c r="C1504" s="20"/>
      <c r="D1504" s="20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5"/>
    </row>
    <row r="1505">
      <c r="A1505" s="12"/>
      <c r="B1505" s="11"/>
      <c r="C1505" s="20"/>
      <c r="D1505" s="20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5"/>
    </row>
    <row r="1506">
      <c r="A1506" s="6"/>
      <c r="B1506" s="11"/>
      <c r="C1506" s="20"/>
      <c r="D1506" s="20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5"/>
    </row>
    <row r="1507">
      <c r="A1507" s="12"/>
      <c r="B1507" s="11"/>
      <c r="C1507" s="20"/>
      <c r="D1507" s="20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5"/>
    </row>
    <row r="1508">
      <c r="A1508" s="6"/>
      <c r="B1508" s="11"/>
      <c r="C1508" s="20"/>
      <c r="D1508" s="20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5"/>
    </row>
    <row r="1509">
      <c r="A1509" s="12"/>
      <c r="B1509" s="11"/>
      <c r="C1509" s="20"/>
      <c r="D1509" s="20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5"/>
    </row>
    <row r="1510">
      <c r="A1510" s="6"/>
      <c r="B1510" s="11"/>
      <c r="C1510" s="20"/>
      <c r="D1510" s="20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5"/>
    </row>
    <row r="1511">
      <c r="A1511" s="12"/>
      <c r="B1511" s="11"/>
      <c r="C1511" s="20"/>
      <c r="D1511" s="20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5"/>
    </row>
    <row r="1512">
      <c r="A1512" s="6"/>
      <c r="B1512" s="11"/>
      <c r="C1512" s="20"/>
      <c r="D1512" s="20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5"/>
    </row>
    <row r="1513">
      <c r="A1513" s="12"/>
      <c r="B1513" s="11"/>
      <c r="C1513" s="20"/>
      <c r="D1513" s="20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5"/>
    </row>
    <row r="1514">
      <c r="A1514" s="6"/>
      <c r="B1514" s="11"/>
      <c r="C1514" s="20"/>
      <c r="D1514" s="20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5"/>
    </row>
    <row r="1515">
      <c r="A1515" s="12"/>
      <c r="B1515" s="11"/>
      <c r="C1515" s="20"/>
      <c r="D1515" s="20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5"/>
    </row>
    <row r="1516">
      <c r="A1516" s="6"/>
      <c r="B1516" s="11"/>
      <c r="C1516" s="20"/>
      <c r="D1516" s="20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5"/>
    </row>
    <row r="1517">
      <c r="A1517" s="12"/>
      <c r="B1517" s="11"/>
      <c r="C1517" s="20"/>
      <c r="D1517" s="20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5"/>
    </row>
    <row r="1518">
      <c r="A1518" s="6"/>
      <c r="B1518" s="11"/>
      <c r="C1518" s="20"/>
      <c r="D1518" s="20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5"/>
    </row>
    <row r="1519">
      <c r="A1519" s="12"/>
      <c r="B1519" s="11"/>
      <c r="C1519" s="20"/>
      <c r="D1519" s="20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5"/>
    </row>
    <row r="1520">
      <c r="A1520" s="6"/>
      <c r="B1520" s="11"/>
      <c r="C1520" s="20"/>
      <c r="D1520" s="20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5"/>
    </row>
    <row r="1521">
      <c r="A1521" s="12"/>
      <c r="B1521" s="11"/>
      <c r="C1521" s="20"/>
      <c r="D1521" s="20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5"/>
    </row>
    <row r="1522">
      <c r="A1522" s="6"/>
      <c r="B1522" s="11"/>
      <c r="C1522" s="20"/>
      <c r="D1522" s="20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5"/>
    </row>
    <row r="1523">
      <c r="A1523" s="12"/>
      <c r="B1523" s="11"/>
      <c r="C1523" s="20"/>
      <c r="D1523" s="20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5"/>
    </row>
    <row r="1524">
      <c r="A1524" s="6"/>
      <c r="B1524" s="11"/>
      <c r="C1524" s="20"/>
      <c r="D1524" s="20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5"/>
    </row>
    <row r="1525">
      <c r="A1525" s="12"/>
      <c r="B1525" s="11"/>
      <c r="C1525" s="20"/>
      <c r="D1525" s="20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5"/>
    </row>
    <row r="1526">
      <c r="A1526" s="6"/>
      <c r="B1526" s="11"/>
      <c r="C1526" s="20"/>
      <c r="D1526" s="20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5"/>
    </row>
    <row r="1527">
      <c r="A1527" s="12"/>
      <c r="B1527" s="11"/>
      <c r="C1527" s="20"/>
      <c r="D1527" s="20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5"/>
    </row>
    <row r="1528">
      <c r="A1528" s="6"/>
      <c r="B1528" s="11"/>
      <c r="C1528" s="20"/>
      <c r="D1528" s="20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5"/>
    </row>
    <row r="1529">
      <c r="A1529" s="12"/>
      <c r="B1529" s="11"/>
      <c r="C1529" s="20"/>
      <c r="D1529" s="20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5"/>
    </row>
    <row r="1530">
      <c r="A1530" s="6"/>
      <c r="B1530" s="11"/>
      <c r="C1530" s="20"/>
      <c r="D1530" s="20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5"/>
    </row>
    <row r="1531">
      <c r="A1531" s="12"/>
      <c r="B1531" s="11"/>
      <c r="C1531" s="20"/>
      <c r="D1531" s="20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5"/>
    </row>
    <row r="1532">
      <c r="A1532" s="6"/>
      <c r="B1532" s="11"/>
      <c r="C1532" s="20"/>
      <c r="D1532" s="20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5"/>
    </row>
    <row r="1533">
      <c r="A1533" s="12"/>
      <c r="B1533" s="11"/>
      <c r="C1533" s="20"/>
      <c r="D1533" s="20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5"/>
    </row>
    <row r="1534">
      <c r="A1534" s="6"/>
      <c r="B1534" s="11"/>
      <c r="C1534" s="20"/>
      <c r="D1534" s="20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5"/>
    </row>
    <row r="1535">
      <c r="A1535" s="12"/>
      <c r="B1535" s="11"/>
      <c r="C1535" s="20"/>
      <c r="D1535" s="20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5"/>
    </row>
    <row r="1536">
      <c r="A1536" s="6"/>
      <c r="B1536" s="11"/>
      <c r="C1536" s="20"/>
      <c r="D1536" s="20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5"/>
    </row>
    <row r="1537">
      <c r="A1537" s="12"/>
      <c r="B1537" s="11"/>
      <c r="C1537" s="20"/>
      <c r="D1537" s="20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5"/>
    </row>
    <row r="1538">
      <c r="A1538" s="6"/>
      <c r="B1538" s="11"/>
      <c r="C1538" s="20"/>
      <c r="D1538" s="20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5"/>
    </row>
    <row r="1539">
      <c r="A1539" s="12"/>
      <c r="B1539" s="11"/>
      <c r="C1539" s="20"/>
      <c r="D1539" s="20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5"/>
    </row>
    <row r="1540">
      <c r="A1540" s="6"/>
      <c r="B1540" s="11"/>
      <c r="C1540" s="20"/>
      <c r="D1540" s="20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5"/>
    </row>
    <row r="1541">
      <c r="A1541" s="12"/>
      <c r="B1541" s="11"/>
      <c r="C1541" s="20"/>
      <c r="D1541" s="20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5"/>
    </row>
    <row r="1542">
      <c r="A1542" s="6"/>
      <c r="B1542" s="11"/>
      <c r="C1542" s="20"/>
      <c r="D1542" s="20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5"/>
    </row>
    <row r="1543">
      <c r="A1543" s="12"/>
      <c r="B1543" s="11"/>
      <c r="C1543" s="20"/>
      <c r="D1543" s="20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5"/>
    </row>
    <row r="1544">
      <c r="A1544" s="6"/>
      <c r="B1544" s="11"/>
      <c r="C1544" s="20"/>
      <c r="D1544" s="20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5"/>
    </row>
    <row r="1545">
      <c r="A1545" s="12"/>
      <c r="B1545" s="11"/>
      <c r="C1545" s="20"/>
      <c r="D1545" s="20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5"/>
    </row>
    <row r="1546">
      <c r="A1546" s="6"/>
      <c r="B1546" s="11"/>
      <c r="C1546" s="20"/>
      <c r="D1546" s="20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5"/>
    </row>
    <row r="1547">
      <c r="A1547" s="12"/>
      <c r="B1547" s="11"/>
      <c r="C1547" s="20"/>
      <c r="D1547" s="20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5"/>
    </row>
    <row r="1548">
      <c r="A1548" s="6"/>
      <c r="B1548" s="11"/>
      <c r="C1548" s="20"/>
      <c r="D1548" s="20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5"/>
    </row>
    <row r="1549">
      <c r="A1549" s="12"/>
      <c r="B1549" s="11"/>
      <c r="C1549" s="20"/>
      <c r="D1549" s="20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5"/>
    </row>
    <row r="1550">
      <c r="A1550" s="6"/>
      <c r="B1550" s="11"/>
      <c r="C1550" s="20"/>
      <c r="D1550" s="20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5"/>
    </row>
    <row r="1551">
      <c r="A1551" s="12"/>
      <c r="B1551" s="11"/>
      <c r="C1551" s="20"/>
      <c r="D1551" s="20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5"/>
    </row>
    <row r="1552">
      <c r="A1552" s="6"/>
      <c r="B1552" s="11"/>
      <c r="C1552" s="20"/>
      <c r="D1552" s="20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5"/>
    </row>
    <row r="1553">
      <c r="A1553" s="12"/>
      <c r="B1553" s="11"/>
      <c r="C1553" s="20"/>
      <c r="D1553" s="20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5"/>
    </row>
    <row r="1554">
      <c r="A1554" s="6"/>
      <c r="B1554" s="11"/>
      <c r="C1554" s="20"/>
      <c r="D1554" s="20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5"/>
    </row>
    <row r="1555">
      <c r="A1555" s="12"/>
      <c r="B1555" s="11"/>
      <c r="C1555" s="20"/>
      <c r="D1555" s="20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5"/>
    </row>
    <row r="1556">
      <c r="A1556" s="6"/>
      <c r="B1556" s="11"/>
      <c r="C1556" s="20"/>
      <c r="D1556" s="20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5"/>
    </row>
    <row r="1557">
      <c r="A1557" s="12"/>
      <c r="B1557" s="11"/>
      <c r="C1557" s="20"/>
      <c r="D1557" s="20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5"/>
    </row>
    <row r="1558">
      <c r="A1558" s="6"/>
      <c r="B1558" s="11"/>
      <c r="C1558" s="20"/>
      <c r="D1558" s="20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5"/>
    </row>
    <row r="1559">
      <c r="A1559" s="12"/>
      <c r="B1559" s="11"/>
      <c r="C1559" s="20"/>
      <c r="D1559" s="20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5"/>
    </row>
    <row r="1560">
      <c r="A1560" s="6"/>
      <c r="B1560" s="11"/>
      <c r="C1560" s="20"/>
      <c r="D1560" s="20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5"/>
    </row>
    <row r="1561">
      <c r="A1561" s="12"/>
      <c r="B1561" s="11"/>
      <c r="C1561" s="20"/>
      <c r="D1561" s="20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5"/>
    </row>
    <row r="1562">
      <c r="A1562" s="6"/>
      <c r="B1562" s="11"/>
      <c r="C1562" s="20"/>
      <c r="D1562" s="20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5"/>
    </row>
    <row r="1563">
      <c r="A1563" s="12"/>
      <c r="B1563" s="11"/>
      <c r="C1563" s="20"/>
      <c r="D1563" s="20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5"/>
    </row>
    <row r="1564">
      <c r="A1564" s="6"/>
      <c r="B1564" s="11"/>
      <c r="C1564" s="20"/>
      <c r="D1564" s="20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5"/>
    </row>
    <row r="1565">
      <c r="A1565" s="12"/>
      <c r="B1565" s="11"/>
      <c r="C1565" s="20"/>
      <c r="D1565" s="20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5"/>
    </row>
    <row r="1566">
      <c r="A1566" s="6"/>
      <c r="B1566" s="11"/>
      <c r="C1566" s="20"/>
      <c r="D1566" s="20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5"/>
    </row>
    <row r="1567">
      <c r="A1567" s="12"/>
      <c r="B1567" s="11"/>
      <c r="C1567" s="20"/>
      <c r="D1567" s="20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5"/>
    </row>
    <row r="1568">
      <c r="A1568" s="6"/>
      <c r="B1568" s="11"/>
      <c r="C1568" s="20"/>
      <c r="D1568" s="20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5"/>
    </row>
    <row r="1569">
      <c r="A1569" s="12"/>
      <c r="B1569" s="11"/>
      <c r="C1569" s="20"/>
      <c r="D1569" s="20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5"/>
    </row>
    <row r="1570">
      <c r="A1570" s="6"/>
      <c r="B1570" s="11"/>
      <c r="C1570" s="20"/>
      <c r="D1570" s="20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5"/>
    </row>
    <row r="1571">
      <c r="A1571" s="12"/>
      <c r="B1571" s="11"/>
      <c r="C1571" s="20"/>
      <c r="D1571" s="20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5"/>
    </row>
    <row r="1572">
      <c r="A1572" s="6"/>
      <c r="B1572" s="11"/>
      <c r="C1572" s="20"/>
      <c r="D1572" s="20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5"/>
    </row>
    <row r="1573">
      <c r="A1573" s="12"/>
      <c r="B1573" s="11"/>
      <c r="C1573" s="20"/>
      <c r="D1573" s="20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5"/>
    </row>
    <row r="1574">
      <c r="A1574" s="6"/>
      <c r="B1574" s="11"/>
      <c r="C1574" s="20"/>
      <c r="D1574" s="20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5"/>
    </row>
    <row r="1575">
      <c r="A1575" s="12"/>
      <c r="B1575" s="11"/>
      <c r="C1575" s="20"/>
      <c r="D1575" s="20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5"/>
    </row>
    <row r="1576">
      <c r="A1576" s="6"/>
      <c r="B1576" s="11"/>
      <c r="C1576" s="20"/>
      <c r="D1576" s="20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5"/>
    </row>
    <row r="1577">
      <c r="A1577" s="12"/>
      <c r="B1577" s="11"/>
      <c r="C1577" s="20"/>
      <c r="D1577" s="20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5"/>
    </row>
    <row r="1578">
      <c r="A1578" s="6"/>
      <c r="B1578" s="11"/>
      <c r="C1578" s="20"/>
      <c r="D1578" s="20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5"/>
    </row>
    <row r="1579">
      <c r="A1579" s="12"/>
      <c r="B1579" s="11"/>
      <c r="C1579" s="20"/>
      <c r="D1579" s="20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5"/>
    </row>
    <row r="1580">
      <c r="A1580" s="6"/>
      <c r="B1580" s="11"/>
      <c r="C1580" s="20"/>
      <c r="D1580" s="20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5"/>
    </row>
    <row r="1581">
      <c r="A1581" s="12"/>
      <c r="B1581" s="11"/>
      <c r="C1581" s="20"/>
      <c r="D1581" s="20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5"/>
    </row>
    <row r="1582">
      <c r="A1582" s="6"/>
      <c r="B1582" s="11"/>
      <c r="C1582" s="20"/>
      <c r="D1582" s="20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5"/>
    </row>
    <row r="1583">
      <c r="A1583" s="12"/>
      <c r="B1583" s="11"/>
      <c r="C1583" s="20"/>
      <c r="D1583" s="20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5"/>
    </row>
    <row r="1584">
      <c r="A1584" s="6"/>
      <c r="B1584" s="11"/>
      <c r="C1584" s="20"/>
      <c r="D1584" s="20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5"/>
    </row>
    <row r="1585">
      <c r="A1585" s="12"/>
      <c r="B1585" s="11"/>
      <c r="C1585" s="20"/>
      <c r="D1585" s="20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5"/>
    </row>
    <row r="1586">
      <c r="A1586" s="6"/>
      <c r="B1586" s="11"/>
      <c r="C1586" s="20"/>
      <c r="D1586" s="20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5"/>
    </row>
    <row r="1587">
      <c r="A1587" s="12"/>
      <c r="B1587" s="11"/>
      <c r="C1587" s="20"/>
      <c r="D1587" s="20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5"/>
    </row>
    <row r="1588">
      <c r="A1588" s="6"/>
      <c r="B1588" s="11"/>
      <c r="C1588" s="20"/>
      <c r="D1588" s="20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5"/>
    </row>
    <row r="1589">
      <c r="A1589" s="12"/>
      <c r="B1589" s="11"/>
      <c r="C1589" s="20"/>
      <c r="D1589" s="20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5"/>
    </row>
    <row r="1590">
      <c r="A1590" s="6"/>
      <c r="B1590" s="11"/>
      <c r="C1590" s="20"/>
      <c r="D1590" s="20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5"/>
    </row>
    <row r="1591">
      <c r="A1591" s="12"/>
      <c r="B1591" s="11"/>
      <c r="C1591" s="20"/>
      <c r="D1591" s="20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5"/>
    </row>
    <row r="1592">
      <c r="A1592" s="6"/>
      <c r="B1592" s="11"/>
      <c r="C1592" s="20"/>
      <c r="D1592" s="20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5"/>
    </row>
    <row r="1593">
      <c r="A1593" s="12"/>
      <c r="B1593" s="11"/>
      <c r="C1593" s="20"/>
      <c r="D1593" s="20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5"/>
    </row>
    <row r="1594">
      <c r="A1594" s="6"/>
      <c r="B1594" s="11"/>
      <c r="C1594" s="20"/>
      <c r="D1594" s="20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5"/>
    </row>
    <row r="1595">
      <c r="A1595" s="12"/>
      <c r="B1595" s="11"/>
      <c r="C1595" s="20"/>
      <c r="D1595" s="20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5"/>
    </row>
    <row r="1596">
      <c r="A1596" s="6"/>
      <c r="B1596" s="11"/>
      <c r="C1596" s="20"/>
      <c r="D1596" s="20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5"/>
    </row>
    <row r="1597">
      <c r="A1597" s="12"/>
      <c r="B1597" s="11"/>
      <c r="C1597" s="20"/>
      <c r="D1597" s="20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5"/>
    </row>
    <row r="1598">
      <c r="A1598" s="6"/>
      <c r="B1598" s="11"/>
      <c r="C1598" s="20"/>
      <c r="D1598" s="20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5"/>
    </row>
    <row r="1599">
      <c r="A1599" s="12"/>
      <c r="B1599" s="11"/>
      <c r="C1599" s="20"/>
      <c r="D1599" s="20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5"/>
    </row>
    <row r="1600">
      <c r="A1600" s="6"/>
      <c r="B1600" s="11"/>
      <c r="C1600" s="20"/>
      <c r="D1600" s="20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5"/>
    </row>
    <row r="1601">
      <c r="A1601" s="12"/>
      <c r="B1601" s="11"/>
      <c r="C1601" s="20"/>
      <c r="D1601" s="20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5"/>
    </row>
    <row r="1602">
      <c r="A1602" s="6"/>
      <c r="B1602" s="11"/>
      <c r="C1602" s="20"/>
      <c r="D1602" s="20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5"/>
    </row>
    <row r="1603">
      <c r="A1603" s="12"/>
      <c r="B1603" s="11"/>
      <c r="C1603" s="20"/>
      <c r="D1603" s="20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5"/>
    </row>
    <row r="1604">
      <c r="A1604" s="6"/>
      <c r="B1604" s="11"/>
      <c r="C1604" s="20"/>
      <c r="D1604" s="20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5"/>
    </row>
    <row r="1605">
      <c r="A1605" s="12"/>
      <c r="B1605" s="11"/>
      <c r="C1605" s="20"/>
      <c r="D1605" s="20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5"/>
    </row>
    <row r="1606">
      <c r="A1606" s="6"/>
      <c r="B1606" s="11"/>
      <c r="C1606" s="20"/>
      <c r="D1606" s="20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5"/>
    </row>
    <row r="1607">
      <c r="A1607" s="12"/>
      <c r="B1607" s="11"/>
      <c r="C1607" s="20"/>
      <c r="D1607" s="20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5"/>
    </row>
    <row r="1608">
      <c r="A1608" s="6"/>
      <c r="B1608" s="11"/>
      <c r="C1608" s="20"/>
      <c r="D1608" s="20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5"/>
    </row>
    <row r="1609">
      <c r="A1609" s="12"/>
      <c r="B1609" s="11"/>
      <c r="C1609" s="20"/>
      <c r="D1609" s="20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5"/>
    </row>
    <row r="1610">
      <c r="A1610" s="6"/>
      <c r="B1610" s="11"/>
      <c r="C1610" s="20"/>
      <c r="D1610" s="20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5"/>
    </row>
    <row r="1611">
      <c r="A1611" s="12"/>
      <c r="B1611" s="11"/>
      <c r="C1611" s="20"/>
      <c r="D1611" s="20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5"/>
    </row>
    <row r="1612">
      <c r="A1612" s="6"/>
      <c r="B1612" s="11"/>
      <c r="C1612" s="20"/>
      <c r="D1612" s="20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5"/>
    </row>
    <row r="1613">
      <c r="A1613" s="12"/>
      <c r="B1613" s="11"/>
      <c r="C1613" s="20"/>
      <c r="D1613" s="20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5"/>
    </row>
    <row r="1614">
      <c r="A1614" s="6"/>
      <c r="B1614" s="11"/>
      <c r="C1614" s="20"/>
      <c r="D1614" s="20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5"/>
    </row>
    <row r="1615">
      <c r="A1615" s="12"/>
      <c r="B1615" s="11"/>
      <c r="C1615" s="20"/>
      <c r="D1615" s="20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5"/>
    </row>
    <row r="1616">
      <c r="A1616" s="6"/>
      <c r="B1616" s="11"/>
      <c r="C1616" s="20"/>
      <c r="D1616" s="20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5"/>
    </row>
    <row r="1617">
      <c r="A1617" s="12"/>
      <c r="B1617" s="11"/>
      <c r="C1617" s="20"/>
      <c r="D1617" s="20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5"/>
    </row>
    <row r="1618">
      <c r="A1618" s="6"/>
      <c r="B1618" s="11"/>
      <c r="C1618" s="20"/>
      <c r="D1618" s="20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5"/>
    </row>
    <row r="1619">
      <c r="A1619" s="12"/>
      <c r="B1619" s="11"/>
      <c r="C1619" s="20"/>
      <c r="D1619" s="20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5"/>
    </row>
    <row r="1620">
      <c r="A1620" s="6"/>
      <c r="B1620" s="11"/>
      <c r="C1620" s="20"/>
      <c r="D1620" s="20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5"/>
    </row>
    <row r="1621">
      <c r="A1621" s="12"/>
      <c r="B1621" s="11"/>
      <c r="C1621" s="20"/>
      <c r="D1621" s="20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5"/>
    </row>
    <row r="1622">
      <c r="A1622" s="6"/>
      <c r="B1622" s="11"/>
      <c r="C1622" s="20"/>
      <c r="D1622" s="20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5"/>
    </row>
    <row r="1623">
      <c r="A1623" s="12"/>
      <c r="B1623" s="11"/>
      <c r="C1623" s="20"/>
      <c r="D1623" s="20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5"/>
    </row>
    <row r="1624">
      <c r="A1624" s="6"/>
      <c r="B1624" s="11"/>
      <c r="C1624" s="20"/>
      <c r="D1624" s="20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5"/>
    </row>
    <row r="1625">
      <c r="A1625" s="12"/>
      <c r="B1625" s="11"/>
      <c r="C1625" s="20"/>
      <c r="D1625" s="20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5"/>
    </row>
    <row r="1626">
      <c r="A1626" s="6"/>
      <c r="B1626" s="11"/>
      <c r="C1626" s="20"/>
      <c r="D1626" s="20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5"/>
    </row>
    <row r="1627">
      <c r="A1627" s="12"/>
      <c r="B1627" s="11"/>
      <c r="C1627" s="20"/>
      <c r="D1627" s="20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5"/>
    </row>
    <row r="1628">
      <c r="A1628" s="6"/>
      <c r="B1628" s="11"/>
      <c r="C1628" s="20"/>
      <c r="D1628" s="20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5"/>
    </row>
    <row r="1629">
      <c r="A1629" s="12"/>
      <c r="B1629" s="11"/>
      <c r="C1629" s="20"/>
      <c r="D1629" s="20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5"/>
    </row>
    <row r="1630">
      <c r="A1630" s="6"/>
      <c r="B1630" s="11"/>
      <c r="C1630" s="20"/>
      <c r="D1630" s="20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5"/>
    </row>
    <row r="1631">
      <c r="A1631" s="12"/>
      <c r="B1631" s="11"/>
      <c r="C1631" s="20"/>
      <c r="D1631" s="20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5"/>
    </row>
    <row r="1632">
      <c r="A1632" s="6"/>
      <c r="B1632" s="11"/>
      <c r="C1632" s="20"/>
      <c r="D1632" s="20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5"/>
    </row>
    <row r="1633">
      <c r="A1633" s="12"/>
      <c r="B1633" s="11"/>
      <c r="C1633" s="20"/>
      <c r="D1633" s="20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5"/>
    </row>
    <row r="1634">
      <c r="A1634" s="6"/>
      <c r="B1634" s="11"/>
      <c r="C1634" s="20"/>
      <c r="D1634" s="20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5"/>
    </row>
    <row r="1635">
      <c r="A1635" s="12"/>
      <c r="B1635" s="11"/>
      <c r="C1635" s="20"/>
      <c r="D1635" s="20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5"/>
    </row>
    <row r="1636">
      <c r="A1636" s="6"/>
      <c r="B1636" s="11"/>
      <c r="C1636" s="20"/>
      <c r="D1636" s="20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5"/>
    </row>
    <row r="1637">
      <c r="A1637" s="12"/>
      <c r="B1637" s="11"/>
      <c r="C1637" s="20"/>
      <c r="D1637" s="20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5"/>
    </row>
    <row r="1638">
      <c r="A1638" s="6"/>
      <c r="B1638" s="11"/>
      <c r="C1638" s="20"/>
      <c r="D1638" s="20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5"/>
    </row>
    <row r="1639">
      <c r="A1639" s="12"/>
      <c r="B1639" s="11"/>
      <c r="C1639" s="20"/>
      <c r="D1639" s="20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5"/>
    </row>
    <row r="1640">
      <c r="A1640" s="6"/>
      <c r="B1640" s="11"/>
      <c r="C1640" s="20"/>
      <c r="D1640" s="20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5"/>
    </row>
    <row r="1641">
      <c r="A1641" s="12"/>
      <c r="B1641" s="11"/>
      <c r="C1641" s="20"/>
      <c r="D1641" s="20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5"/>
    </row>
    <row r="1642">
      <c r="A1642" s="6"/>
      <c r="B1642" s="11"/>
      <c r="C1642" s="20"/>
      <c r="D1642" s="20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5"/>
    </row>
    <row r="1643">
      <c r="A1643" s="12"/>
      <c r="B1643" s="11"/>
      <c r="C1643" s="20"/>
      <c r="D1643" s="20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5"/>
    </row>
    <row r="1644">
      <c r="A1644" s="6"/>
      <c r="B1644" s="11"/>
      <c r="C1644" s="20"/>
      <c r="D1644" s="20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5"/>
    </row>
    <row r="1645">
      <c r="A1645" s="12"/>
      <c r="B1645" s="11"/>
      <c r="C1645" s="20"/>
      <c r="D1645" s="20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5"/>
    </row>
    <row r="1646">
      <c r="A1646" s="6"/>
      <c r="B1646" s="11"/>
      <c r="C1646" s="20"/>
      <c r="D1646" s="20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5"/>
    </row>
    <row r="1647">
      <c r="A1647" s="12"/>
      <c r="B1647" s="11"/>
      <c r="C1647" s="20"/>
      <c r="D1647" s="20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5"/>
    </row>
    <row r="1648">
      <c r="A1648" s="6"/>
      <c r="B1648" s="11"/>
      <c r="C1648" s="20"/>
      <c r="D1648" s="20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5"/>
    </row>
    <row r="1649">
      <c r="A1649" s="12"/>
      <c r="B1649" s="11"/>
      <c r="C1649" s="20"/>
      <c r="D1649" s="20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5"/>
    </row>
    <row r="1650">
      <c r="A1650" s="6"/>
      <c r="B1650" s="11"/>
      <c r="C1650" s="20"/>
      <c r="D1650" s="20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5"/>
    </row>
    <row r="1651">
      <c r="A1651" s="12"/>
      <c r="B1651" s="11"/>
      <c r="C1651" s="20"/>
      <c r="D1651" s="20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5"/>
    </row>
    <row r="1652">
      <c r="A1652" s="6"/>
      <c r="B1652" s="11"/>
      <c r="C1652" s="20"/>
      <c r="D1652" s="20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5"/>
    </row>
    <row r="1653">
      <c r="A1653" s="12"/>
      <c r="B1653" s="11"/>
      <c r="C1653" s="20"/>
      <c r="D1653" s="20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5"/>
    </row>
    <row r="1654">
      <c r="A1654" s="6"/>
      <c r="B1654" s="11"/>
      <c r="C1654" s="20"/>
      <c r="D1654" s="20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5"/>
    </row>
    <row r="1655">
      <c r="A1655" s="12"/>
      <c r="B1655" s="11"/>
      <c r="C1655" s="20"/>
      <c r="D1655" s="20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5"/>
    </row>
    <row r="1656">
      <c r="A1656" s="6"/>
      <c r="B1656" s="11"/>
      <c r="C1656" s="20"/>
      <c r="D1656" s="20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5"/>
    </row>
    <row r="1657">
      <c r="A1657" s="12"/>
      <c r="B1657" s="11"/>
      <c r="C1657" s="20"/>
      <c r="D1657" s="20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5"/>
    </row>
    <row r="1658">
      <c r="A1658" s="6"/>
      <c r="B1658" s="11"/>
      <c r="C1658" s="20"/>
      <c r="D1658" s="20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5"/>
    </row>
    <row r="1659">
      <c r="A1659" s="12"/>
      <c r="B1659" s="11"/>
      <c r="C1659" s="20"/>
      <c r="D1659" s="20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5"/>
    </row>
    <row r="1660">
      <c r="A1660" s="6"/>
      <c r="B1660" s="11"/>
      <c r="C1660" s="20"/>
      <c r="D1660" s="20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5"/>
    </row>
    <row r="1661">
      <c r="A1661" s="12"/>
      <c r="B1661" s="11"/>
      <c r="C1661" s="20"/>
      <c r="D1661" s="20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5"/>
    </row>
    <row r="1662">
      <c r="A1662" s="6"/>
      <c r="B1662" s="11"/>
      <c r="C1662" s="20"/>
      <c r="D1662" s="20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5"/>
    </row>
    <row r="1663">
      <c r="A1663" s="12"/>
      <c r="B1663" s="11"/>
      <c r="C1663" s="20"/>
      <c r="D1663" s="20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5"/>
    </row>
    <row r="1664">
      <c r="A1664" s="6"/>
      <c r="B1664" s="11"/>
      <c r="C1664" s="20"/>
      <c r="D1664" s="20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5"/>
    </row>
    <row r="1665">
      <c r="A1665" s="12"/>
      <c r="B1665" s="11"/>
      <c r="C1665" s="20"/>
      <c r="D1665" s="20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5"/>
    </row>
    <row r="1666">
      <c r="A1666" s="6"/>
      <c r="B1666" s="11"/>
      <c r="C1666" s="20"/>
      <c r="D1666" s="20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5"/>
    </row>
    <row r="1667">
      <c r="A1667" s="12"/>
      <c r="B1667" s="11"/>
      <c r="C1667" s="20"/>
      <c r="D1667" s="20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5"/>
    </row>
    <row r="1668">
      <c r="A1668" s="6"/>
      <c r="B1668" s="11"/>
      <c r="C1668" s="20"/>
      <c r="D1668" s="20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5"/>
    </row>
    <row r="1669">
      <c r="A1669" s="12"/>
      <c r="B1669" s="11"/>
      <c r="C1669" s="20"/>
      <c r="D1669" s="20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5"/>
    </row>
    <row r="1670">
      <c r="A1670" s="6"/>
      <c r="B1670" s="11"/>
      <c r="C1670" s="20"/>
      <c r="D1670" s="20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5"/>
    </row>
    <row r="1671">
      <c r="A1671" s="12"/>
      <c r="B1671" s="11"/>
      <c r="C1671" s="20"/>
      <c r="D1671" s="20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5"/>
    </row>
    <row r="1672">
      <c r="A1672" s="6"/>
      <c r="B1672" s="11"/>
      <c r="C1672" s="20"/>
      <c r="D1672" s="20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5"/>
    </row>
    <row r="1673">
      <c r="A1673" s="12"/>
      <c r="B1673" s="11"/>
      <c r="C1673" s="20"/>
      <c r="D1673" s="20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5"/>
    </row>
    <row r="1674">
      <c r="A1674" s="6"/>
      <c r="B1674" s="11"/>
      <c r="C1674" s="20"/>
      <c r="D1674" s="20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5"/>
    </row>
    <row r="1675">
      <c r="A1675" s="12"/>
      <c r="B1675" s="11"/>
      <c r="C1675" s="20"/>
      <c r="D1675" s="20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5"/>
    </row>
    <row r="1676">
      <c r="A1676" s="6"/>
      <c r="B1676" s="11"/>
      <c r="C1676" s="20"/>
      <c r="D1676" s="20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5"/>
    </row>
    <row r="1677">
      <c r="A1677" s="12"/>
      <c r="B1677" s="11"/>
      <c r="C1677" s="20"/>
      <c r="D1677" s="20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5"/>
    </row>
    <row r="1678">
      <c r="A1678" s="6"/>
      <c r="B1678" s="11"/>
      <c r="C1678" s="20"/>
      <c r="D1678" s="20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5"/>
    </row>
    <row r="1679">
      <c r="A1679" s="12"/>
      <c r="B1679" s="11"/>
      <c r="C1679" s="20"/>
      <c r="D1679" s="20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5"/>
    </row>
    <row r="1680">
      <c r="A1680" s="6"/>
      <c r="B1680" s="11"/>
      <c r="C1680" s="20"/>
      <c r="D1680" s="20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5"/>
    </row>
    <row r="1681">
      <c r="A1681" s="12"/>
      <c r="B1681" s="11"/>
      <c r="C1681" s="20"/>
      <c r="D1681" s="20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5"/>
    </row>
    <row r="1682">
      <c r="A1682" s="6"/>
      <c r="B1682" s="11"/>
      <c r="C1682" s="20"/>
      <c r="D1682" s="20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5"/>
    </row>
    <row r="1683">
      <c r="A1683" s="12"/>
      <c r="B1683" s="11"/>
      <c r="C1683" s="20"/>
      <c r="D1683" s="20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5"/>
    </row>
    <row r="1684">
      <c r="A1684" s="6"/>
      <c r="B1684" s="11"/>
      <c r="C1684" s="20"/>
      <c r="D1684" s="20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5"/>
    </row>
    <row r="1685">
      <c r="A1685" s="12"/>
      <c r="B1685" s="11"/>
      <c r="C1685" s="20"/>
      <c r="D1685" s="20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5"/>
    </row>
    <row r="1686">
      <c r="A1686" s="6"/>
      <c r="B1686" s="11"/>
      <c r="C1686" s="20"/>
      <c r="D1686" s="20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5"/>
    </row>
    <row r="1687">
      <c r="A1687" s="12"/>
      <c r="B1687" s="11"/>
      <c r="C1687" s="20"/>
      <c r="D1687" s="20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5"/>
    </row>
    <row r="1688">
      <c r="A1688" s="6"/>
      <c r="B1688" s="11"/>
      <c r="C1688" s="20"/>
      <c r="D1688" s="20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5"/>
    </row>
    <row r="1689">
      <c r="A1689" s="12"/>
      <c r="B1689" s="11"/>
      <c r="C1689" s="20"/>
      <c r="D1689" s="20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5"/>
    </row>
    <row r="1690">
      <c r="A1690" s="6"/>
      <c r="B1690" s="11"/>
      <c r="C1690" s="20"/>
      <c r="D1690" s="20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5"/>
    </row>
    <row r="1691">
      <c r="A1691" s="12"/>
      <c r="B1691" s="11"/>
      <c r="C1691" s="20"/>
      <c r="D1691" s="20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5"/>
    </row>
    <row r="1692">
      <c r="A1692" s="6"/>
      <c r="B1692" s="11"/>
      <c r="C1692" s="20"/>
      <c r="D1692" s="20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5"/>
    </row>
    <row r="1693">
      <c r="A1693" s="12"/>
      <c r="B1693" s="11"/>
      <c r="C1693" s="20"/>
      <c r="D1693" s="20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5"/>
    </row>
    <row r="1694">
      <c r="A1694" s="6"/>
      <c r="B1694" s="11"/>
      <c r="C1694" s="20"/>
      <c r="D1694" s="20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5"/>
    </row>
    <row r="1695">
      <c r="A1695" s="12"/>
      <c r="B1695" s="11"/>
      <c r="C1695" s="20"/>
      <c r="D1695" s="20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5"/>
    </row>
    <row r="1696">
      <c r="A1696" s="6"/>
      <c r="B1696" s="11"/>
      <c r="C1696" s="20"/>
      <c r="D1696" s="20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5"/>
    </row>
    <row r="1697">
      <c r="A1697" s="12"/>
      <c r="B1697" s="11"/>
      <c r="C1697" s="20"/>
      <c r="D1697" s="20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5"/>
    </row>
    <row r="1698">
      <c r="A1698" s="6"/>
      <c r="B1698" s="11"/>
      <c r="C1698" s="20"/>
      <c r="D1698" s="20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5"/>
    </row>
    <row r="1699">
      <c r="A1699" s="12"/>
      <c r="B1699" s="11"/>
      <c r="C1699" s="20"/>
      <c r="D1699" s="20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5"/>
    </row>
    <row r="1700">
      <c r="A1700" s="6"/>
      <c r="B1700" s="11"/>
      <c r="C1700" s="20"/>
      <c r="D1700" s="20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5"/>
    </row>
    <row r="1701">
      <c r="A1701" s="12"/>
      <c r="B1701" s="11"/>
      <c r="C1701" s="20"/>
      <c r="D1701" s="20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5"/>
    </row>
    <row r="1702">
      <c r="A1702" s="6"/>
      <c r="B1702" s="11"/>
      <c r="C1702" s="20"/>
      <c r="D1702" s="20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5"/>
    </row>
    <row r="1703">
      <c r="A1703" s="12"/>
      <c r="B1703" s="11"/>
      <c r="C1703" s="20"/>
      <c r="D1703" s="20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5"/>
    </row>
    <row r="1704">
      <c r="A1704" s="6"/>
      <c r="B1704" s="11"/>
      <c r="C1704" s="20"/>
      <c r="D1704" s="20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5"/>
    </row>
    <row r="1705">
      <c r="A1705" s="12"/>
      <c r="B1705" s="11"/>
      <c r="C1705" s="20"/>
      <c r="D1705" s="20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5"/>
    </row>
    <row r="1706">
      <c r="A1706" s="6"/>
      <c r="B1706" s="11"/>
      <c r="C1706" s="20"/>
      <c r="D1706" s="20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5"/>
    </row>
    <row r="1707">
      <c r="A1707" s="12"/>
      <c r="B1707" s="11"/>
      <c r="C1707" s="20"/>
      <c r="D1707" s="20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5"/>
    </row>
    <row r="1708">
      <c r="A1708" s="6"/>
      <c r="B1708" s="11"/>
      <c r="C1708" s="20"/>
      <c r="D1708" s="20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5"/>
    </row>
    <row r="1709">
      <c r="A1709" s="12"/>
      <c r="B1709" s="11"/>
      <c r="C1709" s="20"/>
      <c r="D1709" s="20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5"/>
    </row>
    <row r="1710">
      <c r="A1710" s="6"/>
      <c r="B1710" s="11"/>
      <c r="C1710" s="20"/>
      <c r="D1710" s="20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5"/>
    </row>
    <row r="1711">
      <c r="A1711" s="12"/>
      <c r="B1711" s="11"/>
      <c r="C1711" s="20"/>
      <c r="D1711" s="20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5"/>
    </row>
    <row r="1712">
      <c r="A1712" s="6"/>
      <c r="B1712" s="11"/>
      <c r="C1712" s="20"/>
      <c r="D1712" s="20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5"/>
    </row>
    <row r="1713">
      <c r="A1713" s="12"/>
      <c r="B1713" s="11"/>
      <c r="C1713" s="20"/>
      <c r="D1713" s="20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5"/>
    </row>
    <row r="1714">
      <c r="A1714" s="6"/>
      <c r="B1714" s="11"/>
      <c r="C1714" s="20"/>
      <c r="D1714" s="20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5"/>
    </row>
    <row r="1715">
      <c r="A1715" s="12"/>
      <c r="B1715" s="11"/>
      <c r="C1715" s="20"/>
      <c r="D1715" s="20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5"/>
    </row>
    <row r="1716">
      <c r="A1716" s="6"/>
      <c r="B1716" s="11"/>
      <c r="C1716" s="20"/>
      <c r="D1716" s="20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5"/>
    </row>
    <row r="1717">
      <c r="A1717" s="12"/>
      <c r="B1717" s="11"/>
      <c r="C1717" s="20"/>
      <c r="D1717" s="20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5"/>
    </row>
    <row r="1718">
      <c r="A1718" s="6"/>
      <c r="B1718" s="11"/>
      <c r="C1718" s="20"/>
      <c r="D1718" s="20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5"/>
    </row>
    <row r="1719">
      <c r="A1719" s="12"/>
      <c r="B1719" s="11"/>
      <c r="C1719" s="20"/>
      <c r="D1719" s="20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5"/>
    </row>
    <row r="1720">
      <c r="A1720" s="6"/>
      <c r="B1720" s="11"/>
      <c r="C1720" s="20"/>
      <c r="D1720" s="20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5"/>
    </row>
    <row r="1721">
      <c r="A1721" s="12"/>
      <c r="B1721" s="11"/>
      <c r="C1721" s="20"/>
      <c r="D1721" s="20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5"/>
    </row>
    <row r="1722">
      <c r="A1722" s="6"/>
      <c r="B1722" s="11"/>
      <c r="C1722" s="20"/>
      <c r="D1722" s="20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5"/>
    </row>
    <row r="1723">
      <c r="A1723" s="12"/>
      <c r="B1723" s="11"/>
      <c r="C1723" s="20"/>
      <c r="D1723" s="20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5"/>
    </row>
    <row r="1724">
      <c r="A1724" s="6"/>
      <c r="B1724" s="11"/>
      <c r="C1724" s="20"/>
      <c r="D1724" s="20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5"/>
    </row>
    <row r="1725">
      <c r="A1725" s="12"/>
      <c r="B1725" s="11"/>
      <c r="C1725" s="20"/>
      <c r="D1725" s="20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5"/>
    </row>
    <row r="1726">
      <c r="A1726" s="6"/>
      <c r="B1726" s="11"/>
      <c r="C1726" s="20"/>
      <c r="D1726" s="20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5"/>
    </row>
    <row r="1727">
      <c r="A1727" s="12"/>
      <c r="B1727" s="11"/>
      <c r="C1727" s="20"/>
      <c r="D1727" s="20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5"/>
    </row>
    <row r="1728">
      <c r="A1728" s="6"/>
      <c r="B1728" s="11"/>
      <c r="C1728" s="20"/>
      <c r="D1728" s="20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5"/>
    </row>
    <row r="1729">
      <c r="A1729" s="12"/>
      <c r="B1729" s="11"/>
      <c r="C1729" s="20"/>
      <c r="D1729" s="20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5"/>
    </row>
    <row r="1730">
      <c r="A1730" s="6"/>
      <c r="B1730" s="11"/>
      <c r="C1730" s="20"/>
      <c r="D1730" s="20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5"/>
    </row>
    <row r="1731">
      <c r="A1731" s="12"/>
      <c r="B1731" s="11"/>
      <c r="C1731" s="20"/>
      <c r="D1731" s="20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5"/>
    </row>
    <row r="1732">
      <c r="A1732" s="6"/>
      <c r="B1732" s="11"/>
      <c r="C1732" s="20"/>
      <c r="D1732" s="20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5"/>
    </row>
    <row r="1733">
      <c r="A1733" s="12"/>
      <c r="B1733" s="11"/>
      <c r="C1733" s="20"/>
      <c r="D1733" s="20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5"/>
    </row>
    <row r="1734">
      <c r="A1734" s="6"/>
      <c r="B1734" s="11"/>
      <c r="C1734" s="20"/>
      <c r="D1734" s="20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5"/>
    </row>
    <row r="1735">
      <c r="A1735" s="12"/>
      <c r="B1735" s="11"/>
      <c r="C1735" s="20"/>
      <c r="D1735" s="20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5"/>
    </row>
    <row r="1736">
      <c r="A1736" s="6"/>
      <c r="B1736" s="11"/>
      <c r="C1736" s="20"/>
      <c r="D1736" s="20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5"/>
    </row>
    <row r="1737">
      <c r="A1737" s="12"/>
      <c r="B1737" s="11"/>
      <c r="C1737" s="20"/>
      <c r="D1737" s="20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5"/>
    </row>
    <row r="1738">
      <c r="A1738" s="6"/>
      <c r="B1738" s="11"/>
      <c r="C1738" s="20"/>
      <c r="D1738" s="20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5"/>
    </row>
    <row r="1739">
      <c r="A1739" s="12"/>
      <c r="B1739" s="11"/>
      <c r="C1739" s="20"/>
      <c r="D1739" s="20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5"/>
    </row>
    <row r="1740">
      <c r="A1740" s="6"/>
      <c r="B1740" s="11"/>
      <c r="C1740" s="20"/>
      <c r="D1740" s="20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5"/>
    </row>
    <row r="1741">
      <c r="A1741" s="12"/>
      <c r="B1741" s="11"/>
      <c r="C1741" s="20"/>
      <c r="D1741" s="20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5"/>
    </row>
    <row r="1742">
      <c r="A1742" s="6"/>
      <c r="B1742" s="11"/>
      <c r="C1742" s="20"/>
      <c r="D1742" s="20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5"/>
    </row>
    <row r="1743">
      <c r="A1743" s="12"/>
      <c r="B1743" s="11"/>
      <c r="C1743" s="20"/>
      <c r="D1743" s="20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5"/>
    </row>
    <row r="1744">
      <c r="A1744" s="6"/>
      <c r="B1744" s="11"/>
      <c r="C1744" s="20"/>
      <c r="D1744" s="20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5"/>
    </row>
    <row r="1745">
      <c r="A1745" s="12"/>
      <c r="B1745" s="11"/>
      <c r="C1745" s="20"/>
      <c r="D1745" s="20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5"/>
    </row>
    <row r="1746">
      <c r="A1746" s="6"/>
      <c r="B1746" s="11"/>
      <c r="C1746" s="20"/>
      <c r="D1746" s="20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5"/>
    </row>
    <row r="1747">
      <c r="A1747" s="12"/>
      <c r="B1747" s="11"/>
      <c r="C1747" s="20"/>
      <c r="D1747" s="20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5"/>
    </row>
    <row r="1748">
      <c r="A1748" s="6"/>
      <c r="B1748" s="11"/>
      <c r="C1748" s="20"/>
      <c r="D1748" s="20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5"/>
    </row>
    <row r="1749">
      <c r="A1749" s="12"/>
      <c r="B1749" s="11"/>
      <c r="C1749" s="20"/>
      <c r="D1749" s="20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5"/>
    </row>
    <row r="1750">
      <c r="A1750" s="6"/>
      <c r="B1750" s="11"/>
      <c r="C1750" s="20"/>
      <c r="D1750" s="20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5"/>
    </row>
    <row r="1751">
      <c r="A1751" s="12"/>
      <c r="B1751" s="11"/>
      <c r="C1751" s="20"/>
      <c r="D1751" s="20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5"/>
    </row>
    <row r="1752">
      <c r="A1752" s="6"/>
      <c r="B1752" s="11"/>
      <c r="C1752" s="20"/>
      <c r="D1752" s="20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5"/>
    </row>
    <row r="1753">
      <c r="A1753" s="12"/>
      <c r="B1753" s="11"/>
      <c r="C1753" s="20"/>
      <c r="D1753" s="20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5"/>
    </row>
    <row r="1754">
      <c r="A1754" s="6"/>
      <c r="B1754" s="11"/>
      <c r="C1754" s="20"/>
      <c r="D1754" s="20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5"/>
    </row>
    <row r="1755">
      <c r="A1755" s="12"/>
      <c r="B1755" s="11"/>
      <c r="C1755" s="20"/>
      <c r="D1755" s="20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5"/>
    </row>
    <row r="1756">
      <c r="A1756" s="6"/>
      <c r="B1756" s="11"/>
      <c r="C1756" s="20"/>
      <c r="D1756" s="20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5"/>
    </row>
    <row r="1757">
      <c r="A1757" s="12"/>
      <c r="B1757" s="11"/>
      <c r="C1757" s="20"/>
      <c r="D1757" s="20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5"/>
    </row>
    <row r="1758">
      <c r="A1758" s="6"/>
      <c r="B1758" s="11"/>
      <c r="C1758" s="20"/>
      <c r="D1758" s="20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5"/>
    </row>
    <row r="1759">
      <c r="A1759" s="12"/>
      <c r="B1759" s="11"/>
      <c r="C1759" s="20"/>
      <c r="D1759" s="20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5"/>
    </row>
    <row r="1760">
      <c r="A1760" s="6"/>
      <c r="B1760" s="11"/>
      <c r="C1760" s="20"/>
      <c r="D1760" s="20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5"/>
    </row>
    <row r="1761">
      <c r="A1761" s="12"/>
      <c r="B1761" s="11"/>
      <c r="C1761" s="20"/>
      <c r="D1761" s="20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5"/>
    </row>
    <row r="1762">
      <c r="A1762" s="6"/>
      <c r="B1762" s="11"/>
      <c r="C1762" s="20"/>
      <c r="D1762" s="20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5"/>
    </row>
    <row r="1763">
      <c r="A1763" s="12"/>
      <c r="B1763" s="11"/>
      <c r="C1763" s="20"/>
      <c r="D1763" s="20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5"/>
    </row>
    <row r="1764">
      <c r="A1764" s="6"/>
      <c r="B1764" s="11"/>
      <c r="C1764" s="20"/>
      <c r="D1764" s="20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5"/>
    </row>
    <row r="1765">
      <c r="A1765" s="12"/>
      <c r="B1765" s="11"/>
      <c r="C1765" s="20"/>
      <c r="D1765" s="20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5"/>
    </row>
    <row r="1766">
      <c r="A1766" s="6"/>
      <c r="B1766" s="11"/>
      <c r="C1766" s="20"/>
      <c r="D1766" s="20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5"/>
    </row>
    <row r="1767">
      <c r="A1767" s="12"/>
      <c r="B1767" s="11"/>
      <c r="C1767" s="20"/>
      <c r="D1767" s="20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5"/>
    </row>
    <row r="1768">
      <c r="A1768" s="6"/>
      <c r="B1768" s="11"/>
      <c r="C1768" s="20"/>
      <c r="D1768" s="20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5"/>
    </row>
    <row r="1769">
      <c r="A1769" s="12"/>
      <c r="B1769" s="11"/>
      <c r="C1769" s="20"/>
      <c r="D1769" s="20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5"/>
    </row>
    <row r="1770">
      <c r="A1770" s="6"/>
      <c r="B1770" s="11"/>
      <c r="C1770" s="20"/>
      <c r="D1770" s="20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5"/>
    </row>
    <row r="1771">
      <c r="A1771" s="12"/>
      <c r="B1771" s="11"/>
      <c r="C1771" s="20"/>
      <c r="D1771" s="20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5"/>
    </row>
    <row r="1772">
      <c r="A1772" s="6"/>
      <c r="B1772" s="11"/>
      <c r="C1772" s="20"/>
      <c r="D1772" s="20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5"/>
    </row>
    <row r="1773">
      <c r="A1773" s="12"/>
      <c r="B1773" s="11"/>
      <c r="C1773" s="20"/>
      <c r="D1773" s="20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5"/>
    </row>
    <row r="1774">
      <c r="A1774" s="6"/>
      <c r="B1774" s="11"/>
      <c r="C1774" s="20"/>
      <c r="D1774" s="20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5"/>
    </row>
    <row r="1775">
      <c r="A1775" s="12"/>
      <c r="B1775" s="11"/>
      <c r="C1775" s="20"/>
      <c r="D1775" s="20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5"/>
    </row>
    <row r="1776">
      <c r="A1776" s="6"/>
      <c r="B1776" s="11"/>
      <c r="C1776" s="20"/>
      <c r="D1776" s="20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5"/>
    </row>
    <row r="1777">
      <c r="A1777" s="12"/>
      <c r="B1777" s="11"/>
      <c r="C1777" s="20"/>
      <c r="D1777" s="20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5"/>
    </row>
    <row r="1778">
      <c r="A1778" s="6"/>
      <c r="B1778" s="11"/>
      <c r="C1778" s="20"/>
      <c r="D1778" s="20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5"/>
    </row>
    <row r="1779">
      <c r="A1779" s="12"/>
      <c r="B1779" s="11"/>
      <c r="C1779" s="20"/>
      <c r="D1779" s="20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5"/>
    </row>
    <row r="1780">
      <c r="A1780" s="6"/>
      <c r="B1780" s="11"/>
      <c r="C1780" s="20"/>
      <c r="D1780" s="20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5"/>
    </row>
    <row r="1781">
      <c r="A1781" s="12"/>
      <c r="B1781" s="11"/>
      <c r="C1781" s="20"/>
      <c r="D1781" s="20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5"/>
    </row>
    <row r="1782">
      <c r="A1782" s="6"/>
      <c r="B1782" s="11"/>
      <c r="C1782" s="20"/>
      <c r="D1782" s="20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5"/>
    </row>
    <row r="1783">
      <c r="A1783" s="12"/>
      <c r="B1783" s="11"/>
      <c r="C1783" s="20"/>
      <c r="D1783" s="20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5"/>
    </row>
    <row r="1784">
      <c r="A1784" s="6"/>
      <c r="B1784" s="11"/>
      <c r="C1784" s="20"/>
      <c r="D1784" s="20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5"/>
    </row>
    <row r="1785">
      <c r="A1785" s="12"/>
      <c r="B1785" s="11"/>
      <c r="C1785" s="20"/>
      <c r="D1785" s="20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5"/>
    </row>
    <row r="1786">
      <c r="A1786" s="6"/>
      <c r="B1786" s="11"/>
      <c r="C1786" s="20"/>
      <c r="D1786" s="20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5"/>
    </row>
    <row r="1787">
      <c r="A1787" s="12"/>
      <c r="B1787" s="11"/>
      <c r="C1787" s="20"/>
      <c r="D1787" s="20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5"/>
    </row>
    <row r="1788">
      <c r="A1788" s="6"/>
      <c r="B1788" s="11"/>
      <c r="C1788" s="20"/>
      <c r="D1788" s="20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5"/>
    </row>
    <row r="1789">
      <c r="A1789" s="12"/>
      <c r="B1789" s="11"/>
      <c r="C1789" s="20"/>
      <c r="D1789" s="20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5"/>
    </row>
    <row r="1790">
      <c r="A1790" s="6"/>
      <c r="B1790" s="11"/>
      <c r="C1790" s="20"/>
      <c r="D1790" s="20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5"/>
    </row>
    <row r="1791">
      <c r="A1791" s="12"/>
      <c r="B1791" s="11"/>
      <c r="C1791" s="20"/>
      <c r="D1791" s="20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5"/>
    </row>
    <row r="1792">
      <c r="A1792" s="6"/>
      <c r="B1792" s="11"/>
      <c r="C1792" s="20"/>
      <c r="D1792" s="20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5"/>
    </row>
    <row r="1793">
      <c r="A1793" s="12"/>
      <c r="B1793" s="11"/>
      <c r="C1793" s="20"/>
      <c r="D1793" s="20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5"/>
    </row>
    <row r="1794">
      <c r="A1794" s="6"/>
      <c r="B1794" s="11"/>
      <c r="C1794" s="20"/>
      <c r="D1794" s="20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5"/>
    </row>
    <row r="1795">
      <c r="A1795" s="12"/>
      <c r="B1795" s="11"/>
      <c r="C1795" s="20"/>
      <c r="D1795" s="20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5"/>
    </row>
    <row r="1796">
      <c r="A1796" s="6"/>
      <c r="B1796" s="11"/>
      <c r="C1796" s="20"/>
      <c r="D1796" s="20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5"/>
    </row>
    <row r="1797">
      <c r="A1797" s="12"/>
      <c r="B1797" s="11"/>
      <c r="C1797" s="20"/>
      <c r="D1797" s="20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5"/>
    </row>
    <row r="1798">
      <c r="A1798" s="6"/>
      <c r="B1798" s="11"/>
      <c r="C1798" s="20"/>
      <c r="D1798" s="20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5"/>
    </row>
    <row r="1799">
      <c r="A1799" s="12"/>
      <c r="B1799" s="11"/>
      <c r="C1799" s="20"/>
      <c r="D1799" s="20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5"/>
    </row>
    <row r="1800">
      <c r="A1800" s="6"/>
      <c r="B1800" s="11"/>
      <c r="C1800" s="20"/>
      <c r="D1800" s="20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5"/>
    </row>
    <row r="1801">
      <c r="A1801" s="12"/>
      <c r="B1801" s="11"/>
      <c r="C1801" s="20"/>
      <c r="D1801" s="20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5"/>
    </row>
    <row r="1802">
      <c r="A1802" s="6"/>
      <c r="B1802" s="11"/>
      <c r="C1802" s="20"/>
      <c r="D1802" s="20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5"/>
    </row>
    <row r="1803">
      <c r="A1803" s="12"/>
      <c r="B1803" s="11"/>
      <c r="C1803" s="20"/>
      <c r="D1803" s="20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5"/>
    </row>
    <row r="1804">
      <c r="A1804" s="6"/>
      <c r="B1804" s="11"/>
      <c r="C1804" s="20"/>
      <c r="D1804" s="20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5"/>
    </row>
    <row r="1805">
      <c r="A1805" s="12"/>
      <c r="B1805" s="11"/>
      <c r="C1805" s="20"/>
      <c r="D1805" s="20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5"/>
    </row>
    <row r="1806">
      <c r="A1806" s="6"/>
      <c r="B1806" s="11"/>
      <c r="C1806" s="20"/>
      <c r="D1806" s="20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5"/>
    </row>
    <row r="1807">
      <c r="A1807" s="12"/>
      <c r="B1807" s="11"/>
      <c r="C1807" s="20"/>
      <c r="D1807" s="20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5"/>
    </row>
    <row r="1808">
      <c r="A1808" s="6"/>
      <c r="B1808" s="11"/>
      <c r="C1808" s="20"/>
      <c r="D1808" s="20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5"/>
    </row>
    <row r="1809">
      <c r="A1809" s="12"/>
      <c r="B1809" s="11"/>
      <c r="C1809" s="20"/>
      <c r="D1809" s="20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5"/>
    </row>
    <row r="1810">
      <c r="A1810" s="6"/>
      <c r="B1810" s="11"/>
      <c r="C1810" s="20"/>
      <c r="D1810" s="20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5"/>
    </row>
    <row r="1811">
      <c r="A1811" s="12"/>
      <c r="B1811" s="11"/>
      <c r="C1811" s="20"/>
      <c r="D1811" s="20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5"/>
    </row>
    <row r="1812">
      <c r="A1812" s="6"/>
      <c r="B1812" s="11"/>
      <c r="C1812" s="20"/>
      <c r="D1812" s="20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5"/>
    </row>
    <row r="1813">
      <c r="A1813" s="12"/>
      <c r="B1813" s="11"/>
      <c r="C1813" s="20"/>
      <c r="D1813" s="20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5"/>
    </row>
    <row r="1814">
      <c r="A1814" s="6"/>
      <c r="B1814" s="11"/>
      <c r="C1814" s="20"/>
      <c r="D1814" s="20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5"/>
    </row>
    <row r="1815">
      <c r="A1815" s="12"/>
      <c r="B1815" s="11"/>
      <c r="C1815" s="20"/>
      <c r="D1815" s="20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5"/>
    </row>
    <row r="1816">
      <c r="A1816" s="6"/>
      <c r="B1816" s="11"/>
      <c r="C1816" s="20"/>
      <c r="D1816" s="20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5"/>
    </row>
    <row r="1817">
      <c r="A1817" s="12"/>
      <c r="B1817" s="11"/>
      <c r="C1817" s="20"/>
      <c r="D1817" s="20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5"/>
    </row>
    <row r="1818">
      <c r="A1818" s="6"/>
      <c r="B1818" s="11"/>
      <c r="C1818" s="20"/>
      <c r="D1818" s="20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5"/>
    </row>
    <row r="1819">
      <c r="A1819" s="12"/>
      <c r="B1819" s="11"/>
      <c r="C1819" s="20"/>
      <c r="D1819" s="20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5"/>
    </row>
    <row r="1820">
      <c r="A1820" s="6"/>
      <c r="B1820" s="11"/>
      <c r="C1820" s="20"/>
      <c r="D1820" s="20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5"/>
    </row>
    <row r="1821">
      <c r="A1821" s="12"/>
      <c r="B1821" s="11"/>
      <c r="C1821" s="20"/>
      <c r="D1821" s="20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5"/>
    </row>
    <row r="1822">
      <c r="A1822" s="6"/>
      <c r="B1822" s="11"/>
      <c r="C1822" s="20"/>
      <c r="D1822" s="20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5"/>
    </row>
    <row r="1823">
      <c r="A1823" s="12"/>
      <c r="B1823" s="11"/>
      <c r="C1823" s="20"/>
      <c r="D1823" s="20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5"/>
    </row>
    <row r="1824">
      <c r="A1824" s="6"/>
      <c r="B1824" s="11"/>
      <c r="C1824" s="20"/>
      <c r="D1824" s="20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5"/>
    </row>
    <row r="1825">
      <c r="A1825" s="12"/>
      <c r="B1825" s="11"/>
      <c r="C1825" s="20"/>
      <c r="D1825" s="20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5"/>
    </row>
    <row r="1826">
      <c r="A1826" s="6"/>
      <c r="B1826" s="11"/>
      <c r="C1826" s="20"/>
      <c r="D1826" s="20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5"/>
    </row>
    <row r="1827">
      <c r="A1827" s="12"/>
      <c r="B1827" s="11"/>
      <c r="C1827" s="20"/>
      <c r="D1827" s="20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5"/>
    </row>
    <row r="1828">
      <c r="A1828" s="6"/>
      <c r="B1828" s="11"/>
      <c r="C1828" s="20"/>
      <c r="D1828" s="20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5"/>
    </row>
    <row r="1829">
      <c r="A1829" s="12"/>
      <c r="B1829" s="11"/>
      <c r="C1829" s="20"/>
      <c r="D1829" s="20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5"/>
    </row>
    <row r="1830">
      <c r="A1830" s="6"/>
      <c r="B1830" s="11"/>
      <c r="C1830" s="20"/>
      <c r="D1830" s="20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5"/>
    </row>
    <row r="1831">
      <c r="A1831" s="12"/>
      <c r="B1831" s="11"/>
      <c r="C1831" s="20"/>
      <c r="D1831" s="20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5"/>
    </row>
    <row r="1832">
      <c r="A1832" s="6"/>
      <c r="B1832" s="11"/>
      <c r="C1832" s="20"/>
      <c r="D1832" s="20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5"/>
    </row>
    <row r="1833">
      <c r="A1833" s="12"/>
      <c r="B1833" s="11"/>
      <c r="C1833" s="20"/>
      <c r="D1833" s="20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5"/>
    </row>
    <row r="1834">
      <c r="A1834" s="6"/>
      <c r="B1834" s="11"/>
      <c r="C1834" s="20"/>
      <c r="D1834" s="20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5"/>
    </row>
    <row r="1835">
      <c r="A1835" s="12"/>
      <c r="B1835" s="11"/>
      <c r="C1835" s="20"/>
      <c r="D1835" s="20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5"/>
    </row>
    <row r="1836">
      <c r="A1836" s="6"/>
      <c r="B1836" s="11"/>
      <c r="C1836" s="20"/>
      <c r="D1836" s="20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5"/>
    </row>
    <row r="1837">
      <c r="A1837" s="12"/>
      <c r="B1837" s="11"/>
      <c r="C1837" s="20"/>
      <c r="D1837" s="20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5"/>
    </row>
    <row r="1838">
      <c r="A1838" s="6"/>
      <c r="B1838" s="11"/>
      <c r="C1838" s="20"/>
      <c r="D1838" s="20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5"/>
    </row>
    <row r="1839">
      <c r="A1839" s="12"/>
      <c r="B1839" s="11"/>
      <c r="C1839" s="20"/>
      <c r="D1839" s="20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5"/>
    </row>
    <row r="1840">
      <c r="A1840" s="6"/>
      <c r="B1840" s="11"/>
      <c r="C1840" s="20"/>
      <c r="D1840" s="20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5"/>
    </row>
    <row r="1841">
      <c r="A1841" s="12"/>
      <c r="B1841" s="11"/>
      <c r="C1841" s="20"/>
      <c r="D1841" s="20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5"/>
    </row>
    <row r="1842">
      <c r="A1842" s="6"/>
      <c r="B1842" s="11"/>
      <c r="C1842" s="20"/>
      <c r="D1842" s="20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5"/>
    </row>
    <row r="1843">
      <c r="A1843" s="12"/>
      <c r="B1843" s="11"/>
      <c r="C1843" s="20"/>
      <c r="D1843" s="20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5"/>
    </row>
    <row r="1844">
      <c r="A1844" s="6"/>
      <c r="B1844" s="11"/>
      <c r="C1844" s="20"/>
      <c r="D1844" s="20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5"/>
    </row>
    <row r="1845">
      <c r="A1845" s="12"/>
      <c r="B1845" s="11"/>
      <c r="C1845" s="20"/>
      <c r="D1845" s="20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5"/>
    </row>
    <row r="1846">
      <c r="A1846" s="6"/>
      <c r="B1846" s="11"/>
      <c r="C1846" s="20"/>
      <c r="D1846" s="20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5"/>
    </row>
    <row r="1847">
      <c r="A1847" s="12"/>
      <c r="B1847" s="11"/>
      <c r="C1847" s="20"/>
      <c r="D1847" s="20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5"/>
    </row>
    <row r="1848">
      <c r="A1848" s="6"/>
      <c r="B1848" s="11"/>
      <c r="C1848" s="20"/>
      <c r="D1848" s="20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5"/>
    </row>
    <row r="1849">
      <c r="A1849" s="12"/>
      <c r="B1849" s="11"/>
      <c r="C1849" s="20"/>
      <c r="D1849" s="20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5"/>
    </row>
    <row r="1850">
      <c r="A1850" s="6"/>
      <c r="B1850" s="11"/>
      <c r="C1850" s="20"/>
      <c r="D1850" s="20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5"/>
    </row>
    <row r="1851">
      <c r="A1851" s="12"/>
      <c r="B1851" s="11"/>
      <c r="C1851" s="20"/>
      <c r="D1851" s="20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5"/>
    </row>
    <row r="1852">
      <c r="A1852" s="6"/>
      <c r="B1852" s="11"/>
      <c r="C1852" s="20"/>
      <c r="D1852" s="20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5"/>
    </row>
    <row r="1853">
      <c r="A1853" s="12"/>
      <c r="B1853" s="11"/>
      <c r="C1853" s="20"/>
      <c r="D1853" s="20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5"/>
    </row>
    <row r="1854">
      <c r="A1854" s="6"/>
      <c r="B1854" s="11"/>
      <c r="C1854" s="20"/>
      <c r="D1854" s="20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5"/>
    </row>
    <row r="1855">
      <c r="A1855" s="12"/>
      <c r="B1855" s="11"/>
      <c r="C1855" s="20"/>
      <c r="D1855" s="20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5"/>
    </row>
    <row r="1856">
      <c r="A1856" s="6"/>
      <c r="B1856" s="11"/>
      <c r="C1856" s="20"/>
      <c r="D1856" s="20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5"/>
    </row>
    <row r="1857">
      <c r="A1857" s="12"/>
      <c r="B1857" s="11"/>
      <c r="C1857" s="20"/>
      <c r="D1857" s="20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5"/>
    </row>
    <row r="1858">
      <c r="A1858" s="6"/>
      <c r="B1858" s="11"/>
      <c r="C1858" s="20"/>
      <c r="D1858" s="20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5"/>
    </row>
    <row r="1859">
      <c r="A1859" s="12"/>
      <c r="B1859" s="11"/>
      <c r="C1859" s="20"/>
      <c r="D1859" s="20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5"/>
    </row>
    <row r="1860">
      <c r="A1860" s="6"/>
      <c r="B1860" s="11"/>
      <c r="C1860" s="20"/>
      <c r="D1860" s="20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5"/>
    </row>
    <row r="1861">
      <c r="A1861" s="12"/>
      <c r="B1861" s="11"/>
      <c r="C1861" s="20"/>
      <c r="D1861" s="20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5"/>
    </row>
    <row r="1862">
      <c r="A1862" s="6"/>
      <c r="B1862" s="11"/>
      <c r="C1862" s="20"/>
      <c r="D1862" s="20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5"/>
    </row>
    <row r="1863">
      <c r="A1863" s="12"/>
      <c r="B1863" s="11"/>
      <c r="C1863" s="20"/>
      <c r="D1863" s="20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5"/>
    </row>
    <row r="1864">
      <c r="A1864" s="6"/>
      <c r="B1864" s="11"/>
      <c r="C1864" s="20"/>
      <c r="D1864" s="20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5"/>
    </row>
    <row r="1865">
      <c r="A1865" s="12"/>
      <c r="B1865" s="11"/>
      <c r="C1865" s="20"/>
      <c r="D1865" s="20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5"/>
    </row>
    <row r="1866">
      <c r="A1866" s="6"/>
      <c r="B1866" s="11"/>
      <c r="C1866" s="20"/>
      <c r="D1866" s="20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5"/>
    </row>
    <row r="1867">
      <c r="A1867" s="12"/>
      <c r="B1867" s="11"/>
      <c r="C1867" s="20"/>
      <c r="D1867" s="20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5"/>
    </row>
    <row r="1868">
      <c r="A1868" s="6"/>
      <c r="B1868" s="11"/>
      <c r="C1868" s="20"/>
      <c r="D1868" s="20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5"/>
    </row>
    <row r="1869">
      <c r="A1869" s="12"/>
      <c r="B1869" s="11"/>
      <c r="C1869" s="20"/>
      <c r="D1869" s="20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5"/>
    </row>
    <row r="1870">
      <c r="A1870" s="6"/>
      <c r="B1870" s="11"/>
      <c r="C1870" s="20"/>
      <c r="D1870" s="20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5"/>
    </row>
    <row r="1871">
      <c r="A1871" s="12"/>
      <c r="B1871" s="11"/>
      <c r="C1871" s="20"/>
      <c r="D1871" s="20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5"/>
    </row>
    <row r="1872">
      <c r="A1872" s="6"/>
      <c r="B1872" s="11"/>
      <c r="C1872" s="20"/>
      <c r="D1872" s="20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5"/>
    </row>
    <row r="1873">
      <c r="A1873" s="12"/>
      <c r="B1873" s="11"/>
      <c r="C1873" s="20"/>
      <c r="D1873" s="20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5"/>
    </row>
    <row r="1874">
      <c r="A1874" s="6"/>
      <c r="B1874" s="11"/>
      <c r="C1874" s="20"/>
      <c r="D1874" s="20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5"/>
    </row>
    <row r="1875">
      <c r="A1875" s="12"/>
      <c r="B1875" s="11"/>
      <c r="C1875" s="20"/>
      <c r="D1875" s="20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5"/>
    </row>
    <row r="1876">
      <c r="A1876" s="6"/>
      <c r="B1876" s="11"/>
      <c r="C1876" s="20"/>
      <c r="D1876" s="20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5"/>
    </row>
    <row r="1877">
      <c r="A1877" s="12"/>
      <c r="B1877" s="11"/>
      <c r="C1877" s="20"/>
      <c r="D1877" s="20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5"/>
    </row>
    <row r="1878">
      <c r="A1878" s="6"/>
      <c r="B1878" s="11"/>
      <c r="C1878" s="20"/>
      <c r="D1878" s="20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5"/>
    </row>
    <row r="1879">
      <c r="A1879" s="12"/>
      <c r="B1879" s="11"/>
      <c r="C1879" s="20"/>
      <c r="D1879" s="20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5"/>
    </row>
    <row r="1880">
      <c r="A1880" s="6"/>
      <c r="B1880" s="11"/>
      <c r="C1880" s="20"/>
      <c r="D1880" s="20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5"/>
    </row>
    <row r="1881">
      <c r="A1881" s="12"/>
      <c r="B1881" s="11"/>
      <c r="C1881" s="20"/>
      <c r="D1881" s="20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5"/>
    </row>
    <row r="1882">
      <c r="A1882" s="6"/>
      <c r="B1882" s="11"/>
      <c r="C1882" s="20"/>
      <c r="D1882" s="20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5"/>
    </row>
    <row r="1883">
      <c r="A1883" s="12"/>
      <c r="B1883" s="11"/>
      <c r="C1883" s="20"/>
      <c r="D1883" s="20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5"/>
    </row>
    <row r="1884">
      <c r="A1884" s="6"/>
      <c r="B1884" s="11"/>
      <c r="C1884" s="20"/>
      <c r="D1884" s="20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5"/>
    </row>
    <row r="1885">
      <c r="A1885" s="12"/>
      <c r="B1885" s="11"/>
      <c r="C1885" s="20"/>
      <c r="D1885" s="20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5"/>
    </row>
    <row r="1886">
      <c r="A1886" s="6"/>
      <c r="B1886" s="11"/>
      <c r="C1886" s="20"/>
      <c r="D1886" s="20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5"/>
    </row>
    <row r="1887">
      <c r="A1887" s="12"/>
      <c r="B1887" s="11"/>
      <c r="C1887" s="20"/>
      <c r="D1887" s="20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5"/>
    </row>
    <row r="1888">
      <c r="A1888" s="6"/>
      <c r="B1888" s="11"/>
      <c r="C1888" s="20"/>
      <c r="D1888" s="20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5"/>
    </row>
    <row r="1889">
      <c r="A1889" s="12"/>
      <c r="B1889" s="11"/>
      <c r="C1889" s="20"/>
      <c r="D1889" s="20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5"/>
    </row>
    <row r="1890">
      <c r="A1890" s="6"/>
      <c r="B1890" s="11"/>
      <c r="C1890" s="20"/>
      <c r="D1890" s="20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5"/>
    </row>
    <row r="1891">
      <c r="A1891" s="12"/>
      <c r="B1891" s="11"/>
      <c r="C1891" s="20"/>
      <c r="D1891" s="20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5"/>
    </row>
    <row r="1892">
      <c r="A1892" s="6"/>
      <c r="B1892" s="11"/>
      <c r="C1892" s="20"/>
      <c r="D1892" s="20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5"/>
    </row>
    <row r="1893">
      <c r="A1893" s="12"/>
      <c r="B1893" s="11"/>
      <c r="C1893" s="20"/>
      <c r="D1893" s="20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5"/>
    </row>
    <row r="1894">
      <c r="A1894" s="6"/>
      <c r="B1894" s="11"/>
      <c r="C1894" s="20"/>
      <c r="D1894" s="20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5"/>
    </row>
    <row r="1895">
      <c r="A1895" s="12"/>
      <c r="B1895" s="11"/>
      <c r="C1895" s="20"/>
      <c r="D1895" s="20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5"/>
    </row>
    <row r="1896">
      <c r="A1896" s="6"/>
      <c r="B1896" s="11"/>
      <c r="C1896" s="20"/>
      <c r="D1896" s="20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5"/>
    </row>
    <row r="1897">
      <c r="A1897" s="12"/>
      <c r="B1897" s="11"/>
      <c r="C1897" s="20"/>
      <c r="D1897" s="20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5"/>
    </row>
    <row r="1898">
      <c r="A1898" s="6"/>
      <c r="B1898" s="11"/>
      <c r="C1898" s="20"/>
      <c r="D1898" s="20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5"/>
    </row>
    <row r="1899">
      <c r="A1899" s="12"/>
      <c r="B1899" s="11"/>
      <c r="C1899" s="20"/>
      <c r="D1899" s="20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5"/>
    </row>
    <row r="1900">
      <c r="A1900" s="6"/>
      <c r="B1900" s="11"/>
      <c r="C1900" s="20"/>
      <c r="D1900" s="20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5"/>
    </row>
    <row r="1901">
      <c r="A1901" s="12"/>
      <c r="B1901" s="11"/>
      <c r="C1901" s="20"/>
      <c r="D1901" s="20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5"/>
    </row>
    <row r="1902">
      <c r="A1902" s="6"/>
      <c r="B1902" s="11"/>
      <c r="C1902" s="20"/>
      <c r="D1902" s="20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5"/>
    </row>
    <row r="1903">
      <c r="A1903" s="12"/>
      <c r="B1903" s="11"/>
      <c r="C1903" s="20"/>
      <c r="D1903" s="20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5"/>
    </row>
    <row r="1904">
      <c r="A1904" s="6"/>
      <c r="B1904" s="11"/>
      <c r="C1904" s="20"/>
      <c r="D1904" s="20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5"/>
    </row>
    <row r="1905">
      <c r="A1905" s="12"/>
      <c r="B1905" s="11"/>
      <c r="C1905" s="20"/>
      <c r="D1905" s="20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5"/>
    </row>
    <row r="1906">
      <c r="A1906" s="6"/>
      <c r="B1906" s="11"/>
      <c r="C1906" s="20"/>
      <c r="D1906" s="20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5"/>
    </row>
    <row r="1907">
      <c r="A1907" s="12"/>
      <c r="B1907" s="11"/>
      <c r="C1907" s="20"/>
      <c r="D1907" s="20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5"/>
    </row>
    <row r="1908">
      <c r="A1908" s="6"/>
      <c r="B1908" s="11"/>
      <c r="C1908" s="20"/>
      <c r="D1908" s="20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5"/>
    </row>
    <row r="1909">
      <c r="A1909" s="12"/>
      <c r="B1909" s="11"/>
      <c r="C1909" s="20"/>
      <c r="D1909" s="20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5"/>
    </row>
    <row r="1910">
      <c r="A1910" s="6"/>
      <c r="B1910" s="11"/>
      <c r="C1910" s="20"/>
      <c r="D1910" s="20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5"/>
    </row>
    <row r="1911">
      <c r="A1911" s="12"/>
      <c r="B1911" s="11"/>
      <c r="C1911" s="20"/>
      <c r="D1911" s="20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5"/>
    </row>
    <row r="1912">
      <c r="A1912" s="6"/>
      <c r="B1912" s="11"/>
      <c r="C1912" s="20"/>
      <c r="D1912" s="20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5"/>
    </row>
    <row r="1913">
      <c r="A1913" s="12"/>
      <c r="B1913" s="11"/>
      <c r="C1913" s="20"/>
      <c r="D1913" s="20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5"/>
    </row>
    <row r="1914">
      <c r="A1914" s="6"/>
      <c r="B1914" s="11"/>
      <c r="C1914" s="20"/>
      <c r="D1914" s="20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5"/>
    </row>
    <row r="1915">
      <c r="A1915" s="12"/>
      <c r="B1915" s="11"/>
      <c r="C1915" s="20"/>
      <c r="D1915" s="20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5"/>
    </row>
    <row r="1916">
      <c r="A1916" s="6"/>
      <c r="B1916" s="11"/>
      <c r="C1916" s="20"/>
      <c r="D1916" s="20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5"/>
    </row>
    <row r="1917">
      <c r="A1917" s="12"/>
      <c r="B1917" s="11"/>
      <c r="C1917" s="20"/>
      <c r="D1917" s="20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5"/>
    </row>
    <row r="1918">
      <c r="A1918" s="6"/>
      <c r="B1918" s="11"/>
      <c r="C1918" s="20"/>
      <c r="D1918" s="20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5"/>
    </row>
    <row r="1919">
      <c r="A1919" s="12"/>
      <c r="B1919" s="11"/>
      <c r="C1919" s="20"/>
      <c r="D1919" s="20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5"/>
    </row>
    <row r="1920">
      <c r="A1920" s="6"/>
      <c r="B1920" s="11"/>
      <c r="C1920" s="20"/>
      <c r="D1920" s="20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5"/>
    </row>
    <row r="1921">
      <c r="A1921" s="12"/>
      <c r="B1921" s="11"/>
      <c r="C1921" s="20"/>
      <c r="D1921" s="20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5"/>
    </row>
    <row r="1922">
      <c r="A1922" s="6"/>
      <c r="B1922" s="11"/>
      <c r="C1922" s="20"/>
      <c r="D1922" s="20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5"/>
    </row>
    <row r="1923">
      <c r="A1923" s="12"/>
      <c r="B1923" s="11"/>
      <c r="C1923" s="20"/>
      <c r="D1923" s="20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5"/>
    </row>
    <row r="1924">
      <c r="A1924" s="6"/>
      <c r="B1924" s="11"/>
      <c r="C1924" s="20"/>
      <c r="D1924" s="20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5"/>
    </row>
    <row r="1925">
      <c r="A1925" s="12"/>
      <c r="B1925" s="11"/>
      <c r="C1925" s="20"/>
      <c r="D1925" s="20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5"/>
    </row>
    <row r="1926">
      <c r="A1926" s="6"/>
      <c r="B1926" s="11"/>
      <c r="C1926" s="20"/>
      <c r="D1926" s="20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5"/>
    </row>
    <row r="1927">
      <c r="A1927" s="12"/>
      <c r="B1927" s="11"/>
      <c r="C1927" s="20"/>
      <c r="D1927" s="20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5"/>
    </row>
    <row r="1928">
      <c r="A1928" s="6"/>
      <c r="B1928" s="11"/>
      <c r="C1928" s="20"/>
      <c r="D1928" s="20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5"/>
    </row>
    <row r="1929">
      <c r="A1929" s="12"/>
      <c r="B1929" s="11"/>
      <c r="C1929" s="20"/>
      <c r="D1929" s="20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5"/>
    </row>
    <row r="1930">
      <c r="A1930" s="6"/>
      <c r="B1930" s="11"/>
      <c r="C1930" s="20"/>
      <c r="D1930" s="20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5"/>
    </row>
    <row r="1931">
      <c r="A1931" s="12"/>
      <c r="B1931" s="11"/>
      <c r="C1931" s="20"/>
      <c r="D1931" s="20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5"/>
    </row>
    <row r="1932">
      <c r="A1932" s="6"/>
      <c r="B1932" s="11"/>
      <c r="C1932" s="20"/>
      <c r="D1932" s="20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5"/>
    </row>
    <row r="1933">
      <c r="A1933" s="12"/>
      <c r="B1933" s="11"/>
      <c r="C1933" s="20"/>
      <c r="D1933" s="20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5"/>
    </row>
    <row r="1934">
      <c r="A1934" s="6"/>
      <c r="B1934" s="11"/>
      <c r="C1934" s="20"/>
      <c r="D1934" s="20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5"/>
    </row>
    <row r="1935">
      <c r="A1935" s="12"/>
      <c r="B1935" s="11"/>
      <c r="C1935" s="20"/>
      <c r="D1935" s="20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5"/>
    </row>
    <row r="1936">
      <c r="A1936" s="6"/>
      <c r="B1936" s="11"/>
      <c r="C1936" s="20"/>
      <c r="D1936" s="20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5"/>
    </row>
    <row r="1937">
      <c r="A1937" s="12"/>
      <c r="B1937" s="11"/>
      <c r="C1937" s="20"/>
      <c r="D1937" s="20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5"/>
    </row>
    <row r="1938">
      <c r="A1938" s="6"/>
      <c r="B1938" s="11"/>
      <c r="C1938" s="20"/>
      <c r="D1938" s="20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5"/>
    </row>
    <row r="1939">
      <c r="A1939" s="12"/>
      <c r="B1939" s="11"/>
      <c r="C1939" s="20"/>
      <c r="D1939" s="20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5"/>
    </row>
    <row r="1940">
      <c r="A1940" s="6"/>
      <c r="B1940" s="11"/>
      <c r="C1940" s="20"/>
      <c r="D1940" s="20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5"/>
    </row>
    <row r="1941">
      <c r="A1941" s="12"/>
      <c r="B1941" s="11"/>
      <c r="C1941" s="20"/>
      <c r="D1941" s="20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5"/>
    </row>
    <row r="1942">
      <c r="A1942" s="6"/>
      <c r="B1942" s="11"/>
      <c r="C1942" s="20"/>
      <c r="D1942" s="20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5"/>
    </row>
    <row r="1943">
      <c r="A1943" s="12"/>
      <c r="B1943" s="11"/>
      <c r="C1943" s="20"/>
      <c r="D1943" s="20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5"/>
    </row>
    <row r="1944">
      <c r="A1944" s="6"/>
      <c r="B1944" s="11"/>
      <c r="C1944" s="20"/>
      <c r="D1944" s="20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5"/>
    </row>
    <row r="1945">
      <c r="A1945" s="12"/>
      <c r="B1945" s="11"/>
      <c r="C1945" s="20"/>
      <c r="D1945" s="20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5"/>
    </row>
    <row r="1946">
      <c r="A1946" s="6"/>
      <c r="B1946" s="11"/>
      <c r="C1946" s="20"/>
      <c r="D1946" s="20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5"/>
    </row>
    <row r="1947">
      <c r="A1947" s="12"/>
      <c r="B1947" s="11"/>
      <c r="C1947" s="20"/>
      <c r="D1947" s="20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5"/>
    </row>
    <row r="1948">
      <c r="A1948" s="6"/>
      <c r="B1948" s="11"/>
      <c r="C1948" s="20"/>
      <c r="D1948" s="20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5"/>
    </row>
    <row r="1949">
      <c r="A1949" s="12"/>
      <c r="B1949" s="11"/>
      <c r="C1949" s="20"/>
      <c r="D1949" s="20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5"/>
    </row>
    <row r="1950">
      <c r="A1950" s="6"/>
      <c r="B1950" s="11"/>
      <c r="C1950" s="20"/>
      <c r="D1950" s="20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5"/>
    </row>
    <row r="1951">
      <c r="A1951" s="12"/>
      <c r="B1951" s="11"/>
      <c r="C1951" s="20"/>
      <c r="D1951" s="20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5"/>
    </row>
    <row r="1952">
      <c r="A1952" s="6"/>
      <c r="B1952" s="11"/>
      <c r="C1952" s="20"/>
      <c r="D1952" s="20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5"/>
    </row>
    <row r="1953">
      <c r="A1953" s="12"/>
      <c r="B1953" s="11"/>
      <c r="C1953" s="20"/>
      <c r="D1953" s="20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5"/>
    </row>
    <row r="1954">
      <c r="A1954" s="6"/>
      <c r="B1954" s="11"/>
      <c r="C1954" s="20"/>
      <c r="D1954" s="20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5"/>
    </row>
    <row r="1955">
      <c r="A1955" s="12"/>
      <c r="B1955" s="11"/>
      <c r="C1955" s="20"/>
      <c r="D1955" s="20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5"/>
    </row>
    <row r="1956">
      <c r="A1956" s="6"/>
      <c r="B1956" s="11"/>
      <c r="C1956" s="20"/>
      <c r="D1956" s="20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5"/>
    </row>
    <row r="1957">
      <c r="A1957" s="12"/>
      <c r="B1957" s="11"/>
      <c r="C1957" s="20"/>
      <c r="D1957" s="20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5"/>
    </row>
    <row r="1958">
      <c r="A1958" s="6"/>
      <c r="B1958" s="11"/>
      <c r="C1958" s="20"/>
      <c r="D1958" s="20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5"/>
    </row>
    <row r="1959">
      <c r="A1959" s="12"/>
      <c r="B1959" s="11"/>
      <c r="C1959" s="20"/>
      <c r="D1959" s="20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5"/>
    </row>
    <row r="1960">
      <c r="A1960" s="6"/>
      <c r="B1960" s="11"/>
      <c r="C1960" s="20"/>
      <c r="D1960" s="20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5"/>
    </row>
    <row r="1961">
      <c r="A1961" s="12"/>
      <c r="B1961" s="11"/>
      <c r="C1961" s="20"/>
      <c r="D1961" s="20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5"/>
    </row>
    <row r="1962">
      <c r="A1962" s="6"/>
      <c r="B1962" s="11"/>
      <c r="C1962" s="20"/>
      <c r="D1962" s="20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5"/>
    </row>
    <row r="1963">
      <c r="A1963" s="12"/>
      <c r="B1963" s="11"/>
      <c r="C1963" s="20"/>
      <c r="D1963" s="20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5"/>
    </row>
    <row r="1964">
      <c r="A1964" s="6"/>
      <c r="B1964" s="11"/>
      <c r="C1964" s="20"/>
      <c r="D1964" s="20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5"/>
    </row>
    <row r="1965">
      <c r="A1965" s="12"/>
      <c r="B1965" s="11"/>
      <c r="C1965" s="20"/>
      <c r="D1965" s="20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5"/>
    </row>
    <row r="1966">
      <c r="A1966" s="6"/>
      <c r="B1966" s="11"/>
      <c r="C1966" s="20"/>
      <c r="D1966" s="20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5"/>
    </row>
    <row r="1967">
      <c r="A1967" s="12"/>
      <c r="B1967" s="11"/>
      <c r="C1967" s="20"/>
      <c r="D1967" s="20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5"/>
    </row>
    <row r="1968">
      <c r="A1968" s="6"/>
      <c r="B1968" s="11"/>
      <c r="C1968" s="20"/>
      <c r="D1968" s="20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5"/>
    </row>
    <row r="1969">
      <c r="A1969" s="12"/>
      <c r="B1969" s="11"/>
      <c r="C1969" s="20"/>
      <c r="D1969" s="20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5"/>
    </row>
    <row r="1970">
      <c r="A1970" s="6"/>
      <c r="B1970" s="11"/>
      <c r="C1970" s="20"/>
      <c r="D1970" s="20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5"/>
    </row>
    <row r="1971">
      <c r="A1971" s="12"/>
      <c r="B1971" s="11"/>
      <c r="C1971" s="20"/>
      <c r="D1971" s="20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5"/>
    </row>
    <row r="1972">
      <c r="A1972" s="6"/>
      <c r="B1972" s="11"/>
      <c r="C1972" s="20"/>
      <c r="D1972" s="20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5"/>
    </row>
    <row r="1973">
      <c r="A1973" s="12"/>
      <c r="B1973" s="11"/>
      <c r="C1973" s="20"/>
      <c r="D1973" s="20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5"/>
    </row>
    <row r="1974">
      <c r="A1974" s="6"/>
      <c r="B1974" s="11"/>
      <c r="C1974" s="20"/>
      <c r="D1974" s="20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5"/>
    </row>
    <row r="1975">
      <c r="A1975" s="12"/>
      <c r="B1975" s="11"/>
      <c r="C1975" s="20"/>
      <c r="D1975" s="20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5"/>
    </row>
    <row r="1976">
      <c r="A1976" s="6"/>
      <c r="B1976" s="11"/>
      <c r="C1976" s="20"/>
      <c r="D1976" s="20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5"/>
    </row>
    <row r="1977">
      <c r="A1977" s="12"/>
      <c r="B1977" s="11"/>
      <c r="C1977" s="20"/>
      <c r="D1977" s="20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5"/>
    </row>
    <row r="1978">
      <c r="A1978" s="6"/>
      <c r="B1978" s="11"/>
      <c r="C1978" s="20"/>
      <c r="D1978" s="20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5"/>
    </row>
    <row r="1979">
      <c r="A1979" s="12"/>
      <c r="B1979" s="11"/>
      <c r="C1979" s="20"/>
      <c r="D1979" s="20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5"/>
    </row>
    <row r="1980">
      <c r="A1980" s="6"/>
      <c r="B1980" s="11"/>
      <c r="C1980" s="20"/>
      <c r="D1980" s="20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5"/>
    </row>
    <row r="1981">
      <c r="A1981" s="12"/>
      <c r="B1981" s="11"/>
      <c r="C1981" s="20"/>
      <c r="D1981" s="20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5"/>
    </row>
    <row r="1982">
      <c r="A1982" s="6"/>
      <c r="B1982" s="11"/>
      <c r="C1982" s="20"/>
      <c r="D1982" s="20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5"/>
    </row>
    <row r="1983">
      <c r="A1983" s="12"/>
      <c r="B1983" s="11"/>
      <c r="C1983" s="20"/>
      <c r="D1983" s="20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5"/>
    </row>
    <row r="1984">
      <c r="A1984" s="6"/>
      <c r="B1984" s="11"/>
      <c r="C1984" s="20"/>
      <c r="D1984" s="20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5"/>
    </row>
    <row r="1985">
      <c r="A1985" s="12"/>
      <c r="B1985" s="11"/>
      <c r="C1985" s="20"/>
      <c r="D1985" s="20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5"/>
    </row>
    <row r="1986">
      <c r="A1986" s="6"/>
      <c r="B1986" s="11"/>
      <c r="C1986" s="20"/>
      <c r="D1986" s="20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5"/>
    </row>
    <row r="1987">
      <c r="A1987" s="12"/>
      <c r="B1987" s="11"/>
      <c r="C1987" s="20"/>
      <c r="D1987" s="20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5"/>
    </row>
    <row r="1988">
      <c r="A1988" s="6"/>
      <c r="B1988" s="11"/>
      <c r="C1988" s="20"/>
      <c r="D1988" s="20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5"/>
    </row>
    <row r="1989">
      <c r="A1989" s="12"/>
      <c r="B1989" s="11"/>
      <c r="C1989" s="20"/>
      <c r="D1989" s="20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5"/>
    </row>
    <row r="1990">
      <c r="A1990" s="6"/>
      <c r="B1990" s="11"/>
      <c r="C1990" s="20"/>
      <c r="D1990" s="20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5"/>
    </row>
    <row r="1991">
      <c r="A1991" s="12"/>
      <c r="B1991" s="11"/>
      <c r="C1991" s="20"/>
      <c r="D1991" s="20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5"/>
    </row>
    <row r="1992">
      <c r="A1992" s="6"/>
      <c r="B1992" s="11"/>
      <c r="C1992" s="20"/>
      <c r="D1992" s="20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5"/>
    </row>
    <row r="1993">
      <c r="A1993" s="12"/>
      <c r="B1993" s="11"/>
      <c r="C1993" s="20"/>
      <c r="D1993" s="20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5"/>
    </row>
    <row r="1994">
      <c r="A1994" s="6"/>
      <c r="B1994" s="11"/>
      <c r="C1994" s="20"/>
      <c r="D1994" s="20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5"/>
    </row>
    <row r="1995">
      <c r="A1995" s="12"/>
      <c r="B1995" s="11"/>
      <c r="C1995" s="20"/>
      <c r="D1995" s="20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5"/>
    </row>
    <row r="1996">
      <c r="A1996" s="6"/>
      <c r="B1996" s="11"/>
      <c r="C1996" s="20"/>
      <c r="D1996" s="20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5"/>
    </row>
    <row r="1997">
      <c r="A1997" s="12"/>
      <c r="B1997" s="11"/>
      <c r="C1997" s="20"/>
      <c r="D1997" s="20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5"/>
    </row>
    <row r="1998">
      <c r="A1998" s="6"/>
      <c r="B1998" s="11"/>
      <c r="C1998" s="20"/>
      <c r="D1998" s="20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5"/>
    </row>
    <row r="1999">
      <c r="A1999" s="12"/>
      <c r="B1999" s="11"/>
      <c r="C1999" s="20"/>
      <c r="D1999" s="20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5"/>
    </row>
    <row r="2000">
      <c r="A2000" s="22"/>
      <c r="B2000" s="11"/>
      <c r="C2000" s="20"/>
      <c r="D2000" s="20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5"/>
    </row>
  </sheetData>
  <mergeCells count="2">
    <mergeCell ref="F2:I2"/>
    <mergeCell ref="J2:M2"/>
  </mergeCells>
  <conditionalFormatting sqref="F2:F2000">
    <cfRule type="cellIs" dxfId="3" priority="1" stopIfTrue="1" operator="lessThanOrEqual">
      <formula>2500</formula>
    </cfRule>
  </conditionalFormatting>
  <conditionalFormatting sqref="F2:F2000">
    <cfRule type="cellIs" dxfId="4" priority="2" stopIfTrue="1" operator="greaterThan">
      <formula>4000</formula>
    </cfRule>
  </conditionalFormatting>
  <conditionalFormatting sqref="F2:F2000">
    <cfRule type="cellIs" dxfId="5" priority="3" stopIfTrue="1" operator="between">
      <formula>2500</formula>
      <formula>4000</formula>
    </cfRule>
  </conditionalFormatting>
  <conditionalFormatting sqref="H2:H2000">
    <cfRule type="cellIs" dxfId="3" priority="4" stopIfTrue="1" operator="lessThanOrEqual">
      <formula>120</formula>
    </cfRule>
  </conditionalFormatting>
  <conditionalFormatting sqref="H2:H2000">
    <cfRule type="cellIs" dxfId="4" priority="5" stopIfTrue="1" operator="greaterThan">
      <formula>500</formula>
    </cfRule>
  </conditionalFormatting>
  <conditionalFormatting sqref="H2:H2000">
    <cfRule type="cellIs" dxfId="5" priority="6" stopIfTrue="1" operator="between">
      <formula>120</formula>
      <formula>500</formula>
    </cfRule>
  </conditionalFormatting>
  <conditionalFormatting sqref="I2:I2000">
    <cfRule type="cellIs" dxfId="3" priority="7" stopIfTrue="1" operator="lessThanOrEqual">
      <formula>0.12</formula>
    </cfRule>
  </conditionalFormatting>
  <conditionalFormatting sqref="I2:I2000">
    <cfRule type="cellIs" dxfId="4" priority="8" stopIfTrue="1" operator="greaterThan">
      <formula>0.25</formula>
    </cfRule>
  </conditionalFormatting>
  <conditionalFormatting sqref="I2:I2000">
    <cfRule type="cellIs" dxfId="5" priority="9" stopIfTrue="1" operator="between">
      <formula>0.12</formula>
      <formula>0.25</formula>
    </cfRule>
  </conditionalFormatting>
  <conditionalFormatting sqref="G2:G2000">
    <cfRule type="cellIs" dxfId="3" priority="10" stopIfTrue="1" operator="lessThanOrEqual">
      <formula>1800</formula>
    </cfRule>
  </conditionalFormatting>
  <conditionalFormatting sqref="G2:G2000">
    <cfRule type="cellIs" dxfId="4" priority="11" stopIfTrue="1" operator="greaterThan">
      <formula>3000</formula>
    </cfRule>
  </conditionalFormatting>
  <conditionalFormatting sqref="G2:G2000">
    <cfRule type="cellIs" dxfId="5" priority="12" stopIfTrue="1" operator="between">
      <formula>1800</formula>
      <formula>3000</formula>
    </cfRule>
  </conditionalFormatting>
  <conditionalFormatting sqref="N2:N2000">
    <cfRule type="cellIs" dxfId="3" priority="13" stopIfTrue="1" operator="lessThanOrEqual">
      <formula>800</formula>
    </cfRule>
  </conditionalFormatting>
  <conditionalFormatting sqref="N2:N2000">
    <cfRule type="cellIs" dxfId="4" priority="14" stopIfTrue="1" operator="greaterThan">
      <formula>1800</formula>
    </cfRule>
  </conditionalFormatting>
  <conditionalFormatting sqref="N2:N2000">
    <cfRule type="cellIs" dxfId="5" priority="15" stopIfTrue="1" operator="between">
      <formula>800</formula>
      <formula>1800</formula>
    </cfRule>
  </conditionalFormatting>
  <conditionalFormatting sqref="J2:J2000">
    <cfRule type="cellIs" dxfId="4" priority="16" stopIfTrue="1" operator="lessThan">
      <formula>50</formula>
    </cfRule>
  </conditionalFormatting>
  <conditionalFormatting sqref="J2:J2000">
    <cfRule type="cellIs" dxfId="3" priority="17" stopIfTrue="1" operator="greaterThanOrEqual">
      <formula>75</formula>
    </cfRule>
  </conditionalFormatting>
  <conditionalFormatting sqref="J2:J2000">
    <cfRule type="cellIs" dxfId="5" priority="18" stopIfTrue="1" operator="between">
      <formula>50</formula>
      <formula>75</formula>
    </cfRule>
  </conditionalFormatting>
  <conditionalFormatting sqref="K2:K2000">
    <cfRule type="cellIs" dxfId="4" priority="19" stopIfTrue="1" operator="lessThan">
      <formula>50</formula>
    </cfRule>
  </conditionalFormatting>
  <conditionalFormatting sqref="K2:K2000">
    <cfRule type="cellIs" dxfId="3" priority="20" stopIfTrue="1" operator="greaterThanOrEqual">
      <formula>75</formula>
    </cfRule>
  </conditionalFormatting>
  <conditionalFormatting sqref="K2:K2000">
    <cfRule type="cellIs" dxfId="5" priority="21" stopIfTrue="1" operator="between">
      <formula>50</formula>
      <formula>75</formula>
    </cfRule>
  </conditionalFormatting>
  <conditionalFormatting sqref="L2:L2000">
    <cfRule type="cellIs" dxfId="4" priority="22" stopIfTrue="1" operator="lessThan">
      <formula>50</formula>
    </cfRule>
  </conditionalFormatting>
  <conditionalFormatting sqref="L2:L2000">
    <cfRule type="cellIs" dxfId="3" priority="23" stopIfTrue="1" operator="greaterThanOrEqual">
      <formula>75</formula>
    </cfRule>
  </conditionalFormatting>
  <conditionalFormatting sqref="L2:L2000">
    <cfRule type="cellIs" dxfId="5" priority="24" stopIfTrue="1" operator="between">
      <formula>50</formula>
      <formula>75</formula>
    </cfRule>
  </conditionalFormatting>
  <conditionalFormatting sqref="M2:M2000">
    <cfRule type="cellIs" dxfId="4" priority="25" stopIfTrue="1" operator="lessThan">
      <formula>50</formula>
    </cfRule>
  </conditionalFormatting>
  <conditionalFormatting sqref="M2:M2000">
    <cfRule type="cellIs" dxfId="3" priority="26" stopIfTrue="1" operator="greaterThanOrEqual">
      <formula>75</formula>
    </cfRule>
  </conditionalFormatting>
  <conditionalFormatting sqref="M2:M2000">
    <cfRule type="cellIs" dxfId="5" priority="27" stopIfTrue="1" operator="between">
      <formula>50</formula>
      <formula>75</formula>
    </cfRule>
  </conditionalFormatting>
  <dataValidations>
    <dataValidation type="list" allowBlank="1" showErrorMessage="1" sqref="E3:E58">
      <formula1>"Device,desktop,mobile"</formula1>
    </dataValidation>
    <dataValidation type="list" allowBlank="1" showErrorMessage="1" sqref="B4:B1000">
      <formula1>"VRS [PROD],VRP [PROD]"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13"/>
    <col customWidth="1" min="2" max="2" width="21.63"/>
    <col customWidth="1" min="3" max="3" width="15.13"/>
    <col customWidth="1" min="4" max="7" width="17.63"/>
    <col customWidth="1" min="8" max="8" width="15.13"/>
    <col customWidth="1" min="9" max="14" width="12.63"/>
    <col customWidth="1" min="15" max="15" width="14.13"/>
    <col customWidth="1" min="16" max="20" width="15.13"/>
  </cols>
  <sheetData>
    <row r="1" ht="24.0" customHeight="1">
      <c r="A1" s="23" t="s">
        <v>39</v>
      </c>
      <c r="M1" s="24"/>
      <c r="N1" s="24"/>
      <c r="O1" s="24"/>
    </row>
    <row r="2">
      <c r="A2" s="25" t="s">
        <v>40</v>
      </c>
    </row>
    <row r="4">
      <c r="A4" s="26" t="s">
        <v>41</v>
      </c>
      <c r="B4" s="27" t="s">
        <v>42</v>
      </c>
      <c r="C4" s="28"/>
      <c r="D4" s="26" t="s">
        <v>43</v>
      </c>
    </row>
    <row r="5">
      <c r="A5" s="26" t="s">
        <v>28</v>
      </c>
      <c r="B5" s="27" t="s">
        <v>42</v>
      </c>
      <c r="D5" s="26" t="s">
        <v>44</v>
      </c>
      <c r="E5" s="27" t="s">
        <v>45</v>
      </c>
      <c r="F5" s="28"/>
      <c r="G5" s="28"/>
    </row>
    <row r="6">
      <c r="A6" s="26" t="s">
        <v>46</v>
      </c>
      <c r="B6" s="27" t="s">
        <v>42</v>
      </c>
      <c r="D6" s="26" t="s">
        <v>47</v>
      </c>
      <c r="E6" s="27" t="s">
        <v>37</v>
      </c>
      <c r="F6" s="28"/>
      <c r="G6" s="28"/>
    </row>
    <row r="7">
      <c r="A7" s="26" t="s">
        <v>26</v>
      </c>
      <c r="B7" s="27" t="s">
        <v>45</v>
      </c>
      <c r="D7" s="28"/>
      <c r="K7" s="28"/>
    </row>
    <row r="8">
      <c r="A8" s="26" t="s">
        <v>48</v>
      </c>
      <c r="B8" s="27" t="s">
        <v>42</v>
      </c>
      <c r="D8" s="26" t="s">
        <v>49</v>
      </c>
      <c r="E8" s="26" t="s">
        <v>50</v>
      </c>
      <c r="F8" s="26" t="s">
        <v>51</v>
      </c>
      <c r="G8" s="26" t="s">
        <v>52</v>
      </c>
      <c r="K8" s="28"/>
      <c r="M8" s="29"/>
    </row>
    <row r="9">
      <c r="A9" s="26" t="s">
        <v>53</v>
      </c>
      <c r="B9" s="27" t="s">
        <v>54</v>
      </c>
      <c r="D9" s="30" t="b">
        <v>1</v>
      </c>
      <c r="E9" s="30" t="b">
        <v>1</v>
      </c>
      <c r="F9" s="30" t="b">
        <v>1</v>
      </c>
      <c r="G9" s="30" t="b">
        <v>0</v>
      </c>
      <c r="M9" s="29"/>
    </row>
    <row r="10">
      <c r="A10" s="28"/>
      <c r="B10" s="28"/>
      <c r="D10" s="25" t="s">
        <v>55</v>
      </c>
    </row>
    <row r="11">
      <c r="A11" s="28"/>
      <c r="B11" s="28"/>
      <c r="D11" s="31" t="s">
        <v>56</v>
      </c>
    </row>
    <row r="13">
      <c r="A13" s="28"/>
      <c r="B13" s="28"/>
      <c r="C13" s="28"/>
      <c r="D13" s="32" t="s">
        <v>57</v>
      </c>
    </row>
    <row r="14">
      <c r="A14" s="28"/>
      <c r="B14" s="28"/>
      <c r="C14" s="28"/>
    </row>
    <row r="15">
      <c r="A15" s="28"/>
      <c r="B15" s="28"/>
      <c r="C15" s="28"/>
      <c r="D15" s="28"/>
      <c r="E15" s="28"/>
      <c r="F15" s="28"/>
      <c r="T15" s="28"/>
      <c r="U15" s="28"/>
      <c r="V15" s="28"/>
      <c r="W15" s="28"/>
      <c r="X15" s="28"/>
      <c r="Y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T16" s="28"/>
    </row>
    <row r="17">
      <c r="A17" s="28"/>
      <c r="B17" s="28"/>
      <c r="C17" s="28"/>
      <c r="D17" s="28"/>
      <c r="H17" s="28"/>
      <c r="K17" s="28"/>
      <c r="L17" s="28"/>
      <c r="T17" s="28"/>
    </row>
    <row r="18">
      <c r="A18" s="28"/>
      <c r="B18" s="28"/>
      <c r="C18" s="28"/>
      <c r="D18" s="28"/>
      <c r="H18" s="28"/>
      <c r="K18" s="28"/>
      <c r="L18" s="28"/>
      <c r="T18" s="28"/>
    </row>
    <row r="19">
      <c r="A19" s="28"/>
      <c r="B19" s="28"/>
      <c r="C19" s="28"/>
      <c r="D19" s="28"/>
      <c r="H19" s="28"/>
      <c r="K19" s="28"/>
      <c r="L19" s="28"/>
      <c r="T19" s="28"/>
    </row>
    <row r="20">
      <c r="A20" s="28"/>
      <c r="B20" s="28"/>
      <c r="C20" s="28"/>
      <c r="D20" s="28"/>
      <c r="K20" s="28"/>
      <c r="L20" s="28"/>
      <c r="T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T21" s="28"/>
    </row>
    <row r="22">
      <c r="A22" s="28"/>
      <c r="B22" s="28"/>
      <c r="C22" s="28"/>
      <c r="D22" s="28"/>
      <c r="K22" s="28"/>
      <c r="L22" s="28"/>
    </row>
    <row r="23">
      <c r="A23" s="33" t="s">
        <v>58</v>
      </c>
      <c r="F23" s="28"/>
      <c r="G23" s="28"/>
      <c r="H23" s="28"/>
      <c r="I23" s="28"/>
      <c r="J23" s="28"/>
      <c r="K23" s="28"/>
      <c r="L23" s="28"/>
    </row>
    <row r="24">
      <c r="A24" s="26" t="s">
        <v>59</v>
      </c>
      <c r="B24" s="26" t="s">
        <v>60</v>
      </c>
      <c r="C24" s="26" t="s">
        <v>20</v>
      </c>
      <c r="D24" s="26" t="s">
        <v>61</v>
      </c>
      <c r="E24" s="26" t="s">
        <v>62</v>
      </c>
    </row>
    <row r="25">
      <c r="A25" s="34" t="s">
        <v>63</v>
      </c>
      <c r="B25" s="30" t="s">
        <v>52</v>
      </c>
      <c r="C25" s="30" t="s">
        <v>34</v>
      </c>
      <c r="D25" s="30" t="s">
        <v>64</v>
      </c>
      <c r="E25" s="30" t="s">
        <v>65</v>
      </c>
    </row>
    <row r="26">
      <c r="A26" s="34" t="s">
        <v>63</v>
      </c>
      <c r="B26" s="30" t="s">
        <v>52</v>
      </c>
      <c r="C26" s="30" t="s">
        <v>34</v>
      </c>
      <c r="D26" s="30" t="s">
        <v>66</v>
      </c>
      <c r="E26" s="30" t="s">
        <v>67</v>
      </c>
    </row>
    <row r="27">
      <c r="A27" s="34" t="s">
        <v>63</v>
      </c>
      <c r="B27" s="30" t="s">
        <v>52</v>
      </c>
      <c r="C27" s="30" t="s">
        <v>35</v>
      </c>
      <c r="D27" s="30" t="s">
        <v>68</v>
      </c>
      <c r="E27" s="30" t="s">
        <v>67</v>
      </c>
    </row>
    <row r="28">
      <c r="A28" s="34" t="s">
        <v>63</v>
      </c>
      <c r="B28" s="30" t="s">
        <v>50</v>
      </c>
      <c r="C28" s="30" t="s">
        <v>34</v>
      </c>
      <c r="D28" s="30" t="s">
        <v>69</v>
      </c>
      <c r="E28" s="30" t="s">
        <v>70</v>
      </c>
    </row>
    <row r="29">
      <c r="A29" s="34" t="s">
        <v>63</v>
      </c>
      <c r="B29" s="30" t="s">
        <v>50</v>
      </c>
      <c r="C29" s="30" t="s">
        <v>34</v>
      </c>
      <c r="D29" s="30" t="s">
        <v>71</v>
      </c>
      <c r="E29" s="30" t="s">
        <v>65</v>
      </c>
    </row>
    <row r="30">
      <c r="A30" s="34" t="s">
        <v>63</v>
      </c>
      <c r="B30" s="30" t="s">
        <v>50</v>
      </c>
      <c r="C30" s="30" t="s">
        <v>35</v>
      </c>
      <c r="D30" s="30" t="s">
        <v>68</v>
      </c>
      <c r="E30" s="30" t="s">
        <v>67</v>
      </c>
    </row>
    <row r="31">
      <c r="A31" s="34" t="s">
        <v>63</v>
      </c>
      <c r="B31" s="30" t="s">
        <v>49</v>
      </c>
      <c r="C31" s="30" t="s">
        <v>35</v>
      </c>
      <c r="D31" s="30" t="s">
        <v>68</v>
      </c>
      <c r="E31" s="30" t="s">
        <v>67</v>
      </c>
    </row>
    <row r="32">
      <c r="A32" s="34" t="s">
        <v>63</v>
      </c>
      <c r="B32" s="30" t="s">
        <v>49</v>
      </c>
      <c r="C32" s="30" t="s">
        <v>35</v>
      </c>
      <c r="D32" s="30" t="s">
        <v>72</v>
      </c>
      <c r="E32" s="30" t="s">
        <v>73</v>
      </c>
    </row>
    <row r="33">
      <c r="A33" s="34" t="s">
        <v>63</v>
      </c>
      <c r="B33" s="30" t="s">
        <v>49</v>
      </c>
      <c r="C33" s="30" t="s">
        <v>34</v>
      </c>
      <c r="D33" s="30" t="s">
        <v>74</v>
      </c>
      <c r="E33" s="30" t="s">
        <v>65</v>
      </c>
      <c r="T33" s="28"/>
      <c r="U33" s="28"/>
    </row>
    <row r="34">
      <c r="A34" s="34" t="s">
        <v>63</v>
      </c>
      <c r="B34" s="30" t="s">
        <v>49</v>
      </c>
      <c r="C34" s="30" t="s">
        <v>34</v>
      </c>
      <c r="D34" s="30" t="s">
        <v>75</v>
      </c>
      <c r="E34" s="30" t="s">
        <v>73</v>
      </c>
      <c r="F34" s="28"/>
      <c r="G34" s="28"/>
      <c r="H34" s="28"/>
      <c r="I34" s="28"/>
      <c r="T34" s="28"/>
      <c r="U34" s="28"/>
    </row>
    <row r="35">
      <c r="A35" s="35" t="s">
        <v>76</v>
      </c>
      <c r="B35" s="30" t="s">
        <v>52</v>
      </c>
      <c r="C35" s="30" t="s">
        <v>34</v>
      </c>
      <c r="D35" s="30" t="s">
        <v>77</v>
      </c>
      <c r="E35" s="30" t="s">
        <v>78</v>
      </c>
      <c r="F35" s="28"/>
      <c r="T35" s="28"/>
      <c r="U35" s="28"/>
    </row>
    <row r="36">
      <c r="A36" s="35" t="s">
        <v>76</v>
      </c>
      <c r="B36" s="30" t="s">
        <v>52</v>
      </c>
      <c r="C36" s="30" t="s">
        <v>34</v>
      </c>
      <c r="D36" s="30" t="s">
        <v>79</v>
      </c>
      <c r="E36" s="30" t="s">
        <v>80</v>
      </c>
      <c r="F36" s="28"/>
      <c r="T36" s="28"/>
      <c r="U36" s="28"/>
      <c r="Z36" s="28"/>
      <c r="AA36" s="28"/>
      <c r="AB36" s="28"/>
      <c r="AC36" s="28"/>
    </row>
    <row r="37">
      <c r="A37" s="35" t="s">
        <v>76</v>
      </c>
      <c r="B37" s="30" t="s">
        <v>52</v>
      </c>
      <c r="C37" s="30" t="s">
        <v>35</v>
      </c>
      <c r="D37" s="30" t="s">
        <v>81</v>
      </c>
      <c r="E37" s="30" t="s">
        <v>82</v>
      </c>
      <c r="F37" s="28"/>
      <c r="G37" s="28"/>
      <c r="H37" s="28"/>
      <c r="T37" s="28"/>
      <c r="U37" s="28"/>
      <c r="Z37" s="28"/>
      <c r="AA37" s="28"/>
      <c r="AB37" s="28"/>
      <c r="AC37" s="28"/>
    </row>
    <row r="38">
      <c r="A38" s="35" t="s">
        <v>76</v>
      </c>
      <c r="B38" s="36" t="s">
        <v>52</v>
      </c>
      <c r="C38" s="36" t="s">
        <v>35</v>
      </c>
      <c r="D38" s="37" t="s">
        <v>83</v>
      </c>
      <c r="E38" s="30" t="s">
        <v>84</v>
      </c>
      <c r="F38" s="28"/>
      <c r="H38" s="28"/>
      <c r="T38" s="28"/>
      <c r="Z38" s="28"/>
    </row>
    <row r="39">
      <c r="A39" s="35" t="s">
        <v>76</v>
      </c>
      <c r="B39" s="36" t="s">
        <v>52</v>
      </c>
      <c r="C39" s="36" t="s">
        <v>35</v>
      </c>
      <c r="D39" s="37" t="s">
        <v>85</v>
      </c>
      <c r="E39" s="30" t="s">
        <v>80</v>
      </c>
      <c r="F39" s="28"/>
      <c r="H39" s="28"/>
      <c r="T39" s="28"/>
      <c r="Z39" s="28"/>
    </row>
    <row r="40">
      <c r="A40" s="35" t="s">
        <v>76</v>
      </c>
      <c r="B40" s="36" t="s">
        <v>50</v>
      </c>
      <c r="C40" s="36" t="s">
        <v>35</v>
      </c>
      <c r="D40" s="37" t="s">
        <v>86</v>
      </c>
      <c r="E40" s="30" t="s">
        <v>87</v>
      </c>
      <c r="F40" s="28"/>
      <c r="H40" s="28"/>
      <c r="T40" s="28"/>
      <c r="Z40" s="28"/>
    </row>
    <row r="41">
      <c r="A41" s="35" t="s">
        <v>76</v>
      </c>
      <c r="B41" s="36" t="s">
        <v>50</v>
      </c>
      <c r="C41" s="36" t="s">
        <v>35</v>
      </c>
      <c r="D41" s="37" t="s">
        <v>88</v>
      </c>
      <c r="E41" s="30" t="s">
        <v>84</v>
      </c>
      <c r="F41" s="28"/>
      <c r="T41" s="28"/>
      <c r="Z41" s="28"/>
    </row>
    <row r="42">
      <c r="A42" s="35" t="s">
        <v>76</v>
      </c>
      <c r="B42" s="36" t="s">
        <v>49</v>
      </c>
      <c r="C42" s="36" t="s">
        <v>35</v>
      </c>
      <c r="D42" s="37" t="s">
        <v>89</v>
      </c>
      <c r="E42" s="30" t="s">
        <v>90</v>
      </c>
      <c r="T42" s="28"/>
      <c r="U42" s="28"/>
      <c r="Z42" s="28"/>
    </row>
    <row r="43">
      <c r="A43" s="35" t="s">
        <v>76</v>
      </c>
      <c r="B43" s="36" t="s">
        <v>49</v>
      </c>
      <c r="C43" s="36" t="s">
        <v>35</v>
      </c>
      <c r="D43" s="37" t="s">
        <v>91</v>
      </c>
      <c r="E43" s="30" t="s">
        <v>84</v>
      </c>
      <c r="T43" s="28"/>
      <c r="Z43" s="28"/>
    </row>
    <row r="44">
      <c r="A44" s="35" t="s">
        <v>76</v>
      </c>
      <c r="B44" s="36" t="s">
        <v>49</v>
      </c>
      <c r="C44" s="36" t="s">
        <v>34</v>
      </c>
      <c r="D44" s="37" t="s">
        <v>92</v>
      </c>
      <c r="E44" s="30" t="s">
        <v>90</v>
      </c>
      <c r="T44" s="28"/>
      <c r="Z44" s="28"/>
    </row>
    <row r="45">
      <c r="A45" s="28"/>
      <c r="B45" s="38"/>
      <c r="C45" s="38"/>
      <c r="D45" s="39"/>
      <c r="T45" s="28"/>
    </row>
    <row r="46">
      <c r="A46" s="28"/>
      <c r="B46" s="38"/>
      <c r="C46" s="38"/>
      <c r="D46" s="39"/>
      <c r="T46" s="28"/>
    </row>
    <row r="47">
      <c r="A47" s="28"/>
      <c r="B47" s="28"/>
      <c r="C47" s="28"/>
      <c r="D47" s="28"/>
      <c r="T47" s="28"/>
    </row>
    <row r="48">
      <c r="A48" s="28"/>
      <c r="B48" s="28"/>
      <c r="C48" s="28"/>
      <c r="D48" s="28"/>
      <c r="T48" s="28"/>
    </row>
    <row r="49">
      <c r="A49" s="28"/>
      <c r="B49" s="28"/>
      <c r="C49" s="28"/>
      <c r="D49" s="28"/>
      <c r="T49" s="28"/>
    </row>
    <row r="50">
      <c r="A50" s="28"/>
      <c r="B50" s="28"/>
      <c r="C50" s="28"/>
      <c r="D50" s="28"/>
      <c r="T50" s="28"/>
      <c r="U50" s="28"/>
      <c r="V50" s="28"/>
      <c r="W50" s="28"/>
    </row>
    <row r="51">
      <c r="A51" s="33" t="s">
        <v>93</v>
      </c>
      <c r="T51" s="28"/>
      <c r="Z51" s="30" t="s">
        <v>94</v>
      </c>
      <c r="AA51" s="30" t="s">
        <v>95</v>
      </c>
      <c r="AB51" s="30" t="s">
        <v>96</v>
      </c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</row>
    <row r="52">
      <c r="A52" s="26" t="s">
        <v>60</v>
      </c>
      <c r="B52" s="26" t="s">
        <v>20</v>
      </c>
      <c r="C52" s="26" t="s">
        <v>95</v>
      </c>
      <c r="D52" s="26" t="s">
        <v>96</v>
      </c>
      <c r="E52" s="26" t="s">
        <v>97</v>
      </c>
      <c r="F52" s="26" t="s">
        <v>98</v>
      </c>
      <c r="G52" s="26" t="s">
        <v>99</v>
      </c>
      <c r="H52" s="26" t="s">
        <v>100</v>
      </c>
      <c r="T52" s="28"/>
      <c r="Z52" s="30" t="s">
        <v>101</v>
      </c>
      <c r="AA52" s="30">
        <v>2606.0</v>
      </c>
      <c r="AB52" s="30">
        <v>0.0</v>
      </c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>
      <c r="A53" s="30" t="s">
        <v>52</v>
      </c>
      <c r="B53" s="30" t="s">
        <v>34</v>
      </c>
      <c r="C53" s="30" t="s">
        <v>102</v>
      </c>
      <c r="D53" s="30" t="s">
        <v>103</v>
      </c>
      <c r="E53" s="30" t="s">
        <v>103</v>
      </c>
      <c r="F53" s="30" t="s">
        <v>103</v>
      </c>
      <c r="G53" s="30" t="s">
        <v>103</v>
      </c>
      <c r="H53" s="40" t="s">
        <v>104</v>
      </c>
      <c r="I53" s="28"/>
      <c r="J53" s="28"/>
      <c r="Z53" s="30" t="s">
        <v>105</v>
      </c>
      <c r="AA53" s="30">
        <v>12179.0</v>
      </c>
      <c r="AB53" s="30">
        <v>0.0</v>
      </c>
      <c r="AC53" s="28"/>
    </row>
    <row r="54">
      <c r="A54" s="30" t="s">
        <v>52</v>
      </c>
      <c r="B54" s="30" t="s">
        <v>35</v>
      </c>
      <c r="C54" s="30" t="s">
        <v>106</v>
      </c>
      <c r="D54" s="30" t="s">
        <v>103</v>
      </c>
      <c r="E54" s="30" t="s">
        <v>103</v>
      </c>
      <c r="F54" s="30" t="s">
        <v>103</v>
      </c>
      <c r="G54" s="30" t="s">
        <v>103</v>
      </c>
      <c r="H54" s="40" t="s">
        <v>104</v>
      </c>
      <c r="Z54" s="30" t="s">
        <v>107</v>
      </c>
      <c r="AA54" s="30">
        <v>0.0</v>
      </c>
      <c r="AB54" s="30">
        <v>2071.0</v>
      </c>
      <c r="AC54" s="28"/>
    </row>
    <row r="55">
      <c r="A55" s="30" t="s">
        <v>50</v>
      </c>
      <c r="B55" s="30" t="s">
        <v>34</v>
      </c>
      <c r="C55" s="30" t="s">
        <v>103</v>
      </c>
      <c r="D55" s="30" t="s">
        <v>108</v>
      </c>
      <c r="E55" s="30" t="s">
        <v>103</v>
      </c>
      <c r="F55" s="30" t="s">
        <v>103</v>
      </c>
      <c r="G55" s="30" t="s">
        <v>103</v>
      </c>
      <c r="H55" s="40" t="s">
        <v>104</v>
      </c>
      <c r="Z55" s="30" t="s">
        <v>109</v>
      </c>
      <c r="AA55" s="30">
        <v>0.0</v>
      </c>
      <c r="AB55" s="30">
        <v>6817.0</v>
      </c>
      <c r="AC55" s="28"/>
    </row>
    <row r="56">
      <c r="A56" s="30" t="s">
        <v>50</v>
      </c>
      <c r="B56" s="36" t="s">
        <v>35</v>
      </c>
      <c r="C56" s="36" t="s">
        <v>103</v>
      </c>
      <c r="D56" s="37" t="s">
        <v>110</v>
      </c>
      <c r="E56" s="30" t="s">
        <v>103</v>
      </c>
      <c r="F56" s="30" t="s">
        <v>103</v>
      </c>
      <c r="G56" s="30" t="s">
        <v>103</v>
      </c>
      <c r="H56" s="40" t="s">
        <v>104</v>
      </c>
      <c r="Z56" s="30" t="s">
        <v>111</v>
      </c>
      <c r="AA56" s="41">
        <v>0.0</v>
      </c>
      <c r="AB56" s="41">
        <v>17775.0</v>
      </c>
    </row>
    <row r="57">
      <c r="A57" s="30" t="s">
        <v>49</v>
      </c>
      <c r="B57" s="36" t="s">
        <v>35</v>
      </c>
      <c r="C57" s="36" t="s">
        <v>103</v>
      </c>
      <c r="D57" s="37" t="s">
        <v>112</v>
      </c>
      <c r="E57" s="30" t="s">
        <v>103</v>
      </c>
      <c r="F57" s="30" t="s">
        <v>103</v>
      </c>
      <c r="G57" s="30" t="s">
        <v>103</v>
      </c>
      <c r="H57" s="40" t="s">
        <v>104</v>
      </c>
      <c r="Z57" s="30" t="s">
        <v>113</v>
      </c>
      <c r="AA57" s="41">
        <v>0.0</v>
      </c>
      <c r="AB57" s="41">
        <v>3294.0</v>
      </c>
    </row>
    <row r="58">
      <c r="A58" s="30" t="s">
        <v>49</v>
      </c>
      <c r="B58" s="36" t="s">
        <v>34</v>
      </c>
      <c r="C58" s="36" t="s">
        <v>103</v>
      </c>
      <c r="D58" s="37" t="s">
        <v>114</v>
      </c>
      <c r="E58" s="30" t="s">
        <v>103</v>
      </c>
      <c r="F58" s="30" t="s">
        <v>103</v>
      </c>
      <c r="G58" s="30" t="s">
        <v>103</v>
      </c>
      <c r="H58" s="40" t="s">
        <v>104</v>
      </c>
      <c r="Z58" s="28"/>
    </row>
    <row r="59">
      <c r="A59" s="28"/>
      <c r="B59" s="38"/>
      <c r="C59" s="38"/>
      <c r="D59" s="39"/>
      <c r="G59" s="28"/>
      <c r="Z59" s="28"/>
    </row>
    <row r="60">
      <c r="A60" s="28"/>
      <c r="B60" s="38"/>
      <c r="C60" s="38"/>
      <c r="D60" s="39"/>
      <c r="G60" s="28"/>
      <c r="T60" s="28"/>
      <c r="U60" s="28"/>
      <c r="V60" s="28"/>
      <c r="W60" s="28"/>
      <c r="Z60" s="28"/>
    </row>
    <row r="61">
      <c r="A61" s="28"/>
      <c r="B61" s="38"/>
      <c r="C61" s="38"/>
      <c r="D61" s="39"/>
      <c r="G61" s="28"/>
      <c r="T61" s="28"/>
      <c r="Z61" s="28"/>
    </row>
    <row r="62">
      <c r="A62" s="28"/>
      <c r="B62" s="38"/>
      <c r="C62" s="38"/>
      <c r="D62" s="39"/>
      <c r="T62" s="28"/>
      <c r="Z62" s="28"/>
    </row>
    <row r="63">
      <c r="A63" s="28"/>
      <c r="B63" s="38"/>
      <c r="C63" s="38"/>
      <c r="D63" s="39"/>
      <c r="Z63" s="28"/>
    </row>
    <row r="64">
      <c r="A64" s="28"/>
      <c r="B64" s="38"/>
      <c r="C64" s="38"/>
      <c r="D64" s="39"/>
      <c r="E64" s="28"/>
    </row>
    <row r="65">
      <c r="A65" s="28"/>
      <c r="B65" s="38"/>
      <c r="C65" s="38"/>
      <c r="D65" s="39"/>
      <c r="E65" s="28"/>
    </row>
    <row r="66">
      <c r="A66" s="28"/>
      <c r="B66" s="38"/>
      <c r="C66" s="38"/>
      <c r="D66" s="39"/>
    </row>
    <row r="67">
      <c r="A67" s="28"/>
      <c r="B67" s="28"/>
      <c r="C67" s="28"/>
      <c r="D67" s="28"/>
      <c r="G67" s="28"/>
      <c r="H67" s="28"/>
    </row>
    <row r="68">
      <c r="A68" s="28"/>
      <c r="B68" s="28"/>
      <c r="C68" s="28"/>
      <c r="D68" s="28"/>
      <c r="G68" s="28"/>
    </row>
    <row r="69">
      <c r="A69" s="33" t="s">
        <v>115</v>
      </c>
      <c r="Z69" s="30" t="s">
        <v>27</v>
      </c>
      <c r="AA69" s="30" t="s">
        <v>116</v>
      </c>
      <c r="AB69" s="30" t="s">
        <v>117</v>
      </c>
      <c r="AC69" s="30" t="s">
        <v>118</v>
      </c>
    </row>
    <row r="70">
      <c r="A70" s="42" t="s">
        <v>119</v>
      </c>
      <c r="B70" s="42" t="s">
        <v>95</v>
      </c>
      <c r="C70" s="42" t="s">
        <v>96</v>
      </c>
      <c r="D70" s="42" t="s">
        <v>120</v>
      </c>
      <c r="E70" s="42" t="s">
        <v>121</v>
      </c>
      <c r="Z70" s="30" t="s">
        <v>122</v>
      </c>
      <c r="AA70" s="41">
        <v>6732.0</v>
      </c>
      <c r="AB70" s="41">
        <v>59.0</v>
      </c>
      <c r="AC70" s="41">
        <v>0.0</v>
      </c>
    </row>
    <row r="71">
      <c r="A71" s="30" t="s">
        <v>123</v>
      </c>
      <c r="B71" s="30">
        <v>6865.0</v>
      </c>
      <c r="C71" s="28"/>
      <c r="D71" s="30">
        <v>451.0</v>
      </c>
      <c r="E71" s="28"/>
      <c r="T71" s="28"/>
      <c r="U71" s="28"/>
      <c r="Z71" s="30" t="s">
        <v>122</v>
      </c>
      <c r="AA71" s="41">
        <v>5606.0</v>
      </c>
      <c r="AB71" s="41">
        <v>169.0</v>
      </c>
      <c r="AC71" s="41">
        <v>0.0</v>
      </c>
    </row>
    <row r="72">
      <c r="A72" s="30" t="s">
        <v>123</v>
      </c>
      <c r="B72" s="30">
        <v>6935.0</v>
      </c>
      <c r="C72" s="28"/>
      <c r="D72" s="30">
        <v>966.0</v>
      </c>
      <c r="E72" s="28"/>
      <c r="F72" s="28"/>
      <c r="G72" s="28"/>
      <c r="H72" s="28"/>
      <c r="I72" s="28"/>
      <c r="T72" s="28"/>
      <c r="U72" s="28"/>
      <c r="Z72" s="30" t="s">
        <v>124</v>
      </c>
      <c r="AA72" s="41">
        <v>3713.0</v>
      </c>
      <c r="AB72" s="41">
        <v>46.0</v>
      </c>
      <c r="AC72" s="41">
        <v>0.0</v>
      </c>
    </row>
    <row r="73">
      <c r="A73" s="30" t="s">
        <v>125</v>
      </c>
      <c r="B73" s="30">
        <v>6888.0</v>
      </c>
      <c r="C73" s="28"/>
      <c r="D73" s="30">
        <v>860.0</v>
      </c>
      <c r="E73" s="28"/>
      <c r="F73" s="28"/>
      <c r="G73" s="28"/>
      <c r="H73" s="28"/>
      <c r="I73" s="28"/>
      <c r="J73" s="28"/>
      <c r="T73" s="28"/>
      <c r="Z73" s="30" t="s">
        <v>126</v>
      </c>
      <c r="AA73" s="41">
        <v>3142.0</v>
      </c>
      <c r="AB73" s="41">
        <v>283.0</v>
      </c>
      <c r="AC73" s="41">
        <v>0.0</v>
      </c>
    </row>
    <row r="74">
      <c r="A74" s="30" t="s">
        <v>127</v>
      </c>
      <c r="B74" s="30">
        <v>7095.0</v>
      </c>
      <c r="C74" s="28"/>
      <c r="D74" s="30">
        <v>741.0</v>
      </c>
      <c r="G74" s="28"/>
      <c r="T74" s="28"/>
      <c r="Z74" s="30" t="s">
        <v>126</v>
      </c>
      <c r="AA74" s="41">
        <v>3081.0</v>
      </c>
      <c r="AB74" s="41">
        <v>186.0</v>
      </c>
      <c r="AC74" s="41">
        <v>0.0</v>
      </c>
    </row>
    <row r="75">
      <c r="A75" s="30" t="s">
        <v>128</v>
      </c>
      <c r="B75" s="30">
        <v>7663.0</v>
      </c>
      <c r="C75" s="28"/>
      <c r="D75" s="30">
        <v>814.0</v>
      </c>
      <c r="T75" s="28"/>
      <c r="Z75" s="30" t="s">
        <v>129</v>
      </c>
      <c r="AA75" s="41">
        <v>2629.0</v>
      </c>
      <c r="AB75" s="41">
        <v>116.0</v>
      </c>
      <c r="AC75" s="41">
        <v>0.0</v>
      </c>
    </row>
    <row r="76">
      <c r="A76" s="30" t="s">
        <v>130</v>
      </c>
      <c r="B76" s="28"/>
      <c r="C76" s="30">
        <v>4043.0</v>
      </c>
      <c r="D76" s="28"/>
      <c r="E76" s="41">
        <v>283.0</v>
      </c>
      <c r="T76" s="28"/>
      <c r="Z76" s="30" t="s">
        <v>131</v>
      </c>
      <c r="AA76" s="41">
        <v>2340.0</v>
      </c>
      <c r="AB76" s="41">
        <v>63.0</v>
      </c>
      <c r="AC76" s="41">
        <v>0.0</v>
      </c>
    </row>
    <row r="77">
      <c r="A77" s="30" t="s">
        <v>132</v>
      </c>
      <c r="B77" s="28"/>
      <c r="C77" s="30">
        <v>5016.0</v>
      </c>
      <c r="D77" s="28"/>
      <c r="E77" s="41">
        <v>979.0</v>
      </c>
      <c r="T77" s="28"/>
      <c r="Z77" s="30" t="s">
        <v>133</v>
      </c>
      <c r="AA77" s="41">
        <v>2262.0</v>
      </c>
      <c r="AB77" s="41">
        <v>500.0</v>
      </c>
      <c r="AC77" s="41">
        <v>0.0</v>
      </c>
    </row>
    <row r="78">
      <c r="A78" s="30" t="s">
        <v>123</v>
      </c>
      <c r="B78" s="28"/>
      <c r="C78" s="30">
        <v>4713.0</v>
      </c>
      <c r="D78" s="28"/>
      <c r="E78" s="41">
        <v>850.0</v>
      </c>
      <c r="T78" s="28"/>
    </row>
    <row r="79">
      <c r="A79" s="30" t="s">
        <v>134</v>
      </c>
      <c r="B79" s="28"/>
      <c r="C79" s="30">
        <v>1738.0</v>
      </c>
      <c r="D79" s="28"/>
      <c r="E79" s="41">
        <v>337.0</v>
      </c>
      <c r="T79" s="28"/>
    </row>
    <row r="80">
      <c r="A80" s="30" t="s">
        <v>135</v>
      </c>
      <c r="B80" s="28"/>
      <c r="C80" s="30">
        <v>10534.0</v>
      </c>
      <c r="D80" s="28"/>
      <c r="E80" s="41">
        <v>850.0</v>
      </c>
      <c r="T80" s="28"/>
    </row>
    <row r="81">
      <c r="A81" s="28"/>
      <c r="B81" s="28"/>
      <c r="C81" s="28"/>
      <c r="D81" s="28"/>
      <c r="E81" s="28"/>
      <c r="T81" s="28"/>
    </row>
    <row r="82">
      <c r="A82" s="43" t="s">
        <v>136</v>
      </c>
      <c r="B82" s="44"/>
      <c r="C82" s="44"/>
      <c r="D82" s="44"/>
      <c r="E82" s="28"/>
      <c r="I82" s="28"/>
      <c r="T82" s="28"/>
    </row>
    <row r="83">
      <c r="A83" s="42" t="s">
        <v>19</v>
      </c>
      <c r="B83" s="42" t="s">
        <v>116</v>
      </c>
      <c r="C83" s="42" t="s">
        <v>117</v>
      </c>
      <c r="D83" s="42" t="s">
        <v>118</v>
      </c>
      <c r="E83" s="28"/>
      <c r="I83" s="28"/>
    </row>
    <row r="84">
      <c r="A84" s="30" t="s">
        <v>122</v>
      </c>
      <c r="B84" s="30">
        <v>6732.0</v>
      </c>
      <c r="C84" s="30">
        <v>59.0</v>
      </c>
      <c r="D84" s="30">
        <v>0.0</v>
      </c>
      <c r="E84" s="28"/>
    </row>
    <row r="85">
      <c r="A85" s="30" t="s">
        <v>122</v>
      </c>
      <c r="B85" s="30">
        <v>5606.0</v>
      </c>
      <c r="C85" s="30">
        <v>169.0</v>
      </c>
      <c r="D85" s="30">
        <v>0.0</v>
      </c>
      <c r="E85" s="28"/>
      <c r="F85" s="28"/>
      <c r="G85" s="28"/>
    </row>
    <row r="86">
      <c r="A86" s="30" t="s">
        <v>124</v>
      </c>
      <c r="B86" s="30">
        <v>3713.0</v>
      </c>
      <c r="C86" s="30">
        <v>46.0</v>
      </c>
      <c r="D86" s="30">
        <v>0.0</v>
      </c>
      <c r="E86" s="28"/>
      <c r="F86" s="28"/>
      <c r="G86" s="28"/>
    </row>
    <row r="87">
      <c r="A87" s="30" t="s">
        <v>126</v>
      </c>
      <c r="B87" s="30">
        <v>3142.0</v>
      </c>
      <c r="C87" s="30">
        <v>283.0</v>
      </c>
      <c r="D87" s="30">
        <v>0.0</v>
      </c>
      <c r="E87" s="28"/>
      <c r="F87" s="28"/>
      <c r="G87" s="28"/>
      <c r="T87" s="28"/>
      <c r="U87" s="28"/>
    </row>
    <row r="88">
      <c r="A88" s="30" t="s">
        <v>126</v>
      </c>
      <c r="B88" s="30">
        <v>3081.0</v>
      </c>
      <c r="C88" s="30">
        <v>186.0</v>
      </c>
      <c r="D88" s="30">
        <v>0.0</v>
      </c>
      <c r="E88" s="28"/>
      <c r="T88" s="28"/>
      <c r="U88" s="28"/>
    </row>
    <row r="89">
      <c r="A89" s="30" t="s">
        <v>129</v>
      </c>
      <c r="B89" s="30">
        <v>2629.0</v>
      </c>
      <c r="C89" s="30">
        <v>116.0</v>
      </c>
      <c r="D89" s="30">
        <v>0.0</v>
      </c>
      <c r="E89" s="28"/>
      <c r="T89" s="28"/>
      <c r="U89" s="28"/>
      <c r="V89" s="28"/>
      <c r="W89" s="28"/>
    </row>
    <row r="90">
      <c r="A90" s="30" t="s">
        <v>131</v>
      </c>
      <c r="B90" s="30">
        <v>2340.0</v>
      </c>
      <c r="C90" s="30">
        <v>63.0</v>
      </c>
      <c r="D90" s="30">
        <v>0.0</v>
      </c>
      <c r="E90" s="28"/>
      <c r="F90" s="28"/>
      <c r="G90" s="28"/>
      <c r="H90" s="28"/>
      <c r="T90" s="28"/>
      <c r="U90" s="28"/>
      <c r="V90" s="28"/>
      <c r="W90" s="28"/>
    </row>
    <row r="91">
      <c r="A91" s="30" t="s">
        <v>133</v>
      </c>
      <c r="B91" s="30">
        <v>2262.0</v>
      </c>
      <c r="C91" s="30">
        <v>500.0</v>
      </c>
      <c r="D91" s="30">
        <v>0.0</v>
      </c>
      <c r="E91" s="28"/>
      <c r="F91" s="28"/>
      <c r="G91" s="28"/>
      <c r="H91" s="28"/>
      <c r="T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T92" s="28"/>
    </row>
    <row r="93">
      <c r="A93" s="28"/>
      <c r="B93" s="28"/>
      <c r="C93" s="28"/>
      <c r="D93" s="28"/>
      <c r="H93" s="28"/>
      <c r="T93" s="28"/>
    </row>
    <row r="94">
      <c r="A94" s="28"/>
      <c r="B94" s="28"/>
      <c r="C94" s="28"/>
      <c r="D94" s="28"/>
      <c r="H94" s="28"/>
      <c r="T94" s="28"/>
    </row>
    <row r="95">
      <c r="A95" s="28"/>
      <c r="B95" s="28"/>
      <c r="C95" s="28"/>
      <c r="D95" s="28"/>
      <c r="T95" s="28"/>
    </row>
    <row r="96">
      <c r="A96" s="28"/>
      <c r="B96" s="28"/>
      <c r="C96" s="28"/>
      <c r="D96" s="28"/>
      <c r="T96" s="28"/>
    </row>
    <row r="97">
      <c r="A97" s="28"/>
      <c r="B97" s="28"/>
      <c r="C97" s="28"/>
      <c r="D97" s="28"/>
      <c r="T97" s="28"/>
    </row>
    <row r="98">
      <c r="A98" s="28"/>
      <c r="B98" s="28"/>
      <c r="C98" s="28"/>
      <c r="D98" s="28"/>
      <c r="T98" s="28"/>
    </row>
    <row r="99">
      <c r="A99" s="28"/>
      <c r="B99" s="28"/>
      <c r="C99" s="28"/>
      <c r="D99" s="28"/>
      <c r="T99" s="28"/>
    </row>
    <row r="100">
      <c r="A100" s="28"/>
      <c r="B100" s="28"/>
      <c r="C100" s="28"/>
      <c r="D100" s="28"/>
    </row>
    <row r="101">
      <c r="A101" s="28"/>
      <c r="B101" s="28"/>
      <c r="C101" s="28"/>
      <c r="D101" s="28"/>
    </row>
    <row r="102">
      <c r="A102" s="28"/>
      <c r="B102" s="28"/>
      <c r="C102" s="28"/>
      <c r="D102" s="28"/>
      <c r="E102" s="28"/>
      <c r="I102" s="28"/>
    </row>
    <row r="103">
      <c r="A103" s="28"/>
      <c r="B103" s="28"/>
      <c r="C103" s="28"/>
      <c r="D103" s="28"/>
      <c r="E103" s="28"/>
      <c r="I103" s="28"/>
    </row>
    <row r="104">
      <c r="A104" s="28"/>
      <c r="B104" s="28"/>
      <c r="C104" s="28"/>
      <c r="D104" s="28"/>
      <c r="E104" s="28"/>
      <c r="I104" s="28"/>
      <c r="T104" s="28"/>
      <c r="U104" s="28"/>
      <c r="V104" s="28"/>
      <c r="W104" s="28"/>
    </row>
    <row r="105">
      <c r="A105" s="33" t="s">
        <v>137</v>
      </c>
      <c r="T105" s="28"/>
      <c r="U105" s="28"/>
      <c r="V105" s="28"/>
      <c r="W105" s="28"/>
    </row>
    <row r="106">
      <c r="A106" s="26" t="s">
        <v>138</v>
      </c>
      <c r="B106" s="26" t="s">
        <v>60</v>
      </c>
      <c r="C106" s="26" t="s">
        <v>19</v>
      </c>
      <c r="D106" s="26" t="s">
        <v>20</v>
      </c>
      <c r="E106" s="26" t="s">
        <v>139</v>
      </c>
      <c r="F106" s="26" t="s">
        <v>140</v>
      </c>
      <c r="G106" s="26" t="s">
        <v>141</v>
      </c>
      <c r="H106" s="26" t="s">
        <v>142</v>
      </c>
      <c r="I106" s="26" t="s">
        <v>13</v>
      </c>
      <c r="T106" s="28"/>
      <c r="U106" s="28"/>
      <c r="V106" s="28"/>
      <c r="W106" s="28"/>
    </row>
    <row r="107">
      <c r="A107" s="30" t="s">
        <v>139</v>
      </c>
      <c r="B107" s="30" t="s">
        <v>52</v>
      </c>
      <c r="C107" s="30" t="s">
        <v>131</v>
      </c>
      <c r="D107" s="30" t="s">
        <v>35</v>
      </c>
      <c r="E107" s="45">
        <v>28.0</v>
      </c>
      <c r="F107" s="45">
        <v>11010.0</v>
      </c>
      <c r="G107" s="45">
        <v>1049.0</v>
      </c>
      <c r="H107" s="46">
        <v>0.004</v>
      </c>
      <c r="I107" s="46">
        <v>339.0</v>
      </c>
      <c r="T107" s="28"/>
      <c r="U107" s="28"/>
      <c r="V107" s="28"/>
      <c r="W107" s="28"/>
    </row>
    <row r="108">
      <c r="A108" s="30" t="s">
        <v>139</v>
      </c>
      <c r="B108" s="30" t="s">
        <v>52</v>
      </c>
      <c r="C108" s="30" t="s">
        <v>131</v>
      </c>
      <c r="D108" s="30" t="s">
        <v>35</v>
      </c>
      <c r="E108" s="45">
        <v>28.0</v>
      </c>
      <c r="F108" s="45">
        <v>11042.0</v>
      </c>
      <c r="G108" s="45">
        <v>1229.0</v>
      </c>
      <c r="H108" s="46">
        <v>0.004</v>
      </c>
      <c r="I108" s="46">
        <v>340.0</v>
      </c>
      <c r="T108" s="28"/>
    </row>
    <row r="109">
      <c r="A109" s="30" t="s">
        <v>139</v>
      </c>
      <c r="B109" s="30" t="s">
        <v>52</v>
      </c>
      <c r="C109" s="30" t="s">
        <v>126</v>
      </c>
      <c r="D109" s="30" t="s">
        <v>35</v>
      </c>
      <c r="E109" s="45">
        <v>28.0</v>
      </c>
      <c r="F109" s="45">
        <v>11272.0</v>
      </c>
      <c r="G109" s="45">
        <v>2035.0</v>
      </c>
      <c r="H109" s="46">
        <v>0.004</v>
      </c>
      <c r="I109" s="46">
        <v>373.0</v>
      </c>
      <c r="T109" s="28"/>
      <c r="U109" s="28"/>
      <c r="V109" s="28"/>
      <c r="W109" s="28"/>
    </row>
    <row r="110">
      <c r="A110" s="30" t="s">
        <v>5</v>
      </c>
      <c r="B110" s="30" t="s">
        <v>52</v>
      </c>
      <c r="C110" s="30" t="s">
        <v>143</v>
      </c>
      <c r="D110" s="30" t="s">
        <v>35</v>
      </c>
      <c r="E110" s="40">
        <v>50.0</v>
      </c>
      <c r="F110" s="35">
        <v>20346.0</v>
      </c>
      <c r="G110" s="40">
        <v>354.0</v>
      </c>
      <c r="H110" s="47">
        <v>0.001</v>
      </c>
      <c r="I110" s="46">
        <v>98.0</v>
      </c>
      <c r="T110" s="28"/>
    </row>
    <row r="111">
      <c r="A111" s="30" t="s">
        <v>5</v>
      </c>
      <c r="B111" s="30" t="s">
        <v>52</v>
      </c>
      <c r="C111" s="30" t="s">
        <v>143</v>
      </c>
      <c r="D111" s="30" t="s">
        <v>35</v>
      </c>
      <c r="E111" s="40">
        <v>56.0</v>
      </c>
      <c r="F111" s="45">
        <v>19801.0</v>
      </c>
      <c r="G111" s="45">
        <v>511.0</v>
      </c>
      <c r="H111" s="47">
        <v>0.001</v>
      </c>
      <c r="I111" s="46">
        <v>90.0</v>
      </c>
      <c r="T111" s="28"/>
    </row>
    <row r="112">
      <c r="A112" s="30" t="s">
        <v>5</v>
      </c>
      <c r="B112" s="30" t="s">
        <v>52</v>
      </c>
      <c r="C112" s="30" t="s">
        <v>122</v>
      </c>
      <c r="D112" s="30" t="s">
        <v>35</v>
      </c>
      <c r="E112" s="35">
        <v>44.0</v>
      </c>
      <c r="F112" s="45">
        <v>19666.0</v>
      </c>
      <c r="G112" s="48">
        <v>450.0</v>
      </c>
      <c r="H112" s="47">
        <v>0.005</v>
      </c>
      <c r="I112" s="45">
        <v>20000.0</v>
      </c>
      <c r="T112" s="28"/>
    </row>
    <row r="113">
      <c r="A113" s="30" t="s">
        <v>7</v>
      </c>
      <c r="B113" s="30" t="s">
        <v>50</v>
      </c>
      <c r="C113" s="30" t="s">
        <v>133</v>
      </c>
      <c r="D113" s="30" t="s">
        <v>35</v>
      </c>
      <c r="E113" s="35">
        <v>45.0</v>
      </c>
      <c r="F113" s="45">
        <v>10929.0</v>
      </c>
      <c r="G113" s="45">
        <v>2461.0</v>
      </c>
      <c r="H113" s="47">
        <v>0.004</v>
      </c>
      <c r="I113" s="46">
        <v>480.0</v>
      </c>
      <c r="T113" s="28"/>
    </row>
    <row r="114">
      <c r="A114" s="30" t="s">
        <v>7</v>
      </c>
      <c r="B114" s="30" t="s">
        <v>50</v>
      </c>
      <c r="C114" s="30" t="s">
        <v>144</v>
      </c>
      <c r="D114" s="30" t="s">
        <v>35</v>
      </c>
      <c r="E114" s="35">
        <v>41.0</v>
      </c>
      <c r="F114" s="45">
        <v>7203.0</v>
      </c>
      <c r="G114" s="45">
        <v>2154.0</v>
      </c>
      <c r="H114" s="47">
        <v>0.004</v>
      </c>
      <c r="I114" s="46">
        <v>423.0</v>
      </c>
      <c r="T114" s="28"/>
    </row>
    <row r="115">
      <c r="A115" s="30" t="s">
        <v>7</v>
      </c>
      <c r="B115" s="30" t="s">
        <v>52</v>
      </c>
      <c r="C115" s="30" t="s">
        <v>133</v>
      </c>
      <c r="D115" s="30" t="s">
        <v>35</v>
      </c>
      <c r="E115" s="35">
        <v>36.0</v>
      </c>
      <c r="F115" s="45">
        <v>11439.0</v>
      </c>
      <c r="G115" s="45">
        <v>2085.0</v>
      </c>
      <c r="H115" s="46">
        <v>0.004</v>
      </c>
      <c r="I115" s="46">
        <v>426.0</v>
      </c>
      <c r="T115" s="28"/>
    </row>
    <row r="116">
      <c r="A116" s="30" t="s">
        <v>8</v>
      </c>
      <c r="B116" s="30" t="s">
        <v>52</v>
      </c>
      <c r="C116" s="30" t="s">
        <v>133</v>
      </c>
      <c r="D116" s="30" t="s">
        <v>34</v>
      </c>
      <c r="E116" s="40">
        <v>56.0</v>
      </c>
      <c r="F116" s="48">
        <v>2761.0</v>
      </c>
      <c r="G116" s="45">
        <v>843.0</v>
      </c>
      <c r="H116" s="46">
        <v>0.015</v>
      </c>
      <c r="I116" s="46">
        <v>156.0</v>
      </c>
    </row>
    <row r="117">
      <c r="A117" s="30" t="s">
        <v>8</v>
      </c>
      <c r="B117" s="30" t="s">
        <v>52</v>
      </c>
      <c r="C117" s="30" t="s">
        <v>145</v>
      </c>
      <c r="D117" s="30" t="s">
        <v>34</v>
      </c>
      <c r="E117" s="40">
        <v>62.0</v>
      </c>
      <c r="F117" s="46">
        <v>2480.0</v>
      </c>
      <c r="G117" s="48">
        <v>390.0</v>
      </c>
      <c r="H117" s="46">
        <v>0.015</v>
      </c>
      <c r="I117" s="46">
        <v>101.0</v>
      </c>
    </row>
    <row r="118">
      <c r="A118" s="30" t="s">
        <v>8</v>
      </c>
      <c r="B118" s="30" t="s">
        <v>52</v>
      </c>
      <c r="C118" s="30" t="s">
        <v>122</v>
      </c>
      <c r="D118" s="30" t="s">
        <v>34</v>
      </c>
      <c r="E118" s="40">
        <v>59.0</v>
      </c>
      <c r="F118" s="48">
        <v>2817.0</v>
      </c>
      <c r="G118" s="45">
        <v>633.0</v>
      </c>
      <c r="H118" s="46">
        <v>0.015</v>
      </c>
      <c r="I118" s="46">
        <v>65.0</v>
      </c>
    </row>
    <row r="119">
      <c r="A119" s="30" t="s">
        <v>13</v>
      </c>
      <c r="B119" s="30" t="s">
        <v>52</v>
      </c>
      <c r="C119" s="30" t="s">
        <v>145</v>
      </c>
      <c r="D119" s="30" t="s">
        <v>35</v>
      </c>
      <c r="E119" s="35">
        <v>46.0</v>
      </c>
      <c r="F119" s="45">
        <v>13351.0</v>
      </c>
      <c r="G119" s="48">
        <v>334.0</v>
      </c>
      <c r="H119" s="46">
        <v>0.005</v>
      </c>
      <c r="I119" s="45">
        <v>49000.0</v>
      </c>
    </row>
    <row r="120">
      <c r="A120" s="30" t="s">
        <v>13</v>
      </c>
      <c r="B120" s="30" t="s">
        <v>52</v>
      </c>
      <c r="C120" s="30" t="s">
        <v>144</v>
      </c>
      <c r="D120" s="30" t="s">
        <v>34</v>
      </c>
      <c r="E120" s="40">
        <v>56.0</v>
      </c>
      <c r="F120" s="46">
        <v>2421.0</v>
      </c>
      <c r="G120" s="45">
        <v>583.0</v>
      </c>
      <c r="H120" s="46">
        <v>0.015</v>
      </c>
      <c r="I120" s="45">
        <v>49000.0</v>
      </c>
    </row>
    <row r="121">
      <c r="A121" s="30" t="s">
        <v>13</v>
      </c>
      <c r="B121" s="30" t="s">
        <v>52</v>
      </c>
      <c r="C121" s="30" t="s">
        <v>145</v>
      </c>
      <c r="D121" s="30" t="s">
        <v>35</v>
      </c>
      <c r="E121" s="35">
        <v>48.0</v>
      </c>
      <c r="F121" s="45">
        <v>11851.0</v>
      </c>
      <c r="G121" s="48">
        <v>289.0</v>
      </c>
      <c r="H121" s="46">
        <v>0.005</v>
      </c>
      <c r="I121" s="45">
        <v>49000.0</v>
      </c>
    </row>
    <row r="122">
      <c r="A122" s="28"/>
      <c r="B122" s="28"/>
      <c r="C122" s="28"/>
      <c r="D122" s="28"/>
      <c r="E122" s="28"/>
    </row>
    <row r="123">
      <c r="A123" s="28"/>
      <c r="B123" s="28"/>
      <c r="C123" s="28"/>
      <c r="D123" s="28"/>
      <c r="E123" s="28"/>
    </row>
    <row r="124">
      <c r="A124" s="28"/>
      <c r="B124" s="28"/>
      <c r="C124" s="28"/>
      <c r="D124" s="28"/>
      <c r="E124" s="28"/>
    </row>
    <row r="125">
      <c r="A125" s="28"/>
      <c r="B125" s="28"/>
      <c r="C125" s="28"/>
      <c r="D125" s="28"/>
      <c r="E125" s="28"/>
    </row>
    <row r="126">
      <c r="A126" s="28"/>
      <c r="B126" s="28"/>
      <c r="C126" s="28"/>
      <c r="D126" s="28"/>
      <c r="E126" s="28"/>
    </row>
    <row r="127">
      <c r="A127" s="28"/>
      <c r="B127" s="28"/>
      <c r="C127" s="28"/>
      <c r="D127" s="28"/>
      <c r="E127" s="28"/>
    </row>
    <row r="128">
      <c r="A128" s="28"/>
      <c r="B128" s="28"/>
      <c r="C128" s="28"/>
      <c r="D128" s="28"/>
      <c r="E128" s="28"/>
    </row>
    <row r="129">
      <c r="A129" s="28"/>
      <c r="B129" s="28"/>
      <c r="C129" s="28"/>
      <c r="D129" s="28"/>
      <c r="E129" s="28"/>
    </row>
    <row r="130">
      <c r="A130" s="28"/>
      <c r="B130" s="28"/>
      <c r="C130" s="28"/>
      <c r="D130" s="28"/>
      <c r="E130" s="28"/>
      <c r="F130" s="28"/>
      <c r="G130" s="28"/>
    </row>
    <row r="131">
      <c r="A131" s="28"/>
      <c r="B131" s="28"/>
      <c r="C131" s="28"/>
      <c r="D131" s="28"/>
      <c r="E131" s="28"/>
      <c r="F131" s="28"/>
      <c r="G131" s="28"/>
    </row>
    <row r="132">
      <c r="A132" s="28"/>
      <c r="B132" s="28"/>
      <c r="C132" s="28"/>
      <c r="D132" s="28"/>
      <c r="E132" s="28"/>
      <c r="F132" s="28"/>
      <c r="G132" s="28"/>
    </row>
    <row r="133">
      <c r="A133" s="28"/>
      <c r="B133" s="28"/>
      <c r="C133" s="28"/>
      <c r="D133" s="28"/>
      <c r="E133" s="28"/>
    </row>
    <row r="134">
      <c r="A134" s="28"/>
      <c r="B134" s="28"/>
      <c r="C134" s="28"/>
      <c r="D134" s="28"/>
      <c r="E134" s="28"/>
    </row>
    <row r="135">
      <c r="A135" s="28"/>
      <c r="B135" s="28"/>
      <c r="C135" s="28"/>
      <c r="D135" s="28"/>
      <c r="E135" s="28"/>
    </row>
    <row r="136">
      <c r="A136" s="28"/>
      <c r="B136" s="28"/>
      <c r="C136" s="28"/>
      <c r="D136" s="28"/>
      <c r="E136" s="28"/>
    </row>
    <row r="137">
      <c r="A137" s="28"/>
      <c r="B137" s="28"/>
      <c r="C137" s="28"/>
      <c r="D137" s="28"/>
      <c r="E137" s="28"/>
    </row>
    <row r="138">
      <c r="A138" s="28"/>
      <c r="B138" s="28"/>
      <c r="C138" s="28"/>
      <c r="D138" s="28"/>
      <c r="E138" s="28"/>
    </row>
    <row r="139">
      <c r="A139" s="28"/>
      <c r="B139" s="28"/>
      <c r="C139" s="28"/>
      <c r="D139" s="28"/>
      <c r="E139" s="28"/>
    </row>
    <row r="140">
      <c r="A140" s="28"/>
      <c r="B140" s="28"/>
      <c r="C140" s="28"/>
      <c r="D140" s="28"/>
      <c r="E140" s="28"/>
    </row>
    <row r="141">
      <c r="A141" s="28"/>
      <c r="B141" s="28"/>
      <c r="C141" s="28"/>
      <c r="D141" s="28"/>
      <c r="E141" s="28"/>
    </row>
    <row r="142">
      <c r="A142" s="28"/>
      <c r="B142" s="28"/>
      <c r="C142" s="28"/>
      <c r="D142" s="28"/>
      <c r="E142" s="28"/>
    </row>
    <row r="143">
      <c r="A143" s="28"/>
      <c r="B143" s="28"/>
      <c r="C143" s="28"/>
      <c r="D143" s="28"/>
      <c r="E143" s="28"/>
    </row>
    <row r="144">
      <c r="A144" s="28"/>
      <c r="B144" s="28"/>
      <c r="C144" s="28"/>
      <c r="D144" s="28"/>
      <c r="E144" s="28"/>
    </row>
    <row r="145">
      <c r="A145" s="28"/>
      <c r="B145" s="28"/>
      <c r="C145" s="28"/>
      <c r="D145" s="28"/>
      <c r="E145" s="28"/>
    </row>
    <row r="146">
      <c r="A146" s="28"/>
      <c r="B146" s="28"/>
      <c r="C146" s="28"/>
      <c r="D146" s="28"/>
      <c r="E146" s="28"/>
    </row>
    <row r="147">
      <c r="A147" s="28"/>
      <c r="B147" s="28"/>
      <c r="C147" s="28"/>
      <c r="D147" s="28"/>
      <c r="E147" s="28"/>
    </row>
    <row r="148">
      <c r="A148" s="28"/>
      <c r="B148" s="28"/>
      <c r="C148" s="28"/>
      <c r="D148" s="28"/>
      <c r="E148" s="28"/>
    </row>
    <row r="149">
      <c r="A149" s="28"/>
      <c r="B149" s="28"/>
      <c r="C149" s="28"/>
      <c r="D149" s="28"/>
      <c r="E149" s="28"/>
    </row>
    <row r="150">
      <c r="A150" s="28"/>
      <c r="B150" s="28"/>
      <c r="C150" s="28"/>
      <c r="D150" s="28"/>
      <c r="E150" s="28"/>
    </row>
    <row r="151">
      <c r="A151" s="28"/>
      <c r="B151" s="28"/>
      <c r="C151" s="28"/>
      <c r="D151" s="28"/>
      <c r="E151" s="28"/>
    </row>
    <row r="152">
      <c r="A152" s="28"/>
      <c r="B152" s="28"/>
      <c r="C152" s="28"/>
      <c r="D152" s="28"/>
      <c r="E152" s="28"/>
    </row>
    <row r="153">
      <c r="A153" s="28"/>
      <c r="B153" s="28"/>
      <c r="C153" s="28"/>
      <c r="D153" s="28"/>
      <c r="E153" s="28"/>
      <c r="F153" s="28"/>
      <c r="G153" s="28"/>
    </row>
    <row r="154">
      <c r="A154" s="28"/>
      <c r="B154" s="28"/>
      <c r="C154" s="28"/>
      <c r="D154" s="28"/>
      <c r="E154" s="28"/>
      <c r="F154" s="28"/>
      <c r="G154" s="28"/>
    </row>
    <row r="155">
      <c r="A155" s="28"/>
      <c r="B155" s="28"/>
      <c r="C155" s="28"/>
      <c r="D155" s="28"/>
      <c r="E155" s="28"/>
      <c r="F155" s="28"/>
      <c r="G155" s="28"/>
    </row>
    <row r="156">
      <c r="A156" s="28"/>
      <c r="B156" s="28"/>
      <c r="C156" s="28"/>
      <c r="D156" s="28"/>
      <c r="E156" s="28"/>
      <c r="F156" s="28"/>
      <c r="G156" s="28"/>
    </row>
    <row r="157">
      <c r="A157" s="28"/>
      <c r="B157" s="28"/>
      <c r="C157" s="28"/>
      <c r="D157" s="28"/>
      <c r="E157" s="28"/>
      <c r="F157" s="28"/>
      <c r="G157" s="28"/>
    </row>
    <row r="158">
      <c r="A158" s="28"/>
      <c r="B158" s="28"/>
      <c r="C158" s="28"/>
      <c r="D158" s="28"/>
      <c r="E158" s="28"/>
      <c r="F158" s="28"/>
      <c r="G158" s="28"/>
    </row>
    <row r="159">
      <c r="A159" s="28"/>
      <c r="B159" s="28"/>
      <c r="C159" s="28"/>
      <c r="D159" s="28"/>
      <c r="E159" s="28"/>
    </row>
    <row r="160">
      <c r="A160" s="28"/>
      <c r="B160" s="28"/>
      <c r="C160" s="28"/>
      <c r="D160" s="28"/>
      <c r="E160" s="28"/>
    </row>
    <row r="161">
      <c r="A161" s="28"/>
      <c r="B161" s="28"/>
      <c r="C161" s="28"/>
      <c r="D161" s="28"/>
      <c r="E161" s="28"/>
    </row>
    <row r="162">
      <c r="A162" s="28"/>
      <c r="B162" s="28"/>
      <c r="C162" s="28"/>
      <c r="D162" s="28"/>
      <c r="E162" s="28"/>
    </row>
    <row r="163">
      <c r="A163" s="28"/>
      <c r="B163" s="28"/>
      <c r="C163" s="28"/>
      <c r="D163" s="28"/>
      <c r="E163" s="28"/>
    </row>
    <row r="164">
      <c r="A164" s="28"/>
      <c r="B164" s="28"/>
      <c r="C164" s="28"/>
      <c r="D164" s="28"/>
      <c r="E164" s="28"/>
    </row>
    <row r="165">
      <c r="A165" s="28"/>
      <c r="B165" s="28"/>
      <c r="C165" s="28"/>
      <c r="D165" s="28"/>
      <c r="E165" s="28"/>
    </row>
    <row r="166">
      <c r="A166" s="28"/>
      <c r="B166" s="28"/>
      <c r="C166" s="28"/>
      <c r="D166" s="28"/>
      <c r="E166" s="28"/>
    </row>
    <row r="167">
      <c r="A167" s="28"/>
      <c r="B167" s="28"/>
      <c r="C167" s="28"/>
      <c r="D167" s="28"/>
      <c r="E167" s="28"/>
    </row>
    <row r="168">
      <c r="A168" s="28"/>
      <c r="B168" s="28"/>
      <c r="C168" s="28"/>
      <c r="D168" s="28"/>
      <c r="E168" s="28"/>
    </row>
    <row r="169">
      <c r="A169" s="28"/>
      <c r="B169" s="28"/>
      <c r="C169" s="28"/>
      <c r="D169" s="28"/>
      <c r="E169" s="28"/>
    </row>
    <row r="170">
      <c r="A170" s="28"/>
      <c r="B170" s="28"/>
      <c r="C170" s="28"/>
      <c r="D170" s="28"/>
      <c r="E170" s="28"/>
    </row>
    <row r="171">
      <c r="A171" s="28"/>
      <c r="B171" s="28"/>
      <c r="C171" s="28"/>
      <c r="D171" s="28"/>
      <c r="E171" s="28"/>
    </row>
    <row r="172">
      <c r="A172" s="28"/>
      <c r="B172" s="28"/>
      <c r="C172" s="28"/>
      <c r="D172" s="28"/>
      <c r="E172" s="28"/>
    </row>
    <row r="173">
      <c r="A173" s="28"/>
      <c r="B173" s="28"/>
      <c r="C173" s="28"/>
      <c r="D173" s="28"/>
      <c r="E173" s="28"/>
      <c r="F173" s="28"/>
      <c r="G173" s="28"/>
    </row>
    <row r="174">
      <c r="A174" s="28"/>
      <c r="B174" s="28"/>
      <c r="C174" s="28"/>
      <c r="D174" s="28"/>
      <c r="E174" s="28"/>
      <c r="F174" s="28"/>
      <c r="G174" s="28"/>
    </row>
    <row r="175">
      <c r="A175" s="28"/>
      <c r="B175" s="28"/>
      <c r="C175" s="28"/>
      <c r="D175" s="28"/>
      <c r="E175" s="28"/>
      <c r="F175" s="28"/>
      <c r="G175" s="28"/>
    </row>
    <row r="176">
      <c r="A176" s="28"/>
      <c r="B176" s="28"/>
      <c r="C176" s="28"/>
      <c r="D176" s="28"/>
      <c r="E176" s="28"/>
      <c r="F176" s="28"/>
      <c r="G176" s="28"/>
    </row>
    <row r="177">
      <c r="A177" s="28"/>
      <c r="B177" s="28"/>
      <c r="C177" s="28"/>
      <c r="D177" s="28"/>
      <c r="E177" s="28"/>
      <c r="F177" s="28"/>
      <c r="G177" s="28"/>
    </row>
    <row r="178">
      <c r="A178" s="28"/>
      <c r="B178" s="28"/>
      <c r="C178" s="28"/>
      <c r="D178" s="28"/>
      <c r="E178" s="28"/>
      <c r="F178" s="28"/>
      <c r="G178" s="28"/>
    </row>
    <row r="179">
      <c r="A179" s="28"/>
      <c r="B179" s="28"/>
      <c r="C179" s="28"/>
      <c r="D179" s="28"/>
      <c r="E179" s="28"/>
      <c r="F179" s="28"/>
      <c r="G179" s="28"/>
    </row>
    <row r="180">
      <c r="A180" s="28"/>
      <c r="B180" s="28"/>
      <c r="C180" s="28"/>
      <c r="D180" s="28"/>
      <c r="E180" s="28"/>
      <c r="F180" s="28"/>
      <c r="G180" s="28"/>
    </row>
    <row r="181">
      <c r="A181" s="28"/>
      <c r="B181" s="28"/>
      <c r="C181" s="28"/>
      <c r="D181" s="28"/>
      <c r="E181" s="28"/>
      <c r="F181" s="28"/>
      <c r="G181" s="28"/>
    </row>
    <row r="182">
      <c r="A182" s="28"/>
      <c r="B182" s="28"/>
      <c r="C182" s="28"/>
      <c r="D182" s="28"/>
      <c r="E182" s="28"/>
      <c r="F182" s="28"/>
      <c r="G182" s="28"/>
    </row>
    <row r="183">
      <c r="A183" s="28"/>
      <c r="B183" s="28"/>
      <c r="C183" s="28"/>
      <c r="D183" s="28"/>
      <c r="E183" s="28"/>
    </row>
    <row r="184">
      <c r="A184" s="28"/>
      <c r="B184" s="28"/>
      <c r="C184" s="28"/>
      <c r="D184" s="28"/>
      <c r="E184" s="28"/>
      <c r="F184" s="28"/>
      <c r="G184" s="28"/>
    </row>
    <row r="185">
      <c r="A185" s="28"/>
      <c r="B185" s="28"/>
      <c r="C185" s="28"/>
      <c r="D185" s="28"/>
      <c r="E185" s="28"/>
      <c r="F185" s="28"/>
      <c r="G185" s="28"/>
    </row>
    <row r="186">
      <c r="A186" s="28"/>
      <c r="B186" s="28"/>
      <c r="C186" s="28"/>
      <c r="D186" s="28"/>
      <c r="E186" s="28"/>
      <c r="F186" s="28"/>
      <c r="G186" s="28"/>
    </row>
    <row r="187">
      <c r="A187" s="28"/>
      <c r="B187" s="28"/>
      <c r="C187" s="28"/>
      <c r="D187" s="28"/>
      <c r="E187" s="28"/>
      <c r="F187" s="28"/>
      <c r="G187" s="28"/>
    </row>
    <row r="188">
      <c r="A188" s="28"/>
      <c r="B188" s="28"/>
      <c r="C188" s="28"/>
      <c r="D188" s="28"/>
      <c r="E188" s="28"/>
      <c r="F188" s="28"/>
      <c r="G188" s="28"/>
    </row>
    <row r="189">
      <c r="A189" s="28"/>
      <c r="B189" s="28"/>
      <c r="C189" s="28"/>
      <c r="D189" s="28"/>
      <c r="E189" s="28"/>
    </row>
    <row r="190">
      <c r="A190" s="28"/>
      <c r="B190" s="28"/>
      <c r="C190" s="28"/>
      <c r="D190" s="28"/>
      <c r="E190" s="28"/>
      <c r="F190" s="28"/>
      <c r="G190" s="28"/>
    </row>
    <row r="191">
      <c r="A191" s="28"/>
      <c r="B191" s="28"/>
      <c r="C191" s="28"/>
      <c r="D191" s="28"/>
      <c r="E191" s="28"/>
      <c r="F191" s="28"/>
      <c r="G191" s="28"/>
    </row>
    <row r="192">
      <c r="A192" s="28"/>
      <c r="B192" s="28"/>
      <c r="C192" s="28"/>
      <c r="D192" s="28"/>
      <c r="E192" s="28"/>
      <c r="F192" s="28"/>
      <c r="G192" s="28"/>
    </row>
    <row r="193">
      <c r="A193" s="28"/>
      <c r="B193" s="28"/>
      <c r="C193" s="28"/>
      <c r="D193" s="28"/>
      <c r="E193" s="28"/>
      <c r="F193" s="28"/>
      <c r="G193" s="28"/>
    </row>
    <row r="194">
      <c r="A194" s="28"/>
      <c r="B194" s="28"/>
      <c r="C194" s="28"/>
      <c r="D194" s="28"/>
      <c r="E194" s="28"/>
      <c r="F194" s="28"/>
      <c r="G194" s="28"/>
    </row>
    <row r="195">
      <c r="A195" s="28"/>
      <c r="B195" s="28"/>
      <c r="C195" s="28"/>
      <c r="D195" s="28"/>
      <c r="E195" s="28"/>
      <c r="F195" s="28"/>
      <c r="G195" s="28"/>
    </row>
    <row r="196">
      <c r="A196" s="28"/>
      <c r="B196" s="28"/>
      <c r="C196" s="28"/>
      <c r="D196" s="28"/>
      <c r="E196" s="28"/>
      <c r="F196" s="28"/>
      <c r="G196" s="28"/>
    </row>
    <row r="197">
      <c r="A197" s="28"/>
      <c r="B197" s="28"/>
      <c r="C197" s="28"/>
      <c r="D197" s="28"/>
      <c r="E197" s="28"/>
    </row>
    <row r="198">
      <c r="A198" s="28"/>
      <c r="B198" s="28"/>
      <c r="C198" s="28"/>
      <c r="D198" s="28"/>
      <c r="E198" s="28"/>
    </row>
    <row r="199">
      <c r="A199" s="28"/>
      <c r="B199" s="28"/>
      <c r="C199" s="28"/>
      <c r="D199" s="28"/>
      <c r="E199" s="28"/>
    </row>
    <row r="200">
      <c r="A200" s="28"/>
      <c r="B200" s="28"/>
      <c r="C200" s="28"/>
      <c r="D200" s="28"/>
      <c r="E200" s="28"/>
    </row>
    <row r="201">
      <c r="A201" s="28"/>
      <c r="B201" s="28"/>
      <c r="C201" s="28"/>
      <c r="D201" s="28"/>
      <c r="E201" s="28"/>
    </row>
    <row r="202">
      <c r="A202" s="28"/>
      <c r="B202" s="28"/>
      <c r="C202" s="28"/>
      <c r="D202" s="28"/>
      <c r="E202" s="28"/>
    </row>
    <row r="203">
      <c r="A203" s="28"/>
      <c r="B203" s="28"/>
      <c r="C203" s="28"/>
      <c r="D203" s="28"/>
      <c r="E203" s="28"/>
    </row>
    <row r="204">
      <c r="A204" s="28"/>
      <c r="B204" s="28"/>
      <c r="C204" s="28"/>
      <c r="D204" s="28"/>
      <c r="E204" s="28"/>
    </row>
    <row r="205">
      <c r="A205" s="28"/>
      <c r="B205" s="28"/>
      <c r="C205" s="28"/>
      <c r="D205" s="28"/>
      <c r="E205" s="28"/>
    </row>
    <row r="206">
      <c r="A206" s="28"/>
      <c r="B206" s="28"/>
      <c r="C206" s="28"/>
      <c r="D206" s="28"/>
      <c r="E206" s="28"/>
    </row>
    <row r="207">
      <c r="A207" s="28"/>
      <c r="B207" s="28"/>
      <c r="C207" s="28"/>
      <c r="D207" s="28"/>
      <c r="E207" s="28"/>
    </row>
    <row r="208">
      <c r="A208" s="28"/>
      <c r="B208" s="28"/>
      <c r="C208" s="28"/>
      <c r="D208" s="28"/>
      <c r="E208" s="28"/>
    </row>
    <row r="209">
      <c r="A209" s="28"/>
      <c r="B209" s="28"/>
      <c r="C209" s="28"/>
      <c r="D209" s="28"/>
      <c r="E209" s="28"/>
    </row>
    <row r="210">
      <c r="A210" s="28"/>
      <c r="B210" s="28"/>
      <c r="C210" s="28"/>
      <c r="D210" s="28"/>
      <c r="E210" s="28"/>
    </row>
    <row r="211">
      <c r="A211" s="28"/>
      <c r="B211" s="28"/>
      <c r="C211" s="28"/>
      <c r="D211" s="28"/>
      <c r="E211" s="28"/>
    </row>
    <row r="212">
      <c r="A212" s="28"/>
      <c r="B212" s="28"/>
      <c r="C212" s="28"/>
      <c r="D212" s="28"/>
      <c r="E212" s="28"/>
    </row>
    <row r="213">
      <c r="A213" s="28"/>
      <c r="B213" s="28"/>
      <c r="C213" s="28"/>
      <c r="D213" s="28"/>
      <c r="E213" s="28"/>
    </row>
    <row r="214">
      <c r="A214" s="28"/>
      <c r="B214" s="28"/>
      <c r="C214" s="28"/>
      <c r="D214" s="28"/>
      <c r="E214" s="28"/>
    </row>
    <row r="215">
      <c r="A215" s="28"/>
      <c r="B215" s="28"/>
      <c r="C215" s="28"/>
      <c r="D215" s="28"/>
      <c r="E215" s="28"/>
    </row>
    <row r="216">
      <c r="A216" s="28"/>
      <c r="B216" s="28"/>
      <c r="C216" s="28"/>
      <c r="D216" s="28"/>
      <c r="E216" s="28"/>
      <c r="F216" s="28"/>
      <c r="G216" s="28"/>
    </row>
    <row r="217">
      <c r="A217" s="28"/>
      <c r="B217" s="28"/>
      <c r="C217" s="28"/>
      <c r="D217" s="28"/>
      <c r="E217" s="28"/>
      <c r="F217" s="28"/>
      <c r="G217" s="28"/>
    </row>
    <row r="218">
      <c r="A218" s="28"/>
      <c r="B218" s="28"/>
      <c r="C218" s="28"/>
      <c r="D218" s="28"/>
      <c r="E218" s="28"/>
      <c r="F218" s="28"/>
      <c r="G218" s="28"/>
    </row>
    <row r="219">
      <c r="A219" s="28"/>
      <c r="B219" s="28"/>
      <c r="C219" s="28"/>
      <c r="D219" s="28"/>
      <c r="E219" s="28"/>
      <c r="F219" s="28"/>
      <c r="G219" s="28"/>
    </row>
    <row r="220">
      <c r="A220" s="28"/>
      <c r="B220" s="28"/>
      <c r="C220" s="28"/>
      <c r="D220" s="28"/>
      <c r="E220" s="28"/>
      <c r="F220" s="28"/>
      <c r="G220" s="28"/>
    </row>
    <row r="221">
      <c r="A221" s="28"/>
      <c r="B221" s="28"/>
      <c r="C221" s="28"/>
      <c r="D221" s="28"/>
      <c r="E221" s="28"/>
      <c r="F221" s="28"/>
      <c r="G221" s="28"/>
    </row>
    <row r="222">
      <c r="A222" s="28"/>
      <c r="B222" s="28"/>
      <c r="C222" s="28"/>
      <c r="D222" s="28"/>
      <c r="E222" s="28"/>
      <c r="F222" s="28"/>
      <c r="G222" s="28"/>
    </row>
    <row r="223">
      <c r="A223" s="28"/>
      <c r="B223" s="28"/>
      <c r="C223" s="28"/>
      <c r="D223" s="28"/>
      <c r="E223" s="28"/>
      <c r="F223" s="28"/>
      <c r="G223" s="28"/>
    </row>
    <row r="224">
      <c r="A224" s="28"/>
      <c r="B224" s="28"/>
      <c r="C224" s="28"/>
      <c r="D224" s="28"/>
      <c r="E224" s="28"/>
    </row>
    <row r="225">
      <c r="A225" s="28"/>
      <c r="B225" s="28"/>
      <c r="C225" s="28"/>
      <c r="D225" s="28"/>
      <c r="E225" s="28"/>
    </row>
    <row r="226">
      <c r="A226" s="28"/>
      <c r="B226" s="28"/>
      <c r="C226" s="28"/>
      <c r="D226" s="28"/>
      <c r="E226" s="28"/>
      <c r="F226" s="28"/>
      <c r="G226" s="28"/>
    </row>
    <row r="227">
      <c r="A227" s="28"/>
      <c r="B227" s="28"/>
      <c r="C227" s="28"/>
      <c r="D227" s="28"/>
      <c r="E227" s="28"/>
      <c r="F227" s="28"/>
      <c r="G227" s="28"/>
    </row>
    <row r="228">
      <c r="A228" s="28"/>
      <c r="B228" s="28"/>
      <c r="C228" s="28"/>
      <c r="D228" s="28"/>
      <c r="E228" s="28"/>
      <c r="F228" s="28"/>
      <c r="G228" s="28"/>
    </row>
    <row r="229">
      <c r="A229" s="28"/>
      <c r="B229" s="28"/>
      <c r="C229" s="28"/>
      <c r="D229" s="28"/>
      <c r="E229" s="28"/>
      <c r="F229" s="28"/>
      <c r="G229" s="28"/>
    </row>
    <row r="230">
      <c r="A230" s="28"/>
      <c r="B230" s="28"/>
      <c r="C230" s="28"/>
      <c r="D230" s="28"/>
      <c r="E230" s="28"/>
      <c r="F230" s="28"/>
      <c r="G230" s="28"/>
    </row>
    <row r="231">
      <c r="A231" s="28"/>
      <c r="B231" s="28"/>
      <c r="C231" s="28"/>
      <c r="D231" s="28"/>
      <c r="E231" s="28"/>
      <c r="F231" s="28"/>
      <c r="G231" s="28"/>
    </row>
    <row r="232">
      <c r="A232" s="28"/>
      <c r="B232" s="28"/>
      <c r="C232" s="28"/>
      <c r="D232" s="28"/>
      <c r="E232" s="28"/>
      <c r="F232" s="28"/>
      <c r="G232" s="28"/>
    </row>
    <row r="233">
      <c r="A233" s="28"/>
      <c r="B233" s="28"/>
      <c r="C233" s="28"/>
      <c r="D233" s="28"/>
      <c r="E233" s="28"/>
      <c r="F233" s="28"/>
      <c r="G233" s="28"/>
    </row>
    <row r="234">
      <c r="A234" s="28"/>
      <c r="B234" s="28"/>
      <c r="C234" s="28"/>
      <c r="D234" s="28"/>
      <c r="E234" s="28"/>
      <c r="F234" s="28"/>
      <c r="G234" s="28"/>
    </row>
    <row r="235">
      <c r="A235" s="28"/>
      <c r="B235" s="28"/>
      <c r="C235" s="28"/>
      <c r="D235" s="28"/>
      <c r="E235" s="28"/>
      <c r="F235" s="28"/>
      <c r="G235" s="28"/>
    </row>
    <row r="236">
      <c r="A236" s="28"/>
      <c r="B236" s="28"/>
      <c r="C236" s="28"/>
      <c r="D236" s="28"/>
      <c r="E236" s="28"/>
      <c r="F236" s="28"/>
      <c r="G236" s="28"/>
    </row>
    <row r="237">
      <c r="A237" s="28"/>
      <c r="B237" s="28"/>
      <c r="C237" s="28"/>
      <c r="D237" s="28"/>
      <c r="E237" s="28"/>
      <c r="F237" s="28"/>
      <c r="G237" s="28"/>
    </row>
    <row r="238">
      <c r="A238" s="28"/>
      <c r="B238" s="28"/>
      <c r="C238" s="28"/>
      <c r="D238" s="28"/>
      <c r="E238" s="28"/>
      <c r="F238" s="28"/>
      <c r="G238" s="28"/>
    </row>
    <row r="239">
      <c r="A239" s="28"/>
      <c r="B239" s="28"/>
      <c r="C239" s="28"/>
      <c r="D239" s="28"/>
      <c r="E239" s="28"/>
    </row>
    <row r="240">
      <c r="A240" s="28"/>
      <c r="B240" s="28"/>
      <c r="C240" s="28"/>
      <c r="D240" s="28"/>
      <c r="E240" s="28"/>
    </row>
    <row r="241">
      <c r="A241" s="28"/>
      <c r="B241" s="28"/>
      <c r="C241" s="28"/>
      <c r="D241" s="28"/>
      <c r="E241" s="28"/>
    </row>
    <row r="242">
      <c r="A242" s="28"/>
      <c r="B242" s="28"/>
      <c r="C242" s="28"/>
      <c r="D242" s="28"/>
      <c r="E242" s="28"/>
    </row>
    <row r="243">
      <c r="A243" s="28"/>
      <c r="B243" s="28"/>
      <c r="C243" s="28"/>
      <c r="D243" s="28"/>
      <c r="E243" s="28"/>
      <c r="F243" s="28"/>
      <c r="G243" s="28"/>
    </row>
    <row r="244">
      <c r="A244" s="28"/>
      <c r="B244" s="28"/>
      <c r="C244" s="28"/>
      <c r="D244" s="28"/>
      <c r="E244" s="28"/>
      <c r="F244" s="28"/>
      <c r="G244" s="28"/>
    </row>
    <row r="245">
      <c r="A245" s="28"/>
      <c r="B245" s="28"/>
      <c r="C245" s="28"/>
      <c r="D245" s="28"/>
      <c r="E245" s="28"/>
      <c r="F245" s="28"/>
      <c r="G245" s="28"/>
    </row>
    <row r="246">
      <c r="A246" s="28"/>
      <c r="B246" s="28"/>
      <c r="C246" s="28"/>
      <c r="D246" s="28"/>
      <c r="E246" s="28"/>
      <c r="F246" s="28"/>
      <c r="G246" s="28"/>
    </row>
    <row r="247">
      <c r="A247" s="28"/>
      <c r="B247" s="28"/>
      <c r="C247" s="28"/>
      <c r="D247" s="28"/>
      <c r="E247" s="28"/>
      <c r="F247" s="28"/>
      <c r="G247" s="28"/>
    </row>
    <row r="248">
      <c r="A248" s="28"/>
      <c r="B248" s="28"/>
      <c r="C248" s="28"/>
      <c r="D248" s="28"/>
      <c r="E248" s="28"/>
      <c r="F248" s="28"/>
      <c r="G248" s="28"/>
    </row>
    <row r="249">
      <c r="A249" s="28"/>
      <c r="B249" s="28"/>
      <c r="C249" s="28"/>
      <c r="D249" s="28"/>
      <c r="E249" s="28"/>
      <c r="F249" s="28"/>
      <c r="G249" s="28"/>
    </row>
    <row r="250">
      <c r="A250" s="28"/>
      <c r="B250" s="28"/>
      <c r="C250" s="28"/>
      <c r="D250" s="28"/>
      <c r="E250" s="28"/>
      <c r="F250" s="28"/>
      <c r="G250" s="28"/>
    </row>
    <row r="251">
      <c r="A251" s="28"/>
      <c r="B251" s="28"/>
      <c r="C251" s="28"/>
      <c r="D251" s="28"/>
      <c r="E251" s="28"/>
      <c r="F251" s="28"/>
      <c r="G251" s="28"/>
    </row>
    <row r="252">
      <c r="A252" s="28"/>
      <c r="B252" s="28"/>
      <c r="C252" s="28"/>
      <c r="D252" s="28"/>
      <c r="E252" s="28"/>
      <c r="F252" s="28"/>
      <c r="G252" s="28"/>
    </row>
    <row r="253">
      <c r="A253" s="28"/>
      <c r="B253" s="28"/>
      <c r="C253" s="28"/>
      <c r="D253" s="28"/>
      <c r="E253" s="28"/>
    </row>
    <row r="254">
      <c r="A254" s="28"/>
      <c r="B254" s="28"/>
      <c r="C254" s="28"/>
      <c r="D254" s="28"/>
      <c r="E254" s="28"/>
    </row>
    <row r="255">
      <c r="A255" s="28"/>
      <c r="B255" s="28"/>
      <c r="C255" s="28"/>
      <c r="D255" s="28"/>
      <c r="E255" s="28"/>
      <c r="F255" s="28"/>
      <c r="G255" s="28"/>
    </row>
    <row r="256">
      <c r="A256" s="28"/>
      <c r="B256" s="28"/>
      <c r="C256" s="28"/>
      <c r="D256" s="28"/>
      <c r="E256" s="28"/>
      <c r="F256" s="28"/>
      <c r="G256" s="28"/>
    </row>
    <row r="257">
      <c r="A257" s="28"/>
      <c r="B257" s="28"/>
      <c r="C257" s="28"/>
      <c r="D257" s="28"/>
      <c r="E257" s="28"/>
      <c r="F257" s="28"/>
      <c r="G257" s="28"/>
    </row>
    <row r="258">
      <c r="A258" s="28"/>
      <c r="B258" s="28"/>
      <c r="C258" s="28"/>
      <c r="D258" s="28"/>
      <c r="E258" s="28"/>
      <c r="F258" s="28"/>
      <c r="G258" s="28"/>
    </row>
    <row r="259">
      <c r="A259" s="28"/>
      <c r="B259" s="28"/>
      <c r="C259" s="28"/>
      <c r="D259" s="28"/>
      <c r="E259" s="28"/>
      <c r="F259" s="28"/>
      <c r="G259" s="28"/>
    </row>
    <row r="260">
      <c r="A260" s="28"/>
      <c r="B260" s="28"/>
      <c r="C260" s="28"/>
      <c r="D260" s="28"/>
      <c r="E260" s="28"/>
      <c r="F260" s="28"/>
      <c r="G260" s="28"/>
    </row>
    <row r="261">
      <c r="A261" s="28"/>
      <c r="B261" s="28"/>
      <c r="C261" s="28"/>
      <c r="D261" s="28"/>
      <c r="E261" s="28"/>
      <c r="F261" s="28"/>
      <c r="G261" s="28"/>
    </row>
    <row r="262">
      <c r="A262" s="28"/>
      <c r="B262" s="28"/>
      <c r="C262" s="28"/>
      <c r="D262" s="28"/>
      <c r="E262" s="28"/>
      <c r="F262" s="28"/>
      <c r="G262" s="28"/>
    </row>
    <row r="263">
      <c r="A263" s="28"/>
      <c r="B263" s="28"/>
      <c r="C263" s="28"/>
      <c r="D263" s="28"/>
      <c r="E263" s="28"/>
      <c r="F263" s="28"/>
      <c r="G263" s="28"/>
    </row>
    <row r="264">
      <c r="A264" s="28"/>
      <c r="B264" s="28"/>
      <c r="C264" s="28"/>
      <c r="D264" s="28"/>
      <c r="E264" s="28"/>
      <c r="F264" s="28"/>
      <c r="G264" s="28"/>
    </row>
    <row r="265">
      <c r="A265" s="28"/>
      <c r="B265" s="28"/>
      <c r="C265" s="28"/>
      <c r="D265" s="28"/>
      <c r="E265" s="28"/>
      <c r="F265" s="28"/>
      <c r="G265" s="28"/>
    </row>
    <row r="266">
      <c r="A266" s="28"/>
      <c r="B266" s="28"/>
      <c r="C266" s="28"/>
      <c r="D266" s="28"/>
      <c r="E266" s="28"/>
    </row>
    <row r="267">
      <c r="A267" s="28"/>
      <c r="B267" s="28"/>
      <c r="C267" s="28"/>
      <c r="D267" s="28"/>
      <c r="E267" s="28"/>
    </row>
    <row r="268">
      <c r="A268" s="28"/>
      <c r="B268" s="28"/>
      <c r="C268" s="28"/>
      <c r="D268" s="28"/>
      <c r="E268" s="28"/>
      <c r="F268" s="28"/>
      <c r="G268" s="28"/>
    </row>
    <row r="269">
      <c r="A269" s="28"/>
      <c r="B269" s="28"/>
      <c r="C269" s="28"/>
      <c r="D269" s="28"/>
      <c r="E269" s="28"/>
      <c r="F269" s="28"/>
      <c r="G269" s="28"/>
    </row>
    <row r="270">
      <c r="A270" s="28"/>
      <c r="B270" s="28"/>
      <c r="C270" s="28"/>
      <c r="D270" s="28"/>
      <c r="E270" s="28"/>
      <c r="F270" s="28"/>
      <c r="G270" s="28"/>
    </row>
    <row r="271">
      <c r="A271" s="28"/>
      <c r="B271" s="28"/>
      <c r="C271" s="28"/>
      <c r="D271" s="28"/>
      <c r="E271" s="28"/>
      <c r="F271" s="28"/>
      <c r="G271" s="28"/>
    </row>
    <row r="272">
      <c r="A272" s="28"/>
      <c r="B272" s="28"/>
      <c r="C272" s="28"/>
      <c r="D272" s="28"/>
      <c r="E272" s="28"/>
      <c r="F272" s="28"/>
      <c r="G272" s="28"/>
    </row>
    <row r="273">
      <c r="A273" s="28"/>
      <c r="B273" s="28"/>
      <c r="C273" s="28"/>
      <c r="D273" s="28"/>
      <c r="E273" s="28"/>
      <c r="F273" s="28"/>
      <c r="G273" s="28"/>
    </row>
    <row r="274">
      <c r="A274" s="28"/>
      <c r="B274" s="28"/>
      <c r="C274" s="28"/>
      <c r="D274" s="28"/>
      <c r="E274" s="28"/>
      <c r="F274" s="28"/>
      <c r="G274" s="28"/>
    </row>
    <row r="275">
      <c r="A275" s="28"/>
      <c r="B275" s="28"/>
      <c r="C275" s="28"/>
      <c r="D275" s="28"/>
      <c r="E275" s="28"/>
      <c r="F275" s="28"/>
      <c r="G275" s="28"/>
    </row>
    <row r="276">
      <c r="A276" s="28"/>
      <c r="B276" s="28"/>
      <c r="C276" s="28"/>
      <c r="D276" s="28"/>
      <c r="E276" s="28"/>
      <c r="F276" s="28"/>
      <c r="G276" s="28"/>
    </row>
    <row r="277">
      <c r="A277" s="28"/>
      <c r="B277" s="28"/>
      <c r="C277" s="28"/>
      <c r="D277" s="28"/>
      <c r="E277" s="28"/>
      <c r="F277" s="28"/>
      <c r="G277" s="28"/>
    </row>
    <row r="278">
      <c r="A278" s="28"/>
      <c r="B278" s="28"/>
      <c r="C278" s="28"/>
      <c r="D278" s="28"/>
      <c r="E278" s="28"/>
      <c r="F278" s="28"/>
      <c r="G278" s="28"/>
    </row>
    <row r="279">
      <c r="A279" s="28"/>
      <c r="B279" s="28"/>
      <c r="C279" s="28"/>
      <c r="D279" s="28"/>
      <c r="E279" s="28"/>
      <c r="F279" s="28"/>
      <c r="G279" s="28"/>
    </row>
    <row r="280">
      <c r="A280" s="28"/>
      <c r="B280" s="28"/>
      <c r="C280" s="28"/>
      <c r="D280" s="28"/>
      <c r="E280" s="28"/>
      <c r="F280" s="28"/>
      <c r="G280" s="28"/>
    </row>
    <row r="281">
      <c r="A281" s="28"/>
      <c r="B281" s="28"/>
      <c r="C281" s="28"/>
      <c r="D281" s="28"/>
      <c r="E281" s="28"/>
      <c r="F281" s="28"/>
      <c r="G281" s="28"/>
    </row>
    <row r="282">
      <c r="A282" s="28"/>
      <c r="B282" s="28"/>
      <c r="C282" s="28"/>
      <c r="D282" s="28"/>
      <c r="E282" s="28"/>
      <c r="F282" s="28"/>
      <c r="G282" s="28"/>
    </row>
    <row r="283">
      <c r="A283" s="28"/>
      <c r="B283" s="28"/>
      <c r="C283" s="28"/>
      <c r="D283" s="28"/>
      <c r="E283" s="28"/>
      <c r="F283" s="28"/>
      <c r="G283" s="28"/>
    </row>
    <row r="284">
      <c r="A284" s="28"/>
      <c r="B284" s="28"/>
      <c r="C284" s="28"/>
      <c r="D284" s="28"/>
      <c r="E284" s="28"/>
      <c r="F284" s="28"/>
      <c r="G284" s="28"/>
    </row>
    <row r="285">
      <c r="A285" s="28"/>
      <c r="B285" s="28"/>
      <c r="C285" s="28"/>
      <c r="D285" s="28"/>
      <c r="E285" s="28"/>
      <c r="F285" s="28"/>
      <c r="G285" s="28"/>
    </row>
    <row r="286">
      <c r="A286" s="28"/>
      <c r="B286" s="28"/>
      <c r="C286" s="28"/>
      <c r="D286" s="28"/>
      <c r="E286" s="28"/>
      <c r="F286" s="28"/>
      <c r="G286" s="28"/>
    </row>
    <row r="287">
      <c r="A287" s="28"/>
      <c r="B287" s="28"/>
      <c r="C287" s="28"/>
      <c r="D287" s="28"/>
      <c r="E287" s="28"/>
      <c r="F287" s="28"/>
      <c r="G287" s="28"/>
    </row>
    <row r="288">
      <c r="A288" s="28"/>
      <c r="B288" s="28"/>
      <c r="C288" s="28"/>
      <c r="D288" s="28"/>
      <c r="E288" s="28"/>
      <c r="F288" s="28"/>
      <c r="G288" s="28"/>
    </row>
    <row r="289">
      <c r="A289" s="28"/>
      <c r="B289" s="28"/>
      <c r="C289" s="28"/>
      <c r="D289" s="28"/>
      <c r="E289" s="28"/>
      <c r="F289" s="28"/>
      <c r="G289" s="28"/>
    </row>
    <row r="290">
      <c r="A290" s="28"/>
      <c r="B290" s="28"/>
      <c r="C290" s="28"/>
      <c r="D290" s="28"/>
      <c r="E290" s="28"/>
      <c r="F290" s="28"/>
      <c r="G290" s="28"/>
    </row>
    <row r="291">
      <c r="A291" s="28"/>
      <c r="B291" s="28"/>
      <c r="C291" s="28"/>
      <c r="D291" s="28"/>
      <c r="E291" s="28"/>
      <c r="F291" s="28"/>
      <c r="G291" s="28"/>
    </row>
    <row r="292">
      <c r="A292" s="28"/>
      <c r="B292" s="28"/>
      <c r="C292" s="28"/>
      <c r="D292" s="28"/>
      <c r="E292" s="28"/>
      <c r="F292" s="28"/>
      <c r="G292" s="28"/>
    </row>
    <row r="293">
      <c r="A293" s="28"/>
      <c r="B293" s="28"/>
      <c r="C293" s="28"/>
      <c r="D293" s="28"/>
      <c r="E293" s="28"/>
      <c r="F293" s="28"/>
      <c r="G293" s="28"/>
    </row>
    <row r="294">
      <c r="A294" s="28"/>
      <c r="B294" s="28"/>
      <c r="C294" s="28"/>
      <c r="D294" s="28"/>
      <c r="E294" s="28"/>
      <c r="F294" s="28"/>
      <c r="G294" s="28"/>
    </row>
    <row r="295">
      <c r="A295" s="28"/>
      <c r="B295" s="28"/>
      <c r="C295" s="28"/>
      <c r="D295" s="28"/>
      <c r="E295" s="28"/>
      <c r="F295" s="28"/>
      <c r="G295" s="28"/>
    </row>
    <row r="296">
      <c r="A296" s="28"/>
      <c r="B296" s="28"/>
      <c r="C296" s="28"/>
      <c r="D296" s="28"/>
      <c r="E296" s="28"/>
      <c r="F296" s="28"/>
      <c r="G296" s="28"/>
    </row>
    <row r="297">
      <c r="A297" s="28"/>
      <c r="B297" s="28"/>
      <c r="C297" s="28"/>
      <c r="D297" s="28"/>
      <c r="E297" s="28"/>
      <c r="F297" s="28"/>
      <c r="G297" s="28"/>
    </row>
    <row r="298">
      <c r="A298" s="28"/>
      <c r="B298" s="28"/>
      <c r="C298" s="28"/>
      <c r="D298" s="28"/>
      <c r="E298" s="28"/>
      <c r="F298" s="28"/>
      <c r="G298" s="28"/>
    </row>
    <row r="299">
      <c r="A299" s="28"/>
      <c r="B299" s="28"/>
      <c r="C299" s="28"/>
      <c r="D299" s="28"/>
      <c r="E299" s="28"/>
      <c r="F299" s="28"/>
      <c r="G299" s="28"/>
    </row>
    <row r="300">
      <c r="A300" s="28"/>
      <c r="B300" s="28"/>
      <c r="C300" s="28"/>
      <c r="D300" s="28"/>
      <c r="E300" s="28"/>
      <c r="F300" s="28"/>
      <c r="G300" s="28"/>
    </row>
    <row r="301">
      <c r="A301" s="28"/>
      <c r="B301" s="28"/>
      <c r="C301" s="28"/>
      <c r="D301" s="28"/>
      <c r="E301" s="28"/>
      <c r="F301" s="28"/>
      <c r="G301" s="28"/>
    </row>
    <row r="302">
      <c r="A302" s="28"/>
      <c r="B302" s="28"/>
      <c r="C302" s="28"/>
      <c r="D302" s="28"/>
      <c r="E302" s="28"/>
      <c r="F302" s="28"/>
      <c r="G302" s="28"/>
    </row>
    <row r="303">
      <c r="A303" s="28"/>
      <c r="B303" s="28"/>
      <c r="C303" s="28"/>
      <c r="D303" s="28"/>
      <c r="E303" s="28"/>
      <c r="F303" s="28"/>
      <c r="G303" s="28"/>
    </row>
    <row r="304">
      <c r="A304" s="28"/>
      <c r="B304" s="28"/>
      <c r="C304" s="28"/>
      <c r="D304" s="28"/>
      <c r="E304" s="28"/>
      <c r="F304" s="28"/>
      <c r="G304" s="28"/>
    </row>
    <row r="305">
      <c r="A305" s="28"/>
      <c r="B305" s="28"/>
      <c r="C305" s="28"/>
      <c r="D305" s="28"/>
      <c r="E305" s="28"/>
      <c r="F305" s="28"/>
      <c r="G305" s="28"/>
    </row>
    <row r="306">
      <c r="A306" s="28"/>
      <c r="B306" s="28"/>
      <c r="C306" s="28"/>
      <c r="D306" s="28"/>
      <c r="E306" s="28"/>
      <c r="F306" s="28"/>
      <c r="G306" s="28"/>
    </row>
    <row r="307">
      <c r="A307" s="28"/>
      <c r="B307" s="28"/>
      <c r="C307" s="28"/>
      <c r="D307" s="28"/>
      <c r="E307" s="28"/>
      <c r="F307" s="28"/>
      <c r="G307" s="28"/>
    </row>
    <row r="308">
      <c r="A308" s="28"/>
      <c r="B308" s="28"/>
      <c r="C308" s="28"/>
      <c r="D308" s="28"/>
      <c r="E308" s="28"/>
      <c r="F308" s="28"/>
      <c r="G308" s="28"/>
    </row>
    <row r="309">
      <c r="A309" s="28"/>
      <c r="B309" s="28"/>
      <c r="C309" s="28"/>
      <c r="D309" s="28"/>
      <c r="E309" s="28"/>
      <c r="F309" s="28"/>
      <c r="G309" s="28"/>
    </row>
    <row r="310">
      <c r="A310" s="28"/>
      <c r="B310" s="28"/>
      <c r="C310" s="28"/>
      <c r="D310" s="28"/>
      <c r="E310" s="28"/>
      <c r="F310" s="28"/>
      <c r="G310" s="28"/>
    </row>
    <row r="311">
      <c r="A311" s="28"/>
      <c r="B311" s="28"/>
      <c r="C311" s="28"/>
      <c r="D311" s="28"/>
      <c r="E311" s="28"/>
      <c r="F311" s="28"/>
      <c r="G311" s="28"/>
    </row>
    <row r="312">
      <c r="A312" s="28"/>
      <c r="B312" s="28"/>
      <c r="C312" s="28"/>
      <c r="D312" s="28"/>
      <c r="E312" s="28"/>
      <c r="F312" s="28"/>
      <c r="G312" s="28"/>
    </row>
    <row r="313">
      <c r="A313" s="28"/>
      <c r="B313" s="28"/>
      <c r="C313" s="28"/>
      <c r="D313" s="28"/>
      <c r="E313" s="28"/>
      <c r="F313" s="28"/>
      <c r="G313" s="28"/>
    </row>
    <row r="314">
      <c r="A314" s="28"/>
      <c r="B314" s="28"/>
      <c r="C314" s="28"/>
      <c r="D314" s="28"/>
      <c r="E314" s="28"/>
      <c r="F314" s="28"/>
      <c r="G314" s="28"/>
    </row>
    <row r="315">
      <c r="A315" s="28"/>
      <c r="B315" s="28"/>
      <c r="C315" s="28"/>
      <c r="D315" s="28"/>
      <c r="E315" s="28"/>
      <c r="F315" s="28"/>
      <c r="G315" s="28"/>
    </row>
    <row r="316">
      <c r="A316" s="28"/>
      <c r="B316" s="28"/>
      <c r="C316" s="28"/>
      <c r="D316" s="28"/>
      <c r="E316" s="28"/>
      <c r="F316" s="28"/>
      <c r="G316" s="28"/>
    </row>
    <row r="317">
      <c r="A317" s="28"/>
      <c r="B317" s="28"/>
      <c r="C317" s="28"/>
      <c r="D317" s="28"/>
      <c r="E317" s="28"/>
      <c r="F317" s="28"/>
      <c r="G317" s="28"/>
    </row>
    <row r="318">
      <c r="A318" s="28"/>
      <c r="B318" s="28"/>
      <c r="C318" s="28"/>
      <c r="D318" s="28"/>
      <c r="E318" s="28"/>
      <c r="F318" s="28"/>
      <c r="G318" s="28"/>
    </row>
    <row r="319">
      <c r="A319" s="28"/>
      <c r="B319" s="28"/>
      <c r="C319" s="28"/>
      <c r="D319" s="28"/>
      <c r="E319" s="28"/>
      <c r="F319" s="28"/>
      <c r="G319" s="28"/>
    </row>
    <row r="320">
      <c r="A320" s="28"/>
      <c r="B320" s="28"/>
      <c r="C320" s="28"/>
      <c r="D320" s="28"/>
      <c r="E320" s="28"/>
      <c r="F320" s="28"/>
      <c r="G320" s="28"/>
    </row>
    <row r="321">
      <c r="A321" s="28"/>
      <c r="B321" s="28"/>
      <c r="C321" s="28"/>
      <c r="D321" s="28"/>
      <c r="E321" s="28"/>
      <c r="F321" s="28"/>
      <c r="G321" s="28"/>
    </row>
    <row r="322">
      <c r="A322" s="28"/>
      <c r="B322" s="28"/>
      <c r="C322" s="28"/>
      <c r="D322" s="28"/>
      <c r="E322" s="28"/>
      <c r="F322" s="28"/>
      <c r="G322" s="28"/>
    </row>
    <row r="323">
      <c r="A323" s="28"/>
      <c r="B323" s="28"/>
      <c r="C323" s="28"/>
      <c r="D323" s="28"/>
      <c r="E323" s="28"/>
      <c r="F323" s="28"/>
      <c r="G323" s="28"/>
    </row>
    <row r="324">
      <c r="A324" s="28"/>
      <c r="B324" s="28"/>
      <c r="C324" s="28"/>
      <c r="D324" s="28"/>
      <c r="E324" s="28"/>
      <c r="F324" s="28"/>
      <c r="G324" s="28"/>
    </row>
    <row r="325">
      <c r="A325" s="28"/>
      <c r="B325" s="28"/>
      <c r="C325" s="28"/>
      <c r="D325" s="28"/>
      <c r="E325" s="28"/>
      <c r="F325" s="28"/>
      <c r="G325" s="28"/>
    </row>
    <row r="326">
      <c r="A326" s="28"/>
      <c r="B326" s="28"/>
      <c r="C326" s="28"/>
      <c r="D326" s="28"/>
      <c r="E326" s="28"/>
      <c r="F326" s="28"/>
      <c r="G326" s="28"/>
    </row>
    <row r="327">
      <c r="A327" s="28"/>
      <c r="B327" s="28"/>
      <c r="C327" s="28"/>
      <c r="D327" s="28"/>
      <c r="E327" s="28"/>
      <c r="F327" s="28"/>
      <c r="G327" s="28"/>
    </row>
    <row r="328">
      <c r="A328" s="28"/>
      <c r="B328" s="28"/>
      <c r="C328" s="28"/>
      <c r="D328" s="28"/>
      <c r="E328" s="28"/>
      <c r="F328" s="28"/>
      <c r="G328" s="28"/>
    </row>
    <row r="329">
      <c r="A329" s="28"/>
      <c r="B329" s="28"/>
      <c r="C329" s="28"/>
      <c r="D329" s="28"/>
      <c r="E329" s="28"/>
      <c r="F329" s="28"/>
      <c r="G329" s="28"/>
    </row>
    <row r="330">
      <c r="A330" s="28"/>
      <c r="B330" s="28"/>
      <c r="C330" s="28"/>
      <c r="D330" s="28"/>
      <c r="E330" s="28"/>
      <c r="F330" s="28"/>
      <c r="G330" s="28"/>
    </row>
    <row r="331">
      <c r="A331" s="28"/>
      <c r="B331" s="28"/>
      <c r="C331" s="28"/>
      <c r="D331" s="28"/>
      <c r="E331" s="28"/>
      <c r="F331" s="28"/>
      <c r="G331" s="28"/>
    </row>
    <row r="332">
      <c r="A332" s="28"/>
      <c r="B332" s="28"/>
      <c r="C332" s="28"/>
      <c r="D332" s="28"/>
      <c r="E332" s="28"/>
      <c r="F332" s="28"/>
      <c r="G332" s="28"/>
    </row>
    <row r="333">
      <c r="A333" s="28"/>
      <c r="B333" s="28"/>
      <c r="C333" s="28"/>
      <c r="D333" s="28"/>
      <c r="E333" s="28"/>
      <c r="F333" s="28"/>
      <c r="G333" s="28"/>
    </row>
    <row r="334">
      <c r="A334" s="28"/>
      <c r="B334" s="28"/>
      <c r="C334" s="28"/>
      <c r="D334" s="28"/>
      <c r="E334" s="28"/>
      <c r="F334" s="28"/>
      <c r="G334" s="28"/>
    </row>
    <row r="335">
      <c r="A335" s="28"/>
      <c r="B335" s="28"/>
      <c r="C335" s="28"/>
      <c r="D335" s="28"/>
      <c r="E335" s="28"/>
      <c r="F335" s="28"/>
      <c r="G335" s="28"/>
    </row>
    <row r="336">
      <c r="A336" s="28"/>
      <c r="B336" s="28"/>
      <c r="C336" s="28"/>
      <c r="D336" s="28"/>
      <c r="E336" s="28"/>
      <c r="F336" s="28"/>
      <c r="G336" s="28"/>
    </row>
    <row r="337">
      <c r="A337" s="28"/>
      <c r="B337" s="28"/>
      <c r="C337" s="28"/>
      <c r="D337" s="28"/>
      <c r="E337" s="28"/>
      <c r="F337" s="28"/>
      <c r="G337" s="28"/>
    </row>
    <row r="338">
      <c r="A338" s="28"/>
      <c r="B338" s="28"/>
      <c r="C338" s="28"/>
      <c r="D338" s="28"/>
      <c r="E338" s="28"/>
      <c r="F338" s="28"/>
      <c r="G338" s="28"/>
    </row>
    <row r="339">
      <c r="A339" s="28"/>
      <c r="B339" s="28"/>
      <c r="C339" s="28"/>
      <c r="D339" s="28"/>
      <c r="E339" s="28"/>
      <c r="F339" s="28"/>
      <c r="G339" s="28"/>
    </row>
    <row r="340">
      <c r="A340" s="28"/>
      <c r="B340" s="28"/>
      <c r="C340" s="28"/>
      <c r="D340" s="28"/>
      <c r="E340" s="28"/>
      <c r="F340" s="28"/>
      <c r="G340" s="28"/>
    </row>
    <row r="341">
      <c r="A341" s="28"/>
      <c r="B341" s="28"/>
      <c r="C341" s="28"/>
      <c r="D341" s="28"/>
      <c r="E341" s="28"/>
      <c r="F341" s="28"/>
      <c r="G341" s="28"/>
    </row>
    <row r="342">
      <c r="A342" s="28"/>
      <c r="B342" s="28"/>
      <c r="C342" s="28"/>
      <c r="D342" s="28"/>
      <c r="E342" s="28"/>
      <c r="F342" s="28"/>
      <c r="G342" s="28"/>
    </row>
    <row r="343">
      <c r="A343" s="28"/>
      <c r="B343" s="28"/>
      <c r="C343" s="28"/>
      <c r="D343" s="28"/>
      <c r="E343" s="28"/>
      <c r="F343" s="28"/>
      <c r="G343" s="28"/>
    </row>
    <row r="344">
      <c r="A344" s="28"/>
      <c r="B344" s="28"/>
      <c r="C344" s="28"/>
      <c r="D344" s="28"/>
      <c r="E344" s="28"/>
      <c r="F344" s="28"/>
      <c r="G344" s="28"/>
    </row>
    <row r="345">
      <c r="A345" s="28"/>
      <c r="B345" s="28"/>
      <c r="C345" s="28"/>
      <c r="D345" s="28"/>
      <c r="E345" s="28"/>
      <c r="F345" s="28"/>
      <c r="G345" s="28"/>
    </row>
    <row r="346">
      <c r="A346" s="28"/>
      <c r="B346" s="28"/>
      <c r="C346" s="28"/>
      <c r="D346" s="28"/>
      <c r="E346" s="28"/>
      <c r="F346" s="28"/>
      <c r="G346" s="28"/>
    </row>
    <row r="347">
      <c r="A347" s="28"/>
      <c r="B347" s="28"/>
      <c r="C347" s="28"/>
      <c r="D347" s="28"/>
      <c r="E347" s="28"/>
      <c r="F347" s="28"/>
      <c r="G347" s="28"/>
    </row>
    <row r="348">
      <c r="A348" s="28"/>
      <c r="B348" s="28"/>
      <c r="C348" s="28"/>
      <c r="D348" s="28"/>
      <c r="E348" s="28"/>
      <c r="F348" s="28"/>
      <c r="G348" s="28"/>
    </row>
    <row r="349">
      <c r="A349" s="28"/>
      <c r="B349" s="28"/>
      <c r="C349" s="28"/>
      <c r="D349" s="28"/>
      <c r="E349" s="28"/>
      <c r="F349" s="28"/>
      <c r="G349" s="28"/>
    </row>
    <row r="350">
      <c r="A350" s="28"/>
      <c r="B350" s="28"/>
      <c r="C350" s="28"/>
      <c r="D350" s="28"/>
      <c r="E350" s="28"/>
      <c r="F350" s="28"/>
      <c r="G350" s="28"/>
    </row>
    <row r="351">
      <c r="A351" s="28"/>
      <c r="B351" s="28"/>
      <c r="C351" s="28"/>
      <c r="D351" s="28"/>
      <c r="E351" s="28"/>
      <c r="F351" s="28"/>
      <c r="G351" s="28"/>
    </row>
    <row r="352">
      <c r="A352" s="28"/>
      <c r="B352" s="28"/>
      <c r="C352" s="28"/>
      <c r="D352" s="28"/>
      <c r="E352" s="28"/>
      <c r="F352" s="28"/>
      <c r="G352" s="28"/>
    </row>
    <row r="353">
      <c r="A353" s="28"/>
      <c r="B353" s="28"/>
      <c r="C353" s="28"/>
      <c r="D353" s="28"/>
      <c r="E353" s="28"/>
      <c r="F353" s="28"/>
      <c r="G353" s="28"/>
    </row>
    <row r="354">
      <c r="A354" s="28"/>
      <c r="B354" s="28"/>
      <c r="C354" s="28"/>
      <c r="D354" s="28"/>
      <c r="E354" s="28"/>
      <c r="F354" s="28"/>
      <c r="G354" s="28"/>
    </row>
    <row r="355">
      <c r="A355" s="28"/>
      <c r="B355" s="28"/>
      <c r="C355" s="28"/>
      <c r="D355" s="28"/>
      <c r="E355" s="28"/>
      <c r="F355" s="28"/>
      <c r="G355" s="28"/>
    </row>
    <row r="356">
      <c r="A356" s="28"/>
      <c r="B356" s="28"/>
      <c r="C356" s="28"/>
      <c r="D356" s="28"/>
      <c r="E356" s="28"/>
      <c r="F356" s="28"/>
      <c r="G356" s="28"/>
    </row>
    <row r="357">
      <c r="A357" s="28"/>
      <c r="B357" s="28"/>
      <c r="C357" s="28"/>
      <c r="D357" s="28"/>
      <c r="E357" s="28"/>
      <c r="F357" s="28"/>
      <c r="G357" s="28"/>
    </row>
    <row r="358">
      <c r="A358" s="28"/>
      <c r="B358" s="28"/>
      <c r="C358" s="28"/>
      <c r="D358" s="28"/>
      <c r="E358" s="28"/>
      <c r="F358" s="28"/>
      <c r="G358" s="28"/>
    </row>
    <row r="359">
      <c r="A359" s="28"/>
      <c r="B359" s="28"/>
      <c r="C359" s="28"/>
      <c r="D359" s="28"/>
      <c r="E359" s="28"/>
      <c r="F359" s="28"/>
      <c r="G359" s="28"/>
    </row>
    <row r="360">
      <c r="A360" s="28"/>
      <c r="B360" s="28"/>
      <c r="C360" s="28"/>
      <c r="D360" s="28"/>
      <c r="E360" s="28"/>
      <c r="F360" s="28"/>
      <c r="G360" s="28"/>
    </row>
    <row r="361">
      <c r="A361" s="28"/>
      <c r="B361" s="28"/>
      <c r="C361" s="28"/>
      <c r="D361" s="28"/>
      <c r="E361" s="28"/>
      <c r="F361" s="28"/>
      <c r="G361" s="28"/>
    </row>
    <row r="362">
      <c r="A362" s="28"/>
      <c r="B362" s="28"/>
      <c r="C362" s="28"/>
      <c r="D362" s="28"/>
      <c r="E362" s="28"/>
      <c r="F362" s="28"/>
      <c r="G362" s="28"/>
    </row>
    <row r="363">
      <c r="A363" s="28"/>
      <c r="B363" s="28"/>
      <c r="C363" s="28"/>
      <c r="D363" s="28"/>
      <c r="E363" s="28"/>
      <c r="F363" s="28"/>
      <c r="G363" s="28"/>
    </row>
    <row r="364">
      <c r="A364" s="28"/>
      <c r="B364" s="28"/>
      <c r="C364" s="28"/>
      <c r="D364" s="28"/>
      <c r="E364" s="28"/>
      <c r="F364" s="28"/>
      <c r="G364" s="28"/>
    </row>
    <row r="365">
      <c r="A365" s="28"/>
      <c r="B365" s="28"/>
      <c r="C365" s="28"/>
      <c r="D365" s="28"/>
      <c r="E365" s="28"/>
      <c r="F365" s="28"/>
      <c r="G365" s="28"/>
    </row>
    <row r="366">
      <c r="A366" s="28"/>
      <c r="B366" s="28"/>
      <c r="C366" s="28"/>
      <c r="D366" s="28"/>
      <c r="E366" s="28"/>
      <c r="F366" s="28"/>
      <c r="G366" s="28"/>
    </row>
    <row r="367">
      <c r="A367" s="28"/>
      <c r="B367" s="28"/>
      <c r="C367" s="28"/>
      <c r="D367" s="28"/>
      <c r="E367" s="28"/>
      <c r="F367" s="28"/>
      <c r="G367" s="28"/>
    </row>
    <row r="368">
      <c r="A368" s="28"/>
      <c r="B368" s="28"/>
      <c r="C368" s="28"/>
      <c r="D368" s="28"/>
      <c r="E368" s="28"/>
      <c r="F368" s="28"/>
      <c r="G368" s="28"/>
    </row>
    <row r="369">
      <c r="A369" s="28"/>
      <c r="B369" s="28"/>
      <c r="C369" s="28"/>
      <c r="D369" s="28"/>
      <c r="E369" s="28"/>
      <c r="F369" s="28"/>
      <c r="G369" s="28"/>
    </row>
    <row r="370">
      <c r="A370" s="28"/>
      <c r="B370" s="28"/>
      <c r="C370" s="28"/>
      <c r="D370" s="28"/>
      <c r="E370" s="28"/>
      <c r="F370" s="28"/>
      <c r="G370" s="28"/>
    </row>
    <row r="371">
      <c r="A371" s="28"/>
      <c r="B371" s="28"/>
      <c r="C371" s="28"/>
      <c r="D371" s="28"/>
      <c r="E371" s="28"/>
      <c r="F371" s="28"/>
      <c r="G371" s="28"/>
    </row>
    <row r="372">
      <c r="A372" s="28"/>
      <c r="B372" s="28"/>
      <c r="C372" s="28"/>
      <c r="D372" s="28"/>
      <c r="E372" s="28"/>
      <c r="F372" s="28"/>
      <c r="G372" s="28"/>
    </row>
    <row r="373">
      <c r="A373" s="28"/>
      <c r="B373" s="28"/>
      <c r="C373" s="28"/>
      <c r="D373" s="28"/>
      <c r="E373" s="28"/>
      <c r="F373" s="28"/>
      <c r="G373" s="28"/>
    </row>
    <row r="374">
      <c r="A374" s="28"/>
      <c r="B374" s="28"/>
      <c r="C374" s="28"/>
      <c r="D374" s="28"/>
      <c r="E374" s="28"/>
      <c r="F374" s="28"/>
      <c r="G374" s="28"/>
    </row>
    <row r="375">
      <c r="A375" s="28"/>
      <c r="B375" s="28"/>
      <c r="C375" s="28"/>
      <c r="D375" s="28"/>
      <c r="E375" s="28"/>
      <c r="F375" s="28"/>
      <c r="G375" s="28"/>
    </row>
    <row r="376">
      <c r="A376" s="28"/>
      <c r="B376" s="28"/>
      <c r="C376" s="28"/>
      <c r="D376" s="28"/>
      <c r="E376" s="28"/>
      <c r="F376" s="28"/>
      <c r="G376" s="28"/>
    </row>
    <row r="377">
      <c r="A377" s="28"/>
      <c r="B377" s="28"/>
      <c r="C377" s="28"/>
      <c r="D377" s="28"/>
      <c r="E377" s="28"/>
      <c r="F377" s="28"/>
      <c r="G377" s="28"/>
    </row>
    <row r="378">
      <c r="A378" s="28"/>
      <c r="B378" s="28"/>
      <c r="C378" s="28"/>
      <c r="D378" s="28"/>
      <c r="E378" s="28"/>
      <c r="F378" s="28"/>
      <c r="G378" s="28"/>
    </row>
    <row r="379">
      <c r="A379" s="28"/>
      <c r="B379" s="28"/>
      <c r="C379" s="28"/>
      <c r="D379" s="28"/>
      <c r="E379" s="28"/>
      <c r="F379" s="28"/>
      <c r="G379" s="28"/>
    </row>
    <row r="380">
      <c r="A380" s="28"/>
      <c r="B380" s="28"/>
      <c r="C380" s="28"/>
      <c r="D380" s="28"/>
      <c r="E380" s="28"/>
      <c r="F380" s="28"/>
      <c r="G380" s="28"/>
    </row>
    <row r="381">
      <c r="A381" s="28"/>
      <c r="B381" s="28"/>
      <c r="C381" s="28"/>
      <c r="D381" s="28"/>
      <c r="E381" s="28"/>
      <c r="F381" s="28"/>
      <c r="G381" s="28"/>
    </row>
    <row r="382">
      <c r="A382" s="28"/>
      <c r="B382" s="28"/>
      <c r="C382" s="28"/>
      <c r="D382" s="28"/>
      <c r="E382" s="28"/>
      <c r="F382" s="28"/>
      <c r="G382" s="28"/>
    </row>
    <row r="383">
      <c r="A383" s="28"/>
      <c r="B383" s="28"/>
      <c r="C383" s="28"/>
      <c r="D383" s="28"/>
      <c r="E383" s="28"/>
      <c r="F383" s="28"/>
      <c r="G383" s="28"/>
    </row>
    <row r="384">
      <c r="A384" s="28"/>
      <c r="B384" s="28"/>
      <c r="C384" s="28"/>
      <c r="D384" s="28"/>
      <c r="E384" s="28"/>
      <c r="F384" s="28"/>
      <c r="G384" s="28"/>
    </row>
    <row r="385">
      <c r="A385" s="28"/>
      <c r="B385" s="28"/>
      <c r="C385" s="28"/>
      <c r="D385" s="28"/>
      <c r="E385" s="28"/>
      <c r="F385" s="28"/>
      <c r="G385" s="28"/>
    </row>
    <row r="386">
      <c r="A386" s="28"/>
      <c r="B386" s="28"/>
      <c r="C386" s="28"/>
      <c r="D386" s="28"/>
      <c r="E386" s="28"/>
      <c r="F386" s="28"/>
      <c r="G386" s="28"/>
    </row>
    <row r="387">
      <c r="A387" s="28"/>
      <c r="B387" s="28"/>
      <c r="C387" s="28"/>
      <c r="D387" s="28"/>
      <c r="E387" s="28"/>
      <c r="F387" s="28"/>
      <c r="G387" s="28"/>
    </row>
    <row r="388">
      <c r="A388" s="28"/>
      <c r="B388" s="28"/>
      <c r="C388" s="28"/>
      <c r="D388" s="28"/>
      <c r="E388" s="28"/>
      <c r="F388" s="28"/>
      <c r="G388" s="28"/>
    </row>
    <row r="389">
      <c r="A389" s="28"/>
      <c r="B389" s="28"/>
      <c r="C389" s="28"/>
      <c r="D389" s="28"/>
      <c r="E389" s="28"/>
      <c r="F389" s="28"/>
      <c r="G389" s="28"/>
    </row>
    <row r="390">
      <c r="A390" s="28"/>
      <c r="B390" s="28"/>
      <c r="C390" s="28"/>
      <c r="D390" s="28"/>
      <c r="E390" s="28"/>
      <c r="F390" s="28"/>
      <c r="G390" s="28"/>
    </row>
    <row r="391">
      <c r="A391" s="28"/>
      <c r="B391" s="28"/>
      <c r="C391" s="28"/>
      <c r="D391" s="28"/>
      <c r="E391" s="28"/>
      <c r="F391" s="28"/>
      <c r="G391" s="28"/>
    </row>
    <row r="392">
      <c r="A392" s="28"/>
      <c r="B392" s="28"/>
      <c r="C392" s="28"/>
      <c r="D392" s="28"/>
      <c r="E392" s="28"/>
      <c r="F392" s="28"/>
      <c r="G392" s="28"/>
    </row>
    <row r="393">
      <c r="A393" s="28"/>
      <c r="B393" s="28"/>
      <c r="C393" s="28"/>
      <c r="D393" s="28"/>
      <c r="E393" s="28"/>
      <c r="F393" s="28"/>
      <c r="G393" s="28"/>
    </row>
    <row r="394">
      <c r="A394" s="28"/>
      <c r="B394" s="28"/>
      <c r="C394" s="28"/>
      <c r="D394" s="28"/>
      <c r="E394" s="28"/>
      <c r="F394" s="28"/>
      <c r="G394" s="28"/>
    </row>
    <row r="395">
      <c r="A395" s="28"/>
      <c r="B395" s="28"/>
      <c r="C395" s="28"/>
      <c r="D395" s="28"/>
      <c r="E395" s="28"/>
      <c r="F395" s="28"/>
      <c r="G395" s="28"/>
    </row>
    <row r="396">
      <c r="A396" s="28"/>
      <c r="B396" s="28"/>
      <c r="C396" s="28"/>
      <c r="D396" s="28"/>
      <c r="E396" s="28"/>
      <c r="F396" s="28"/>
      <c r="G396" s="28"/>
    </row>
    <row r="397">
      <c r="A397" s="28"/>
      <c r="B397" s="28"/>
      <c r="C397" s="28"/>
      <c r="D397" s="28"/>
      <c r="E397" s="28"/>
      <c r="F397" s="28"/>
      <c r="G397" s="28"/>
    </row>
    <row r="398">
      <c r="A398" s="28"/>
      <c r="B398" s="28"/>
      <c r="C398" s="28"/>
      <c r="D398" s="28"/>
      <c r="E398" s="28"/>
      <c r="F398" s="28"/>
      <c r="G398" s="28"/>
    </row>
    <row r="399">
      <c r="A399" s="28"/>
      <c r="B399" s="28"/>
      <c r="C399" s="28"/>
      <c r="D399" s="28"/>
      <c r="E399" s="28"/>
      <c r="F399" s="28"/>
      <c r="G399" s="28"/>
    </row>
    <row r="400">
      <c r="A400" s="28"/>
      <c r="B400" s="28"/>
      <c r="C400" s="28"/>
      <c r="D400" s="28"/>
      <c r="E400" s="28"/>
      <c r="F400" s="28"/>
      <c r="G400" s="28"/>
    </row>
    <row r="401">
      <c r="A401" s="28"/>
      <c r="B401" s="28"/>
      <c r="C401" s="28"/>
      <c r="D401" s="28"/>
      <c r="E401" s="28"/>
      <c r="F401" s="28"/>
      <c r="G401" s="28"/>
    </row>
    <row r="402">
      <c r="A402" s="28"/>
      <c r="B402" s="28"/>
      <c r="C402" s="28"/>
      <c r="D402" s="28"/>
      <c r="E402" s="28"/>
      <c r="F402" s="28"/>
      <c r="G402" s="28"/>
    </row>
    <row r="403">
      <c r="A403" s="28"/>
      <c r="B403" s="28"/>
      <c r="C403" s="28"/>
      <c r="D403" s="28"/>
      <c r="E403" s="28"/>
      <c r="F403" s="28"/>
      <c r="G403" s="28"/>
    </row>
    <row r="404">
      <c r="A404" s="28"/>
      <c r="B404" s="28"/>
      <c r="C404" s="28"/>
      <c r="D404" s="28"/>
      <c r="E404" s="28"/>
      <c r="F404" s="28"/>
      <c r="G404" s="28"/>
    </row>
    <row r="405">
      <c r="A405" s="28"/>
      <c r="B405" s="28"/>
      <c r="C405" s="28"/>
      <c r="D405" s="28"/>
      <c r="E405" s="28"/>
      <c r="F405" s="28"/>
      <c r="G405" s="28"/>
    </row>
    <row r="406">
      <c r="A406" s="28"/>
      <c r="B406" s="28"/>
      <c r="C406" s="28"/>
      <c r="D406" s="28"/>
      <c r="E406" s="28"/>
      <c r="F406" s="28"/>
      <c r="G406" s="28"/>
    </row>
    <row r="407">
      <c r="A407" s="28"/>
      <c r="B407" s="28"/>
      <c r="C407" s="28"/>
      <c r="D407" s="28"/>
      <c r="E407" s="28"/>
      <c r="F407" s="28"/>
      <c r="G407" s="28"/>
    </row>
    <row r="408">
      <c r="A408" s="28"/>
      <c r="B408" s="28"/>
      <c r="C408" s="28"/>
      <c r="D408" s="28"/>
      <c r="E408" s="28"/>
      <c r="F408" s="28"/>
      <c r="G408" s="28"/>
    </row>
    <row r="409">
      <c r="A409" s="28"/>
      <c r="B409" s="28"/>
      <c r="C409" s="28"/>
      <c r="D409" s="28"/>
      <c r="E409" s="28"/>
      <c r="F409" s="28"/>
      <c r="G409" s="28"/>
    </row>
    <row r="410">
      <c r="A410" s="28"/>
      <c r="B410" s="28"/>
      <c r="C410" s="28"/>
      <c r="D410" s="28"/>
      <c r="E410" s="28"/>
      <c r="F410" s="28"/>
      <c r="G410" s="28"/>
    </row>
    <row r="411">
      <c r="A411" s="28"/>
      <c r="B411" s="28"/>
      <c r="C411" s="28"/>
      <c r="D411" s="28"/>
      <c r="E411" s="28"/>
      <c r="F411" s="28"/>
      <c r="G411" s="28"/>
    </row>
    <row r="412">
      <c r="A412" s="28"/>
      <c r="B412" s="28"/>
      <c r="C412" s="28"/>
      <c r="D412" s="28"/>
      <c r="E412" s="28"/>
      <c r="F412" s="28"/>
      <c r="G412" s="28"/>
    </row>
    <row r="413">
      <c r="A413" s="28"/>
      <c r="B413" s="28"/>
      <c r="C413" s="28"/>
      <c r="D413" s="28"/>
      <c r="E413" s="28"/>
      <c r="F413" s="28"/>
      <c r="G413" s="28"/>
    </row>
    <row r="414">
      <c r="A414" s="28"/>
      <c r="B414" s="28"/>
      <c r="C414" s="28"/>
      <c r="D414" s="28"/>
      <c r="E414" s="28"/>
      <c r="F414" s="28"/>
      <c r="G414" s="28"/>
    </row>
    <row r="415">
      <c r="A415" s="28"/>
      <c r="B415" s="28"/>
      <c r="C415" s="28"/>
      <c r="D415" s="28"/>
      <c r="E415" s="28"/>
      <c r="F415" s="28"/>
      <c r="G415" s="28"/>
    </row>
    <row r="416">
      <c r="A416" s="28"/>
      <c r="B416" s="28"/>
      <c r="C416" s="28"/>
      <c r="D416" s="28"/>
      <c r="E416" s="28"/>
      <c r="F416" s="28"/>
      <c r="G416" s="28"/>
    </row>
    <row r="417">
      <c r="A417" s="28"/>
      <c r="B417" s="28"/>
      <c r="C417" s="28"/>
      <c r="D417" s="28"/>
      <c r="E417" s="28"/>
      <c r="F417" s="28"/>
      <c r="G417" s="28"/>
    </row>
    <row r="418">
      <c r="A418" s="28"/>
      <c r="B418" s="28"/>
      <c r="C418" s="28"/>
      <c r="D418" s="28"/>
      <c r="E418" s="28"/>
      <c r="F418" s="28"/>
      <c r="G418" s="28"/>
    </row>
    <row r="419">
      <c r="A419" s="28"/>
      <c r="B419" s="28"/>
      <c r="C419" s="28"/>
      <c r="D419" s="28"/>
      <c r="E419" s="28"/>
      <c r="F419" s="28"/>
      <c r="G419" s="28"/>
    </row>
    <row r="420">
      <c r="A420" s="28"/>
      <c r="B420" s="28"/>
      <c r="C420" s="28"/>
      <c r="D420" s="28"/>
      <c r="E420" s="28"/>
      <c r="F420" s="28"/>
      <c r="G420" s="28"/>
    </row>
    <row r="421">
      <c r="A421" s="28"/>
      <c r="B421" s="28"/>
      <c r="C421" s="28"/>
      <c r="D421" s="28"/>
      <c r="E421" s="28"/>
      <c r="F421" s="28"/>
      <c r="G421" s="28"/>
    </row>
    <row r="422">
      <c r="A422" s="28"/>
      <c r="B422" s="28"/>
      <c r="C422" s="28"/>
      <c r="D422" s="28"/>
      <c r="E422" s="28"/>
      <c r="F422" s="28"/>
      <c r="G422" s="28"/>
    </row>
    <row r="423">
      <c r="A423" s="28"/>
      <c r="B423" s="28"/>
      <c r="C423" s="28"/>
      <c r="D423" s="28"/>
      <c r="E423" s="28"/>
      <c r="F423" s="28"/>
      <c r="G423" s="28"/>
    </row>
    <row r="424">
      <c r="A424" s="28"/>
      <c r="B424" s="28"/>
      <c r="C424" s="28"/>
      <c r="D424" s="28"/>
      <c r="E424" s="28"/>
      <c r="F424" s="28"/>
      <c r="G424" s="28"/>
    </row>
    <row r="425">
      <c r="A425" s="28"/>
      <c r="B425" s="28"/>
      <c r="C425" s="28"/>
      <c r="D425" s="28"/>
      <c r="E425" s="28"/>
      <c r="F425" s="28"/>
      <c r="G425" s="28"/>
    </row>
    <row r="426">
      <c r="A426" s="28"/>
      <c r="B426" s="28"/>
      <c r="C426" s="28"/>
      <c r="D426" s="28"/>
      <c r="E426" s="28"/>
      <c r="F426" s="28"/>
      <c r="G426" s="28"/>
    </row>
    <row r="427">
      <c r="A427" s="28"/>
      <c r="B427" s="28"/>
      <c r="C427" s="28"/>
      <c r="D427" s="28"/>
      <c r="E427" s="28"/>
      <c r="F427" s="28"/>
      <c r="G427" s="28"/>
    </row>
    <row r="428">
      <c r="A428" s="28"/>
      <c r="B428" s="28"/>
      <c r="C428" s="28"/>
      <c r="D428" s="28"/>
      <c r="E428" s="28"/>
      <c r="F428" s="28"/>
      <c r="G428" s="28"/>
    </row>
    <row r="429">
      <c r="A429" s="28"/>
      <c r="B429" s="28"/>
      <c r="C429" s="28"/>
      <c r="D429" s="28"/>
      <c r="E429" s="28"/>
      <c r="F429" s="28"/>
      <c r="G429" s="28"/>
    </row>
    <row r="430">
      <c r="A430" s="28"/>
      <c r="B430" s="28"/>
      <c r="C430" s="28"/>
      <c r="D430" s="28"/>
      <c r="E430" s="28"/>
      <c r="F430" s="28"/>
      <c r="G430" s="28"/>
    </row>
    <row r="431">
      <c r="A431" s="28"/>
      <c r="B431" s="28"/>
      <c r="C431" s="28"/>
      <c r="D431" s="28"/>
      <c r="E431" s="28"/>
      <c r="F431" s="28"/>
      <c r="G431" s="28"/>
    </row>
    <row r="432">
      <c r="A432" s="28"/>
      <c r="B432" s="28"/>
      <c r="C432" s="28"/>
      <c r="D432" s="28"/>
      <c r="E432" s="28"/>
      <c r="F432" s="28"/>
      <c r="G432" s="28"/>
    </row>
    <row r="433">
      <c r="A433" s="28"/>
      <c r="B433" s="28"/>
      <c r="C433" s="28"/>
      <c r="D433" s="28"/>
      <c r="E433" s="28"/>
      <c r="F433" s="28"/>
      <c r="G433" s="28"/>
    </row>
    <row r="434">
      <c r="A434" s="28"/>
      <c r="B434" s="28"/>
      <c r="C434" s="28"/>
      <c r="D434" s="28"/>
      <c r="E434" s="28"/>
      <c r="F434" s="28"/>
      <c r="G434" s="28"/>
    </row>
    <row r="435">
      <c r="A435" s="28"/>
      <c r="B435" s="28"/>
      <c r="C435" s="28"/>
      <c r="D435" s="28"/>
      <c r="E435" s="28"/>
      <c r="F435" s="28"/>
      <c r="G435" s="28"/>
    </row>
    <row r="436">
      <c r="A436" s="28"/>
      <c r="B436" s="28"/>
      <c r="C436" s="28"/>
      <c r="D436" s="28"/>
      <c r="E436" s="28"/>
      <c r="F436" s="28"/>
      <c r="G436" s="28"/>
    </row>
    <row r="437">
      <c r="A437" s="28"/>
      <c r="B437" s="28"/>
      <c r="C437" s="28"/>
      <c r="D437" s="28"/>
      <c r="E437" s="28"/>
      <c r="F437" s="28"/>
      <c r="G437" s="28"/>
    </row>
    <row r="438">
      <c r="A438" s="28"/>
      <c r="B438" s="28"/>
      <c r="C438" s="28"/>
      <c r="D438" s="28"/>
      <c r="E438" s="28"/>
      <c r="F438" s="28"/>
      <c r="G438" s="28"/>
    </row>
    <row r="439">
      <c r="A439" s="28"/>
      <c r="B439" s="28"/>
      <c r="C439" s="28"/>
      <c r="D439" s="28"/>
      <c r="E439" s="28"/>
      <c r="F439" s="28"/>
      <c r="G439" s="28"/>
    </row>
    <row r="440">
      <c r="A440" s="28"/>
      <c r="B440" s="28"/>
      <c r="C440" s="28"/>
      <c r="D440" s="28"/>
      <c r="E440" s="28"/>
      <c r="F440" s="28"/>
      <c r="G440" s="28"/>
    </row>
    <row r="441">
      <c r="A441" s="28"/>
      <c r="B441" s="28"/>
      <c r="C441" s="28"/>
      <c r="D441" s="28"/>
      <c r="E441" s="28"/>
      <c r="F441" s="28"/>
      <c r="G441" s="28"/>
    </row>
    <row r="442">
      <c r="A442" s="28"/>
      <c r="B442" s="28"/>
      <c r="C442" s="28"/>
      <c r="D442" s="28"/>
      <c r="E442" s="28"/>
      <c r="F442" s="28"/>
      <c r="G442" s="28"/>
    </row>
    <row r="443">
      <c r="A443" s="28"/>
      <c r="B443" s="28"/>
      <c r="C443" s="28"/>
      <c r="D443" s="28"/>
      <c r="E443" s="28"/>
      <c r="F443" s="28"/>
      <c r="G443" s="28"/>
    </row>
    <row r="444">
      <c r="A444" s="28"/>
      <c r="B444" s="28"/>
      <c r="C444" s="28"/>
      <c r="D444" s="28"/>
      <c r="E444" s="28"/>
      <c r="F444" s="28"/>
      <c r="G444" s="28"/>
    </row>
    <row r="445">
      <c r="A445" s="28"/>
      <c r="B445" s="28"/>
      <c r="C445" s="28"/>
      <c r="D445" s="28"/>
      <c r="E445" s="28"/>
      <c r="F445" s="28"/>
      <c r="G445" s="28"/>
    </row>
    <row r="446">
      <c r="A446" s="28"/>
      <c r="B446" s="28"/>
      <c r="C446" s="28"/>
      <c r="D446" s="28"/>
      <c r="E446" s="28"/>
      <c r="F446" s="28"/>
      <c r="G446" s="28"/>
    </row>
    <row r="447">
      <c r="A447" s="28"/>
      <c r="B447" s="28"/>
      <c r="C447" s="28"/>
      <c r="D447" s="28"/>
      <c r="E447" s="28"/>
      <c r="F447" s="28"/>
      <c r="G447" s="28"/>
    </row>
    <row r="448">
      <c r="A448" s="28"/>
      <c r="B448" s="28"/>
      <c r="C448" s="28"/>
      <c r="D448" s="28"/>
      <c r="E448" s="28"/>
      <c r="F448" s="28"/>
      <c r="G448" s="28"/>
    </row>
    <row r="449">
      <c r="A449" s="28"/>
      <c r="B449" s="28"/>
      <c r="C449" s="28"/>
      <c r="D449" s="28"/>
      <c r="E449" s="28"/>
      <c r="F449" s="28"/>
      <c r="G449" s="28"/>
    </row>
    <row r="450">
      <c r="A450" s="28"/>
      <c r="B450" s="28"/>
      <c r="C450" s="28"/>
      <c r="D450" s="28"/>
      <c r="E450" s="28"/>
      <c r="F450" s="28"/>
      <c r="G450" s="28"/>
    </row>
    <row r="451">
      <c r="A451" s="28"/>
      <c r="B451" s="28"/>
      <c r="C451" s="28"/>
      <c r="D451" s="28"/>
      <c r="E451" s="28"/>
      <c r="F451" s="28"/>
      <c r="G451" s="28"/>
    </row>
    <row r="452">
      <c r="A452" s="28"/>
      <c r="B452" s="28"/>
      <c r="C452" s="28"/>
      <c r="D452" s="28"/>
      <c r="E452" s="28"/>
      <c r="F452" s="28"/>
      <c r="G452" s="28"/>
    </row>
    <row r="453">
      <c r="A453" s="28"/>
      <c r="B453" s="28"/>
      <c r="C453" s="28"/>
      <c r="D453" s="28"/>
      <c r="E453" s="28"/>
      <c r="F453" s="28"/>
      <c r="G453" s="28"/>
    </row>
    <row r="454">
      <c r="A454" s="28"/>
      <c r="B454" s="28"/>
      <c r="C454" s="28"/>
      <c r="D454" s="28"/>
      <c r="E454" s="28"/>
      <c r="F454" s="28"/>
      <c r="G454" s="28"/>
    </row>
    <row r="455">
      <c r="A455" s="28"/>
      <c r="B455" s="28"/>
      <c r="C455" s="28"/>
      <c r="D455" s="28"/>
      <c r="E455" s="28"/>
      <c r="F455" s="28"/>
      <c r="G455" s="28"/>
    </row>
    <row r="456">
      <c r="A456" s="28"/>
      <c r="B456" s="28"/>
      <c r="C456" s="28"/>
      <c r="D456" s="28"/>
      <c r="E456" s="28"/>
      <c r="F456" s="28"/>
      <c r="G456" s="28"/>
    </row>
    <row r="457">
      <c r="A457" s="28"/>
      <c r="B457" s="28"/>
      <c r="C457" s="28"/>
      <c r="D457" s="28"/>
      <c r="E457" s="28"/>
      <c r="F457" s="28"/>
      <c r="G457" s="28"/>
    </row>
    <row r="458">
      <c r="A458" s="28"/>
      <c r="B458" s="28"/>
      <c r="C458" s="28"/>
      <c r="D458" s="28"/>
      <c r="E458" s="28"/>
      <c r="F458" s="28"/>
      <c r="G458" s="28"/>
    </row>
    <row r="459">
      <c r="A459" s="28"/>
      <c r="B459" s="28"/>
      <c r="C459" s="28"/>
      <c r="D459" s="28"/>
      <c r="E459" s="28"/>
      <c r="F459" s="28"/>
      <c r="G459" s="28"/>
    </row>
    <row r="460">
      <c r="A460" s="28"/>
      <c r="B460" s="28"/>
      <c r="C460" s="28"/>
      <c r="D460" s="28"/>
      <c r="E460" s="28"/>
      <c r="F460" s="28"/>
      <c r="G460" s="28"/>
    </row>
    <row r="461">
      <c r="A461" s="28"/>
      <c r="B461" s="28"/>
      <c r="C461" s="28"/>
      <c r="D461" s="28"/>
      <c r="E461" s="28"/>
      <c r="F461" s="28"/>
      <c r="G461" s="28"/>
    </row>
    <row r="462">
      <c r="A462" s="28"/>
      <c r="B462" s="28"/>
      <c r="C462" s="28"/>
      <c r="D462" s="28"/>
      <c r="E462" s="28"/>
      <c r="F462" s="28"/>
      <c r="G462" s="28"/>
    </row>
    <row r="463">
      <c r="A463" s="28"/>
      <c r="B463" s="28"/>
      <c r="C463" s="28"/>
      <c r="D463" s="28"/>
      <c r="E463" s="28"/>
      <c r="F463" s="28"/>
      <c r="G463" s="28"/>
    </row>
    <row r="464">
      <c r="A464" s="28"/>
      <c r="B464" s="28"/>
      <c r="C464" s="28"/>
      <c r="D464" s="28"/>
      <c r="E464" s="28"/>
      <c r="F464" s="28"/>
      <c r="G464" s="28"/>
    </row>
    <row r="465">
      <c r="A465" s="28"/>
      <c r="B465" s="28"/>
      <c r="C465" s="28"/>
      <c r="D465" s="28"/>
      <c r="E465" s="28"/>
      <c r="F465" s="28"/>
      <c r="G465" s="28"/>
    </row>
    <row r="466">
      <c r="A466" s="28"/>
      <c r="B466" s="28"/>
      <c r="C466" s="28"/>
      <c r="D466" s="28"/>
      <c r="E466" s="28"/>
      <c r="F466" s="28"/>
      <c r="G466" s="28"/>
    </row>
    <row r="467">
      <c r="A467" s="28"/>
      <c r="B467" s="28"/>
      <c r="C467" s="28"/>
      <c r="D467" s="28"/>
      <c r="E467" s="28"/>
      <c r="F467" s="28"/>
      <c r="G467" s="28"/>
    </row>
    <row r="468">
      <c r="A468" s="28"/>
      <c r="B468" s="28"/>
      <c r="C468" s="28"/>
      <c r="D468" s="28"/>
      <c r="E468" s="28"/>
      <c r="F468" s="28"/>
      <c r="G468" s="28"/>
    </row>
    <row r="469">
      <c r="A469" s="28"/>
      <c r="B469" s="28"/>
      <c r="C469" s="28"/>
      <c r="D469" s="28"/>
      <c r="E469" s="28"/>
      <c r="F469" s="28"/>
      <c r="G469" s="28"/>
    </row>
    <row r="470">
      <c r="A470" s="28"/>
      <c r="B470" s="28"/>
      <c r="C470" s="28"/>
      <c r="D470" s="28"/>
      <c r="E470" s="28"/>
      <c r="F470" s="28"/>
      <c r="G470" s="28"/>
    </row>
    <row r="471">
      <c r="A471" s="28"/>
      <c r="B471" s="28"/>
      <c r="C471" s="28"/>
      <c r="D471" s="28"/>
      <c r="E471" s="28"/>
      <c r="F471" s="28"/>
      <c r="G471" s="28"/>
    </row>
    <row r="472">
      <c r="A472" s="28"/>
      <c r="B472" s="28"/>
      <c r="C472" s="28"/>
      <c r="D472" s="28"/>
      <c r="E472" s="28"/>
      <c r="F472" s="28"/>
      <c r="G472" s="28"/>
    </row>
    <row r="473">
      <c r="A473" s="28"/>
      <c r="B473" s="28"/>
      <c r="C473" s="28"/>
      <c r="D473" s="28"/>
      <c r="E473" s="28"/>
      <c r="F473" s="28"/>
      <c r="G473" s="28"/>
    </row>
    <row r="474">
      <c r="A474" s="28"/>
      <c r="B474" s="28"/>
      <c r="C474" s="28"/>
      <c r="D474" s="28"/>
      <c r="E474" s="28"/>
      <c r="F474" s="28"/>
      <c r="G474" s="28"/>
    </row>
    <row r="475">
      <c r="A475" s="28"/>
      <c r="B475" s="28"/>
      <c r="C475" s="28"/>
      <c r="D475" s="28"/>
      <c r="E475" s="28"/>
      <c r="F475" s="28"/>
      <c r="G475" s="28"/>
    </row>
    <row r="476">
      <c r="A476" s="28"/>
      <c r="B476" s="28"/>
      <c r="C476" s="28"/>
      <c r="D476" s="28"/>
      <c r="E476" s="28"/>
      <c r="F476" s="28"/>
      <c r="G476" s="28"/>
    </row>
    <row r="477">
      <c r="A477" s="28"/>
      <c r="B477" s="28"/>
      <c r="C477" s="28"/>
      <c r="D477" s="28"/>
      <c r="E477" s="28"/>
      <c r="F477" s="28"/>
      <c r="G477" s="28"/>
    </row>
    <row r="478">
      <c r="A478" s="28"/>
      <c r="B478" s="28"/>
      <c r="C478" s="28"/>
      <c r="D478" s="28"/>
      <c r="E478" s="28"/>
      <c r="F478" s="28"/>
      <c r="G478" s="28"/>
    </row>
    <row r="479">
      <c r="A479" s="28"/>
      <c r="B479" s="28"/>
      <c r="C479" s="28"/>
      <c r="D479" s="28"/>
      <c r="E479" s="28"/>
      <c r="F479" s="28"/>
      <c r="G479" s="28"/>
    </row>
    <row r="480">
      <c r="A480" s="28"/>
      <c r="B480" s="28"/>
      <c r="C480" s="28"/>
      <c r="D480" s="28"/>
      <c r="E480" s="28"/>
      <c r="F480" s="28"/>
      <c r="G480" s="28"/>
    </row>
    <row r="481">
      <c r="A481" s="28"/>
      <c r="B481" s="28"/>
      <c r="C481" s="28"/>
      <c r="D481" s="28"/>
      <c r="E481" s="28"/>
      <c r="F481" s="28"/>
      <c r="G481" s="28"/>
    </row>
    <row r="482">
      <c r="A482" s="28"/>
      <c r="B482" s="28"/>
      <c r="C482" s="28"/>
      <c r="D482" s="28"/>
      <c r="E482" s="28"/>
      <c r="F482" s="28"/>
      <c r="G482" s="28"/>
    </row>
    <row r="483">
      <c r="A483" s="28"/>
      <c r="B483" s="28"/>
      <c r="C483" s="28"/>
      <c r="D483" s="28"/>
      <c r="E483" s="28"/>
      <c r="F483" s="28"/>
      <c r="G483" s="28"/>
    </row>
    <row r="484">
      <c r="A484" s="28"/>
      <c r="B484" s="28"/>
      <c r="C484" s="28"/>
      <c r="D484" s="28"/>
      <c r="E484" s="28"/>
      <c r="F484" s="28"/>
      <c r="G484" s="28"/>
    </row>
    <row r="485">
      <c r="A485" s="28"/>
      <c r="B485" s="28"/>
      <c r="C485" s="28"/>
      <c r="D485" s="28"/>
      <c r="E485" s="28"/>
      <c r="F485" s="28"/>
      <c r="G485" s="28"/>
    </row>
    <row r="486">
      <c r="A486" s="28"/>
      <c r="B486" s="28"/>
      <c r="C486" s="28"/>
      <c r="D486" s="28"/>
      <c r="E486" s="28"/>
      <c r="F486" s="28"/>
      <c r="G486" s="28"/>
    </row>
    <row r="487">
      <c r="A487" s="28"/>
      <c r="B487" s="28"/>
      <c r="C487" s="28"/>
      <c r="D487" s="28"/>
      <c r="E487" s="28"/>
      <c r="F487" s="28"/>
      <c r="G487" s="28"/>
    </row>
    <row r="488">
      <c r="A488" s="28"/>
      <c r="B488" s="28"/>
      <c r="C488" s="28"/>
      <c r="D488" s="28"/>
      <c r="E488" s="28"/>
      <c r="F488" s="28"/>
      <c r="G488" s="28"/>
    </row>
    <row r="489">
      <c r="A489" s="28"/>
      <c r="B489" s="28"/>
      <c r="C489" s="28"/>
      <c r="D489" s="28"/>
      <c r="E489" s="28"/>
      <c r="F489" s="28"/>
      <c r="G489" s="28"/>
    </row>
    <row r="490">
      <c r="A490" s="28"/>
      <c r="B490" s="28"/>
      <c r="C490" s="28"/>
      <c r="D490" s="28"/>
      <c r="E490" s="28"/>
      <c r="F490" s="28"/>
      <c r="G490" s="28"/>
    </row>
    <row r="491">
      <c r="A491" s="28"/>
      <c r="B491" s="28"/>
      <c r="C491" s="28"/>
      <c r="D491" s="28"/>
      <c r="E491" s="28"/>
      <c r="F491" s="28"/>
      <c r="G491" s="28"/>
    </row>
    <row r="492">
      <c r="A492" s="28"/>
      <c r="B492" s="28"/>
      <c r="C492" s="28"/>
      <c r="D492" s="28"/>
      <c r="E492" s="28"/>
      <c r="F492" s="28"/>
      <c r="G492" s="28"/>
    </row>
    <row r="493">
      <c r="A493" s="28"/>
      <c r="B493" s="28"/>
      <c r="C493" s="28"/>
      <c r="D493" s="28"/>
      <c r="E493" s="28"/>
      <c r="F493" s="28"/>
      <c r="G493" s="28"/>
    </row>
    <row r="494">
      <c r="A494" s="28"/>
      <c r="B494" s="28"/>
      <c r="C494" s="28"/>
      <c r="D494" s="28"/>
      <c r="E494" s="28"/>
      <c r="F494" s="28"/>
      <c r="G494" s="28"/>
    </row>
    <row r="495">
      <c r="A495" s="28"/>
      <c r="B495" s="28"/>
      <c r="C495" s="28"/>
      <c r="D495" s="28"/>
      <c r="E495" s="28"/>
      <c r="F495" s="28"/>
      <c r="G495" s="28"/>
    </row>
    <row r="496">
      <c r="A496" s="28"/>
      <c r="B496" s="28"/>
      <c r="C496" s="28"/>
      <c r="D496" s="28"/>
      <c r="E496" s="28"/>
      <c r="F496" s="28"/>
      <c r="G496" s="28"/>
    </row>
    <row r="497">
      <c r="A497" s="28"/>
      <c r="B497" s="28"/>
      <c r="C497" s="28"/>
      <c r="D497" s="28"/>
      <c r="E497" s="28"/>
      <c r="F497" s="28"/>
      <c r="G497" s="28"/>
    </row>
    <row r="498">
      <c r="A498" s="28"/>
      <c r="B498" s="28"/>
      <c r="C498" s="28"/>
      <c r="D498" s="28"/>
      <c r="E498" s="28"/>
      <c r="F498" s="28"/>
      <c r="G498" s="28"/>
    </row>
    <row r="499">
      <c r="A499" s="28"/>
      <c r="B499" s="28"/>
      <c r="C499" s="28"/>
      <c r="D499" s="28"/>
      <c r="E499" s="28"/>
      <c r="F499" s="28"/>
      <c r="G499" s="28"/>
    </row>
    <row r="500">
      <c r="A500" s="28"/>
      <c r="B500" s="28"/>
      <c r="C500" s="28"/>
      <c r="D500" s="28"/>
      <c r="E500" s="28"/>
      <c r="F500" s="28"/>
      <c r="G500" s="28"/>
    </row>
    <row r="501">
      <c r="A501" s="28"/>
      <c r="B501" s="28"/>
      <c r="C501" s="28"/>
      <c r="D501" s="28"/>
      <c r="E501" s="28"/>
      <c r="F501" s="28"/>
      <c r="G501" s="28"/>
    </row>
    <row r="502">
      <c r="A502" s="28"/>
      <c r="B502" s="28"/>
      <c r="C502" s="28"/>
      <c r="D502" s="28"/>
      <c r="E502" s="28"/>
      <c r="F502" s="28"/>
      <c r="G502" s="28"/>
    </row>
    <row r="503">
      <c r="A503" s="28"/>
      <c r="B503" s="28"/>
      <c r="C503" s="28"/>
      <c r="D503" s="28"/>
      <c r="E503" s="28"/>
      <c r="F503" s="28"/>
      <c r="G503" s="28"/>
    </row>
    <row r="504">
      <c r="A504" s="28"/>
      <c r="B504" s="28"/>
      <c r="C504" s="28"/>
      <c r="D504" s="28"/>
      <c r="E504" s="28"/>
      <c r="F504" s="28"/>
      <c r="G504" s="28"/>
    </row>
    <row r="505">
      <c r="A505" s="28"/>
      <c r="B505" s="28"/>
      <c r="C505" s="28"/>
      <c r="D505" s="28"/>
      <c r="E505" s="28"/>
      <c r="F505" s="28"/>
      <c r="G505" s="28"/>
    </row>
    <row r="506">
      <c r="A506" s="28"/>
      <c r="B506" s="28"/>
      <c r="C506" s="28"/>
      <c r="D506" s="28"/>
      <c r="E506" s="28"/>
      <c r="F506" s="28"/>
      <c r="G506" s="28"/>
    </row>
    <row r="507">
      <c r="A507" s="28"/>
      <c r="B507" s="28"/>
      <c r="C507" s="28"/>
      <c r="D507" s="28"/>
      <c r="E507" s="28"/>
      <c r="F507" s="28"/>
      <c r="G507" s="28"/>
    </row>
    <row r="508">
      <c r="A508" s="28"/>
      <c r="B508" s="28"/>
      <c r="C508" s="28"/>
      <c r="D508" s="28"/>
      <c r="E508" s="28"/>
      <c r="F508" s="28"/>
      <c r="G508" s="28"/>
    </row>
    <row r="509">
      <c r="A509" s="28"/>
      <c r="B509" s="28"/>
      <c r="C509" s="28"/>
      <c r="D509" s="28"/>
      <c r="E509" s="28"/>
      <c r="F509" s="28"/>
      <c r="G509" s="28"/>
    </row>
    <row r="510">
      <c r="A510" s="28"/>
      <c r="B510" s="28"/>
      <c r="C510" s="28"/>
      <c r="D510" s="28"/>
      <c r="E510" s="28"/>
      <c r="F510" s="28"/>
      <c r="G510" s="28"/>
    </row>
    <row r="511">
      <c r="A511" s="28"/>
      <c r="B511" s="28"/>
      <c r="C511" s="28"/>
      <c r="D511" s="28"/>
      <c r="E511" s="28"/>
      <c r="F511" s="28"/>
      <c r="G511" s="28"/>
    </row>
    <row r="512">
      <c r="A512" s="28"/>
      <c r="B512" s="28"/>
      <c r="C512" s="28"/>
      <c r="D512" s="28"/>
      <c r="E512" s="28"/>
      <c r="F512" s="28"/>
      <c r="G512" s="28"/>
    </row>
    <row r="513">
      <c r="A513" s="28"/>
      <c r="B513" s="28"/>
      <c r="C513" s="28"/>
      <c r="D513" s="28"/>
      <c r="E513" s="28"/>
      <c r="F513" s="28"/>
      <c r="G513" s="28"/>
    </row>
    <row r="514">
      <c r="A514" s="28"/>
      <c r="B514" s="28"/>
      <c r="C514" s="28"/>
      <c r="D514" s="28"/>
      <c r="E514" s="28"/>
      <c r="F514" s="28"/>
      <c r="G514" s="28"/>
    </row>
    <row r="515">
      <c r="A515" s="28"/>
      <c r="B515" s="28"/>
      <c r="C515" s="28"/>
      <c r="D515" s="28"/>
      <c r="E515" s="28"/>
      <c r="F515" s="28"/>
      <c r="G515" s="28"/>
    </row>
    <row r="516">
      <c r="A516" s="28"/>
      <c r="B516" s="28"/>
      <c r="C516" s="28"/>
      <c r="D516" s="28"/>
      <c r="E516" s="28"/>
      <c r="F516" s="28"/>
      <c r="G516" s="28"/>
    </row>
    <row r="517">
      <c r="A517" s="28"/>
      <c r="B517" s="28"/>
      <c r="C517" s="28"/>
      <c r="D517" s="28"/>
      <c r="E517" s="28"/>
      <c r="F517" s="28"/>
      <c r="G517" s="28"/>
    </row>
    <row r="518">
      <c r="A518" s="28"/>
      <c r="B518" s="28"/>
      <c r="C518" s="28"/>
      <c r="D518" s="28"/>
      <c r="E518" s="28"/>
      <c r="F518" s="28"/>
      <c r="G518" s="28"/>
    </row>
    <row r="519">
      <c r="A519" s="28"/>
      <c r="B519" s="28"/>
      <c r="C519" s="28"/>
      <c r="D519" s="28"/>
      <c r="E519" s="28"/>
      <c r="F519" s="28"/>
      <c r="G519" s="28"/>
    </row>
    <row r="520">
      <c r="A520" s="28"/>
      <c r="B520" s="28"/>
      <c r="C520" s="28"/>
      <c r="D520" s="28"/>
      <c r="E520" s="28"/>
      <c r="F520" s="28"/>
      <c r="G520" s="28"/>
    </row>
    <row r="521">
      <c r="A521" s="28"/>
      <c r="B521" s="28"/>
      <c r="C521" s="28"/>
      <c r="D521" s="28"/>
      <c r="E521" s="28"/>
      <c r="F521" s="28"/>
      <c r="G521" s="28"/>
    </row>
    <row r="522">
      <c r="A522" s="28"/>
      <c r="B522" s="28"/>
      <c r="C522" s="28"/>
      <c r="D522" s="28"/>
      <c r="E522" s="28"/>
      <c r="F522" s="28"/>
      <c r="G522" s="28"/>
    </row>
    <row r="523">
      <c r="A523" s="28"/>
      <c r="B523" s="28"/>
      <c r="C523" s="28"/>
      <c r="D523" s="28"/>
      <c r="E523" s="28"/>
      <c r="F523" s="28"/>
      <c r="G523" s="28"/>
    </row>
    <row r="524">
      <c r="A524" s="28"/>
      <c r="B524" s="28"/>
      <c r="C524" s="28"/>
      <c r="D524" s="28"/>
      <c r="E524" s="28"/>
      <c r="F524" s="28"/>
      <c r="G524" s="28"/>
    </row>
    <row r="525">
      <c r="A525" s="28"/>
      <c r="B525" s="28"/>
      <c r="C525" s="28"/>
      <c r="D525" s="28"/>
      <c r="E525" s="28"/>
      <c r="F525" s="28"/>
      <c r="G525" s="28"/>
    </row>
    <row r="526">
      <c r="A526" s="28"/>
      <c r="B526" s="28"/>
      <c r="C526" s="28"/>
      <c r="D526" s="28"/>
      <c r="E526" s="28"/>
      <c r="F526" s="28"/>
      <c r="G526" s="28"/>
    </row>
    <row r="527">
      <c r="A527" s="28"/>
      <c r="B527" s="28"/>
      <c r="C527" s="28"/>
      <c r="D527" s="28"/>
      <c r="E527" s="28"/>
      <c r="F527" s="28"/>
      <c r="G527" s="28"/>
    </row>
    <row r="528">
      <c r="A528" s="28"/>
      <c r="B528" s="28"/>
      <c r="C528" s="28"/>
      <c r="D528" s="28"/>
      <c r="E528" s="28"/>
      <c r="F528" s="28"/>
      <c r="G528" s="28"/>
    </row>
    <row r="529">
      <c r="A529" s="28"/>
      <c r="B529" s="28"/>
      <c r="C529" s="28"/>
      <c r="D529" s="28"/>
      <c r="E529" s="28"/>
      <c r="F529" s="28"/>
      <c r="G529" s="28"/>
    </row>
    <row r="530">
      <c r="A530" s="28"/>
      <c r="B530" s="28"/>
      <c r="C530" s="28"/>
      <c r="D530" s="28"/>
      <c r="E530" s="28"/>
      <c r="F530" s="28"/>
      <c r="G530" s="28"/>
    </row>
    <row r="531">
      <c r="A531" s="28"/>
      <c r="B531" s="28"/>
      <c r="C531" s="28"/>
      <c r="D531" s="28"/>
      <c r="E531" s="28"/>
      <c r="F531" s="28"/>
      <c r="G531" s="28"/>
    </row>
    <row r="532">
      <c r="A532" s="28"/>
      <c r="B532" s="28"/>
      <c r="C532" s="28"/>
      <c r="D532" s="28"/>
      <c r="E532" s="28"/>
      <c r="F532" s="28"/>
      <c r="G532" s="28"/>
    </row>
    <row r="533">
      <c r="A533" s="28"/>
      <c r="B533" s="28"/>
      <c r="C533" s="28"/>
      <c r="D533" s="28"/>
      <c r="E533" s="28"/>
      <c r="F533" s="28"/>
      <c r="G533" s="28"/>
    </row>
    <row r="534">
      <c r="A534" s="28"/>
      <c r="B534" s="28"/>
      <c r="C534" s="28"/>
      <c r="D534" s="28"/>
      <c r="E534" s="28"/>
      <c r="F534" s="28"/>
      <c r="G534" s="28"/>
    </row>
    <row r="535">
      <c r="A535" s="28"/>
      <c r="B535" s="28"/>
      <c r="C535" s="28"/>
      <c r="D535" s="28"/>
      <c r="E535" s="28"/>
      <c r="F535" s="28"/>
      <c r="G535" s="28"/>
    </row>
    <row r="536">
      <c r="A536" s="28"/>
      <c r="B536" s="28"/>
      <c r="C536" s="28"/>
      <c r="D536" s="28"/>
      <c r="E536" s="28"/>
      <c r="F536" s="28"/>
      <c r="G536" s="28"/>
    </row>
    <row r="537">
      <c r="A537" s="28"/>
      <c r="B537" s="28"/>
      <c r="C537" s="28"/>
      <c r="D537" s="28"/>
      <c r="E537" s="28"/>
      <c r="F537" s="28"/>
      <c r="G537" s="28"/>
    </row>
    <row r="538">
      <c r="A538" s="28"/>
      <c r="B538" s="28"/>
      <c r="C538" s="28"/>
      <c r="D538" s="28"/>
      <c r="E538" s="28"/>
      <c r="F538" s="28"/>
      <c r="G538" s="28"/>
    </row>
    <row r="539">
      <c r="A539" s="28"/>
      <c r="B539" s="28"/>
      <c r="C539" s="28"/>
      <c r="D539" s="28"/>
      <c r="E539" s="28"/>
      <c r="F539" s="28"/>
      <c r="G539" s="28"/>
    </row>
    <row r="540">
      <c r="A540" s="28"/>
      <c r="B540" s="28"/>
      <c r="C540" s="28"/>
      <c r="D540" s="28"/>
      <c r="E540" s="28"/>
      <c r="F540" s="28"/>
      <c r="G540" s="28"/>
    </row>
    <row r="541">
      <c r="A541" s="28"/>
      <c r="B541" s="28"/>
      <c r="C541" s="28"/>
      <c r="D541" s="28"/>
      <c r="E541" s="28"/>
      <c r="F541" s="28"/>
      <c r="G541" s="28"/>
    </row>
    <row r="542">
      <c r="A542" s="28"/>
      <c r="B542" s="28"/>
      <c r="C542" s="28"/>
      <c r="D542" s="28"/>
      <c r="E542" s="28"/>
      <c r="F542" s="28"/>
      <c r="G542" s="28"/>
    </row>
    <row r="543">
      <c r="A543" s="28"/>
      <c r="B543" s="28"/>
      <c r="C543" s="28"/>
      <c r="D543" s="28"/>
      <c r="E543" s="28"/>
      <c r="F543" s="28"/>
      <c r="G543" s="28"/>
    </row>
    <row r="544">
      <c r="A544" s="28"/>
      <c r="B544" s="28"/>
      <c r="C544" s="28"/>
      <c r="D544" s="28"/>
      <c r="E544" s="28"/>
      <c r="F544" s="28"/>
      <c r="G544" s="28"/>
    </row>
    <row r="545">
      <c r="A545" s="28"/>
      <c r="B545" s="28"/>
      <c r="C545" s="28"/>
      <c r="D545" s="28"/>
      <c r="E545" s="28"/>
      <c r="F545" s="28"/>
      <c r="G545" s="28"/>
    </row>
    <row r="546">
      <c r="A546" s="28"/>
      <c r="B546" s="28"/>
      <c r="C546" s="28"/>
      <c r="D546" s="28"/>
      <c r="E546" s="28"/>
      <c r="F546" s="28"/>
      <c r="G546" s="28"/>
    </row>
    <row r="547">
      <c r="A547" s="28"/>
      <c r="B547" s="28"/>
      <c r="C547" s="28"/>
      <c r="D547" s="28"/>
      <c r="E547" s="28"/>
      <c r="F547" s="28"/>
      <c r="G547" s="28"/>
    </row>
    <row r="548">
      <c r="A548" s="28"/>
      <c r="B548" s="28"/>
      <c r="C548" s="28"/>
      <c r="D548" s="28"/>
      <c r="E548" s="28"/>
      <c r="F548" s="28"/>
      <c r="G548" s="28"/>
    </row>
    <row r="549">
      <c r="A549" s="28"/>
      <c r="B549" s="28"/>
      <c r="C549" s="28"/>
      <c r="D549" s="28"/>
      <c r="E549" s="28"/>
      <c r="F549" s="28"/>
      <c r="G549" s="28"/>
    </row>
    <row r="550">
      <c r="A550" s="28"/>
      <c r="B550" s="28"/>
      <c r="C550" s="28"/>
      <c r="D550" s="28"/>
      <c r="E550" s="28"/>
      <c r="F550" s="28"/>
      <c r="G550" s="28"/>
    </row>
    <row r="551">
      <c r="A551" s="28"/>
      <c r="B551" s="28"/>
      <c r="C551" s="28"/>
      <c r="D551" s="28"/>
      <c r="E551" s="28"/>
      <c r="F551" s="28"/>
      <c r="G551" s="28"/>
    </row>
    <row r="552">
      <c r="A552" s="28"/>
      <c r="B552" s="28"/>
      <c r="C552" s="28"/>
      <c r="D552" s="28"/>
      <c r="E552" s="28"/>
      <c r="F552" s="28"/>
      <c r="G552" s="28"/>
    </row>
    <row r="553">
      <c r="A553" s="28"/>
      <c r="B553" s="28"/>
      <c r="C553" s="28"/>
      <c r="D553" s="28"/>
      <c r="E553" s="28"/>
      <c r="F553" s="28"/>
      <c r="G553" s="28"/>
    </row>
    <row r="554">
      <c r="A554" s="28"/>
      <c r="B554" s="28"/>
      <c r="C554" s="28"/>
      <c r="D554" s="28"/>
      <c r="E554" s="28"/>
      <c r="F554" s="28"/>
      <c r="G554" s="28"/>
    </row>
    <row r="555">
      <c r="A555" s="28"/>
      <c r="B555" s="28"/>
      <c r="C555" s="28"/>
      <c r="D555" s="28"/>
      <c r="E555" s="28"/>
      <c r="F555" s="28"/>
      <c r="G555" s="28"/>
    </row>
    <row r="556">
      <c r="A556" s="28"/>
      <c r="B556" s="28"/>
      <c r="C556" s="28"/>
      <c r="D556" s="28"/>
      <c r="E556" s="28"/>
      <c r="F556" s="28"/>
      <c r="G556" s="28"/>
    </row>
    <row r="557">
      <c r="A557" s="28"/>
      <c r="B557" s="28"/>
      <c r="C557" s="28"/>
      <c r="D557" s="28"/>
      <c r="E557" s="28"/>
      <c r="F557" s="28"/>
      <c r="G557" s="28"/>
    </row>
    <row r="558">
      <c r="A558" s="28"/>
      <c r="B558" s="28"/>
      <c r="C558" s="28"/>
      <c r="D558" s="28"/>
      <c r="E558" s="28"/>
      <c r="F558" s="28"/>
      <c r="G558" s="28"/>
    </row>
    <row r="559">
      <c r="A559" s="28"/>
      <c r="B559" s="28"/>
      <c r="C559" s="28"/>
      <c r="D559" s="28"/>
      <c r="E559" s="28"/>
      <c r="F559" s="28"/>
      <c r="G559" s="28"/>
    </row>
    <row r="560">
      <c r="A560" s="28"/>
      <c r="B560" s="28"/>
      <c r="C560" s="28"/>
      <c r="D560" s="28"/>
      <c r="E560" s="28"/>
      <c r="F560" s="28"/>
      <c r="G560" s="28"/>
    </row>
    <row r="561">
      <c r="A561" s="28"/>
      <c r="B561" s="28"/>
      <c r="C561" s="28"/>
      <c r="D561" s="28"/>
      <c r="E561" s="28"/>
      <c r="F561" s="28"/>
      <c r="G561" s="28"/>
    </row>
    <row r="562">
      <c r="A562" s="28"/>
      <c r="B562" s="28"/>
      <c r="C562" s="28"/>
      <c r="D562" s="28"/>
      <c r="E562" s="28"/>
      <c r="F562" s="28"/>
      <c r="G562" s="28"/>
    </row>
    <row r="563">
      <c r="A563" s="28"/>
      <c r="B563" s="28"/>
      <c r="C563" s="28"/>
      <c r="D563" s="28"/>
      <c r="E563" s="28"/>
      <c r="F563" s="28"/>
      <c r="G563" s="28"/>
    </row>
    <row r="564">
      <c r="A564" s="28"/>
      <c r="B564" s="28"/>
      <c r="C564" s="28"/>
      <c r="D564" s="28"/>
      <c r="E564" s="28"/>
      <c r="F564" s="28"/>
      <c r="G564" s="28"/>
    </row>
    <row r="565">
      <c r="A565" s="28"/>
      <c r="B565" s="28"/>
      <c r="C565" s="28"/>
      <c r="D565" s="28"/>
      <c r="E565" s="28"/>
      <c r="F565" s="28"/>
      <c r="G565" s="28"/>
    </row>
    <row r="566">
      <c r="A566" s="28"/>
      <c r="B566" s="28"/>
      <c r="C566" s="28"/>
      <c r="D566" s="28"/>
      <c r="E566" s="28"/>
      <c r="F566" s="28"/>
      <c r="G566" s="28"/>
    </row>
    <row r="567">
      <c r="A567" s="28"/>
      <c r="B567" s="28"/>
      <c r="C567" s="28"/>
      <c r="D567" s="28"/>
      <c r="E567" s="28"/>
      <c r="F567" s="28"/>
      <c r="G567" s="28"/>
    </row>
    <row r="568">
      <c r="A568" s="28"/>
      <c r="B568" s="28"/>
      <c r="C568" s="28"/>
      <c r="D568" s="28"/>
      <c r="E568" s="28"/>
      <c r="F568" s="28"/>
      <c r="G568" s="28"/>
    </row>
    <row r="569">
      <c r="A569" s="28"/>
      <c r="B569" s="28"/>
      <c r="C569" s="28"/>
      <c r="D569" s="28"/>
      <c r="E569" s="28"/>
      <c r="F569" s="28"/>
      <c r="G569" s="28"/>
    </row>
    <row r="570">
      <c r="A570" s="28"/>
      <c r="B570" s="28"/>
      <c r="C570" s="28"/>
      <c r="D570" s="28"/>
      <c r="E570" s="28"/>
      <c r="F570" s="28"/>
      <c r="G570" s="28"/>
    </row>
    <row r="571">
      <c r="A571" s="28"/>
      <c r="B571" s="28"/>
      <c r="C571" s="28"/>
      <c r="D571" s="28"/>
      <c r="E571" s="28"/>
      <c r="F571" s="28"/>
      <c r="G571" s="28"/>
    </row>
    <row r="572">
      <c r="A572" s="28"/>
      <c r="B572" s="28"/>
      <c r="C572" s="28"/>
      <c r="D572" s="28"/>
      <c r="E572" s="28"/>
      <c r="F572" s="28"/>
      <c r="G572" s="28"/>
    </row>
    <row r="573">
      <c r="A573" s="28"/>
      <c r="B573" s="28"/>
      <c r="C573" s="28"/>
      <c r="D573" s="28"/>
      <c r="E573" s="28"/>
      <c r="F573" s="28"/>
      <c r="G573" s="28"/>
    </row>
    <row r="574">
      <c r="A574" s="28"/>
      <c r="B574" s="28"/>
      <c r="C574" s="28"/>
      <c r="D574" s="28"/>
      <c r="E574" s="28"/>
      <c r="F574" s="28"/>
      <c r="G574" s="28"/>
    </row>
    <row r="575">
      <c r="A575" s="28"/>
      <c r="B575" s="28"/>
      <c r="C575" s="28"/>
      <c r="D575" s="28"/>
      <c r="E575" s="28"/>
      <c r="F575" s="28"/>
      <c r="G575" s="28"/>
    </row>
    <row r="576">
      <c r="A576" s="28"/>
      <c r="B576" s="28"/>
      <c r="C576" s="28"/>
      <c r="D576" s="28"/>
      <c r="E576" s="28"/>
      <c r="F576" s="28"/>
      <c r="G576" s="28"/>
    </row>
    <row r="577">
      <c r="A577" s="28"/>
      <c r="B577" s="28"/>
      <c r="C577" s="28"/>
      <c r="D577" s="28"/>
      <c r="E577" s="28"/>
      <c r="F577" s="28"/>
      <c r="G577" s="28"/>
    </row>
    <row r="578">
      <c r="A578" s="28"/>
      <c r="B578" s="28"/>
      <c r="C578" s="28"/>
      <c r="D578" s="28"/>
      <c r="E578" s="28"/>
      <c r="F578" s="28"/>
      <c r="G578" s="28"/>
    </row>
    <row r="579">
      <c r="A579" s="28"/>
      <c r="B579" s="28"/>
      <c r="C579" s="28"/>
      <c r="D579" s="28"/>
      <c r="E579" s="28"/>
      <c r="F579" s="28"/>
      <c r="G579" s="28"/>
    </row>
    <row r="580">
      <c r="A580" s="28"/>
      <c r="B580" s="28"/>
      <c r="C580" s="28"/>
      <c r="D580" s="28"/>
      <c r="E580" s="28"/>
      <c r="F580" s="28"/>
      <c r="G580" s="28"/>
    </row>
    <row r="581">
      <c r="A581" s="28"/>
      <c r="B581" s="28"/>
      <c r="C581" s="28"/>
      <c r="D581" s="28"/>
      <c r="E581" s="28"/>
      <c r="F581" s="28"/>
      <c r="G581" s="28"/>
    </row>
    <row r="582">
      <c r="A582" s="28"/>
      <c r="B582" s="28"/>
      <c r="C582" s="28"/>
      <c r="D582" s="28"/>
      <c r="E582" s="28"/>
      <c r="F582" s="28"/>
      <c r="G582" s="28"/>
    </row>
    <row r="583">
      <c r="A583" s="28"/>
      <c r="B583" s="28"/>
      <c r="C583" s="28"/>
      <c r="D583" s="28"/>
      <c r="E583" s="28"/>
      <c r="F583" s="28"/>
      <c r="G583" s="28"/>
    </row>
    <row r="584">
      <c r="A584" s="28"/>
      <c r="B584" s="28"/>
      <c r="C584" s="28"/>
      <c r="D584" s="28"/>
      <c r="E584" s="28"/>
      <c r="F584" s="28"/>
      <c r="G584" s="28"/>
    </row>
    <row r="585">
      <c r="A585" s="28"/>
      <c r="B585" s="28"/>
      <c r="C585" s="28"/>
      <c r="D585" s="28"/>
      <c r="E585" s="28"/>
      <c r="F585" s="28"/>
      <c r="G585" s="28"/>
    </row>
    <row r="586">
      <c r="A586" s="28"/>
      <c r="B586" s="28"/>
      <c r="C586" s="28"/>
      <c r="D586" s="28"/>
      <c r="E586" s="28"/>
      <c r="F586" s="28"/>
      <c r="G586" s="28"/>
    </row>
    <row r="587">
      <c r="A587" s="28"/>
      <c r="B587" s="28"/>
      <c r="C587" s="28"/>
      <c r="D587" s="28"/>
      <c r="E587" s="28"/>
      <c r="F587" s="28"/>
      <c r="G587" s="28"/>
    </row>
    <row r="588">
      <c r="A588" s="28"/>
      <c r="B588" s="28"/>
      <c r="C588" s="28"/>
      <c r="D588" s="28"/>
      <c r="E588" s="28"/>
      <c r="F588" s="28"/>
      <c r="G588" s="28"/>
    </row>
    <row r="589">
      <c r="A589" s="28"/>
      <c r="B589" s="28"/>
      <c r="C589" s="28"/>
      <c r="D589" s="28"/>
      <c r="E589" s="28"/>
      <c r="F589" s="28"/>
      <c r="G589" s="28"/>
    </row>
    <row r="590">
      <c r="A590" s="28"/>
      <c r="B590" s="28"/>
      <c r="C590" s="28"/>
      <c r="D590" s="28"/>
      <c r="E590" s="28"/>
      <c r="F590" s="28"/>
      <c r="G590" s="28"/>
    </row>
    <row r="591">
      <c r="A591" s="28"/>
      <c r="B591" s="28"/>
      <c r="C591" s="28"/>
      <c r="D591" s="28"/>
      <c r="E591" s="28"/>
      <c r="F591" s="28"/>
      <c r="G591" s="28"/>
    </row>
    <row r="592">
      <c r="A592" s="28"/>
      <c r="B592" s="28"/>
      <c r="C592" s="28"/>
      <c r="D592" s="28"/>
      <c r="E592" s="28"/>
      <c r="F592" s="28"/>
      <c r="G592" s="28"/>
    </row>
    <row r="593">
      <c r="A593" s="28"/>
      <c r="B593" s="28"/>
      <c r="C593" s="28"/>
      <c r="D593" s="28"/>
      <c r="E593" s="28"/>
      <c r="F593" s="28"/>
      <c r="G593" s="28"/>
    </row>
    <row r="594">
      <c r="A594" s="28"/>
      <c r="B594" s="28"/>
      <c r="C594" s="28"/>
      <c r="D594" s="28"/>
      <c r="E594" s="28"/>
      <c r="F594" s="28"/>
      <c r="G594" s="28"/>
    </row>
    <row r="595">
      <c r="A595" s="28"/>
      <c r="B595" s="28"/>
      <c r="C595" s="28"/>
      <c r="D595" s="28"/>
      <c r="E595" s="28"/>
      <c r="F595" s="28"/>
      <c r="G595" s="28"/>
    </row>
    <row r="596">
      <c r="A596" s="28"/>
      <c r="B596" s="28"/>
      <c r="C596" s="28"/>
      <c r="D596" s="28"/>
      <c r="E596" s="28"/>
      <c r="F596" s="28"/>
      <c r="G596" s="28"/>
    </row>
    <row r="597">
      <c r="A597" s="28"/>
      <c r="B597" s="28"/>
      <c r="C597" s="28"/>
      <c r="D597" s="28"/>
      <c r="E597" s="28"/>
      <c r="F597" s="28"/>
      <c r="G597" s="28"/>
    </row>
    <row r="598">
      <c r="A598" s="28"/>
      <c r="B598" s="28"/>
      <c r="C598" s="28"/>
      <c r="D598" s="28"/>
      <c r="E598" s="28"/>
      <c r="F598" s="28"/>
      <c r="G598" s="28"/>
    </row>
    <row r="599">
      <c r="A599" s="28"/>
      <c r="B599" s="28"/>
      <c r="C599" s="28"/>
      <c r="D599" s="28"/>
      <c r="E599" s="28"/>
      <c r="F599" s="28"/>
      <c r="G599" s="28"/>
    </row>
    <row r="600">
      <c r="A600" s="28"/>
      <c r="B600" s="28"/>
      <c r="C600" s="28"/>
      <c r="D600" s="28"/>
      <c r="E600" s="28"/>
      <c r="F600" s="28"/>
      <c r="G600" s="28"/>
    </row>
    <row r="601">
      <c r="A601" s="28"/>
      <c r="C601" s="28"/>
      <c r="D601" s="28"/>
      <c r="E601" s="28"/>
      <c r="F601" s="28"/>
      <c r="G601" s="28"/>
    </row>
    <row r="602">
      <c r="A602" s="28"/>
      <c r="C602" s="28"/>
      <c r="D602" s="28"/>
      <c r="E602" s="28"/>
      <c r="F602" s="28"/>
      <c r="G602" s="28"/>
    </row>
    <row r="603">
      <c r="A603" s="28"/>
      <c r="C603" s="28"/>
      <c r="D603" s="28"/>
      <c r="E603" s="28"/>
      <c r="F603" s="28"/>
      <c r="G603" s="28"/>
    </row>
    <row r="604">
      <c r="A604" s="28"/>
      <c r="C604" s="28"/>
      <c r="D604" s="28"/>
      <c r="E604" s="28"/>
      <c r="F604" s="28"/>
      <c r="G604" s="28"/>
    </row>
    <row r="605">
      <c r="A605" s="28"/>
      <c r="C605" s="28"/>
      <c r="D605" s="28"/>
      <c r="E605" s="28"/>
      <c r="F605" s="28"/>
      <c r="G605" s="28"/>
    </row>
    <row r="606">
      <c r="A606" s="28"/>
      <c r="C606" s="28"/>
      <c r="D606" s="28"/>
      <c r="E606" s="28"/>
      <c r="F606" s="28"/>
      <c r="G606" s="28"/>
    </row>
    <row r="607">
      <c r="A607" s="28"/>
      <c r="C607" s="28"/>
      <c r="D607" s="28"/>
      <c r="E607" s="28"/>
      <c r="F607" s="28"/>
      <c r="G607" s="28"/>
    </row>
    <row r="608">
      <c r="A608" s="28"/>
      <c r="C608" s="28"/>
      <c r="D608" s="28"/>
      <c r="E608" s="28"/>
      <c r="F608" s="28"/>
      <c r="G608" s="28"/>
    </row>
    <row r="609">
      <c r="A609" s="28"/>
      <c r="C609" s="28"/>
      <c r="D609" s="28"/>
      <c r="E609" s="28"/>
      <c r="F609" s="28"/>
      <c r="G609" s="28"/>
    </row>
    <row r="610">
      <c r="A610" s="28"/>
      <c r="C610" s="28"/>
      <c r="D610" s="28"/>
      <c r="E610" s="28"/>
      <c r="F610" s="28"/>
      <c r="G610" s="28"/>
    </row>
    <row r="611">
      <c r="A611" s="28"/>
      <c r="C611" s="28"/>
      <c r="D611" s="28"/>
      <c r="E611" s="28"/>
      <c r="F611" s="28"/>
      <c r="G611" s="28"/>
    </row>
    <row r="612">
      <c r="A612" s="28"/>
      <c r="C612" s="28"/>
      <c r="D612" s="28"/>
      <c r="E612" s="28"/>
      <c r="F612" s="28"/>
      <c r="G612" s="28"/>
    </row>
    <row r="613">
      <c r="A613" s="28"/>
      <c r="C613" s="28"/>
      <c r="D613" s="28"/>
      <c r="E613" s="28"/>
      <c r="F613" s="28"/>
      <c r="G613" s="28"/>
    </row>
    <row r="614">
      <c r="A614" s="28"/>
      <c r="C614" s="28"/>
      <c r="D614" s="28"/>
      <c r="E614" s="28"/>
      <c r="F614" s="28"/>
      <c r="G614" s="28"/>
    </row>
    <row r="615">
      <c r="A615" s="28"/>
      <c r="C615" s="28"/>
      <c r="D615" s="28"/>
      <c r="E615" s="28"/>
      <c r="F615" s="28"/>
      <c r="G615" s="28"/>
    </row>
    <row r="616">
      <c r="A616" s="28"/>
      <c r="C616" s="28"/>
      <c r="D616" s="28"/>
      <c r="E616" s="28"/>
      <c r="F616" s="28"/>
      <c r="G616" s="28"/>
    </row>
    <row r="617">
      <c r="A617" s="28"/>
      <c r="C617" s="28"/>
      <c r="D617" s="28"/>
      <c r="E617" s="28"/>
      <c r="F617" s="28"/>
      <c r="G617" s="28"/>
    </row>
    <row r="618">
      <c r="A618" s="28"/>
      <c r="C618" s="28"/>
      <c r="D618" s="28"/>
      <c r="E618" s="28"/>
      <c r="F618" s="28"/>
      <c r="G618" s="28"/>
    </row>
    <row r="619">
      <c r="A619" s="28"/>
      <c r="C619" s="28"/>
      <c r="D619" s="28"/>
      <c r="E619" s="28"/>
      <c r="F619" s="28"/>
      <c r="G619" s="28"/>
    </row>
    <row r="620">
      <c r="A620" s="28"/>
      <c r="C620" s="28"/>
      <c r="D620" s="28"/>
      <c r="E620" s="28"/>
      <c r="F620" s="28"/>
      <c r="G620" s="28"/>
    </row>
    <row r="621">
      <c r="A621" s="28"/>
      <c r="C621" s="28"/>
      <c r="D621" s="28"/>
      <c r="E621" s="28"/>
      <c r="F621" s="28"/>
      <c r="G621" s="28"/>
    </row>
    <row r="622">
      <c r="A622" s="28"/>
      <c r="C622" s="28"/>
      <c r="D622" s="28"/>
      <c r="E622" s="28"/>
      <c r="F622" s="28"/>
      <c r="G622" s="28"/>
    </row>
    <row r="623">
      <c r="A623" s="28"/>
      <c r="C623" s="28"/>
      <c r="D623" s="28"/>
      <c r="E623" s="28"/>
      <c r="F623" s="28"/>
      <c r="G623" s="28"/>
    </row>
    <row r="624">
      <c r="A624" s="28"/>
      <c r="C624" s="28"/>
      <c r="D624" s="28"/>
      <c r="E624" s="28"/>
      <c r="F624" s="28"/>
      <c r="G624" s="28"/>
    </row>
    <row r="625">
      <c r="A625" s="28"/>
      <c r="C625" s="28"/>
      <c r="D625" s="28"/>
      <c r="E625" s="28"/>
      <c r="F625" s="28"/>
      <c r="G625" s="28"/>
    </row>
    <row r="626">
      <c r="A626" s="28"/>
      <c r="C626" s="28"/>
      <c r="D626" s="28"/>
      <c r="E626" s="28"/>
      <c r="F626" s="28"/>
      <c r="G626" s="28"/>
    </row>
    <row r="627">
      <c r="A627" s="28"/>
      <c r="C627" s="28"/>
      <c r="D627" s="28"/>
      <c r="E627" s="28"/>
      <c r="F627" s="28"/>
      <c r="G627" s="28"/>
    </row>
    <row r="628">
      <c r="A628" s="28"/>
      <c r="C628" s="28"/>
      <c r="D628" s="28"/>
      <c r="E628" s="28"/>
      <c r="F628" s="28"/>
      <c r="G628" s="28"/>
    </row>
    <row r="629">
      <c r="A629" s="28"/>
      <c r="C629" s="28"/>
      <c r="D629" s="28"/>
      <c r="E629" s="28"/>
      <c r="F629" s="28"/>
      <c r="G629" s="28"/>
    </row>
    <row r="630">
      <c r="A630" s="28"/>
      <c r="C630" s="28"/>
      <c r="D630" s="28"/>
      <c r="E630" s="28"/>
      <c r="F630" s="28"/>
      <c r="G630" s="28"/>
    </row>
    <row r="631">
      <c r="A631" s="28"/>
      <c r="C631" s="28"/>
      <c r="D631" s="28"/>
      <c r="E631" s="28"/>
      <c r="F631" s="28"/>
      <c r="G631" s="28"/>
    </row>
    <row r="632">
      <c r="A632" s="28"/>
      <c r="C632" s="28"/>
      <c r="D632" s="28"/>
      <c r="E632" s="28"/>
      <c r="F632" s="28"/>
      <c r="G632" s="28"/>
    </row>
    <row r="633">
      <c r="A633" s="28"/>
      <c r="C633" s="28"/>
      <c r="D633" s="28"/>
      <c r="E633" s="28"/>
      <c r="F633" s="28"/>
      <c r="G633" s="28"/>
    </row>
    <row r="634">
      <c r="A634" s="28"/>
      <c r="C634" s="28"/>
      <c r="D634" s="28"/>
      <c r="E634" s="28"/>
      <c r="F634" s="28"/>
      <c r="G634" s="28"/>
    </row>
    <row r="635">
      <c r="A635" s="28"/>
      <c r="C635" s="28"/>
      <c r="D635" s="28"/>
      <c r="E635" s="28"/>
      <c r="F635" s="28"/>
      <c r="G635" s="28"/>
    </row>
    <row r="636">
      <c r="A636" s="28"/>
      <c r="C636" s="28"/>
      <c r="D636" s="28"/>
      <c r="E636" s="28"/>
      <c r="F636" s="28"/>
      <c r="G636" s="28"/>
    </row>
    <row r="637">
      <c r="A637" s="28"/>
      <c r="C637" s="28"/>
      <c r="D637" s="28"/>
      <c r="E637" s="28"/>
      <c r="F637" s="28"/>
      <c r="G637" s="28"/>
    </row>
  </sheetData>
  <mergeCells count="10">
    <mergeCell ref="A69:F69"/>
    <mergeCell ref="A105:E105"/>
    <mergeCell ref="A1:H1"/>
    <mergeCell ref="A2:H2"/>
    <mergeCell ref="D4:G4"/>
    <mergeCell ref="D10:G10"/>
    <mergeCell ref="D11:G12"/>
    <mergeCell ref="D13:H14"/>
    <mergeCell ref="A51:H51"/>
    <mergeCell ref="A23:E23"/>
  </mergeCells>
  <dataValidations>
    <dataValidation type="list" allowBlank="1" sqref="B6">
      <formula1>"ALL"</formula1>
    </dataValidation>
    <dataValidation type="list" allowBlank="1" sqref="B7">
      <formula1>"ALL,Sprint,Release 18-03-2026,Release 18-03-2025,Release 18-03-2024,Release 18-03-2023,Release 18-03-2022,Release 18-03-2021,Release 18-03-2020,Release 18-03-2019,Release 18-03-2018,Release 18-03-2017,Release 18-03-2016,Release 18-03-2015,Release 18-03-20"&amp;"14,Release 18-03-2013,Release 18-03-2012,Release 18-03-2011,Release 18-03-2010,Release 18-03-2008,Release 18-03-2007,Release 18-03-2006,Release 18-03-2005,Release 18-03-2004,Release 18-03-2003,Release 18-03-2002,Release 18-03-2001,Release 18-03-2000,Relea"&amp;"se 18-03-1999,Release 18-03-1998,Release 18-03-1997,Release 18-03-1996,Release 18-03-1995,Release 18-03-1994,Release 18-03-1993,Release 18-03-1992,Release 18-03-1991,Release 18-03-1990,Release 18-03-1989,Release 18-03-1988,Release 11-03-2026"</formula1>
    </dataValidation>
    <dataValidation type="list" allowBlank="1" sqref="B4">
      <formula1>"PROD,STAGE,TEST,DEV,ALL"</formula1>
    </dataValidation>
    <dataValidation type="list" allowBlank="1" sqref="B9">
      <formula1>"Environment View,Sprint View,Route Cross-Env,Experiment"</formula1>
    </dataValidation>
    <dataValidation type="list" allowBlank="1" sqref="B5">
      <formula1>"ALL,mobile,desktop"</formula1>
    </dataValidation>
    <dataValidation type="list" allowBlank="1" sqref="B8">
      <formula1>"ALL,after,after, Regress,after,Regress,before,tag"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0.75"/>
    <col customWidth="1" min="3" max="3" width="18.25"/>
    <col customWidth="1" min="4" max="4" width="11.38"/>
    <col customWidth="1" min="5" max="5" width="6.38"/>
    <col customWidth="1" min="6" max="6" width="7.63"/>
    <col customWidth="1" min="7" max="8" width="7.0"/>
    <col customWidth="1" min="9" max="9" width="7.63"/>
    <col customWidth="1" min="10" max="11" width="7.0"/>
    <col customWidth="1" min="12" max="13" width="7.63"/>
    <col customWidth="1" min="14" max="14" width="10.75"/>
    <col customWidth="1" min="15" max="16" width="8.88"/>
    <col customWidth="1" min="17" max="17" width="14.5"/>
    <col customWidth="1" min="18" max="18" width="18.25"/>
    <col customWidth="1" min="19" max="19" width="17.63"/>
    <col customWidth="1" hidden="1" min="20" max="23" width="17.63"/>
  </cols>
  <sheetData>
    <row r="1" ht="21.0" hidden="1" customHeight="1">
      <c r="A1" s="49" t="s">
        <v>0</v>
      </c>
      <c r="B1" s="49" t="s">
        <v>146</v>
      </c>
      <c r="C1" s="1" t="s">
        <v>2</v>
      </c>
      <c r="D1" s="49" t="s">
        <v>3</v>
      </c>
      <c r="E1" s="49" t="s">
        <v>4</v>
      </c>
      <c r="F1" s="49" t="s">
        <v>139</v>
      </c>
      <c r="G1" s="49" t="s">
        <v>5</v>
      </c>
      <c r="H1" s="49" t="s">
        <v>7</v>
      </c>
      <c r="I1" s="49" t="s">
        <v>8</v>
      </c>
      <c r="J1" s="49" t="s">
        <v>147</v>
      </c>
      <c r="K1" s="49" t="s">
        <v>148</v>
      </c>
      <c r="L1" s="49" t="s">
        <v>149</v>
      </c>
      <c r="M1" s="49" t="s">
        <v>150</v>
      </c>
      <c r="N1" s="49" t="s">
        <v>6</v>
      </c>
      <c r="O1" s="49" t="s">
        <v>151</v>
      </c>
      <c r="P1" s="49" t="s">
        <v>152</v>
      </c>
      <c r="Q1" s="49" t="s">
        <v>13</v>
      </c>
      <c r="R1" s="49" t="s">
        <v>14</v>
      </c>
      <c r="S1" s="49" t="s">
        <v>15</v>
      </c>
      <c r="T1" s="30" t="s">
        <v>1</v>
      </c>
      <c r="U1" s="30" t="s">
        <v>153</v>
      </c>
      <c r="V1" s="30" t="s">
        <v>154</v>
      </c>
      <c r="W1" s="30" t="s">
        <v>155</v>
      </c>
    </row>
    <row r="2">
      <c r="A2" s="50"/>
      <c r="B2" s="50"/>
      <c r="C2" s="3" t="s">
        <v>18</v>
      </c>
      <c r="D2" s="50"/>
      <c r="E2" s="50"/>
      <c r="F2" s="51" t="s">
        <v>156</v>
      </c>
      <c r="G2" s="51" t="s">
        <v>157</v>
      </c>
      <c r="J2" s="51" t="s">
        <v>158</v>
      </c>
      <c r="M2" s="51" t="s">
        <v>159</v>
      </c>
      <c r="N2" s="51" t="s">
        <v>160</v>
      </c>
      <c r="O2" s="51" t="s">
        <v>161</v>
      </c>
      <c r="P2" s="51" t="s">
        <v>162</v>
      </c>
      <c r="Q2" s="51" t="s">
        <v>23</v>
      </c>
      <c r="R2" s="50"/>
      <c r="S2" s="50"/>
      <c r="T2" s="15"/>
      <c r="U2" s="15"/>
      <c r="V2" s="15"/>
      <c r="W2" s="15"/>
    </row>
    <row r="3">
      <c r="A3" s="51" t="s">
        <v>24</v>
      </c>
      <c r="B3" s="51" t="s">
        <v>163</v>
      </c>
      <c r="C3" s="3" t="s">
        <v>26</v>
      </c>
      <c r="D3" s="51" t="s">
        <v>27</v>
      </c>
      <c r="E3" s="51" t="s">
        <v>28</v>
      </c>
      <c r="F3" s="51" t="s">
        <v>164</v>
      </c>
      <c r="G3" s="52" t="s">
        <v>5</v>
      </c>
      <c r="H3" s="52" t="s">
        <v>7</v>
      </c>
      <c r="I3" s="52" t="s">
        <v>8</v>
      </c>
      <c r="J3" s="53" t="s">
        <v>140</v>
      </c>
      <c r="K3" s="53" t="s">
        <v>141</v>
      </c>
      <c r="L3" s="53" t="s">
        <v>142</v>
      </c>
      <c r="M3" s="51" t="s">
        <v>150</v>
      </c>
      <c r="N3" s="51" t="s">
        <v>6</v>
      </c>
      <c r="O3" s="51" t="s">
        <v>165</v>
      </c>
      <c r="P3" s="51" t="s">
        <v>152</v>
      </c>
      <c r="Q3" s="51" t="s">
        <v>13</v>
      </c>
      <c r="R3" s="51" t="s">
        <v>14</v>
      </c>
      <c r="S3" s="51" t="s">
        <v>15</v>
      </c>
      <c r="T3" s="15"/>
      <c r="U3" s="15"/>
      <c r="V3" s="15"/>
      <c r="W3" s="15"/>
    </row>
    <row r="4">
      <c r="A4" s="54">
        <v>43543.0</v>
      </c>
      <c r="B4" s="55" t="s">
        <v>166</v>
      </c>
      <c r="C4" s="8" t="s">
        <v>37</v>
      </c>
      <c r="D4" s="56" t="s">
        <v>167</v>
      </c>
      <c r="E4" s="55" t="s">
        <v>35</v>
      </c>
      <c r="F4" s="55">
        <v>30.0</v>
      </c>
      <c r="G4" s="55">
        <v>11.21</v>
      </c>
      <c r="H4" s="55">
        <v>1651.0</v>
      </c>
      <c r="I4" s="55">
        <v>0.0039</v>
      </c>
      <c r="J4" s="55">
        <v>11.25</v>
      </c>
      <c r="K4" s="55">
        <v>1752.0</v>
      </c>
      <c r="L4" s="55">
        <v>0.0039</v>
      </c>
      <c r="M4" s="55">
        <v>1576.0</v>
      </c>
      <c r="N4" s="55">
        <v>10974.0</v>
      </c>
      <c r="O4" s="55">
        <v>10974.0</v>
      </c>
      <c r="P4" s="55">
        <v>27873.0</v>
      </c>
      <c r="Q4" s="55">
        <v>402.0</v>
      </c>
      <c r="R4" s="55" t="s">
        <v>130</v>
      </c>
      <c r="S4" s="55" t="s">
        <v>38</v>
      </c>
      <c r="T4" s="57" t="s">
        <v>168</v>
      </c>
      <c r="U4" s="57" t="s">
        <v>52</v>
      </c>
      <c r="V4" s="57" t="s">
        <v>169</v>
      </c>
      <c r="W4" s="57">
        <v>5.0</v>
      </c>
    </row>
    <row r="5">
      <c r="A5" s="54">
        <v>46100.0</v>
      </c>
      <c r="B5" s="58" t="s">
        <v>170</v>
      </c>
      <c r="C5" s="8" t="s">
        <v>37</v>
      </c>
      <c r="D5" s="56" t="s">
        <v>171</v>
      </c>
      <c r="E5" s="58" t="s">
        <v>34</v>
      </c>
      <c r="F5" s="58">
        <v>47.0</v>
      </c>
      <c r="G5" s="58">
        <v>2.9</v>
      </c>
      <c r="H5" s="58">
        <v>708.0</v>
      </c>
      <c r="I5" s="58">
        <v>0.0155</v>
      </c>
      <c r="J5" s="58">
        <v>2.9</v>
      </c>
      <c r="K5" s="58">
        <v>708.0</v>
      </c>
      <c r="L5" s="58">
        <v>0.0155</v>
      </c>
      <c r="M5" s="58">
        <v>644.0</v>
      </c>
      <c r="N5" s="58">
        <v>2001.0</v>
      </c>
      <c r="O5" s="58">
        <v>2299.0</v>
      </c>
      <c r="P5" s="58">
        <v>7633.0</v>
      </c>
      <c r="Q5" s="58">
        <v>29.0</v>
      </c>
      <c r="R5" s="58" t="s">
        <v>130</v>
      </c>
      <c r="S5" s="55" t="s">
        <v>38</v>
      </c>
      <c r="T5" s="57" t="s">
        <v>168</v>
      </c>
      <c r="U5" s="57" t="s">
        <v>52</v>
      </c>
      <c r="V5" s="57" t="s">
        <v>172</v>
      </c>
      <c r="W5" s="57">
        <v>5.0</v>
      </c>
    </row>
    <row r="6">
      <c r="A6" s="54">
        <v>46100.0</v>
      </c>
      <c r="B6" s="55" t="s">
        <v>170</v>
      </c>
      <c r="C6" s="8" t="s">
        <v>37</v>
      </c>
      <c r="D6" s="56" t="s">
        <v>173</v>
      </c>
      <c r="E6" s="55" t="s">
        <v>35</v>
      </c>
      <c r="F6" s="55">
        <v>35.0</v>
      </c>
      <c r="G6" s="55">
        <v>11.25</v>
      </c>
      <c r="H6" s="55">
        <v>1020.0</v>
      </c>
      <c r="I6" s="55">
        <v>0.0054</v>
      </c>
      <c r="J6" s="55">
        <v>11.25</v>
      </c>
      <c r="K6" s="55">
        <v>1020.0</v>
      </c>
      <c r="L6" s="55">
        <v>0.0054</v>
      </c>
      <c r="M6" s="55">
        <v>880.0</v>
      </c>
      <c r="N6" s="55">
        <v>11101.0</v>
      </c>
      <c r="O6" s="55">
        <v>11101.0</v>
      </c>
      <c r="P6" s="55">
        <v>27779.0</v>
      </c>
      <c r="Q6" s="55">
        <v>107.0</v>
      </c>
      <c r="R6" s="55" t="s">
        <v>130</v>
      </c>
      <c r="S6" s="55" t="s">
        <v>38</v>
      </c>
      <c r="T6" s="57" t="s">
        <v>168</v>
      </c>
      <c r="U6" s="57" t="s">
        <v>52</v>
      </c>
      <c r="V6" s="57" t="s">
        <v>172</v>
      </c>
      <c r="W6" s="57">
        <v>5.0</v>
      </c>
    </row>
    <row r="7">
      <c r="A7" s="54">
        <v>46100.0</v>
      </c>
      <c r="B7" s="58" t="s">
        <v>166</v>
      </c>
      <c r="C7" s="8" t="s">
        <v>37</v>
      </c>
      <c r="D7" s="56" t="s">
        <v>174</v>
      </c>
      <c r="E7" s="58" t="s">
        <v>34</v>
      </c>
      <c r="F7" s="58">
        <v>55.0</v>
      </c>
      <c r="G7" s="58">
        <v>2.74</v>
      </c>
      <c r="H7" s="58">
        <v>479.0</v>
      </c>
      <c r="I7" s="58">
        <v>2.0E-4</v>
      </c>
      <c r="J7" s="58">
        <v>2.82</v>
      </c>
      <c r="K7" s="58">
        <v>508.0</v>
      </c>
      <c r="L7" s="58">
        <v>2.0E-4</v>
      </c>
      <c r="M7" s="58">
        <v>366.0</v>
      </c>
      <c r="N7" s="58">
        <v>2514.0</v>
      </c>
      <c r="O7" s="58">
        <v>3688.0</v>
      </c>
      <c r="P7" s="58">
        <v>10290.0</v>
      </c>
      <c r="Q7" s="58">
        <v>481.0</v>
      </c>
      <c r="R7" s="58" t="s">
        <v>130</v>
      </c>
      <c r="S7" s="55" t="s">
        <v>38</v>
      </c>
      <c r="T7" s="57" t="s">
        <v>168</v>
      </c>
      <c r="U7" s="57" t="s">
        <v>52</v>
      </c>
      <c r="V7" s="57" t="s">
        <v>169</v>
      </c>
      <c r="W7" s="57">
        <v>5.0</v>
      </c>
    </row>
    <row r="8">
      <c r="A8" s="54">
        <v>46100.0</v>
      </c>
      <c r="B8" s="55" t="s">
        <v>166</v>
      </c>
      <c r="C8" s="8" t="s">
        <v>37</v>
      </c>
      <c r="D8" s="56" t="s">
        <v>175</v>
      </c>
      <c r="E8" s="55" t="s">
        <v>35</v>
      </c>
      <c r="F8" s="55">
        <v>28.0</v>
      </c>
      <c r="G8" s="55">
        <v>11.28</v>
      </c>
      <c r="H8" s="55">
        <v>1547.0</v>
      </c>
      <c r="I8" s="55">
        <v>0.0039</v>
      </c>
      <c r="J8" s="55">
        <v>11.28</v>
      </c>
      <c r="K8" s="55">
        <v>1547.0</v>
      </c>
      <c r="L8" s="55">
        <v>0.0039</v>
      </c>
      <c r="M8" s="55">
        <v>1652.0</v>
      </c>
      <c r="N8" s="55">
        <v>10827.0</v>
      </c>
      <c r="O8" s="55">
        <v>10914.0</v>
      </c>
      <c r="P8" s="55">
        <v>28866.0</v>
      </c>
      <c r="Q8" s="55">
        <v>358.0</v>
      </c>
      <c r="R8" s="55" t="s">
        <v>130</v>
      </c>
      <c r="S8" s="55" t="s">
        <v>38</v>
      </c>
      <c r="T8" s="57" t="s">
        <v>168</v>
      </c>
      <c r="U8" s="57" t="s">
        <v>52</v>
      </c>
      <c r="V8" s="57" t="s">
        <v>169</v>
      </c>
      <c r="W8" s="57">
        <v>5.0</v>
      </c>
    </row>
    <row r="9">
      <c r="A9" s="54">
        <v>46100.0</v>
      </c>
      <c r="B9" s="58" t="s">
        <v>170</v>
      </c>
      <c r="C9" s="8" t="s">
        <v>37</v>
      </c>
      <c r="D9" s="56" t="s">
        <v>176</v>
      </c>
      <c r="E9" s="58" t="s">
        <v>35</v>
      </c>
      <c r="F9" s="58">
        <v>39.0</v>
      </c>
      <c r="G9" s="58">
        <v>14.36</v>
      </c>
      <c r="H9" s="58">
        <v>834.0</v>
      </c>
      <c r="I9" s="58">
        <v>0.0</v>
      </c>
      <c r="J9" s="58">
        <v>14.36</v>
      </c>
      <c r="K9" s="58">
        <v>909.0</v>
      </c>
      <c r="L9" s="58">
        <v>0.0</v>
      </c>
      <c r="M9" s="58">
        <v>647.0</v>
      </c>
      <c r="N9" s="58">
        <v>11338.0</v>
      </c>
      <c r="O9" s="58">
        <v>13255.0</v>
      </c>
      <c r="P9" s="58">
        <v>25013.0</v>
      </c>
      <c r="Q9" s="58">
        <v>27.0</v>
      </c>
      <c r="R9" s="58" t="s">
        <v>130</v>
      </c>
      <c r="S9" s="55" t="s">
        <v>38</v>
      </c>
      <c r="T9" s="57" t="s">
        <v>168</v>
      </c>
      <c r="U9" s="57" t="s">
        <v>52</v>
      </c>
      <c r="V9" s="57" t="s">
        <v>172</v>
      </c>
      <c r="W9" s="57">
        <v>5.0</v>
      </c>
    </row>
    <row r="10">
      <c r="A10" s="54">
        <v>46100.0</v>
      </c>
      <c r="B10" s="55" t="s">
        <v>166</v>
      </c>
      <c r="C10" s="8" t="s">
        <v>37</v>
      </c>
      <c r="D10" s="56" t="s">
        <v>177</v>
      </c>
      <c r="E10" s="55" t="s">
        <v>34</v>
      </c>
      <c r="F10" s="55">
        <v>53.0</v>
      </c>
      <c r="G10" s="55">
        <v>3.29</v>
      </c>
      <c r="H10" s="55">
        <v>274.0</v>
      </c>
      <c r="I10" s="55">
        <v>2.0E-4</v>
      </c>
      <c r="J10" s="55">
        <v>3.37</v>
      </c>
      <c r="K10" s="55">
        <v>281.0</v>
      </c>
      <c r="L10" s="55">
        <v>2.0E-4</v>
      </c>
      <c r="M10" s="55">
        <v>322.0</v>
      </c>
      <c r="N10" s="55">
        <v>2897.0</v>
      </c>
      <c r="O10" s="55">
        <v>3654.0</v>
      </c>
      <c r="P10" s="55">
        <v>6368.0</v>
      </c>
      <c r="Q10" s="55">
        <v>838.0</v>
      </c>
      <c r="R10" s="55" t="s">
        <v>130</v>
      </c>
      <c r="S10" s="55" t="s">
        <v>38</v>
      </c>
      <c r="T10" s="57" t="s">
        <v>168</v>
      </c>
      <c r="U10" s="57" t="s">
        <v>52</v>
      </c>
      <c r="V10" s="57" t="s">
        <v>169</v>
      </c>
      <c r="W10" s="57">
        <v>5.0</v>
      </c>
    </row>
    <row r="11">
      <c r="A11" s="54">
        <v>46100.0</v>
      </c>
      <c r="B11" s="58" t="s">
        <v>166</v>
      </c>
      <c r="C11" s="8" t="s">
        <v>37</v>
      </c>
      <c r="D11" s="56" t="s">
        <v>178</v>
      </c>
      <c r="E11" s="58" t="s">
        <v>34</v>
      </c>
      <c r="F11" s="58">
        <v>66.0</v>
      </c>
      <c r="G11" s="58">
        <v>2.55</v>
      </c>
      <c r="H11" s="58">
        <v>251.0</v>
      </c>
      <c r="I11" s="58">
        <v>2.0E-4</v>
      </c>
      <c r="J11" s="58">
        <v>2.56</v>
      </c>
      <c r="K11" s="58">
        <v>258.0</v>
      </c>
      <c r="L11" s="58">
        <v>2.0E-4</v>
      </c>
      <c r="M11" s="58">
        <v>199.0</v>
      </c>
      <c r="N11" s="58">
        <v>2309.0</v>
      </c>
      <c r="O11" s="58">
        <v>3235.0</v>
      </c>
      <c r="P11" s="58">
        <v>5994.0</v>
      </c>
      <c r="Q11" s="58">
        <v>288.0</v>
      </c>
      <c r="R11" s="58" t="s">
        <v>130</v>
      </c>
      <c r="S11" s="55" t="s">
        <v>38</v>
      </c>
      <c r="T11" s="57" t="s">
        <v>168</v>
      </c>
      <c r="U11" s="57" t="s">
        <v>52</v>
      </c>
      <c r="V11" s="57" t="s">
        <v>169</v>
      </c>
      <c r="W11" s="57">
        <v>5.0</v>
      </c>
    </row>
    <row r="12">
      <c r="A12" s="54">
        <v>46100.0</v>
      </c>
      <c r="B12" s="55" t="s">
        <v>166</v>
      </c>
      <c r="C12" s="8" t="s">
        <v>37</v>
      </c>
      <c r="D12" s="56" t="s">
        <v>179</v>
      </c>
      <c r="E12" s="55" t="s">
        <v>34</v>
      </c>
      <c r="F12" s="55">
        <v>64.0</v>
      </c>
      <c r="G12" s="55">
        <v>2.45</v>
      </c>
      <c r="H12" s="55">
        <v>257.0</v>
      </c>
      <c r="I12" s="55">
        <v>2.0E-4</v>
      </c>
      <c r="J12" s="55">
        <v>2.45</v>
      </c>
      <c r="K12" s="55">
        <v>257.0</v>
      </c>
      <c r="L12" s="55">
        <v>2.0E-4</v>
      </c>
      <c r="M12" s="55">
        <v>230.0</v>
      </c>
      <c r="N12" s="55">
        <v>2252.0</v>
      </c>
      <c r="O12" s="55">
        <v>2804.0</v>
      </c>
      <c r="P12" s="55">
        <v>4483.0</v>
      </c>
      <c r="Q12" s="55">
        <v>388.0</v>
      </c>
      <c r="R12" s="55" t="s">
        <v>130</v>
      </c>
      <c r="S12" s="55" t="s">
        <v>38</v>
      </c>
      <c r="T12" s="57" t="s">
        <v>168</v>
      </c>
      <c r="U12" s="57" t="s">
        <v>52</v>
      </c>
      <c r="V12" s="57" t="s">
        <v>169</v>
      </c>
      <c r="W12" s="57">
        <v>5.0</v>
      </c>
    </row>
    <row r="13">
      <c r="A13" s="54">
        <v>46100.0</v>
      </c>
      <c r="B13" s="58" t="s">
        <v>166</v>
      </c>
      <c r="C13" s="8" t="s">
        <v>37</v>
      </c>
      <c r="D13" s="56" t="s">
        <v>180</v>
      </c>
      <c r="E13" s="58" t="s">
        <v>34</v>
      </c>
      <c r="F13" s="58">
        <v>60.0</v>
      </c>
      <c r="G13" s="58">
        <v>2.54</v>
      </c>
      <c r="H13" s="58">
        <v>248.0</v>
      </c>
      <c r="I13" s="58">
        <v>2.0E-4</v>
      </c>
      <c r="J13" s="58">
        <v>2.61</v>
      </c>
      <c r="K13" s="58">
        <v>254.0</v>
      </c>
      <c r="L13" s="58">
        <v>2.0E-4</v>
      </c>
      <c r="M13" s="58">
        <v>328.0</v>
      </c>
      <c r="N13" s="58">
        <v>2330.0</v>
      </c>
      <c r="O13" s="58">
        <v>2981.0</v>
      </c>
      <c r="P13" s="58">
        <v>4964.0</v>
      </c>
      <c r="Q13" s="58">
        <v>486.0</v>
      </c>
      <c r="R13" s="58" t="s">
        <v>130</v>
      </c>
      <c r="S13" s="55" t="s">
        <v>38</v>
      </c>
      <c r="T13" s="57" t="s">
        <v>168</v>
      </c>
      <c r="U13" s="57" t="s">
        <v>52</v>
      </c>
      <c r="V13" s="57" t="s">
        <v>169</v>
      </c>
      <c r="W13" s="57">
        <v>5.0</v>
      </c>
    </row>
    <row r="14">
      <c r="A14" s="54">
        <v>46100.0</v>
      </c>
      <c r="B14" s="55" t="s">
        <v>166</v>
      </c>
      <c r="C14" s="8" t="s">
        <v>37</v>
      </c>
      <c r="D14" s="56" t="s">
        <v>181</v>
      </c>
      <c r="E14" s="55" t="s">
        <v>34</v>
      </c>
      <c r="F14" s="55">
        <v>57.0</v>
      </c>
      <c r="G14" s="55">
        <v>2.64</v>
      </c>
      <c r="H14" s="55">
        <v>353.0</v>
      </c>
      <c r="I14" s="55">
        <v>2.0E-4</v>
      </c>
      <c r="J14" s="55">
        <v>2.65</v>
      </c>
      <c r="K14" s="55">
        <v>356.0</v>
      </c>
      <c r="L14" s="55">
        <v>2.0E-4</v>
      </c>
      <c r="M14" s="55">
        <v>304.0</v>
      </c>
      <c r="N14" s="55">
        <v>2363.0</v>
      </c>
      <c r="O14" s="55">
        <v>3789.0</v>
      </c>
      <c r="P14" s="55">
        <v>7726.0</v>
      </c>
      <c r="Q14" s="55">
        <v>333.0</v>
      </c>
      <c r="R14" s="55" t="s">
        <v>130</v>
      </c>
      <c r="S14" s="55" t="s">
        <v>38</v>
      </c>
      <c r="T14" s="57" t="s">
        <v>168</v>
      </c>
      <c r="U14" s="57" t="s">
        <v>52</v>
      </c>
      <c r="V14" s="57" t="s">
        <v>169</v>
      </c>
      <c r="W14" s="57">
        <v>5.0</v>
      </c>
    </row>
    <row r="15">
      <c r="A15" s="54">
        <v>46100.0</v>
      </c>
      <c r="B15" s="58" t="s">
        <v>166</v>
      </c>
      <c r="C15" s="8" t="s">
        <v>37</v>
      </c>
      <c r="D15" s="56" t="s">
        <v>182</v>
      </c>
      <c r="E15" s="58" t="s">
        <v>34</v>
      </c>
      <c r="F15" s="58">
        <v>61.0</v>
      </c>
      <c r="G15" s="58">
        <v>2.58</v>
      </c>
      <c r="H15" s="58">
        <v>406.0</v>
      </c>
      <c r="I15" s="58">
        <v>2.0E-4</v>
      </c>
      <c r="J15" s="58">
        <v>2.58</v>
      </c>
      <c r="K15" s="58">
        <v>406.0</v>
      </c>
      <c r="L15" s="58">
        <v>2.0E-4</v>
      </c>
      <c r="M15" s="58">
        <v>290.0</v>
      </c>
      <c r="N15" s="58">
        <v>2353.0</v>
      </c>
      <c r="O15" s="58">
        <v>4262.0</v>
      </c>
      <c r="P15" s="58">
        <v>8713.0</v>
      </c>
      <c r="Q15" s="58">
        <v>916.0</v>
      </c>
      <c r="R15" s="58" t="s">
        <v>130</v>
      </c>
      <c r="S15" s="55" t="s">
        <v>38</v>
      </c>
      <c r="T15" s="57" t="s">
        <v>168</v>
      </c>
      <c r="U15" s="57" t="s">
        <v>52</v>
      </c>
      <c r="V15" s="57" t="s">
        <v>169</v>
      </c>
      <c r="W15" s="57">
        <v>5.0</v>
      </c>
    </row>
    <row r="16">
      <c r="A16" s="54">
        <v>46100.0</v>
      </c>
      <c r="B16" s="55" t="s">
        <v>166</v>
      </c>
      <c r="C16" s="8" t="s">
        <v>37</v>
      </c>
      <c r="D16" s="56" t="s">
        <v>183</v>
      </c>
      <c r="E16" s="55" t="s">
        <v>34</v>
      </c>
      <c r="F16" s="55">
        <v>67.0</v>
      </c>
      <c r="G16" s="55">
        <v>2.44</v>
      </c>
      <c r="H16" s="55">
        <v>215.0</v>
      </c>
      <c r="I16" s="55">
        <v>2.0E-4</v>
      </c>
      <c r="J16" s="55">
        <v>2.46</v>
      </c>
      <c r="K16" s="55">
        <v>232.0</v>
      </c>
      <c r="L16" s="55">
        <v>2.0E-4</v>
      </c>
      <c r="M16" s="55">
        <v>249.0</v>
      </c>
      <c r="N16" s="55">
        <v>2283.0</v>
      </c>
      <c r="O16" s="55">
        <v>2852.0</v>
      </c>
      <c r="P16" s="55">
        <v>4184.0</v>
      </c>
      <c r="Q16" s="55">
        <v>797.0</v>
      </c>
      <c r="R16" s="55" t="s">
        <v>130</v>
      </c>
      <c r="S16" s="55" t="s">
        <v>38</v>
      </c>
      <c r="T16" s="57" t="s">
        <v>168</v>
      </c>
      <c r="U16" s="57" t="s">
        <v>52</v>
      </c>
      <c r="V16" s="57" t="s">
        <v>169</v>
      </c>
      <c r="W16" s="57">
        <v>5.0</v>
      </c>
    </row>
    <row r="17">
      <c r="A17" s="54">
        <v>46100.0</v>
      </c>
      <c r="B17" s="58" t="s">
        <v>166</v>
      </c>
      <c r="C17" s="8" t="s">
        <v>37</v>
      </c>
      <c r="D17" s="56" t="s">
        <v>184</v>
      </c>
      <c r="E17" s="58" t="s">
        <v>34</v>
      </c>
      <c r="F17" s="58">
        <v>52.0</v>
      </c>
      <c r="G17" s="58">
        <v>2.84</v>
      </c>
      <c r="H17" s="58">
        <v>477.0</v>
      </c>
      <c r="I17" s="58">
        <v>2.0E-4</v>
      </c>
      <c r="J17" s="58">
        <v>2.84</v>
      </c>
      <c r="K17" s="58">
        <v>477.0</v>
      </c>
      <c r="L17" s="58">
        <v>2.0E-4</v>
      </c>
      <c r="M17" s="58">
        <v>312.0</v>
      </c>
      <c r="N17" s="58">
        <v>2838.0</v>
      </c>
      <c r="O17" s="58">
        <v>4795.0</v>
      </c>
      <c r="P17" s="58">
        <v>8181.0</v>
      </c>
      <c r="Q17" s="58">
        <v>485.0</v>
      </c>
      <c r="R17" s="58" t="s">
        <v>130</v>
      </c>
      <c r="S17" s="55" t="s">
        <v>38</v>
      </c>
      <c r="T17" s="57" t="s">
        <v>168</v>
      </c>
      <c r="U17" s="57" t="s">
        <v>52</v>
      </c>
      <c r="V17" s="57" t="s">
        <v>169</v>
      </c>
      <c r="W17" s="57">
        <v>5.0</v>
      </c>
    </row>
    <row r="18">
      <c r="A18" s="54">
        <v>46100.0</v>
      </c>
      <c r="B18" s="55" t="s">
        <v>166</v>
      </c>
      <c r="C18" s="8" t="s">
        <v>37</v>
      </c>
      <c r="D18" s="56" t="s">
        <v>185</v>
      </c>
      <c r="E18" s="55" t="s">
        <v>34</v>
      </c>
      <c r="F18" s="55">
        <v>54.0</v>
      </c>
      <c r="G18" s="55">
        <v>2.97</v>
      </c>
      <c r="H18" s="55">
        <v>258.0</v>
      </c>
      <c r="I18" s="55">
        <v>2.0E-4</v>
      </c>
      <c r="J18" s="55">
        <v>2.97</v>
      </c>
      <c r="K18" s="55">
        <v>258.0</v>
      </c>
      <c r="L18" s="55">
        <v>2.0E-4</v>
      </c>
      <c r="M18" s="55">
        <v>293.0</v>
      </c>
      <c r="N18" s="55">
        <v>2766.0</v>
      </c>
      <c r="O18" s="55">
        <v>3395.0</v>
      </c>
      <c r="P18" s="55">
        <v>5329.0</v>
      </c>
      <c r="Q18" s="55">
        <v>564.0</v>
      </c>
      <c r="R18" s="55" t="s">
        <v>130</v>
      </c>
      <c r="S18" s="55" t="s">
        <v>38</v>
      </c>
      <c r="T18" s="57" t="s">
        <v>168</v>
      </c>
      <c r="U18" s="57" t="s">
        <v>52</v>
      </c>
      <c r="V18" s="57" t="s">
        <v>169</v>
      </c>
      <c r="W18" s="57">
        <v>5.0</v>
      </c>
    </row>
    <row r="19">
      <c r="A19" s="54">
        <v>46100.0</v>
      </c>
      <c r="B19" s="58" t="s">
        <v>166</v>
      </c>
      <c r="C19" s="8" t="s">
        <v>37</v>
      </c>
      <c r="D19" s="56" t="s">
        <v>186</v>
      </c>
      <c r="E19" s="58" t="s">
        <v>34</v>
      </c>
      <c r="F19" s="58">
        <v>64.0</v>
      </c>
      <c r="G19" s="58">
        <v>2.53</v>
      </c>
      <c r="H19" s="58">
        <v>257.0</v>
      </c>
      <c r="I19" s="58">
        <v>2.0E-4</v>
      </c>
      <c r="J19" s="58">
        <v>2.53</v>
      </c>
      <c r="K19" s="58">
        <v>257.0</v>
      </c>
      <c r="L19" s="58">
        <v>2.0E-4</v>
      </c>
      <c r="M19" s="58">
        <v>198.0</v>
      </c>
      <c r="N19" s="58">
        <v>2291.0</v>
      </c>
      <c r="O19" s="58">
        <v>3313.0</v>
      </c>
      <c r="P19" s="58">
        <v>5645.0</v>
      </c>
      <c r="Q19" s="58">
        <v>303.0</v>
      </c>
      <c r="R19" s="58" t="s">
        <v>130</v>
      </c>
      <c r="S19" s="55" t="s">
        <v>38</v>
      </c>
      <c r="T19" s="57" t="s">
        <v>168</v>
      </c>
      <c r="U19" s="57" t="s">
        <v>52</v>
      </c>
      <c r="V19" s="57" t="s">
        <v>169</v>
      </c>
      <c r="W19" s="57">
        <v>5.0</v>
      </c>
    </row>
    <row r="20">
      <c r="A20" s="54">
        <v>46100.0</v>
      </c>
      <c r="B20" s="55" t="s">
        <v>166</v>
      </c>
      <c r="C20" s="8" t="s">
        <v>37</v>
      </c>
      <c r="D20" s="56" t="s">
        <v>187</v>
      </c>
      <c r="E20" s="55" t="s">
        <v>34</v>
      </c>
      <c r="F20" s="55">
        <v>83.0</v>
      </c>
      <c r="G20" s="55">
        <v>1.38</v>
      </c>
      <c r="H20" s="55">
        <v>211.0</v>
      </c>
      <c r="I20" s="55">
        <v>2.0E-4</v>
      </c>
      <c r="J20" s="55">
        <v>1.38</v>
      </c>
      <c r="K20" s="55">
        <v>211.0</v>
      </c>
      <c r="L20" s="55">
        <v>2.0E-4</v>
      </c>
      <c r="M20" s="55">
        <v>146.0</v>
      </c>
      <c r="N20" s="55">
        <v>1382.0</v>
      </c>
      <c r="O20" s="55">
        <v>2651.0</v>
      </c>
      <c r="P20" s="55">
        <v>4554.0</v>
      </c>
      <c r="Q20" s="55">
        <v>359.0</v>
      </c>
      <c r="R20" s="55" t="s">
        <v>130</v>
      </c>
      <c r="S20" s="55" t="s">
        <v>38</v>
      </c>
      <c r="T20" s="57" t="s">
        <v>168</v>
      </c>
      <c r="U20" s="57" t="s">
        <v>52</v>
      </c>
      <c r="V20" s="57" t="s">
        <v>169</v>
      </c>
      <c r="W20" s="57">
        <v>5.0</v>
      </c>
    </row>
    <row r="21">
      <c r="A21" s="54">
        <v>46100.0</v>
      </c>
      <c r="B21" s="58" t="s">
        <v>166</v>
      </c>
      <c r="C21" s="8" t="s">
        <v>37</v>
      </c>
      <c r="D21" s="56" t="s">
        <v>188</v>
      </c>
      <c r="E21" s="58" t="s">
        <v>34</v>
      </c>
      <c r="F21" s="58">
        <v>61.0</v>
      </c>
      <c r="G21" s="58">
        <v>2.49</v>
      </c>
      <c r="H21" s="58">
        <v>203.0</v>
      </c>
      <c r="I21" s="58">
        <v>2.0E-4</v>
      </c>
      <c r="J21" s="58">
        <v>2.49</v>
      </c>
      <c r="K21" s="58">
        <v>203.0</v>
      </c>
      <c r="L21" s="58">
        <v>2.0E-4</v>
      </c>
      <c r="M21" s="58">
        <v>281.0</v>
      </c>
      <c r="N21" s="58">
        <v>2300.0</v>
      </c>
      <c r="O21" s="58">
        <v>2735.0</v>
      </c>
      <c r="P21" s="58">
        <v>4548.0</v>
      </c>
      <c r="Q21" s="58">
        <v>282.0</v>
      </c>
      <c r="R21" s="58" t="s">
        <v>130</v>
      </c>
      <c r="S21" s="55" t="s">
        <v>38</v>
      </c>
      <c r="T21" s="57" t="s">
        <v>168</v>
      </c>
      <c r="U21" s="57" t="s">
        <v>52</v>
      </c>
      <c r="V21" s="57" t="s">
        <v>169</v>
      </c>
      <c r="W21" s="57">
        <v>5.0</v>
      </c>
    </row>
    <row r="22">
      <c r="A22" s="54">
        <v>46100.0</v>
      </c>
      <c r="B22" s="55" t="s">
        <v>166</v>
      </c>
      <c r="C22" s="8" t="s">
        <v>37</v>
      </c>
      <c r="D22" s="56" t="s">
        <v>189</v>
      </c>
      <c r="E22" s="55" t="s">
        <v>34</v>
      </c>
      <c r="F22" s="55">
        <v>59.0</v>
      </c>
      <c r="G22" s="55">
        <v>2.69</v>
      </c>
      <c r="H22" s="55">
        <v>293.0</v>
      </c>
      <c r="I22" s="55">
        <v>2.0E-4</v>
      </c>
      <c r="J22" s="55">
        <v>2.69</v>
      </c>
      <c r="K22" s="55">
        <v>293.0</v>
      </c>
      <c r="L22" s="55">
        <v>2.0E-4</v>
      </c>
      <c r="M22" s="55">
        <v>256.0</v>
      </c>
      <c r="N22" s="55">
        <v>2414.0</v>
      </c>
      <c r="O22" s="55">
        <v>3583.0</v>
      </c>
      <c r="P22" s="55">
        <v>7758.0</v>
      </c>
      <c r="Q22" s="55">
        <v>330.0</v>
      </c>
      <c r="R22" s="55" t="s">
        <v>130</v>
      </c>
      <c r="S22" s="55" t="s">
        <v>38</v>
      </c>
      <c r="T22" s="57" t="s">
        <v>168</v>
      </c>
      <c r="U22" s="57" t="s">
        <v>52</v>
      </c>
      <c r="V22" s="57" t="s">
        <v>169</v>
      </c>
      <c r="W22" s="57">
        <v>5.0</v>
      </c>
    </row>
    <row r="23">
      <c r="A23" s="54">
        <v>46100.0</v>
      </c>
      <c r="B23" s="58" t="s">
        <v>166</v>
      </c>
      <c r="C23" s="8" t="s">
        <v>37</v>
      </c>
      <c r="D23" s="56" t="s">
        <v>190</v>
      </c>
      <c r="E23" s="58" t="s">
        <v>34</v>
      </c>
      <c r="F23" s="58">
        <v>59.0</v>
      </c>
      <c r="G23" s="58">
        <v>2.57</v>
      </c>
      <c r="H23" s="58">
        <v>326.0</v>
      </c>
      <c r="I23" s="58">
        <v>2.0E-4</v>
      </c>
      <c r="J23" s="58">
        <v>2.57</v>
      </c>
      <c r="K23" s="58">
        <v>326.0</v>
      </c>
      <c r="L23" s="58">
        <v>2.0E-4</v>
      </c>
      <c r="M23" s="58">
        <v>258.0</v>
      </c>
      <c r="N23" s="58">
        <v>2373.0</v>
      </c>
      <c r="O23" s="58">
        <v>4060.0</v>
      </c>
      <c r="P23" s="58">
        <v>8555.0</v>
      </c>
      <c r="Q23" s="58">
        <v>336.0</v>
      </c>
      <c r="R23" s="58" t="s">
        <v>130</v>
      </c>
      <c r="S23" s="55" t="s">
        <v>38</v>
      </c>
      <c r="T23" s="57" t="s">
        <v>168</v>
      </c>
      <c r="U23" s="57" t="s">
        <v>52</v>
      </c>
      <c r="V23" s="57" t="s">
        <v>169</v>
      </c>
      <c r="W23" s="57">
        <v>5.0</v>
      </c>
    </row>
    <row r="24">
      <c r="A24" s="54">
        <v>46100.0</v>
      </c>
      <c r="B24" s="55" t="s">
        <v>166</v>
      </c>
      <c r="C24" s="8" t="s">
        <v>37</v>
      </c>
      <c r="D24" s="56" t="s">
        <v>191</v>
      </c>
      <c r="E24" s="55" t="s">
        <v>34</v>
      </c>
      <c r="F24" s="55">
        <v>61.0</v>
      </c>
      <c r="G24" s="55">
        <v>2.28</v>
      </c>
      <c r="H24" s="55">
        <v>204.0</v>
      </c>
      <c r="I24" s="55">
        <v>2.0E-4</v>
      </c>
      <c r="J24" s="55">
        <v>2.28</v>
      </c>
      <c r="K24" s="55">
        <v>204.0</v>
      </c>
      <c r="L24" s="55">
        <v>2.0E-4</v>
      </c>
      <c r="M24" s="55">
        <v>286.0</v>
      </c>
      <c r="N24" s="55">
        <v>2284.0</v>
      </c>
      <c r="O24" s="55">
        <v>2918.0</v>
      </c>
      <c r="P24" s="55">
        <v>4353.0</v>
      </c>
      <c r="Q24" s="55">
        <v>786.0</v>
      </c>
      <c r="R24" s="55" t="s">
        <v>130</v>
      </c>
      <c r="S24" s="55" t="s">
        <v>38</v>
      </c>
      <c r="T24" s="57" t="s">
        <v>168</v>
      </c>
      <c r="U24" s="57" t="s">
        <v>52</v>
      </c>
      <c r="V24" s="57" t="s">
        <v>169</v>
      </c>
      <c r="W24" s="57">
        <v>5.0</v>
      </c>
    </row>
    <row r="25">
      <c r="A25" s="54">
        <v>46100.0</v>
      </c>
      <c r="B25" s="58" t="s">
        <v>166</v>
      </c>
      <c r="C25" s="8" t="s">
        <v>37</v>
      </c>
      <c r="D25" s="56" t="s">
        <v>192</v>
      </c>
      <c r="E25" s="58" t="s">
        <v>35</v>
      </c>
      <c r="F25" s="58">
        <v>31.0</v>
      </c>
      <c r="G25" s="58">
        <v>11.3</v>
      </c>
      <c r="H25" s="58">
        <v>1384.0</v>
      </c>
      <c r="I25" s="58">
        <v>0.0039</v>
      </c>
      <c r="J25" s="58">
        <v>11.33</v>
      </c>
      <c r="K25" s="58">
        <v>1508.0</v>
      </c>
      <c r="L25" s="58">
        <v>0.0039</v>
      </c>
      <c r="M25" s="58">
        <v>1345.0</v>
      </c>
      <c r="N25" s="58">
        <v>10996.0</v>
      </c>
      <c r="O25" s="58">
        <v>11672.0</v>
      </c>
      <c r="P25" s="58">
        <v>29519.0</v>
      </c>
      <c r="Q25" s="58">
        <v>353.0</v>
      </c>
      <c r="R25" s="58" t="s">
        <v>130</v>
      </c>
      <c r="S25" s="55" t="s">
        <v>38</v>
      </c>
      <c r="T25" s="57" t="s">
        <v>168</v>
      </c>
      <c r="U25" s="57" t="s">
        <v>52</v>
      </c>
      <c r="V25" s="57" t="s">
        <v>169</v>
      </c>
      <c r="W25" s="57">
        <v>5.0</v>
      </c>
    </row>
    <row r="26">
      <c r="A26" s="54">
        <v>46100.0</v>
      </c>
      <c r="B26" s="55" t="s">
        <v>166</v>
      </c>
      <c r="C26" s="8" t="s">
        <v>37</v>
      </c>
      <c r="D26" s="56" t="s">
        <v>193</v>
      </c>
      <c r="E26" s="55" t="s">
        <v>35</v>
      </c>
      <c r="F26" s="55">
        <v>30.0</v>
      </c>
      <c r="G26" s="55">
        <v>13.49</v>
      </c>
      <c r="H26" s="55">
        <v>959.0</v>
      </c>
      <c r="I26" s="55">
        <v>0.0039</v>
      </c>
      <c r="J26" s="55">
        <v>13.56</v>
      </c>
      <c r="K26" s="55">
        <v>1084.0</v>
      </c>
      <c r="L26" s="55">
        <v>0.0039</v>
      </c>
      <c r="M26" s="55">
        <v>1437.0</v>
      </c>
      <c r="N26" s="55">
        <v>13185.0</v>
      </c>
      <c r="O26" s="55">
        <v>13185.0</v>
      </c>
      <c r="P26" s="55">
        <v>22510.0</v>
      </c>
      <c r="Q26" s="55">
        <v>533.0</v>
      </c>
      <c r="R26" s="55" t="s">
        <v>130</v>
      </c>
      <c r="S26" s="55" t="s">
        <v>38</v>
      </c>
      <c r="T26" s="57" t="s">
        <v>168</v>
      </c>
      <c r="U26" s="57" t="s">
        <v>52</v>
      </c>
      <c r="V26" s="57" t="s">
        <v>169</v>
      </c>
      <c r="W26" s="57">
        <v>5.0</v>
      </c>
    </row>
    <row r="27">
      <c r="A27" s="54">
        <v>46100.0</v>
      </c>
      <c r="B27" s="58" t="s">
        <v>166</v>
      </c>
      <c r="C27" s="8" t="s">
        <v>37</v>
      </c>
      <c r="D27" s="56" t="s">
        <v>194</v>
      </c>
      <c r="E27" s="58" t="s">
        <v>35</v>
      </c>
      <c r="F27" s="58">
        <v>34.0</v>
      </c>
      <c r="G27" s="58">
        <v>11.02</v>
      </c>
      <c r="H27" s="58">
        <v>1022.0</v>
      </c>
      <c r="I27" s="58">
        <v>0.0039</v>
      </c>
      <c r="J27" s="58">
        <v>11.19</v>
      </c>
      <c r="K27" s="58">
        <v>1097.0</v>
      </c>
      <c r="L27" s="58">
        <v>0.0039</v>
      </c>
      <c r="M27" s="58">
        <v>1148.0</v>
      </c>
      <c r="N27" s="58">
        <v>10570.0</v>
      </c>
      <c r="O27" s="58">
        <v>10570.0</v>
      </c>
      <c r="P27" s="58">
        <v>25100.0</v>
      </c>
      <c r="Q27" s="58">
        <v>406.0</v>
      </c>
      <c r="R27" s="58" t="s">
        <v>130</v>
      </c>
      <c r="S27" s="55" t="s">
        <v>38</v>
      </c>
      <c r="T27" s="57" t="s">
        <v>168</v>
      </c>
      <c r="U27" s="57" t="s">
        <v>52</v>
      </c>
      <c r="V27" s="57" t="s">
        <v>169</v>
      </c>
      <c r="W27" s="57">
        <v>5.0</v>
      </c>
    </row>
    <row r="28">
      <c r="A28" s="54">
        <v>46100.0</v>
      </c>
      <c r="B28" s="55" t="s">
        <v>166</v>
      </c>
      <c r="C28" s="8" t="s">
        <v>37</v>
      </c>
      <c r="D28" s="56" t="s">
        <v>195</v>
      </c>
      <c r="E28" s="55" t="s">
        <v>35</v>
      </c>
      <c r="F28" s="55">
        <v>34.0</v>
      </c>
      <c r="G28" s="55">
        <v>11.04</v>
      </c>
      <c r="H28" s="55">
        <v>1096.0</v>
      </c>
      <c r="I28" s="55">
        <v>0.0039</v>
      </c>
      <c r="J28" s="55">
        <v>11.26</v>
      </c>
      <c r="K28" s="55">
        <v>1123.0</v>
      </c>
      <c r="L28" s="55">
        <v>0.0039</v>
      </c>
      <c r="M28" s="55">
        <v>1188.0</v>
      </c>
      <c r="N28" s="55">
        <v>10590.0</v>
      </c>
      <c r="O28" s="55">
        <v>10590.0</v>
      </c>
      <c r="P28" s="55">
        <v>18865.0</v>
      </c>
      <c r="Q28" s="55">
        <v>299.0</v>
      </c>
      <c r="R28" s="55" t="s">
        <v>130</v>
      </c>
      <c r="S28" s="55" t="s">
        <v>38</v>
      </c>
      <c r="T28" s="57" t="s">
        <v>168</v>
      </c>
      <c r="U28" s="57" t="s">
        <v>52</v>
      </c>
      <c r="V28" s="57" t="s">
        <v>169</v>
      </c>
      <c r="W28" s="57">
        <v>5.0</v>
      </c>
    </row>
    <row r="29">
      <c r="A29" s="54">
        <v>46100.0</v>
      </c>
      <c r="B29" s="58" t="s">
        <v>166</v>
      </c>
      <c r="C29" s="8" t="s">
        <v>37</v>
      </c>
      <c r="D29" s="56" t="s">
        <v>196</v>
      </c>
      <c r="E29" s="58" t="s">
        <v>35</v>
      </c>
      <c r="F29" s="58">
        <v>50.0</v>
      </c>
      <c r="G29" s="58">
        <v>10.99</v>
      </c>
      <c r="H29" s="58">
        <v>912.0</v>
      </c>
      <c r="I29" s="58">
        <v>0.0039</v>
      </c>
      <c r="J29" s="58">
        <v>11.01</v>
      </c>
      <c r="K29" s="58">
        <v>919.0</v>
      </c>
      <c r="L29" s="58">
        <v>0.0039</v>
      </c>
      <c r="M29" s="58">
        <v>2004.0</v>
      </c>
      <c r="N29" s="58">
        <v>10711.0</v>
      </c>
      <c r="O29" s="58">
        <v>10711.0</v>
      </c>
      <c r="P29" s="58">
        <v>18396.0</v>
      </c>
      <c r="Q29" s="58">
        <v>415.0</v>
      </c>
      <c r="R29" s="58" t="s">
        <v>130</v>
      </c>
      <c r="S29" s="55" t="s">
        <v>38</v>
      </c>
      <c r="T29" s="57" t="s">
        <v>168</v>
      </c>
      <c r="U29" s="57" t="s">
        <v>52</v>
      </c>
      <c r="V29" s="57" t="s">
        <v>169</v>
      </c>
      <c r="W29" s="57">
        <v>5.0</v>
      </c>
    </row>
    <row r="30">
      <c r="A30" s="54">
        <v>46100.0</v>
      </c>
      <c r="B30" s="55" t="s">
        <v>166</v>
      </c>
      <c r="C30" s="8" t="s">
        <v>37</v>
      </c>
      <c r="D30" s="56" t="s">
        <v>197</v>
      </c>
      <c r="E30" s="55" t="s">
        <v>35</v>
      </c>
      <c r="F30" s="55">
        <v>28.0</v>
      </c>
      <c r="G30" s="55">
        <v>11.28</v>
      </c>
      <c r="H30" s="55">
        <v>1617.0</v>
      </c>
      <c r="I30" s="55">
        <v>0.0039</v>
      </c>
      <c r="J30" s="55">
        <v>11.39</v>
      </c>
      <c r="K30" s="55">
        <v>1622.0</v>
      </c>
      <c r="L30" s="55">
        <v>0.0039</v>
      </c>
      <c r="M30" s="55">
        <v>1898.0</v>
      </c>
      <c r="N30" s="55">
        <v>10984.0</v>
      </c>
      <c r="O30" s="55">
        <v>12624.0</v>
      </c>
      <c r="P30" s="55">
        <v>31299.0</v>
      </c>
      <c r="Q30" s="55">
        <v>402.0</v>
      </c>
      <c r="R30" s="55" t="s">
        <v>130</v>
      </c>
      <c r="S30" s="55" t="s">
        <v>38</v>
      </c>
      <c r="T30" s="57" t="s">
        <v>168</v>
      </c>
      <c r="U30" s="57" t="s">
        <v>52</v>
      </c>
      <c r="V30" s="57" t="s">
        <v>169</v>
      </c>
      <c r="W30" s="57">
        <v>5.0</v>
      </c>
    </row>
    <row r="31">
      <c r="A31" s="22">
        <v>46100.0</v>
      </c>
      <c r="B31" s="58" t="s">
        <v>166</v>
      </c>
      <c r="C31" s="8" t="s">
        <v>37</v>
      </c>
      <c r="D31" s="56" t="s">
        <v>198</v>
      </c>
      <c r="E31" s="58" t="s">
        <v>35</v>
      </c>
      <c r="F31" s="58">
        <v>30.0</v>
      </c>
      <c r="G31" s="58">
        <v>11.28</v>
      </c>
      <c r="H31" s="58">
        <v>1729.0</v>
      </c>
      <c r="I31" s="58">
        <v>0.0039</v>
      </c>
      <c r="J31" s="58">
        <v>11.29</v>
      </c>
      <c r="K31" s="58">
        <v>1804.0</v>
      </c>
      <c r="L31" s="58">
        <v>0.0039</v>
      </c>
      <c r="M31" s="58">
        <v>1554.0</v>
      </c>
      <c r="N31" s="58">
        <v>10978.0</v>
      </c>
      <c r="O31" s="58">
        <v>13003.0</v>
      </c>
      <c r="P31" s="58">
        <v>31626.0</v>
      </c>
      <c r="Q31" s="58">
        <v>437.0</v>
      </c>
      <c r="R31" s="58" t="s">
        <v>130</v>
      </c>
      <c r="S31" s="55" t="s">
        <v>38</v>
      </c>
      <c r="T31" s="57" t="s">
        <v>168</v>
      </c>
      <c r="U31" s="57" t="s">
        <v>52</v>
      </c>
      <c r="V31" s="57" t="s">
        <v>169</v>
      </c>
      <c r="W31" s="57">
        <v>5.0</v>
      </c>
    </row>
    <row r="32">
      <c r="A32" s="22">
        <v>46100.0</v>
      </c>
      <c r="B32" s="55" t="s">
        <v>166</v>
      </c>
      <c r="C32" s="8" t="s">
        <v>37</v>
      </c>
      <c r="D32" s="56" t="s">
        <v>199</v>
      </c>
      <c r="E32" s="55" t="s">
        <v>35</v>
      </c>
      <c r="F32" s="55">
        <v>33.0</v>
      </c>
      <c r="G32" s="55">
        <v>10.98</v>
      </c>
      <c r="H32" s="55">
        <v>1118.0</v>
      </c>
      <c r="I32" s="55">
        <v>0.0039</v>
      </c>
      <c r="J32" s="55">
        <v>10.98</v>
      </c>
      <c r="K32" s="55">
        <v>1214.0</v>
      </c>
      <c r="L32" s="55">
        <v>0.0039</v>
      </c>
      <c r="M32" s="55">
        <v>1668.0</v>
      </c>
      <c r="N32" s="55">
        <v>10682.0</v>
      </c>
      <c r="O32" s="55">
        <v>10682.0</v>
      </c>
      <c r="P32" s="55">
        <v>17097.0</v>
      </c>
      <c r="Q32" s="55">
        <v>902.0</v>
      </c>
      <c r="R32" s="55" t="s">
        <v>130</v>
      </c>
      <c r="S32" s="55" t="s">
        <v>38</v>
      </c>
      <c r="T32" s="57" t="s">
        <v>168</v>
      </c>
      <c r="U32" s="57" t="s">
        <v>52</v>
      </c>
      <c r="V32" s="57" t="s">
        <v>169</v>
      </c>
      <c r="W32" s="57">
        <v>5.0</v>
      </c>
    </row>
    <row r="33">
      <c r="A33" s="22">
        <v>46100.0</v>
      </c>
      <c r="B33" s="58" t="s">
        <v>166</v>
      </c>
      <c r="C33" s="8" t="s">
        <v>37</v>
      </c>
      <c r="D33" s="56" t="s">
        <v>200</v>
      </c>
      <c r="E33" s="58" t="s">
        <v>35</v>
      </c>
      <c r="F33" s="58">
        <v>28.0</v>
      </c>
      <c r="G33" s="58">
        <v>11.12</v>
      </c>
      <c r="H33" s="58">
        <v>1717.0</v>
      </c>
      <c r="I33" s="58">
        <v>0.0039</v>
      </c>
      <c r="J33" s="58">
        <v>11.12</v>
      </c>
      <c r="K33" s="58">
        <v>1717.0</v>
      </c>
      <c r="L33" s="58">
        <v>0.0039</v>
      </c>
      <c r="M33" s="58">
        <v>1609.0</v>
      </c>
      <c r="N33" s="58">
        <v>10971.0</v>
      </c>
      <c r="O33" s="58">
        <v>11530.0</v>
      </c>
      <c r="P33" s="58">
        <v>28243.0</v>
      </c>
      <c r="Q33" s="58">
        <v>432.0</v>
      </c>
      <c r="R33" s="58" t="s">
        <v>130</v>
      </c>
      <c r="S33" s="55" t="s">
        <v>38</v>
      </c>
      <c r="T33" s="57" t="s">
        <v>168</v>
      </c>
      <c r="U33" s="57" t="s">
        <v>52</v>
      </c>
      <c r="V33" s="57" t="s">
        <v>169</v>
      </c>
      <c r="W33" s="57">
        <v>5.0</v>
      </c>
    </row>
    <row r="34">
      <c r="A34" s="22">
        <v>46100.0</v>
      </c>
      <c r="B34" s="55" t="s">
        <v>166</v>
      </c>
      <c r="C34" s="8" t="s">
        <v>37</v>
      </c>
      <c r="D34" s="56" t="s">
        <v>201</v>
      </c>
      <c r="E34" s="55" t="s">
        <v>35</v>
      </c>
      <c r="F34" s="55">
        <v>28.0</v>
      </c>
      <c r="G34" s="55">
        <v>13.52</v>
      </c>
      <c r="H34" s="55">
        <v>1073.0</v>
      </c>
      <c r="I34" s="55">
        <v>0.0039</v>
      </c>
      <c r="J34" s="55">
        <v>13.52</v>
      </c>
      <c r="K34" s="55">
        <v>1073.0</v>
      </c>
      <c r="L34" s="55">
        <v>0.0039</v>
      </c>
      <c r="M34" s="55">
        <v>1764.0</v>
      </c>
      <c r="N34" s="55">
        <v>13224.0</v>
      </c>
      <c r="O34" s="55">
        <v>13224.0</v>
      </c>
      <c r="P34" s="55">
        <v>22976.0</v>
      </c>
      <c r="Q34" s="55">
        <v>702.0</v>
      </c>
      <c r="R34" s="55" t="s">
        <v>130</v>
      </c>
      <c r="S34" s="55" t="s">
        <v>38</v>
      </c>
      <c r="T34" s="57" t="s">
        <v>168</v>
      </c>
      <c r="U34" s="57" t="s">
        <v>52</v>
      </c>
      <c r="V34" s="57" t="s">
        <v>169</v>
      </c>
      <c r="W34" s="57">
        <v>5.0</v>
      </c>
    </row>
    <row r="35">
      <c r="A35" s="22">
        <v>46100.0</v>
      </c>
      <c r="B35" s="58" t="s">
        <v>166</v>
      </c>
      <c r="C35" s="8" t="s">
        <v>37</v>
      </c>
      <c r="D35" s="56" t="s">
        <v>202</v>
      </c>
      <c r="E35" s="58" t="s">
        <v>35</v>
      </c>
      <c r="F35" s="58">
        <v>31.0</v>
      </c>
      <c r="G35" s="58">
        <v>11.0</v>
      </c>
      <c r="H35" s="58">
        <v>1076.0</v>
      </c>
      <c r="I35" s="58">
        <v>0.0039</v>
      </c>
      <c r="J35" s="58">
        <v>11.0</v>
      </c>
      <c r="K35" s="58">
        <v>1076.0</v>
      </c>
      <c r="L35" s="58">
        <v>0.0039</v>
      </c>
      <c r="M35" s="58">
        <v>1314.0</v>
      </c>
      <c r="N35" s="58">
        <v>10553.0</v>
      </c>
      <c r="O35" s="58">
        <v>12858.0</v>
      </c>
      <c r="P35" s="58">
        <v>25191.0</v>
      </c>
      <c r="Q35" s="58">
        <v>2189.0</v>
      </c>
      <c r="R35" s="58" t="s">
        <v>130</v>
      </c>
      <c r="S35" s="55" t="s">
        <v>38</v>
      </c>
      <c r="T35" s="57" t="s">
        <v>168</v>
      </c>
      <c r="U35" s="57" t="s">
        <v>52</v>
      </c>
      <c r="V35" s="57" t="s">
        <v>169</v>
      </c>
      <c r="W35" s="57">
        <v>5.0</v>
      </c>
    </row>
    <row r="36">
      <c r="A36" s="22">
        <v>46100.0</v>
      </c>
      <c r="B36" s="55" t="s">
        <v>166</v>
      </c>
      <c r="C36" s="8" t="s">
        <v>37</v>
      </c>
      <c r="D36" s="56" t="s">
        <v>203</v>
      </c>
      <c r="E36" s="55" t="s">
        <v>35</v>
      </c>
      <c r="F36" s="55">
        <v>57.0</v>
      </c>
      <c r="G36" s="55">
        <v>3.03</v>
      </c>
      <c r="H36" s="55">
        <v>886.0</v>
      </c>
      <c r="I36" s="55">
        <v>0.0039</v>
      </c>
      <c r="J36" s="55">
        <v>3.03</v>
      </c>
      <c r="K36" s="55">
        <v>886.0</v>
      </c>
      <c r="L36" s="55">
        <v>0.0039</v>
      </c>
      <c r="M36" s="55">
        <v>1224.0</v>
      </c>
      <c r="N36" s="55">
        <v>3035.0</v>
      </c>
      <c r="O36" s="55">
        <v>7141.0</v>
      </c>
      <c r="P36" s="55">
        <v>19274.0</v>
      </c>
      <c r="Q36" s="55">
        <v>398.0</v>
      </c>
      <c r="R36" s="55" t="s">
        <v>130</v>
      </c>
      <c r="S36" s="55" t="s">
        <v>38</v>
      </c>
      <c r="T36" s="57" t="s">
        <v>168</v>
      </c>
      <c r="U36" s="57" t="s">
        <v>52</v>
      </c>
      <c r="V36" s="57" t="s">
        <v>169</v>
      </c>
      <c r="W36" s="57">
        <v>5.0</v>
      </c>
    </row>
    <row r="37">
      <c r="A37" s="22">
        <v>46100.0</v>
      </c>
      <c r="B37" s="58" t="s">
        <v>166</v>
      </c>
      <c r="C37" s="8" t="s">
        <v>37</v>
      </c>
      <c r="D37" s="56" t="s">
        <v>204</v>
      </c>
      <c r="E37" s="58" t="s">
        <v>35</v>
      </c>
      <c r="F37" s="58">
        <v>28.0</v>
      </c>
      <c r="G37" s="58">
        <v>10.98</v>
      </c>
      <c r="H37" s="58">
        <v>901.0</v>
      </c>
      <c r="I37" s="58">
        <v>0.0039</v>
      </c>
      <c r="J37" s="58">
        <v>10.98</v>
      </c>
      <c r="K37" s="58">
        <v>901.0</v>
      </c>
      <c r="L37" s="58">
        <v>0.0039</v>
      </c>
      <c r="M37" s="58">
        <v>1656.0</v>
      </c>
      <c r="N37" s="58">
        <v>10682.0</v>
      </c>
      <c r="O37" s="58">
        <v>10682.0</v>
      </c>
      <c r="P37" s="58">
        <v>17682.0</v>
      </c>
      <c r="Q37" s="58">
        <v>299.0</v>
      </c>
      <c r="R37" s="58" t="s">
        <v>130</v>
      </c>
      <c r="S37" s="55" t="s">
        <v>38</v>
      </c>
      <c r="T37" s="57" t="s">
        <v>168</v>
      </c>
      <c r="U37" s="57" t="s">
        <v>52</v>
      </c>
      <c r="V37" s="57" t="s">
        <v>169</v>
      </c>
      <c r="W37" s="57">
        <v>5.0</v>
      </c>
    </row>
    <row r="38">
      <c r="A38" s="22">
        <v>46100.0</v>
      </c>
      <c r="B38" s="55" t="s">
        <v>166</v>
      </c>
      <c r="C38" s="8" t="s">
        <v>37</v>
      </c>
      <c r="D38" s="56" t="s">
        <v>205</v>
      </c>
      <c r="E38" s="55" t="s">
        <v>35</v>
      </c>
      <c r="F38" s="55">
        <v>49.0</v>
      </c>
      <c r="G38" s="55">
        <v>3.45</v>
      </c>
      <c r="H38" s="55">
        <v>1206.0</v>
      </c>
      <c r="I38" s="55">
        <v>0.0039</v>
      </c>
      <c r="J38" s="55">
        <v>3.45</v>
      </c>
      <c r="K38" s="55">
        <v>1206.0</v>
      </c>
      <c r="L38" s="55">
        <v>0.0039</v>
      </c>
      <c r="M38" s="55">
        <v>1642.0</v>
      </c>
      <c r="N38" s="55">
        <v>3447.0</v>
      </c>
      <c r="O38" s="55">
        <v>13319.0</v>
      </c>
      <c r="P38" s="55">
        <v>30623.0</v>
      </c>
      <c r="Q38" s="55">
        <v>548.0</v>
      </c>
      <c r="R38" s="55" t="s">
        <v>130</v>
      </c>
      <c r="S38" s="55" t="s">
        <v>38</v>
      </c>
      <c r="T38" s="57" t="s">
        <v>168</v>
      </c>
      <c r="U38" s="57" t="s">
        <v>52</v>
      </c>
      <c r="V38" s="57" t="s">
        <v>169</v>
      </c>
      <c r="W38" s="57">
        <v>5.0</v>
      </c>
    </row>
    <row r="39">
      <c r="A39" s="22">
        <v>46100.0</v>
      </c>
      <c r="B39" s="58" t="s">
        <v>166</v>
      </c>
      <c r="C39" s="8" t="s">
        <v>37</v>
      </c>
      <c r="D39" s="56" t="s">
        <v>206</v>
      </c>
      <c r="E39" s="58" t="s">
        <v>35</v>
      </c>
      <c r="F39" s="58">
        <v>31.0</v>
      </c>
      <c r="G39" s="58">
        <v>11.11</v>
      </c>
      <c r="H39" s="58">
        <v>1305.0</v>
      </c>
      <c r="I39" s="58">
        <v>0.0039</v>
      </c>
      <c r="J39" s="58">
        <v>11.11</v>
      </c>
      <c r="K39" s="58">
        <v>1305.0</v>
      </c>
      <c r="L39" s="58">
        <v>0.0039</v>
      </c>
      <c r="M39" s="58">
        <v>1294.0</v>
      </c>
      <c r="N39" s="58">
        <v>10813.0</v>
      </c>
      <c r="O39" s="58">
        <v>11341.0</v>
      </c>
      <c r="P39" s="58">
        <v>31880.0</v>
      </c>
      <c r="Q39" s="58">
        <v>397.0</v>
      </c>
      <c r="R39" s="58" t="s">
        <v>130</v>
      </c>
      <c r="S39" s="55" t="s">
        <v>38</v>
      </c>
      <c r="T39" s="57" t="s">
        <v>168</v>
      </c>
      <c r="U39" s="57" t="s">
        <v>52</v>
      </c>
      <c r="V39" s="57" t="s">
        <v>169</v>
      </c>
      <c r="W39" s="57">
        <v>5.0</v>
      </c>
    </row>
    <row r="40">
      <c r="A40" s="22">
        <v>46100.0</v>
      </c>
      <c r="B40" s="55" t="s">
        <v>170</v>
      </c>
      <c r="C40" s="8" t="s">
        <v>37</v>
      </c>
      <c r="D40" s="56" t="s">
        <v>207</v>
      </c>
      <c r="E40" s="55" t="s">
        <v>34</v>
      </c>
      <c r="F40" s="55">
        <v>55.0</v>
      </c>
      <c r="G40" s="55">
        <v>2.04</v>
      </c>
      <c r="H40" s="55">
        <v>757.0</v>
      </c>
      <c r="I40" s="55">
        <v>0.0155</v>
      </c>
      <c r="J40" s="55">
        <v>2.63</v>
      </c>
      <c r="K40" s="55">
        <v>757.0</v>
      </c>
      <c r="L40" s="55">
        <v>0.0155</v>
      </c>
      <c r="M40" s="55">
        <v>599.0</v>
      </c>
      <c r="N40" s="55">
        <v>2001.0</v>
      </c>
      <c r="O40" s="55">
        <v>2149.0</v>
      </c>
      <c r="P40" s="55">
        <v>7230.0</v>
      </c>
      <c r="Q40" s="55">
        <v>72.0</v>
      </c>
      <c r="R40" s="55" t="s">
        <v>130</v>
      </c>
      <c r="S40" s="55" t="s">
        <v>38</v>
      </c>
      <c r="T40" s="57" t="s">
        <v>168</v>
      </c>
      <c r="U40" s="57" t="s">
        <v>52</v>
      </c>
      <c r="V40" s="57" t="s">
        <v>172</v>
      </c>
      <c r="W40" s="57">
        <v>5.0</v>
      </c>
    </row>
    <row r="41">
      <c r="A41" s="22">
        <v>46100.0</v>
      </c>
      <c r="B41" s="58" t="s">
        <v>170</v>
      </c>
      <c r="C41" s="8" t="s">
        <v>37</v>
      </c>
      <c r="D41" s="56" t="s">
        <v>208</v>
      </c>
      <c r="E41" s="58" t="s">
        <v>34</v>
      </c>
      <c r="F41" s="58">
        <v>55.0</v>
      </c>
      <c r="G41" s="58">
        <v>2.48</v>
      </c>
      <c r="H41" s="58">
        <v>343.0</v>
      </c>
      <c r="I41" s="58">
        <v>0.0155</v>
      </c>
      <c r="J41" s="58">
        <v>2.48</v>
      </c>
      <c r="K41" s="58">
        <v>343.0</v>
      </c>
      <c r="L41" s="58">
        <v>0.0155</v>
      </c>
      <c r="M41" s="58">
        <v>408.0</v>
      </c>
      <c r="N41" s="58">
        <v>2399.0</v>
      </c>
      <c r="O41" s="58">
        <v>2399.0</v>
      </c>
      <c r="P41" s="58">
        <v>4461.0</v>
      </c>
      <c r="Q41" s="58">
        <v>33.0</v>
      </c>
      <c r="R41" s="58" t="s">
        <v>130</v>
      </c>
      <c r="S41" s="55" t="s">
        <v>38</v>
      </c>
      <c r="T41" s="57" t="s">
        <v>168</v>
      </c>
      <c r="U41" s="57" t="s">
        <v>52</v>
      </c>
      <c r="V41" s="57" t="s">
        <v>172</v>
      </c>
      <c r="W41" s="57">
        <v>5.0</v>
      </c>
    </row>
    <row r="42">
      <c r="A42" s="22">
        <v>46100.0</v>
      </c>
      <c r="B42" s="55" t="s">
        <v>170</v>
      </c>
      <c r="C42" s="8" t="s">
        <v>37</v>
      </c>
      <c r="D42" s="56" t="s">
        <v>209</v>
      </c>
      <c r="E42" s="55" t="s">
        <v>34</v>
      </c>
      <c r="F42" s="55">
        <v>92.0</v>
      </c>
      <c r="G42" s="55">
        <v>2.32</v>
      </c>
      <c r="H42" s="55">
        <v>325.0</v>
      </c>
      <c r="I42" s="55">
        <v>0.0155</v>
      </c>
      <c r="J42" s="55">
        <v>2.32</v>
      </c>
      <c r="K42" s="55">
        <v>325.0</v>
      </c>
      <c r="L42" s="55">
        <v>0.0155</v>
      </c>
      <c r="M42" s="55">
        <v>349.0</v>
      </c>
      <c r="N42" s="55">
        <v>1985.0</v>
      </c>
      <c r="O42" s="55">
        <v>2250.0</v>
      </c>
      <c r="P42" s="55">
        <v>4684.0</v>
      </c>
      <c r="Q42" s="55">
        <v>141.0</v>
      </c>
      <c r="R42" s="55" t="s">
        <v>130</v>
      </c>
      <c r="S42" s="55" t="s">
        <v>38</v>
      </c>
      <c r="T42" s="57" t="s">
        <v>168</v>
      </c>
      <c r="U42" s="57" t="s">
        <v>52</v>
      </c>
      <c r="V42" s="57" t="s">
        <v>172</v>
      </c>
      <c r="W42" s="57">
        <v>5.0</v>
      </c>
    </row>
    <row r="43">
      <c r="A43" s="22">
        <v>46100.0</v>
      </c>
      <c r="B43" s="58" t="s">
        <v>170</v>
      </c>
      <c r="C43" s="8" t="s">
        <v>37</v>
      </c>
      <c r="D43" s="56" t="s">
        <v>210</v>
      </c>
      <c r="E43" s="58" t="s">
        <v>34</v>
      </c>
      <c r="F43" s="58">
        <v>69.0</v>
      </c>
      <c r="G43" s="58">
        <v>2.28</v>
      </c>
      <c r="H43" s="58">
        <v>343.0</v>
      </c>
      <c r="I43" s="58">
        <v>0.0155</v>
      </c>
      <c r="J43" s="58">
        <v>2.28</v>
      </c>
      <c r="K43" s="58">
        <v>343.0</v>
      </c>
      <c r="L43" s="58">
        <v>0.0155</v>
      </c>
      <c r="M43" s="58">
        <v>513.0</v>
      </c>
      <c r="N43" s="58">
        <v>1948.0</v>
      </c>
      <c r="O43" s="58">
        <v>1948.0</v>
      </c>
      <c r="P43" s="58">
        <v>3655.0</v>
      </c>
      <c r="Q43" s="58">
        <v>107.0</v>
      </c>
      <c r="R43" s="58" t="s">
        <v>130</v>
      </c>
      <c r="S43" s="55" t="s">
        <v>38</v>
      </c>
      <c r="T43" s="57" t="s">
        <v>168</v>
      </c>
      <c r="U43" s="57" t="s">
        <v>52</v>
      </c>
      <c r="V43" s="57" t="s">
        <v>172</v>
      </c>
      <c r="W43" s="57">
        <v>5.0</v>
      </c>
    </row>
    <row r="44">
      <c r="A44" s="22">
        <v>46100.0</v>
      </c>
      <c r="B44" s="55" t="s">
        <v>170</v>
      </c>
      <c r="C44" s="8" t="s">
        <v>37</v>
      </c>
      <c r="D44" s="56" t="s">
        <v>211</v>
      </c>
      <c r="E44" s="55" t="s">
        <v>34</v>
      </c>
      <c r="F44" s="55">
        <v>64.0</v>
      </c>
      <c r="G44" s="55">
        <v>2.56</v>
      </c>
      <c r="H44" s="55">
        <v>330.0</v>
      </c>
      <c r="I44" s="55">
        <v>0.0155</v>
      </c>
      <c r="J44" s="55">
        <v>2.56</v>
      </c>
      <c r="K44" s="55">
        <v>330.0</v>
      </c>
      <c r="L44" s="55">
        <v>0.0155</v>
      </c>
      <c r="M44" s="55">
        <v>575.0</v>
      </c>
      <c r="N44" s="55">
        <v>1961.0</v>
      </c>
      <c r="O44" s="55">
        <v>1961.0</v>
      </c>
      <c r="P44" s="55">
        <v>3787.0</v>
      </c>
      <c r="Q44" s="55">
        <v>41.0</v>
      </c>
      <c r="R44" s="55" t="s">
        <v>130</v>
      </c>
      <c r="S44" s="55" t="s">
        <v>38</v>
      </c>
      <c r="T44" s="57" t="s">
        <v>168</v>
      </c>
      <c r="U44" s="57" t="s">
        <v>52</v>
      </c>
      <c r="V44" s="57" t="s">
        <v>172</v>
      </c>
      <c r="W44" s="57">
        <v>5.0</v>
      </c>
    </row>
    <row r="45">
      <c r="A45" s="22">
        <v>46100.0</v>
      </c>
      <c r="B45" s="58" t="s">
        <v>170</v>
      </c>
      <c r="C45" s="8" t="s">
        <v>37</v>
      </c>
      <c r="D45" s="56" t="s">
        <v>212</v>
      </c>
      <c r="E45" s="58" t="s">
        <v>34</v>
      </c>
      <c r="F45" s="58">
        <v>50.0</v>
      </c>
      <c r="G45" s="58">
        <v>2.5</v>
      </c>
      <c r="H45" s="58">
        <v>1275.0</v>
      </c>
      <c r="I45" s="58">
        <v>0.0155</v>
      </c>
      <c r="J45" s="58">
        <v>2.68</v>
      </c>
      <c r="K45" s="58">
        <v>1275.0</v>
      </c>
      <c r="L45" s="58">
        <v>0.0155</v>
      </c>
      <c r="M45" s="58">
        <v>1082.0</v>
      </c>
      <c r="N45" s="58">
        <v>2002.0</v>
      </c>
      <c r="O45" s="58">
        <v>2111.0</v>
      </c>
      <c r="P45" s="58">
        <v>7569.0</v>
      </c>
      <c r="Q45" s="58">
        <v>180.0</v>
      </c>
      <c r="R45" s="58" t="s">
        <v>130</v>
      </c>
      <c r="S45" s="55" t="s">
        <v>38</v>
      </c>
      <c r="T45" s="57" t="s">
        <v>168</v>
      </c>
      <c r="U45" s="57" t="s">
        <v>52</v>
      </c>
      <c r="V45" s="57" t="s">
        <v>172</v>
      </c>
      <c r="W45" s="57">
        <v>5.0</v>
      </c>
    </row>
    <row r="46">
      <c r="A46" s="22">
        <v>46100.0</v>
      </c>
      <c r="B46" s="55" t="s">
        <v>170</v>
      </c>
      <c r="C46" s="8" t="s">
        <v>37</v>
      </c>
      <c r="D46" s="56" t="s">
        <v>213</v>
      </c>
      <c r="E46" s="55" t="s">
        <v>34</v>
      </c>
      <c r="F46" s="55">
        <v>55.0</v>
      </c>
      <c r="G46" s="55">
        <v>2.45</v>
      </c>
      <c r="H46" s="55">
        <v>736.0</v>
      </c>
      <c r="I46" s="55">
        <v>0.0155</v>
      </c>
      <c r="J46" s="55">
        <v>2.54</v>
      </c>
      <c r="K46" s="55">
        <v>915.0</v>
      </c>
      <c r="L46" s="55">
        <v>0.0155</v>
      </c>
      <c r="M46" s="55">
        <v>575.0</v>
      </c>
      <c r="N46" s="55">
        <v>1961.0</v>
      </c>
      <c r="O46" s="55">
        <v>3182.0</v>
      </c>
      <c r="P46" s="55">
        <v>7899.0</v>
      </c>
      <c r="Q46" s="55">
        <v>66.0</v>
      </c>
      <c r="R46" s="55" t="s">
        <v>130</v>
      </c>
      <c r="S46" s="55" t="s">
        <v>38</v>
      </c>
      <c r="T46" s="57" t="s">
        <v>168</v>
      </c>
      <c r="U46" s="57" t="s">
        <v>52</v>
      </c>
      <c r="V46" s="57" t="s">
        <v>172</v>
      </c>
      <c r="W46" s="57">
        <v>5.0</v>
      </c>
    </row>
    <row r="47">
      <c r="A47" s="22">
        <v>46100.0</v>
      </c>
      <c r="B47" s="58" t="s">
        <v>170</v>
      </c>
      <c r="C47" s="8" t="s">
        <v>37</v>
      </c>
      <c r="D47" s="56" t="s">
        <v>214</v>
      </c>
      <c r="E47" s="58" t="s">
        <v>34</v>
      </c>
      <c r="F47" s="58">
        <v>60.0</v>
      </c>
      <c r="G47" s="58">
        <v>2.0</v>
      </c>
      <c r="H47" s="58">
        <v>324.0</v>
      </c>
      <c r="I47" s="58">
        <v>0.0155</v>
      </c>
      <c r="J47" s="58">
        <v>2.0</v>
      </c>
      <c r="K47" s="58">
        <v>381.0</v>
      </c>
      <c r="L47" s="58">
        <v>0.0155</v>
      </c>
      <c r="M47" s="58">
        <v>444.0</v>
      </c>
      <c r="N47" s="58">
        <v>1961.0</v>
      </c>
      <c r="O47" s="58">
        <v>2019.0</v>
      </c>
      <c r="P47" s="58">
        <v>3164.0</v>
      </c>
      <c r="Q47" s="58">
        <v>46.0</v>
      </c>
      <c r="R47" s="58" t="s">
        <v>130</v>
      </c>
      <c r="S47" s="55" t="s">
        <v>38</v>
      </c>
      <c r="T47" s="57" t="s">
        <v>168</v>
      </c>
      <c r="U47" s="57" t="s">
        <v>52</v>
      </c>
      <c r="V47" s="57" t="s">
        <v>172</v>
      </c>
      <c r="W47" s="57">
        <v>5.0</v>
      </c>
    </row>
    <row r="48">
      <c r="A48" s="22">
        <v>46100.0</v>
      </c>
      <c r="B48" s="55" t="s">
        <v>170</v>
      </c>
      <c r="C48" s="8" t="s">
        <v>37</v>
      </c>
      <c r="D48" s="56" t="s">
        <v>215</v>
      </c>
      <c r="E48" s="55" t="s">
        <v>34</v>
      </c>
      <c r="F48" s="55">
        <v>57.0</v>
      </c>
      <c r="G48" s="55">
        <v>4.05</v>
      </c>
      <c r="H48" s="55">
        <v>402.0</v>
      </c>
      <c r="I48" s="55">
        <v>5.0E-4</v>
      </c>
      <c r="J48" s="55">
        <v>4.05</v>
      </c>
      <c r="K48" s="55">
        <v>402.0</v>
      </c>
      <c r="L48" s="55">
        <v>5.0E-4</v>
      </c>
      <c r="M48" s="55">
        <v>349.0</v>
      </c>
      <c r="N48" s="55">
        <v>1937.0</v>
      </c>
      <c r="O48" s="55">
        <v>2105.0</v>
      </c>
      <c r="P48" s="55">
        <v>4146.0</v>
      </c>
      <c r="Q48" s="55">
        <v>194.0</v>
      </c>
      <c r="R48" s="55" t="s">
        <v>130</v>
      </c>
      <c r="S48" s="55" t="s">
        <v>38</v>
      </c>
      <c r="T48" s="57" t="s">
        <v>168</v>
      </c>
      <c r="U48" s="57" t="s">
        <v>52</v>
      </c>
      <c r="V48" s="57" t="s">
        <v>172</v>
      </c>
      <c r="W48" s="57">
        <v>5.0</v>
      </c>
    </row>
    <row r="49">
      <c r="A49" s="22">
        <v>46100.0</v>
      </c>
      <c r="B49" s="58" t="s">
        <v>170</v>
      </c>
      <c r="C49" s="8" t="s">
        <v>37</v>
      </c>
      <c r="D49" s="56" t="s">
        <v>216</v>
      </c>
      <c r="E49" s="58" t="s">
        <v>35</v>
      </c>
      <c r="F49" s="58">
        <v>37.0</v>
      </c>
      <c r="G49" s="58">
        <v>11.25</v>
      </c>
      <c r="H49" s="58">
        <v>1955.0</v>
      </c>
      <c r="I49" s="58">
        <v>0.0054</v>
      </c>
      <c r="J49" s="58">
        <v>11.25</v>
      </c>
      <c r="K49" s="58">
        <v>1955.0</v>
      </c>
      <c r="L49" s="58">
        <v>0.0054</v>
      </c>
      <c r="M49" s="58">
        <v>1652.0</v>
      </c>
      <c r="N49" s="58">
        <v>11101.0</v>
      </c>
      <c r="O49" s="58">
        <v>11101.0</v>
      </c>
      <c r="P49" s="58">
        <v>28714.0</v>
      </c>
      <c r="Q49" s="58">
        <v>203.0</v>
      </c>
      <c r="R49" s="58" t="s">
        <v>130</v>
      </c>
      <c r="S49" s="55" t="s">
        <v>38</v>
      </c>
      <c r="T49" s="57" t="s">
        <v>168</v>
      </c>
      <c r="U49" s="57" t="s">
        <v>52</v>
      </c>
      <c r="V49" s="57" t="s">
        <v>172</v>
      </c>
      <c r="W49" s="57">
        <v>5.0</v>
      </c>
    </row>
    <row r="50">
      <c r="A50" s="54">
        <v>46100.0</v>
      </c>
      <c r="B50" s="55" t="s">
        <v>170</v>
      </c>
      <c r="C50" s="8" t="s">
        <v>37</v>
      </c>
      <c r="D50" s="56" t="s">
        <v>217</v>
      </c>
      <c r="E50" s="55" t="s">
        <v>35</v>
      </c>
      <c r="F50" s="55">
        <v>41.0</v>
      </c>
      <c r="G50" s="55">
        <v>11.7</v>
      </c>
      <c r="H50" s="55">
        <v>400.0</v>
      </c>
      <c r="I50" s="55">
        <v>0.0054</v>
      </c>
      <c r="J50" s="55">
        <v>11.7</v>
      </c>
      <c r="K50" s="55">
        <v>400.0</v>
      </c>
      <c r="L50" s="55">
        <v>0.0054</v>
      </c>
      <c r="M50" s="55">
        <v>586.0</v>
      </c>
      <c r="N50" s="55">
        <v>11401.0</v>
      </c>
      <c r="O50" s="55">
        <v>11401.0</v>
      </c>
      <c r="P50" s="55">
        <v>20943.0</v>
      </c>
      <c r="Q50" s="55">
        <v>62.0</v>
      </c>
      <c r="R50" s="55" t="s">
        <v>130</v>
      </c>
      <c r="S50" s="55" t="s">
        <v>38</v>
      </c>
      <c r="T50" s="57" t="s">
        <v>168</v>
      </c>
      <c r="U50" s="57" t="s">
        <v>52</v>
      </c>
      <c r="V50" s="57" t="s">
        <v>172</v>
      </c>
      <c r="W50" s="57">
        <v>5.0</v>
      </c>
    </row>
    <row r="51">
      <c r="A51" s="54">
        <v>46100.0</v>
      </c>
      <c r="B51" s="58" t="s">
        <v>170</v>
      </c>
      <c r="C51" s="8" t="s">
        <v>37</v>
      </c>
      <c r="D51" s="56" t="s">
        <v>218</v>
      </c>
      <c r="E51" s="58" t="s">
        <v>35</v>
      </c>
      <c r="F51" s="58">
        <v>47.0</v>
      </c>
      <c r="G51" s="58">
        <v>10.95</v>
      </c>
      <c r="H51" s="58">
        <v>330.0</v>
      </c>
      <c r="I51" s="58">
        <v>0.0054</v>
      </c>
      <c r="J51" s="58">
        <v>10.95</v>
      </c>
      <c r="K51" s="58">
        <v>330.0</v>
      </c>
      <c r="L51" s="58">
        <v>0.0054</v>
      </c>
      <c r="M51" s="58">
        <v>361.0</v>
      </c>
      <c r="N51" s="58">
        <v>10801.0</v>
      </c>
      <c r="O51" s="58">
        <v>10801.0</v>
      </c>
      <c r="P51" s="58">
        <v>24145.0</v>
      </c>
      <c r="Q51" s="58">
        <v>49.0</v>
      </c>
      <c r="R51" s="58" t="s">
        <v>130</v>
      </c>
      <c r="S51" s="55" t="s">
        <v>38</v>
      </c>
      <c r="T51" s="57" t="s">
        <v>168</v>
      </c>
      <c r="U51" s="57" t="s">
        <v>52</v>
      </c>
      <c r="V51" s="57" t="s">
        <v>172</v>
      </c>
      <c r="W51" s="57">
        <v>5.0</v>
      </c>
    </row>
    <row r="52">
      <c r="A52" s="54">
        <v>46100.0</v>
      </c>
      <c r="B52" s="55" t="s">
        <v>170</v>
      </c>
      <c r="C52" s="8" t="s">
        <v>37</v>
      </c>
      <c r="D52" s="56" t="s">
        <v>219</v>
      </c>
      <c r="E52" s="55" t="s">
        <v>35</v>
      </c>
      <c r="F52" s="55">
        <v>45.0</v>
      </c>
      <c r="G52" s="55">
        <v>14.47</v>
      </c>
      <c r="H52" s="55">
        <v>504.0</v>
      </c>
      <c r="I52" s="55">
        <v>0.0054</v>
      </c>
      <c r="J52" s="55">
        <v>14.47</v>
      </c>
      <c r="K52" s="55">
        <v>504.0</v>
      </c>
      <c r="L52" s="55">
        <v>0.0054</v>
      </c>
      <c r="M52" s="55">
        <v>587.0</v>
      </c>
      <c r="N52" s="55">
        <v>10801.0</v>
      </c>
      <c r="O52" s="55">
        <v>10801.0</v>
      </c>
      <c r="P52" s="55">
        <v>18125.0</v>
      </c>
      <c r="Q52" s="55">
        <v>52.0</v>
      </c>
      <c r="R52" s="55" t="s">
        <v>130</v>
      </c>
      <c r="S52" s="55" t="s">
        <v>38</v>
      </c>
      <c r="T52" s="57" t="s">
        <v>168</v>
      </c>
      <c r="U52" s="57" t="s">
        <v>52</v>
      </c>
      <c r="V52" s="57" t="s">
        <v>172</v>
      </c>
      <c r="W52" s="57">
        <v>5.0</v>
      </c>
    </row>
    <row r="53">
      <c r="A53" s="54">
        <v>46100.0</v>
      </c>
      <c r="B53" s="58" t="s">
        <v>170</v>
      </c>
      <c r="C53" s="8" t="s">
        <v>37</v>
      </c>
      <c r="D53" s="56" t="s">
        <v>220</v>
      </c>
      <c r="E53" s="58" t="s">
        <v>35</v>
      </c>
      <c r="F53" s="58">
        <v>33.0</v>
      </c>
      <c r="G53" s="58">
        <v>11.85</v>
      </c>
      <c r="H53" s="58">
        <v>574.0</v>
      </c>
      <c r="I53" s="58">
        <v>0.0054</v>
      </c>
      <c r="J53" s="58">
        <v>11.85</v>
      </c>
      <c r="K53" s="58">
        <v>574.0</v>
      </c>
      <c r="L53" s="58">
        <v>0.0054</v>
      </c>
      <c r="M53" s="58">
        <v>1102.0</v>
      </c>
      <c r="N53" s="58">
        <v>10801.0</v>
      </c>
      <c r="O53" s="58">
        <v>10801.0</v>
      </c>
      <c r="P53" s="58">
        <v>16926.0</v>
      </c>
      <c r="Q53" s="58">
        <v>16.0</v>
      </c>
      <c r="R53" s="58" t="s">
        <v>130</v>
      </c>
      <c r="S53" s="55" t="s">
        <v>38</v>
      </c>
      <c r="T53" s="57" t="s">
        <v>168</v>
      </c>
      <c r="U53" s="57" t="s">
        <v>52</v>
      </c>
      <c r="V53" s="57" t="s">
        <v>172</v>
      </c>
      <c r="W53" s="57">
        <v>5.0</v>
      </c>
    </row>
    <row r="54">
      <c r="A54" s="54">
        <v>46100.0</v>
      </c>
      <c r="B54" s="55" t="s">
        <v>170</v>
      </c>
      <c r="C54" s="8" t="s">
        <v>37</v>
      </c>
      <c r="D54" s="56" t="s">
        <v>221</v>
      </c>
      <c r="E54" s="55" t="s">
        <v>35</v>
      </c>
      <c r="F54" s="55">
        <v>32.0</v>
      </c>
      <c r="G54" s="55">
        <v>11.25</v>
      </c>
      <c r="H54" s="55">
        <v>1102.0</v>
      </c>
      <c r="I54" s="55">
        <v>0.0054</v>
      </c>
      <c r="J54" s="55">
        <v>11.25</v>
      </c>
      <c r="K54" s="55">
        <v>1102.0</v>
      </c>
      <c r="L54" s="55">
        <v>0.0054</v>
      </c>
      <c r="M54" s="55">
        <v>1155.0</v>
      </c>
      <c r="N54" s="55">
        <v>11101.0</v>
      </c>
      <c r="O54" s="55">
        <v>11101.0</v>
      </c>
      <c r="P54" s="55">
        <v>29124.0</v>
      </c>
      <c r="Q54" s="55">
        <v>119.0</v>
      </c>
      <c r="R54" s="55" t="s">
        <v>130</v>
      </c>
      <c r="S54" s="55" t="s">
        <v>38</v>
      </c>
      <c r="T54" s="57" t="s">
        <v>168</v>
      </c>
      <c r="U54" s="57" t="s">
        <v>52</v>
      </c>
      <c r="V54" s="57" t="s">
        <v>172</v>
      </c>
      <c r="W54" s="57">
        <v>5.0</v>
      </c>
    </row>
    <row r="55">
      <c r="A55" s="54">
        <v>46100.0</v>
      </c>
      <c r="B55" s="58" t="s">
        <v>170</v>
      </c>
      <c r="C55" s="8" t="s">
        <v>37</v>
      </c>
      <c r="D55" s="56" t="s">
        <v>222</v>
      </c>
      <c r="E55" s="58" t="s">
        <v>35</v>
      </c>
      <c r="F55" s="58">
        <v>33.0</v>
      </c>
      <c r="G55" s="58">
        <v>11.4</v>
      </c>
      <c r="H55" s="58">
        <v>1190.0</v>
      </c>
      <c r="I55" s="58">
        <v>0.0054</v>
      </c>
      <c r="J55" s="58">
        <v>11.4</v>
      </c>
      <c r="K55" s="58">
        <v>1190.0</v>
      </c>
      <c r="L55" s="58">
        <v>0.0054</v>
      </c>
      <c r="M55" s="58">
        <v>1097.0</v>
      </c>
      <c r="N55" s="58">
        <v>11101.0</v>
      </c>
      <c r="O55" s="58">
        <v>11101.0</v>
      </c>
      <c r="P55" s="58">
        <v>30200.0</v>
      </c>
      <c r="Q55" s="58">
        <v>176.0</v>
      </c>
      <c r="R55" s="58" t="s">
        <v>130</v>
      </c>
      <c r="S55" s="55" t="s">
        <v>38</v>
      </c>
      <c r="T55" s="57" t="s">
        <v>168</v>
      </c>
      <c r="U55" s="57" t="s">
        <v>52</v>
      </c>
      <c r="V55" s="57" t="s">
        <v>172</v>
      </c>
      <c r="W55" s="57">
        <v>5.0</v>
      </c>
    </row>
    <row r="56">
      <c r="A56" s="54">
        <v>46100.0</v>
      </c>
      <c r="B56" s="55" t="s">
        <v>170</v>
      </c>
      <c r="C56" s="8" t="s">
        <v>37</v>
      </c>
      <c r="D56" s="56" t="s">
        <v>223</v>
      </c>
      <c r="E56" s="55" t="s">
        <v>35</v>
      </c>
      <c r="F56" s="55">
        <v>75.0</v>
      </c>
      <c r="G56" s="55">
        <v>3.3</v>
      </c>
      <c r="H56" s="55">
        <v>424.0</v>
      </c>
      <c r="I56" s="55">
        <v>0.0054</v>
      </c>
      <c r="J56" s="55">
        <v>3.3</v>
      </c>
      <c r="K56" s="55">
        <v>424.0</v>
      </c>
      <c r="L56" s="55">
        <v>0.0054</v>
      </c>
      <c r="M56" s="55">
        <v>412.0</v>
      </c>
      <c r="N56" s="55">
        <v>3007.0</v>
      </c>
      <c r="O56" s="55">
        <v>4144.0</v>
      </c>
      <c r="P56" s="55">
        <v>15517.0</v>
      </c>
      <c r="Q56" s="55">
        <v>70.0</v>
      </c>
      <c r="R56" s="55" t="s">
        <v>130</v>
      </c>
      <c r="S56" s="55" t="s">
        <v>38</v>
      </c>
      <c r="T56" s="57" t="s">
        <v>168</v>
      </c>
      <c r="U56" s="57" t="s">
        <v>52</v>
      </c>
      <c r="V56" s="57" t="s">
        <v>172</v>
      </c>
      <c r="W56" s="57">
        <v>5.0</v>
      </c>
    </row>
    <row r="57">
      <c r="A57" s="54">
        <v>46100.0</v>
      </c>
      <c r="B57" s="58" t="s">
        <v>170</v>
      </c>
      <c r="C57" s="8" t="s">
        <v>37</v>
      </c>
      <c r="D57" s="56" t="s">
        <v>224</v>
      </c>
      <c r="E57" s="58" t="s">
        <v>35</v>
      </c>
      <c r="F57" s="58">
        <v>56.0</v>
      </c>
      <c r="G57" s="58">
        <v>20.97</v>
      </c>
      <c r="H57" s="58">
        <v>376.0</v>
      </c>
      <c r="I57" s="58">
        <v>6.0E-4</v>
      </c>
      <c r="J57" s="58">
        <v>20.97</v>
      </c>
      <c r="K57" s="58">
        <v>376.0</v>
      </c>
      <c r="L57" s="58">
        <v>6.0E-4</v>
      </c>
      <c r="M57" s="58">
        <v>476.0</v>
      </c>
      <c r="N57" s="58">
        <v>10522.0</v>
      </c>
      <c r="O57" s="58">
        <v>10522.0</v>
      </c>
      <c r="P57" s="58">
        <v>21531.0</v>
      </c>
      <c r="Q57" s="58">
        <v>97.0</v>
      </c>
      <c r="R57" s="58" t="s">
        <v>130</v>
      </c>
      <c r="S57" s="55" t="s">
        <v>38</v>
      </c>
      <c r="T57" s="57" t="s">
        <v>168</v>
      </c>
      <c r="U57" s="57" t="s">
        <v>52</v>
      </c>
      <c r="V57" s="57" t="s">
        <v>172</v>
      </c>
      <c r="W57" s="57">
        <v>5.0</v>
      </c>
    </row>
    <row r="58">
      <c r="A58" s="54">
        <v>46100.0</v>
      </c>
      <c r="B58" s="55" t="s">
        <v>225</v>
      </c>
      <c r="C58" s="8" t="s">
        <v>37</v>
      </c>
      <c r="D58" s="56" t="s">
        <v>226</v>
      </c>
      <c r="E58" s="55" t="s">
        <v>34</v>
      </c>
      <c r="F58" s="55">
        <v>60.0</v>
      </c>
      <c r="G58" s="55">
        <v>2697.0</v>
      </c>
      <c r="H58" s="55">
        <v>374.0</v>
      </c>
      <c r="I58" s="55">
        <v>2.0E-4</v>
      </c>
      <c r="J58" s="55">
        <v>2761.0</v>
      </c>
      <c r="K58" s="55">
        <v>381.0</v>
      </c>
      <c r="L58" s="55">
        <v>2.0E-4</v>
      </c>
      <c r="M58" s="55">
        <v>265.0</v>
      </c>
      <c r="N58" s="55">
        <v>2458.0</v>
      </c>
      <c r="O58" s="55">
        <v>3908.0</v>
      </c>
      <c r="P58" s="55">
        <v>10221.0</v>
      </c>
      <c r="Q58" s="55">
        <v>432.0</v>
      </c>
      <c r="R58" s="55" t="s">
        <v>130</v>
      </c>
      <c r="S58" s="55" t="s">
        <v>38</v>
      </c>
      <c r="T58" s="57" t="s">
        <v>168</v>
      </c>
      <c r="U58" s="57" t="s">
        <v>52</v>
      </c>
      <c r="V58" s="57" t="s">
        <v>169</v>
      </c>
      <c r="W58" s="59">
        <v>10.0</v>
      </c>
    </row>
    <row r="59">
      <c r="A59" s="54">
        <v>46100.0</v>
      </c>
      <c r="B59" s="58" t="s">
        <v>225</v>
      </c>
      <c r="C59" s="8" t="s">
        <v>37</v>
      </c>
      <c r="D59" s="56" t="s">
        <v>227</v>
      </c>
      <c r="E59" s="58" t="s">
        <v>34</v>
      </c>
      <c r="F59" s="58">
        <v>67.0</v>
      </c>
      <c r="G59" s="58">
        <v>2597.0</v>
      </c>
      <c r="H59" s="58">
        <v>231.0</v>
      </c>
      <c r="I59" s="58">
        <v>2.0E-4</v>
      </c>
      <c r="J59" s="58">
        <v>2603.0</v>
      </c>
      <c r="K59" s="58">
        <v>246.0</v>
      </c>
      <c r="L59" s="58">
        <v>2.0E-4</v>
      </c>
      <c r="M59" s="58">
        <v>166.0</v>
      </c>
      <c r="N59" s="58">
        <v>2329.0</v>
      </c>
      <c r="O59" s="58">
        <v>3395.0</v>
      </c>
      <c r="P59" s="58">
        <v>5727.0</v>
      </c>
      <c r="Q59" s="58">
        <v>643.0</v>
      </c>
      <c r="R59" s="58" t="s">
        <v>130</v>
      </c>
      <c r="S59" s="55" t="s">
        <v>38</v>
      </c>
      <c r="T59" s="57" t="s">
        <v>168</v>
      </c>
      <c r="U59" s="57" t="s">
        <v>52</v>
      </c>
      <c r="V59" s="57" t="s">
        <v>169</v>
      </c>
      <c r="W59" s="59">
        <v>10.0</v>
      </c>
    </row>
    <row r="60">
      <c r="A60" s="54">
        <v>46100.0</v>
      </c>
      <c r="B60" s="55" t="s">
        <v>225</v>
      </c>
      <c r="C60" s="8" t="s">
        <v>37</v>
      </c>
      <c r="D60" s="56" t="s">
        <v>228</v>
      </c>
      <c r="E60" s="55" t="s">
        <v>35</v>
      </c>
      <c r="F60" s="55">
        <v>31.0</v>
      </c>
      <c r="G60" s="55">
        <v>11283.0</v>
      </c>
      <c r="H60" s="55">
        <v>1505.0</v>
      </c>
      <c r="I60" s="55">
        <v>0.0039</v>
      </c>
      <c r="J60" s="55">
        <v>11293.0</v>
      </c>
      <c r="K60" s="55">
        <v>1775.0</v>
      </c>
      <c r="L60" s="55">
        <v>0.0039</v>
      </c>
      <c r="M60" s="55">
        <v>1446.0</v>
      </c>
      <c r="N60" s="55">
        <v>10974.0</v>
      </c>
      <c r="O60" s="55">
        <v>11323.0</v>
      </c>
      <c r="P60" s="55">
        <v>28781.0</v>
      </c>
      <c r="Q60" s="55">
        <v>469.0</v>
      </c>
      <c r="R60" s="55" t="s">
        <v>130</v>
      </c>
      <c r="S60" s="55" t="s">
        <v>38</v>
      </c>
      <c r="T60" s="57" t="s">
        <v>168</v>
      </c>
      <c r="U60" s="57" t="s">
        <v>52</v>
      </c>
      <c r="V60" s="57" t="s">
        <v>169</v>
      </c>
      <c r="W60" s="59">
        <v>10.0</v>
      </c>
    </row>
    <row r="61">
      <c r="A61" s="54">
        <v>46100.0</v>
      </c>
      <c r="B61" s="58" t="s">
        <v>225</v>
      </c>
      <c r="C61" s="8" t="s">
        <v>37</v>
      </c>
      <c r="D61" s="56" t="s">
        <v>229</v>
      </c>
      <c r="E61" s="58" t="s">
        <v>35</v>
      </c>
      <c r="F61" s="58">
        <v>50.0</v>
      </c>
      <c r="G61" s="58">
        <v>10990.0</v>
      </c>
      <c r="H61" s="58">
        <v>943.0</v>
      </c>
      <c r="I61" s="58">
        <v>0.0039</v>
      </c>
      <c r="J61" s="58">
        <v>11027.0</v>
      </c>
      <c r="K61" s="58">
        <v>1026.0</v>
      </c>
      <c r="L61" s="58">
        <v>0.0039</v>
      </c>
      <c r="M61" s="58">
        <v>1107.0</v>
      </c>
      <c r="N61" s="58">
        <v>10687.0</v>
      </c>
      <c r="O61" s="58">
        <v>10693.0</v>
      </c>
      <c r="P61" s="58">
        <v>24980.0</v>
      </c>
      <c r="Q61" s="58">
        <v>326.0</v>
      </c>
      <c r="R61" s="58" t="s">
        <v>130</v>
      </c>
      <c r="S61" s="55" t="s">
        <v>38</v>
      </c>
      <c r="T61" s="57" t="s">
        <v>168</v>
      </c>
      <c r="U61" s="57" t="s">
        <v>52</v>
      </c>
      <c r="V61" s="57" t="s">
        <v>169</v>
      </c>
      <c r="W61" s="59">
        <v>10.0</v>
      </c>
    </row>
    <row r="62">
      <c r="A62" s="54">
        <v>46101.0</v>
      </c>
      <c r="B62" s="55" t="s">
        <v>230</v>
      </c>
      <c r="C62" s="8" t="s">
        <v>45</v>
      </c>
      <c r="D62" s="56" t="s">
        <v>231</v>
      </c>
      <c r="E62" s="55" t="s">
        <v>34</v>
      </c>
      <c r="F62" s="55">
        <v>56.0</v>
      </c>
      <c r="G62" s="55">
        <v>2261.0</v>
      </c>
      <c r="H62" s="55">
        <v>785.0</v>
      </c>
      <c r="I62" s="55">
        <v>0.0155</v>
      </c>
      <c r="J62" s="55">
        <v>2761.0</v>
      </c>
      <c r="K62" s="55">
        <v>843.0</v>
      </c>
      <c r="L62" s="55">
        <v>0.0155</v>
      </c>
      <c r="M62" s="55">
        <v>592.0</v>
      </c>
      <c r="N62" s="55">
        <v>2001.0</v>
      </c>
      <c r="O62" s="55">
        <v>2222.0</v>
      </c>
      <c r="P62" s="55">
        <v>7501.0</v>
      </c>
      <c r="Q62" s="55">
        <v>156.0</v>
      </c>
      <c r="R62" s="55" t="s">
        <v>132</v>
      </c>
      <c r="S62" s="55" t="s">
        <v>232</v>
      </c>
      <c r="T62" s="57" t="s">
        <v>168</v>
      </c>
      <c r="U62" s="57" t="s">
        <v>52</v>
      </c>
      <c r="V62" s="57" t="s">
        <v>172</v>
      </c>
      <c r="W62" s="59">
        <v>10.0</v>
      </c>
    </row>
    <row r="63">
      <c r="A63" s="54">
        <v>46101.0</v>
      </c>
      <c r="B63" s="58" t="s">
        <v>230</v>
      </c>
      <c r="C63" s="8" t="s">
        <v>45</v>
      </c>
      <c r="D63" s="56" t="s">
        <v>233</v>
      </c>
      <c r="E63" s="58" t="s">
        <v>34</v>
      </c>
      <c r="F63" s="58">
        <v>62.0</v>
      </c>
      <c r="G63" s="58">
        <v>2414.0</v>
      </c>
      <c r="H63" s="58">
        <v>355.0</v>
      </c>
      <c r="I63" s="58">
        <v>0.0155</v>
      </c>
      <c r="J63" s="58">
        <v>2480.0</v>
      </c>
      <c r="K63" s="58">
        <v>390.0</v>
      </c>
      <c r="L63" s="58">
        <v>0.0155</v>
      </c>
      <c r="M63" s="58">
        <v>596.0</v>
      </c>
      <c r="N63" s="58">
        <v>2337.0</v>
      </c>
      <c r="O63" s="58">
        <v>2430.0</v>
      </c>
      <c r="P63" s="58">
        <v>4817.0</v>
      </c>
      <c r="Q63" s="58">
        <v>101.0</v>
      </c>
      <c r="R63" s="58" t="s">
        <v>132</v>
      </c>
      <c r="S63" s="55" t="s">
        <v>232</v>
      </c>
      <c r="T63" s="57" t="s">
        <v>168</v>
      </c>
      <c r="U63" s="57" t="s">
        <v>52</v>
      </c>
      <c r="V63" s="57" t="s">
        <v>172</v>
      </c>
      <c r="W63" s="59">
        <v>10.0</v>
      </c>
    </row>
    <row r="64">
      <c r="A64" s="54">
        <v>46101.0</v>
      </c>
      <c r="B64" s="55" t="s">
        <v>230</v>
      </c>
      <c r="C64" s="8" t="s">
        <v>45</v>
      </c>
      <c r="D64" s="56" t="s">
        <v>234</v>
      </c>
      <c r="E64" s="55" t="s">
        <v>34</v>
      </c>
      <c r="F64" s="55">
        <v>59.0</v>
      </c>
      <c r="G64" s="55">
        <v>2681.0</v>
      </c>
      <c r="H64" s="55">
        <v>387.0</v>
      </c>
      <c r="I64" s="55">
        <v>0.0155</v>
      </c>
      <c r="J64" s="55">
        <v>2817.0</v>
      </c>
      <c r="K64" s="55">
        <v>633.0</v>
      </c>
      <c r="L64" s="55">
        <v>0.0155</v>
      </c>
      <c r="M64" s="55">
        <v>454.0</v>
      </c>
      <c r="N64" s="55">
        <v>1947.0</v>
      </c>
      <c r="O64" s="55">
        <v>1957.0</v>
      </c>
      <c r="P64" s="55">
        <v>5256.0</v>
      </c>
      <c r="Q64" s="55">
        <v>65.0</v>
      </c>
      <c r="R64" s="55" t="s">
        <v>132</v>
      </c>
      <c r="S64" s="55" t="s">
        <v>232</v>
      </c>
      <c r="T64" s="57" t="s">
        <v>168</v>
      </c>
      <c r="U64" s="57" t="s">
        <v>52</v>
      </c>
      <c r="V64" s="57" t="s">
        <v>172</v>
      </c>
      <c r="W64" s="59">
        <v>10.0</v>
      </c>
    </row>
    <row r="65">
      <c r="A65" s="54">
        <v>46101.0</v>
      </c>
      <c r="B65" s="58" t="s">
        <v>230</v>
      </c>
      <c r="C65" s="8" t="s">
        <v>45</v>
      </c>
      <c r="D65" s="56" t="s">
        <v>235</v>
      </c>
      <c r="E65" s="58" t="s">
        <v>34</v>
      </c>
      <c r="F65" s="58">
        <v>74.0</v>
      </c>
      <c r="G65" s="58">
        <v>1980.0</v>
      </c>
      <c r="H65" s="58">
        <v>282.0</v>
      </c>
      <c r="I65" s="58">
        <v>0.0155</v>
      </c>
      <c r="J65" s="58">
        <v>1980.0</v>
      </c>
      <c r="K65" s="58">
        <v>282.0</v>
      </c>
      <c r="L65" s="58">
        <v>0.0155</v>
      </c>
      <c r="M65" s="58">
        <v>240.0</v>
      </c>
      <c r="N65" s="58">
        <v>1940.0</v>
      </c>
      <c r="O65" s="58">
        <v>1959.0</v>
      </c>
      <c r="P65" s="58">
        <v>3495.0</v>
      </c>
      <c r="Q65" s="58">
        <v>62.0</v>
      </c>
      <c r="R65" s="58" t="s">
        <v>132</v>
      </c>
      <c r="S65" s="55" t="s">
        <v>232</v>
      </c>
      <c r="T65" s="57" t="s">
        <v>168</v>
      </c>
      <c r="U65" s="57" t="s">
        <v>52</v>
      </c>
      <c r="V65" s="57" t="s">
        <v>172</v>
      </c>
      <c r="W65" s="59">
        <v>10.0</v>
      </c>
    </row>
    <row r="66">
      <c r="A66" s="54">
        <v>46101.0</v>
      </c>
      <c r="B66" s="55" t="s">
        <v>230</v>
      </c>
      <c r="C66" s="8" t="s">
        <v>45</v>
      </c>
      <c r="D66" s="56" t="s">
        <v>236</v>
      </c>
      <c r="E66" s="55" t="s">
        <v>34</v>
      </c>
      <c r="F66" s="55">
        <v>54.0</v>
      </c>
      <c r="G66" s="55">
        <v>2361.0</v>
      </c>
      <c r="H66" s="55">
        <v>299.0</v>
      </c>
      <c r="I66" s="55">
        <v>0.0155</v>
      </c>
      <c r="J66" s="55">
        <v>2561.0</v>
      </c>
      <c r="K66" s="55">
        <v>422.0</v>
      </c>
      <c r="L66" s="55">
        <v>0.0155</v>
      </c>
      <c r="M66" s="55">
        <v>573.0</v>
      </c>
      <c r="N66" s="55">
        <v>1961.0</v>
      </c>
      <c r="O66" s="55">
        <v>1961.0</v>
      </c>
      <c r="P66" s="55">
        <v>3839.0</v>
      </c>
      <c r="Q66" s="55">
        <v>63.0</v>
      </c>
      <c r="R66" s="55" t="s">
        <v>132</v>
      </c>
      <c r="S66" s="55" t="s">
        <v>232</v>
      </c>
      <c r="T66" s="57" t="s">
        <v>168</v>
      </c>
      <c r="U66" s="57" t="s">
        <v>52</v>
      </c>
      <c r="V66" s="57" t="s">
        <v>172</v>
      </c>
      <c r="W66" s="59">
        <v>10.0</v>
      </c>
    </row>
    <row r="67">
      <c r="A67" s="54">
        <v>46101.0</v>
      </c>
      <c r="B67" s="58" t="s">
        <v>230</v>
      </c>
      <c r="C67" s="8" t="s">
        <v>45</v>
      </c>
      <c r="D67" s="56" t="s">
        <v>237</v>
      </c>
      <c r="E67" s="58" t="s">
        <v>34</v>
      </c>
      <c r="F67" s="58">
        <v>55.0</v>
      </c>
      <c r="G67" s="58">
        <v>2701.0</v>
      </c>
      <c r="H67" s="58">
        <v>719.0</v>
      </c>
      <c r="I67" s="58">
        <v>0.0155</v>
      </c>
      <c r="J67" s="58">
        <v>2881.0</v>
      </c>
      <c r="K67" s="58">
        <v>1249.0</v>
      </c>
      <c r="L67" s="58">
        <v>0.0155</v>
      </c>
      <c r="M67" s="58">
        <v>717.0</v>
      </c>
      <c r="N67" s="58">
        <v>1991.0</v>
      </c>
      <c r="O67" s="58">
        <v>2820.0</v>
      </c>
      <c r="P67" s="58">
        <v>7633.0</v>
      </c>
      <c r="Q67" s="58">
        <v>144.0</v>
      </c>
      <c r="R67" s="58" t="s">
        <v>132</v>
      </c>
      <c r="S67" s="55" t="s">
        <v>232</v>
      </c>
      <c r="T67" s="57" t="s">
        <v>168</v>
      </c>
      <c r="U67" s="57" t="s">
        <v>52</v>
      </c>
      <c r="V67" s="57" t="s">
        <v>172</v>
      </c>
      <c r="W67" s="59">
        <v>10.0</v>
      </c>
    </row>
    <row r="68">
      <c r="A68" s="22">
        <v>46101.0</v>
      </c>
      <c r="B68" s="55" t="s">
        <v>230</v>
      </c>
      <c r="C68" s="8" t="s">
        <v>45</v>
      </c>
      <c r="D68" s="56" t="s">
        <v>238</v>
      </c>
      <c r="E68" s="55" t="s">
        <v>34</v>
      </c>
      <c r="F68" s="55">
        <v>54.0</v>
      </c>
      <c r="G68" s="55">
        <v>2521.0</v>
      </c>
      <c r="H68" s="55">
        <v>890.0</v>
      </c>
      <c r="I68" s="55">
        <v>0.0155</v>
      </c>
      <c r="J68" s="55">
        <v>2561.0</v>
      </c>
      <c r="K68" s="55">
        <v>906.0</v>
      </c>
      <c r="L68" s="55">
        <v>0.0155</v>
      </c>
      <c r="M68" s="55">
        <v>776.0</v>
      </c>
      <c r="N68" s="55">
        <v>2032.0</v>
      </c>
      <c r="O68" s="55">
        <v>2604.0</v>
      </c>
      <c r="P68" s="55">
        <v>8164.0</v>
      </c>
      <c r="Q68" s="55">
        <v>116.0</v>
      </c>
      <c r="R68" s="55" t="s">
        <v>132</v>
      </c>
      <c r="S68" s="55" t="s">
        <v>232</v>
      </c>
      <c r="T68" s="57" t="s">
        <v>168</v>
      </c>
      <c r="U68" s="57" t="s">
        <v>52</v>
      </c>
      <c r="V68" s="57" t="s">
        <v>172</v>
      </c>
      <c r="W68" s="59">
        <v>10.0</v>
      </c>
    </row>
    <row r="69">
      <c r="A69" s="22">
        <v>46101.0</v>
      </c>
      <c r="B69" s="58" t="s">
        <v>230</v>
      </c>
      <c r="C69" s="8" t="s">
        <v>45</v>
      </c>
      <c r="D69" s="56" t="s">
        <v>239</v>
      </c>
      <c r="E69" s="58" t="s">
        <v>34</v>
      </c>
      <c r="F69" s="58">
        <v>63.0</v>
      </c>
      <c r="G69" s="58">
        <v>2201.0</v>
      </c>
      <c r="H69" s="58">
        <v>270.0</v>
      </c>
      <c r="I69" s="58">
        <v>0.0155</v>
      </c>
      <c r="J69" s="58">
        <v>2201.0</v>
      </c>
      <c r="K69" s="58">
        <v>298.0</v>
      </c>
      <c r="L69" s="58">
        <v>0.0155</v>
      </c>
      <c r="M69" s="58">
        <v>355.0</v>
      </c>
      <c r="N69" s="58">
        <v>1961.0</v>
      </c>
      <c r="O69" s="58">
        <v>1961.0</v>
      </c>
      <c r="P69" s="58">
        <v>3132.0</v>
      </c>
      <c r="Q69" s="58">
        <v>55.0</v>
      </c>
      <c r="R69" s="58" t="s">
        <v>132</v>
      </c>
      <c r="S69" s="55" t="s">
        <v>232</v>
      </c>
      <c r="T69" s="57" t="s">
        <v>168</v>
      </c>
      <c r="U69" s="57" t="s">
        <v>52</v>
      </c>
      <c r="V69" s="57" t="s">
        <v>172</v>
      </c>
      <c r="W69" s="59">
        <v>10.0</v>
      </c>
    </row>
    <row r="70">
      <c r="A70" s="22">
        <v>46101.0</v>
      </c>
      <c r="B70" s="55" t="s">
        <v>230</v>
      </c>
      <c r="C70" s="8" t="s">
        <v>45</v>
      </c>
      <c r="D70" s="56" t="s">
        <v>240</v>
      </c>
      <c r="E70" s="55" t="s">
        <v>34</v>
      </c>
      <c r="F70" s="55">
        <v>57.0</v>
      </c>
      <c r="G70" s="55">
        <v>4700.0</v>
      </c>
      <c r="H70" s="55">
        <v>705.0</v>
      </c>
      <c r="I70" s="55">
        <v>4.0E-4</v>
      </c>
      <c r="J70" s="55">
        <v>4700.0</v>
      </c>
      <c r="K70" s="55">
        <v>705.0</v>
      </c>
      <c r="L70" s="55">
        <v>4.0E-4</v>
      </c>
      <c r="M70" s="55">
        <v>697.0</v>
      </c>
      <c r="N70" s="55">
        <v>1906.0</v>
      </c>
      <c r="O70" s="55">
        <v>2524.0</v>
      </c>
      <c r="P70" s="55">
        <v>4773.0</v>
      </c>
      <c r="Q70" s="55">
        <v>97.0</v>
      </c>
      <c r="R70" s="55" t="s">
        <v>132</v>
      </c>
      <c r="S70" s="55" t="s">
        <v>232</v>
      </c>
      <c r="T70" s="57" t="s">
        <v>168</v>
      </c>
      <c r="U70" s="57" t="s">
        <v>52</v>
      </c>
      <c r="V70" s="57" t="s">
        <v>172</v>
      </c>
      <c r="W70" s="59">
        <v>10.0</v>
      </c>
    </row>
    <row r="71">
      <c r="A71" s="22">
        <v>46101.0</v>
      </c>
      <c r="B71" s="58" t="s">
        <v>225</v>
      </c>
      <c r="C71" s="8" t="s">
        <v>45</v>
      </c>
      <c r="D71" s="56" t="s">
        <v>241</v>
      </c>
      <c r="E71" s="58" t="s">
        <v>35</v>
      </c>
      <c r="F71" s="58">
        <v>46.0</v>
      </c>
      <c r="G71" s="58">
        <v>13361.0</v>
      </c>
      <c r="H71" s="58">
        <v>1154.0</v>
      </c>
      <c r="I71" s="58">
        <v>0.0039</v>
      </c>
      <c r="J71" s="58">
        <v>13683.0</v>
      </c>
      <c r="K71" s="58">
        <v>1157.0</v>
      </c>
      <c r="L71" s="58">
        <v>0.0039</v>
      </c>
      <c r="M71" s="58">
        <v>1910.0</v>
      </c>
      <c r="N71" s="58">
        <v>13091.0</v>
      </c>
      <c r="O71" s="58">
        <v>13091.0</v>
      </c>
      <c r="P71" s="58">
        <v>24796.0</v>
      </c>
      <c r="Q71" s="58">
        <v>684.0</v>
      </c>
      <c r="R71" s="58" t="s">
        <v>132</v>
      </c>
      <c r="S71" s="55" t="s">
        <v>232</v>
      </c>
      <c r="T71" s="57" t="s">
        <v>168</v>
      </c>
      <c r="U71" s="57" t="s">
        <v>52</v>
      </c>
      <c r="V71" s="57" t="s">
        <v>169</v>
      </c>
      <c r="W71" s="59">
        <v>10.0</v>
      </c>
    </row>
    <row r="72">
      <c r="A72" s="22">
        <v>46101.0</v>
      </c>
      <c r="B72" s="55" t="s">
        <v>225</v>
      </c>
      <c r="C72" s="8" t="s">
        <v>45</v>
      </c>
      <c r="D72" s="56" t="s">
        <v>242</v>
      </c>
      <c r="E72" s="55" t="s">
        <v>35</v>
      </c>
      <c r="F72" s="55">
        <v>31.0</v>
      </c>
      <c r="G72" s="55">
        <v>11013.0</v>
      </c>
      <c r="H72" s="55">
        <v>1105.0</v>
      </c>
      <c r="I72" s="55">
        <v>0.0039</v>
      </c>
      <c r="J72" s="55">
        <v>11033.0</v>
      </c>
      <c r="K72" s="55">
        <v>1149.0</v>
      </c>
      <c r="L72" s="55">
        <v>0.0039</v>
      </c>
      <c r="M72" s="55">
        <v>1445.0</v>
      </c>
      <c r="N72" s="55">
        <v>10563.0</v>
      </c>
      <c r="O72" s="55">
        <v>10575.0</v>
      </c>
      <c r="P72" s="55">
        <v>26021.0</v>
      </c>
      <c r="Q72" s="55">
        <v>422.0</v>
      </c>
      <c r="R72" s="55" t="s">
        <v>132</v>
      </c>
      <c r="S72" s="55" t="s">
        <v>232</v>
      </c>
      <c r="T72" s="57" t="s">
        <v>168</v>
      </c>
      <c r="U72" s="57" t="s">
        <v>52</v>
      </c>
      <c r="V72" s="57" t="s">
        <v>169</v>
      </c>
      <c r="W72" s="59">
        <v>10.0</v>
      </c>
    </row>
    <row r="73">
      <c r="A73" s="22">
        <v>46101.0</v>
      </c>
      <c r="B73" s="58" t="s">
        <v>225</v>
      </c>
      <c r="C73" s="8" t="s">
        <v>45</v>
      </c>
      <c r="D73" s="56" t="s">
        <v>243</v>
      </c>
      <c r="E73" s="58" t="s">
        <v>35</v>
      </c>
      <c r="F73" s="58">
        <v>34.0</v>
      </c>
      <c r="G73" s="58">
        <v>10965.0</v>
      </c>
      <c r="H73" s="58">
        <v>1054.0</v>
      </c>
      <c r="I73" s="58">
        <v>0.0039</v>
      </c>
      <c r="J73" s="58">
        <v>10969.0</v>
      </c>
      <c r="K73" s="58">
        <v>1078.0</v>
      </c>
      <c r="L73" s="58">
        <v>0.0039</v>
      </c>
      <c r="M73" s="58">
        <v>1136.0</v>
      </c>
      <c r="N73" s="58">
        <v>10532.0</v>
      </c>
      <c r="O73" s="58">
        <v>10717.0</v>
      </c>
      <c r="P73" s="58">
        <v>18855.0</v>
      </c>
      <c r="Q73" s="58">
        <v>728.0</v>
      </c>
      <c r="R73" s="58" t="s">
        <v>132</v>
      </c>
      <c r="S73" s="55" t="s">
        <v>232</v>
      </c>
      <c r="T73" s="57" t="s">
        <v>168</v>
      </c>
      <c r="U73" s="57" t="s">
        <v>52</v>
      </c>
      <c r="V73" s="57" t="s">
        <v>169</v>
      </c>
      <c r="W73" s="59">
        <v>10.0</v>
      </c>
    </row>
    <row r="74">
      <c r="A74" s="22">
        <v>46101.0</v>
      </c>
      <c r="B74" s="55" t="s">
        <v>225</v>
      </c>
      <c r="C74" s="8" t="s">
        <v>45</v>
      </c>
      <c r="D74" s="56" t="s">
        <v>244</v>
      </c>
      <c r="E74" s="55" t="s">
        <v>35</v>
      </c>
      <c r="F74" s="55">
        <v>28.0</v>
      </c>
      <c r="G74" s="55">
        <v>10994.0</v>
      </c>
      <c r="H74" s="55">
        <v>1023.0</v>
      </c>
      <c r="I74" s="55">
        <v>0.0039</v>
      </c>
      <c r="J74" s="55">
        <v>11010.0</v>
      </c>
      <c r="K74" s="55">
        <v>1049.0</v>
      </c>
      <c r="L74" s="55">
        <v>0.0039</v>
      </c>
      <c r="M74" s="55">
        <v>2086.0</v>
      </c>
      <c r="N74" s="55">
        <v>10696.0</v>
      </c>
      <c r="O74" s="55">
        <v>10696.0</v>
      </c>
      <c r="P74" s="55">
        <v>18521.0</v>
      </c>
      <c r="Q74" s="55">
        <v>339.0</v>
      </c>
      <c r="R74" s="55" t="s">
        <v>132</v>
      </c>
      <c r="S74" s="55" t="s">
        <v>232</v>
      </c>
      <c r="T74" s="57" t="s">
        <v>168</v>
      </c>
      <c r="U74" s="57" t="s">
        <v>52</v>
      </c>
      <c r="V74" s="57" t="s">
        <v>169</v>
      </c>
      <c r="W74" s="59">
        <v>10.0</v>
      </c>
    </row>
    <row r="75">
      <c r="A75" s="22">
        <v>46101.0</v>
      </c>
      <c r="B75" s="58" t="s">
        <v>225</v>
      </c>
      <c r="C75" s="8" t="s">
        <v>45</v>
      </c>
      <c r="D75" s="56" t="s">
        <v>245</v>
      </c>
      <c r="E75" s="58" t="s">
        <v>35</v>
      </c>
      <c r="F75" s="58">
        <v>30.0</v>
      </c>
      <c r="G75" s="58">
        <v>11261.0</v>
      </c>
      <c r="H75" s="58">
        <v>1432.0</v>
      </c>
      <c r="I75" s="58">
        <v>0.0039</v>
      </c>
      <c r="J75" s="58">
        <v>11296.0</v>
      </c>
      <c r="K75" s="58">
        <v>1467.0</v>
      </c>
      <c r="L75" s="58">
        <v>0.0039</v>
      </c>
      <c r="M75" s="58">
        <v>1698.0</v>
      </c>
      <c r="N75" s="58">
        <v>10898.0</v>
      </c>
      <c r="O75" s="58">
        <v>13097.0</v>
      </c>
      <c r="P75" s="58">
        <v>31364.0</v>
      </c>
      <c r="Q75" s="58">
        <v>1094.0</v>
      </c>
      <c r="R75" s="58" t="s">
        <v>132</v>
      </c>
      <c r="S75" s="55" t="s">
        <v>232</v>
      </c>
      <c r="T75" s="57" t="s">
        <v>168</v>
      </c>
      <c r="U75" s="57" t="s">
        <v>52</v>
      </c>
      <c r="V75" s="57" t="s">
        <v>169</v>
      </c>
      <c r="W75" s="59">
        <v>10.0</v>
      </c>
    </row>
    <row r="76">
      <c r="A76" s="22">
        <v>46101.0</v>
      </c>
      <c r="B76" s="55" t="s">
        <v>225</v>
      </c>
      <c r="C76" s="8" t="s">
        <v>45</v>
      </c>
      <c r="D76" s="56" t="s">
        <v>246</v>
      </c>
      <c r="E76" s="55" t="s">
        <v>35</v>
      </c>
      <c r="F76" s="55">
        <v>31.0</v>
      </c>
      <c r="G76" s="55">
        <v>11172.0</v>
      </c>
      <c r="H76" s="55">
        <v>1528.0</v>
      </c>
      <c r="I76" s="55">
        <v>0.0039</v>
      </c>
      <c r="J76" s="55">
        <v>11263.0</v>
      </c>
      <c r="K76" s="55">
        <v>1574.0</v>
      </c>
      <c r="L76" s="55">
        <v>0.0039</v>
      </c>
      <c r="M76" s="55">
        <v>1531.0</v>
      </c>
      <c r="N76" s="55">
        <v>10871.0</v>
      </c>
      <c r="O76" s="55">
        <v>11992.0</v>
      </c>
      <c r="P76" s="55">
        <v>31552.0</v>
      </c>
      <c r="Q76" s="55">
        <v>366.0</v>
      </c>
      <c r="R76" s="55" t="s">
        <v>132</v>
      </c>
      <c r="S76" s="55" t="s">
        <v>232</v>
      </c>
      <c r="T76" s="57" t="s">
        <v>168</v>
      </c>
      <c r="U76" s="57" t="s">
        <v>52</v>
      </c>
      <c r="V76" s="57" t="s">
        <v>169</v>
      </c>
      <c r="W76" s="59">
        <v>10.0</v>
      </c>
    </row>
    <row r="77">
      <c r="A77" s="22">
        <v>46101.0</v>
      </c>
      <c r="B77" s="58" t="s">
        <v>225</v>
      </c>
      <c r="C77" s="8" t="s">
        <v>45</v>
      </c>
      <c r="D77" s="56" t="s">
        <v>247</v>
      </c>
      <c r="E77" s="58" t="s">
        <v>35</v>
      </c>
      <c r="F77" s="58">
        <v>33.0</v>
      </c>
      <c r="G77" s="58">
        <v>10955.0</v>
      </c>
      <c r="H77" s="58">
        <v>941.0</v>
      </c>
      <c r="I77" s="58">
        <v>0.0039</v>
      </c>
      <c r="J77" s="58">
        <v>10957.0</v>
      </c>
      <c r="K77" s="58">
        <v>960.0</v>
      </c>
      <c r="L77" s="58">
        <v>0.0039</v>
      </c>
      <c r="M77" s="58">
        <v>1307.0</v>
      </c>
      <c r="N77" s="58">
        <v>10656.0</v>
      </c>
      <c r="O77" s="58">
        <v>10656.0</v>
      </c>
      <c r="P77" s="58">
        <v>16990.0</v>
      </c>
      <c r="Q77" s="58">
        <v>840.0</v>
      </c>
      <c r="R77" s="58" t="s">
        <v>132</v>
      </c>
      <c r="S77" s="55" t="s">
        <v>232</v>
      </c>
      <c r="T77" s="57" t="s">
        <v>168</v>
      </c>
      <c r="U77" s="57" t="s">
        <v>52</v>
      </c>
      <c r="V77" s="57" t="s">
        <v>169</v>
      </c>
      <c r="W77" s="59">
        <v>10.0</v>
      </c>
    </row>
    <row r="78">
      <c r="A78" s="22">
        <v>46101.0</v>
      </c>
      <c r="B78" s="55" t="s">
        <v>230</v>
      </c>
      <c r="C78" s="8" t="s">
        <v>45</v>
      </c>
      <c r="D78" s="56" t="s">
        <v>248</v>
      </c>
      <c r="E78" s="55" t="s">
        <v>35</v>
      </c>
      <c r="F78" s="55">
        <v>41.0</v>
      </c>
      <c r="G78" s="55">
        <v>14431.0</v>
      </c>
      <c r="H78" s="55">
        <v>747.0</v>
      </c>
      <c r="I78" s="55">
        <v>0.0054</v>
      </c>
      <c r="J78" s="55">
        <v>14564.0</v>
      </c>
      <c r="K78" s="55">
        <v>853.0</v>
      </c>
      <c r="L78" s="55">
        <v>0.0054</v>
      </c>
      <c r="M78" s="55">
        <v>599.0</v>
      </c>
      <c r="N78" s="55">
        <v>11257.0</v>
      </c>
      <c r="O78" s="55">
        <v>12442.0</v>
      </c>
      <c r="P78" s="55">
        <v>22678.0</v>
      </c>
      <c r="Q78" s="55">
        <v>71.0</v>
      </c>
      <c r="R78" s="55" t="s">
        <v>132</v>
      </c>
      <c r="S78" s="55" t="s">
        <v>232</v>
      </c>
      <c r="T78" s="57" t="s">
        <v>168</v>
      </c>
      <c r="U78" s="57" t="s">
        <v>52</v>
      </c>
      <c r="V78" s="57" t="s">
        <v>172</v>
      </c>
      <c r="W78" s="59">
        <v>10.0</v>
      </c>
    </row>
    <row r="79">
      <c r="A79" s="22">
        <v>46101.0</v>
      </c>
      <c r="B79" s="58" t="s">
        <v>230</v>
      </c>
      <c r="C79" s="8" t="s">
        <v>45</v>
      </c>
      <c r="D79" s="56" t="s">
        <v>249</v>
      </c>
      <c r="E79" s="58" t="s">
        <v>35</v>
      </c>
      <c r="F79" s="58">
        <v>46.0</v>
      </c>
      <c r="G79" s="58">
        <v>13351.0</v>
      </c>
      <c r="H79" s="58">
        <v>334.0</v>
      </c>
      <c r="I79" s="58">
        <v>0.0054</v>
      </c>
      <c r="J79" s="58">
        <v>13351.0</v>
      </c>
      <c r="K79" s="58">
        <v>334.0</v>
      </c>
      <c r="L79" s="58">
        <v>0.0054</v>
      </c>
      <c r="M79" s="58">
        <v>382.0</v>
      </c>
      <c r="N79" s="58">
        <v>13061.0</v>
      </c>
      <c r="O79" s="58">
        <v>13061.0</v>
      </c>
      <c r="P79" s="58">
        <v>22302.0</v>
      </c>
      <c r="Q79" s="58">
        <v>49.0</v>
      </c>
      <c r="R79" s="58" t="s">
        <v>132</v>
      </c>
      <c r="S79" s="55" t="s">
        <v>232</v>
      </c>
      <c r="T79" s="57" t="s">
        <v>168</v>
      </c>
      <c r="U79" s="57" t="s">
        <v>52</v>
      </c>
      <c r="V79" s="57" t="s">
        <v>172</v>
      </c>
      <c r="W79" s="59">
        <v>10.0</v>
      </c>
    </row>
    <row r="80">
      <c r="A80" s="22">
        <v>46101.0</v>
      </c>
      <c r="B80" s="55" t="s">
        <v>230</v>
      </c>
      <c r="C80" s="8" t="s">
        <v>45</v>
      </c>
      <c r="D80" s="56" t="s">
        <v>250</v>
      </c>
      <c r="E80" s="55" t="s">
        <v>35</v>
      </c>
      <c r="F80" s="55">
        <v>44.0</v>
      </c>
      <c r="G80" s="55">
        <v>19666.0</v>
      </c>
      <c r="H80" s="55">
        <v>450.0</v>
      </c>
      <c r="I80" s="55">
        <v>0.0054</v>
      </c>
      <c r="J80" s="55">
        <v>19666.0</v>
      </c>
      <c r="K80" s="55">
        <v>450.0</v>
      </c>
      <c r="L80" s="55">
        <v>0.0054</v>
      </c>
      <c r="M80" s="55">
        <v>561.0</v>
      </c>
      <c r="N80" s="55">
        <v>10994.0</v>
      </c>
      <c r="O80" s="55">
        <v>10994.0</v>
      </c>
      <c r="P80" s="55">
        <v>24715.0</v>
      </c>
      <c r="Q80" s="55">
        <v>20.0</v>
      </c>
      <c r="R80" s="55" t="s">
        <v>132</v>
      </c>
      <c r="S80" s="55" t="s">
        <v>232</v>
      </c>
      <c r="T80" s="57" t="s">
        <v>168</v>
      </c>
      <c r="U80" s="57" t="s">
        <v>52</v>
      </c>
      <c r="V80" s="57" t="s">
        <v>172</v>
      </c>
      <c r="W80" s="59">
        <v>10.0</v>
      </c>
    </row>
    <row r="81">
      <c r="A81" s="22">
        <v>46101.0</v>
      </c>
      <c r="B81" s="58" t="s">
        <v>230</v>
      </c>
      <c r="C81" s="8" t="s">
        <v>45</v>
      </c>
      <c r="D81" s="56" t="s">
        <v>251</v>
      </c>
      <c r="E81" s="58" t="s">
        <v>35</v>
      </c>
      <c r="F81" s="58">
        <v>47.0</v>
      </c>
      <c r="G81" s="58">
        <v>11701.0</v>
      </c>
      <c r="H81" s="58">
        <v>395.0</v>
      </c>
      <c r="I81" s="58">
        <v>0.0054</v>
      </c>
      <c r="J81" s="58">
        <v>11701.0</v>
      </c>
      <c r="K81" s="58">
        <v>395.0</v>
      </c>
      <c r="L81" s="58">
        <v>0.0054</v>
      </c>
      <c r="M81" s="58">
        <v>401.0</v>
      </c>
      <c r="N81" s="58">
        <v>10801.0</v>
      </c>
      <c r="O81" s="58">
        <v>10801.0</v>
      </c>
      <c r="P81" s="58">
        <v>17925.0</v>
      </c>
      <c r="Q81" s="58">
        <v>43.0</v>
      </c>
      <c r="R81" s="58" t="s">
        <v>132</v>
      </c>
      <c r="S81" s="55" t="s">
        <v>232</v>
      </c>
      <c r="T81" s="57" t="s">
        <v>168</v>
      </c>
      <c r="U81" s="57" t="s">
        <v>52</v>
      </c>
      <c r="V81" s="57" t="s">
        <v>172</v>
      </c>
      <c r="W81" s="59">
        <v>10.0</v>
      </c>
    </row>
    <row r="82">
      <c r="A82" s="22">
        <v>46101.0</v>
      </c>
      <c r="B82" s="55" t="s">
        <v>230</v>
      </c>
      <c r="C82" s="8" t="s">
        <v>45</v>
      </c>
      <c r="D82" s="56" t="s">
        <v>252</v>
      </c>
      <c r="E82" s="55" t="s">
        <v>35</v>
      </c>
      <c r="F82" s="55">
        <v>66.0</v>
      </c>
      <c r="G82" s="55">
        <v>14011.0</v>
      </c>
      <c r="H82" s="55">
        <v>494.0</v>
      </c>
      <c r="I82" s="55">
        <v>0.0054</v>
      </c>
      <c r="J82" s="55">
        <v>16302.0</v>
      </c>
      <c r="K82" s="55">
        <v>494.0</v>
      </c>
      <c r="L82" s="55">
        <v>0.0054</v>
      </c>
      <c r="M82" s="55">
        <v>970.0</v>
      </c>
      <c r="N82" s="55">
        <v>10914.0</v>
      </c>
      <c r="O82" s="55">
        <v>10914.0</v>
      </c>
      <c r="P82" s="55">
        <v>17581.0</v>
      </c>
      <c r="Q82" s="55">
        <v>116.0</v>
      </c>
      <c r="R82" s="55" t="s">
        <v>132</v>
      </c>
      <c r="S82" s="55" t="s">
        <v>232</v>
      </c>
      <c r="T82" s="57" t="s">
        <v>168</v>
      </c>
      <c r="U82" s="57" t="s">
        <v>52</v>
      </c>
      <c r="V82" s="57" t="s">
        <v>172</v>
      </c>
      <c r="W82" s="59">
        <v>10.0</v>
      </c>
    </row>
    <row r="83">
      <c r="A83" s="22">
        <v>46101.0</v>
      </c>
      <c r="B83" s="58" t="s">
        <v>230</v>
      </c>
      <c r="C83" s="8" t="s">
        <v>45</v>
      </c>
      <c r="D83" s="56" t="s">
        <v>253</v>
      </c>
      <c r="E83" s="58" t="s">
        <v>35</v>
      </c>
      <c r="F83" s="58">
        <v>36.0</v>
      </c>
      <c r="G83" s="58">
        <v>18001.0</v>
      </c>
      <c r="H83" s="58">
        <v>844.0</v>
      </c>
      <c r="I83" s="58">
        <v>0.0054</v>
      </c>
      <c r="J83" s="58">
        <v>18001.0</v>
      </c>
      <c r="K83" s="58">
        <v>945.0</v>
      </c>
      <c r="L83" s="58">
        <v>0.0054</v>
      </c>
      <c r="M83" s="58">
        <v>897.0</v>
      </c>
      <c r="N83" s="58">
        <v>12555.0</v>
      </c>
      <c r="O83" s="58">
        <v>13812.0</v>
      </c>
      <c r="P83" s="58">
        <v>29596.0</v>
      </c>
      <c r="Q83" s="58">
        <v>105.0</v>
      </c>
      <c r="R83" s="58" t="s">
        <v>132</v>
      </c>
      <c r="S83" s="55" t="s">
        <v>232</v>
      </c>
      <c r="T83" s="57" t="s">
        <v>168</v>
      </c>
      <c r="U83" s="57" t="s">
        <v>52</v>
      </c>
      <c r="V83" s="57" t="s">
        <v>172</v>
      </c>
      <c r="W83" s="59">
        <v>10.0</v>
      </c>
    </row>
    <row r="84">
      <c r="A84" s="22">
        <v>46101.0</v>
      </c>
      <c r="B84" s="55" t="s">
        <v>230</v>
      </c>
      <c r="C84" s="8" t="s">
        <v>45</v>
      </c>
      <c r="D84" s="56" t="s">
        <v>254</v>
      </c>
      <c r="E84" s="55" t="s">
        <v>35</v>
      </c>
      <c r="F84" s="55">
        <v>40.0</v>
      </c>
      <c r="G84" s="55">
        <v>13595.0</v>
      </c>
      <c r="H84" s="55">
        <v>942.0</v>
      </c>
      <c r="I84" s="55">
        <v>0.0054</v>
      </c>
      <c r="J84" s="55">
        <v>14326.0</v>
      </c>
      <c r="K84" s="55">
        <v>953.0</v>
      </c>
      <c r="L84" s="55">
        <v>0.0054</v>
      </c>
      <c r="M84" s="55">
        <v>760.0</v>
      </c>
      <c r="N84" s="55">
        <v>11342.0</v>
      </c>
      <c r="O84" s="55">
        <v>11422.0</v>
      </c>
      <c r="P84" s="55">
        <v>30553.0</v>
      </c>
      <c r="Q84" s="55">
        <v>185.0</v>
      </c>
      <c r="R84" s="55" t="s">
        <v>132</v>
      </c>
      <c r="S84" s="55" t="s">
        <v>232</v>
      </c>
      <c r="T84" s="57" t="s">
        <v>168</v>
      </c>
      <c r="U84" s="57" t="s">
        <v>52</v>
      </c>
      <c r="V84" s="57" t="s">
        <v>172</v>
      </c>
      <c r="W84" s="59">
        <v>10.0</v>
      </c>
    </row>
    <row r="85">
      <c r="A85" s="22">
        <v>46101.0</v>
      </c>
      <c r="B85" s="58" t="s">
        <v>230</v>
      </c>
      <c r="C85" s="8" t="s">
        <v>45</v>
      </c>
      <c r="D85" s="56" t="s">
        <v>255</v>
      </c>
      <c r="E85" s="58" t="s">
        <v>35</v>
      </c>
      <c r="F85" s="58">
        <v>76.0</v>
      </c>
      <c r="G85" s="58">
        <v>9264.0</v>
      </c>
      <c r="H85" s="58">
        <v>394.0</v>
      </c>
      <c r="I85" s="58">
        <v>0.0054</v>
      </c>
      <c r="J85" s="58">
        <v>11251.0</v>
      </c>
      <c r="K85" s="58">
        <v>430.0</v>
      </c>
      <c r="L85" s="58">
        <v>0.0054</v>
      </c>
      <c r="M85" s="58">
        <v>382.0</v>
      </c>
      <c r="N85" s="58">
        <v>9002.0</v>
      </c>
      <c r="O85" s="58">
        <v>9182.0</v>
      </c>
      <c r="P85" s="58">
        <v>15465.0</v>
      </c>
      <c r="Q85" s="58">
        <v>44.0</v>
      </c>
      <c r="R85" s="58" t="s">
        <v>132</v>
      </c>
      <c r="S85" s="55" t="s">
        <v>232</v>
      </c>
      <c r="T85" s="57" t="s">
        <v>168</v>
      </c>
      <c r="U85" s="57" t="s">
        <v>52</v>
      </c>
      <c r="V85" s="57" t="s">
        <v>172</v>
      </c>
      <c r="W85" s="59">
        <v>10.0</v>
      </c>
    </row>
    <row r="86">
      <c r="A86" s="22">
        <v>46101.0</v>
      </c>
      <c r="B86" s="55" t="s">
        <v>230</v>
      </c>
      <c r="C86" s="8" t="s">
        <v>45</v>
      </c>
      <c r="D86" s="56" t="s">
        <v>256</v>
      </c>
      <c r="E86" s="55" t="s">
        <v>35</v>
      </c>
      <c r="F86" s="55">
        <v>56.0</v>
      </c>
      <c r="G86" s="55">
        <v>19538.0</v>
      </c>
      <c r="H86" s="55">
        <v>458.0</v>
      </c>
      <c r="I86" s="55">
        <v>5.0E-4</v>
      </c>
      <c r="J86" s="55">
        <v>19801.0</v>
      </c>
      <c r="K86" s="55">
        <v>511.0</v>
      </c>
      <c r="L86" s="55">
        <v>5.0E-4</v>
      </c>
      <c r="M86" s="55">
        <v>489.0</v>
      </c>
      <c r="N86" s="55">
        <v>10517.0</v>
      </c>
      <c r="O86" s="55">
        <v>10517.0</v>
      </c>
      <c r="P86" s="55">
        <v>20026.0</v>
      </c>
      <c r="Q86" s="55">
        <v>90.0</v>
      </c>
      <c r="R86" s="55" t="s">
        <v>132</v>
      </c>
      <c r="S86" s="55" t="s">
        <v>232</v>
      </c>
      <c r="T86" s="57" t="s">
        <v>168</v>
      </c>
      <c r="U86" s="57" t="s">
        <v>52</v>
      </c>
      <c r="V86" s="57" t="s">
        <v>172</v>
      </c>
      <c r="W86" s="59">
        <v>10.0</v>
      </c>
    </row>
    <row r="87">
      <c r="A87" s="54">
        <v>46104.0</v>
      </c>
      <c r="B87" s="7" t="s">
        <v>230</v>
      </c>
      <c r="C87" s="8" t="s">
        <v>45</v>
      </c>
      <c r="D87" s="9" t="str">
        <f>HYPERLINK("https://vrporn.com/", "main")</f>
        <v>main</v>
      </c>
      <c r="E87" s="7" t="s">
        <v>34</v>
      </c>
      <c r="F87" s="10">
        <v>56.0</v>
      </c>
      <c r="G87" s="10">
        <v>2661.0</v>
      </c>
      <c r="H87" s="10">
        <v>523.0</v>
      </c>
      <c r="I87" s="10">
        <v>0.0155</v>
      </c>
      <c r="J87" s="10">
        <v>2661.0</v>
      </c>
      <c r="K87" s="10">
        <v>538.0</v>
      </c>
      <c r="L87" s="10">
        <v>0.0155</v>
      </c>
      <c r="M87" s="10">
        <v>414.0</v>
      </c>
      <c r="N87" s="10">
        <v>2001.0</v>
      </c>
      <c r="O87" s="10">
        <v>2001.0</v>
      </c>
      <c r="P87" s="10">
        <v>6447.0</v>
      </c>
      <c r="Q87" s="10">
        <v>65.0</v>
      </c>
      <c r="R87" s="7" t="s">
        <v>123</v>
      </c>
      <c r="S87" s="55" t="s">
        <v>232</v>
      </c>
      <c r="T87" s="57" t="s">
        <v>168</v>
      </c>
      <c r="U87" s="57" t="s">
        <v>52</v>
      </c>
      <c r="V87" s="57" t="s">
        <v>172</v>
      </c>
      <c r="W87" s="59">
        <v>10.0</v>
      </c>
    </row>
    <row r="88">
      <c r="A88" s="54">
        <v>46104.0</v>
      </c>
      <c r="B88" s="7" t="s">
        <v>230</v>
      </c>
      <c r="C88" s="8" t="s">
        <v>45</v>
      </c>
      <c r="D88" s="9" t="str">
        <f>HYPERLINK("https://vrporn.com/pretty-petite-vr-pmv/", "s_video")</f>
        <v>s_video</v>
      </c>
      <c r="E88" s="7" t="s">
        <v>34</v>
      </c>
      <c r="F88" s="10">
        <v>87.0</v>
      </c>
      <c r="G88" s="10">
        <v>921.0</v>
      </c>
      <c r="H88" s="10">
        <v>246.0</v>
      </c>
      <c r="I88" s="10">
        <v>0.0155</v>
      </c>
      <c r="J88" s="10">
        <v>921.0</v>
      </c>
      <c r="K88" s="10">
        <v>246.0</v>
      </c>
      <c r="L88" s="10">
        <v>0.0155</v>
      </c>
      <c r="M88" s="10">
        <v>270.0</v>
      </c>
      <c r="N88" s="10">
        <v>807.0</v>
      </c>
      <c r="O88" s="10">
        <v>1421.0</v>
      </c>
      <c r="P88" s="10">
        <v>4377.0</v>
      </c>
      <c r="Q88" s="10">
        <v>88.0</v>
      </c>
      <c r="R88" s="7" t="s">
        <v>123</v>
      </c>
      <c r="S88" s="55" t="s">
        <v>232</v>
      </c>
      <c r="T88" s="57" t="s">
        <v>168</v>
      </c>
      <c r="U88" s="57" t="s">
        <v>52</v>
      </c>
      <c r="V88" s="57" t="s">
        <v>172</v>
      </c>
      <c r="W88" s="59">
        <v>10.0</v>
      </c>
    </row>
    <row r="89">
      <c r="A89" s="54">
        <v>46104.0</v>
      </c>
      <c r="B89" s="7" t="s">
        <v>230</v>
      </c>
      <c r="C89" s="8" t="s">
        <v>45</v>
      </c>
      <c r="D89" s="9" t="str">
        <f>HYPERLINK("https://vrporn.com/pornstars/?sort=latest", "models")</f>
        <v>models</v>
      </c>
      <c r="E89" s="7" t="s">
        <v>34</v>
      </c>
      <c r="F89" s="10">
        <v>82.0</v>
      </c>
      <c r="G89" s="10">
        <v>1024.0</v>
      </c>
      <c r="H89" s="10">
        <v>363.0</v>
      </c>
      <c r="I89" s="10">
        <v>0.0155</v>
      </c>
      <c r="J89" s="10">
        <v>1024.0</v>
      </c>
      <c r="K89" s="10">
        <v>363.0</v>
      </c>
      <c r="L89" s="10">
        <v>0.0155</v>
      </c>
      <c r="M89" s="10">
        <v>350.0</v>
      </c>
      <c r="N89" s="10">
        <v>807.0</v>
      </c>
      <c r="O89" s="10">
        <v>1309.0</v>
      </c>
      <c r="P89" s="10">
        <v>4825.0</v>
      </c>
      <c r="Q89" s="10">
        <v>59.0</v>
      </c>
      <c r="R89" s="7" t="s">
        <v>123</v>
      </c>
      <c r="S89" s="55" t="s">
        <v>232</v>
      </c>
      <c r="T89" s="57" t="s">
        <v>168</v>
      </c>
      <c r="U89" s="57" t="s">
        <v>52</v>
      </c>
      <c r="V89" s="57" t="s">
        <v>172</v>
      </c>
      <c r="W89" s="59">
        <v>10.0</v>
      </c>
    </row>
    <row r="90">
      <c r="A90" s="54">
        <v>46104.0</v>
      </c>
      <c r="B90" s="7" t="s">
        <v>230</v>
      </c>
      <c r="C90" s="8" t="s">
        <v>45</v>
      </c>
      <c r="D90" s="9" t="str">
        <f>HYPERLINK("https://vrporn.com/pornstars/samy-sun/", "s_model")</f>
        <v>s_model</v>
      </c>
      <c r="E90" s="7" t="s">
        <v>34</v>
      </c>
      <c r="F90" s="10">
        <v>67.0</v>
      </c>
      <c r="G90" s="10">
        <v>2385.0</v>
      </c>
      <c r="H90" s="10">
        <v>303.0</v>
      </c>
      <c r="I90" s="10">
        <v>0.0155</v>
      </c>
      <c r="J90" s="10">
        <v>2385.0</v>
      </c>
      <c r="K90" s="10">
        <v>303.0</v>
      </c>
      <c r="L90" s="10">
        <v>0.0155</v>
      </c>
      <c r="M90" s="10">
        <v>270.0</v>
      </c>
      <c r="N90" s="10">
        <v>1952.0</v>
      </c>
      <c r="O90" s="10">
        <v>1952.0</v>
      </c>
      <c r="P90" s="10">
        <v>3469.0</v>
      </c>
      <c r="Q90" s="10">
        <v>48.0</v>
      </c>
      <c r="R90" s="7" t="s">
        <v>123</v>
      </c>
      <c r="S90" s="55" t="s">
        <v>232</v>
      </c>
      <c r="T90" s="57" t="s">
        <v>168</v>
      </c>
      <c r="U90" s="57" t="s">
        <v>52</v>
      </c>
      <c r="V90" s="57" t="s">
        <v>172</v>
      </c>
      <c r="W90" s="59">
        <v>10.0</v>
      </c>
    </row>
    <row r="91">
      <c r="A91" s="54">
        <v>46104.0</v>
      </c>
      <c r="B91" s="7" t="s">
        <v>230</v>
      </c>
      <c r="C91" s="8" t="s">
        <v>45</v>
      </c>
      <c r="D91" s="9" t="str">
        <f>HYPERLINK("https://vrporn.com/categories/", "categories")</f>
        <v>categories</v>
      </c>
      <c r="E91" s="7" t="s">
        <v>34</v>
      </c>
      <c r="F91" s="10">
        <v>64.0</v>
      </c>
      <c r="G91" s="10">
        <v>2281.0</v>
      </c>
      <c r="H91" s="10">
        <v>292.0</v>
      </c>
      <c r="I91" s="10">
        <v>0.0155</v>
      </c>
      <c r="J91" s="10">
        <v>2281.0</v>
      </c>
      <c r="K91" s="10">
        <v>292.0</v>
      </c>
      <c r="L91" s="10">
        <v>0.0155</v>
      </c>
      <c r="M91" s="10">
        <v>327.0</v>
      </c>
      <c r="N91" s="10">
        <v>1961.0</v>
      </c>
      <c r="O91" s="10">
        <v>1961.0</v>
      </c>
      <c r="P91" s="10">
        <v>3339.0</v>
      </c>
      <c r="Q91" s="10">
        <v>47.0</v>
      </c>
      <c r="R91" s="7" t="s">
        <v>123</v>
      </c>
      <c r="S91" s="55" t="s">
        <v>232</v>
      </c>
      <c r="T91" s="57" t="s">
        <v>168</v>
      </c>
      <c r="U91" s="57" t="s">
        <v>52</v>
      </c>
      <c r="V91" s="57" t="s">
        <v>172</v>
      </c>
      <c r="W91" s="59">
        <v>10.0</v>
      </c>
    </row>
    <row r="92">
      <c r="A92" s="54">
        <v>46104.0</v>
      </c>
      <c r="B92" s="7" t="s">
        <v>230</v>
      </c>
      <c r="C92" s="8" t="s">
        <v>45</v>
      </c>
      <c r="D92" s="9" t="str">
        <f>HYPERLINK("https://vrporn.com/tag/anal/", "s_category")</f>
        <v>s_category</v>
      </c>
      <c r="E92" s="7" t="s">
        <v>34</v>
      </c>
      <c r="F92" s="10">
        <v>55.0</v>
      </c>
      <c r="G92" s="10">
        <v>2050.0</v>
      </c>
      <c r="H92" s="10">
        <v>647.0</v>
      </c>
      <c r="I92" s="10">
        <v>0.0155</v>
      </c>
      <c r="J92" s="10">
        <v>2141.0</v>
      </c>
      <c r="K92" s="10">
        <v>701.0</v>
      </c>
      <c r="L92" s="10">
        <v>0.0155</v>
      </c>
      <c r="M92" s="10">
        <v>641.0</v>
      </c>
      <c r="N92" s="10">
        <v>2010.0</v>
      </c>
      <c r="O92" s="10">
        <v>2051.0</v>
      </c>
      <c r="P92" s="10">
        <v>7127.0</v>
      </c>
      <c r="Q92" s="10">
        <v>146.0</v>
      </c>
      <c r="R92" s="7" t="s">
        <v>123</v>
      </c>
      <c r="S92" s="55" t="s">
        <v>232</v>
      </c>
      <c r="T92" s="57" t="s">
        <v>168</v>
      </c>
      <c r="U92" s="57" t="s">
        <v>52</v>
      </c>
      <c r="V92" s="57" t="s">
        <v>172</v>
      </c>
      <c r="W92" s="59">
        <v>10.0</v>
      </c>
    </row>
    <row r="93">
      <c r="A93" s="54">
        <v>46104.0</v>
      </c>
      <c r="B93" s="7" t="s">
        <v>230</v>
      </c>
      <c r="C93" s="8" t="s">
        <v>45</v>
      </c>
      <c r="D93" s="9" t="str">
        <f>HYPERLINK("https://vrporn.com/studio/vrbangers/", "s_studio")</f>
        <v>s_studio</v>
      </c>
      <c r="E93" s="7" t="s">
        <v>34</v>
      </c>
      <c r="F93" s="10">
        <v>56.0</v>
      </c>
      <c r="G93" s="10">
        <v>2421.0</v>
      </c>
      <c r="H93" s="10">
        <v>583.0</v>
      </c>
      <c r="I93" s="10">
        <v>0.0155</v>
      </c>
      <c r="J93" s="10">
        <v>2421.0</v>
      </c>
      <c r="K93" s="10">
        <v>583.0</v>
      </c>
      <c r="L93" s="10">
        <v>0.0155</v>
      </c>
      <c r="M93" s="10">
        <v>446.0</v>
      </c>
      <c r="N93" s="10">
        <v>1961.0</v>
      </c>
      <c r="O93" s="10">
        <v>1961.0</v>
      </c>
      <c r="P93" s="10">
        <v>7554.0</v>
      </c>
      <c r="Q93" s="10">
        <v>49.0</v>
      </c>
      <c r="R93" s="7" t="s">
        <v>123</v>
      </c>
      <c r="S93" s="55" t="s">
        <v>232</v>
      </c>
      <c r="T93" s="57" t="s">
        <v>168</v>
      </c>
      <c r="U93" s="57" t="s">
        <v>52</v>
      </c>
      <c r="V93" s="57" t="s">
        <v>172</v>
      </c>
      <c r="W93" s="59">
        <v>10.0</v>
      </c>
    </row>
    <row r="94">
      <c r="A94" s="54">
        <v>46104.0</v>
      </c>
      <c r="B94" s="7" t="s">
        <v>230</v>
      </c>
      <c r="C94" s="8" t="s">
        <v>45</v>
      </c>
      <c r="D94" s="9" t="str">
        <f>HYPERLINK("https://vrporn.com/camgirls/", "dreams")</f>
        <v>dreams</v>
      </c>
      <c r="E94" s="7" t="s">
        <v>34</v>
      </c>
      <c r="F94" s="10">
        <v>62.0</v>
      </c>
      <c r="G94" s="10">
        <v>2001.0</v>
      </c>
      <c r="H94" s="10">
        <v>306.0</v>
      </c>
      <c r="I94" s="10">
        <v>0.0155</v>
      </c>
      <c r="J94" s="10">
        <v>2001.0</v>
      </c>
      <c r="K94" s="10">
        <v>306.0</v>
      </c>
      <c r="L94" s="10">
        <v>0.0155</v>
      </c>
      <c r="M94" s="10">
        <v>416.0</v>
      </c>
      <c r="N94" s="10">
        <v>1961.0</v>
      </c>
      <c r="O94" s="10">
        <v>1961.0</v>
      </c>
      <c r="P94" s="10">
        <v>3126.0</v>
      </c>
      <c r="Q94" s="10">
        <v>45.0</v>
      </c>
      <c r="R94" s="7" t="s">
        <v>123</v>
      </c>
      <c r="S94" s="55" t="s">
        <v>232</v>
      </c>
      <c r="T94" s="57" t="s">
        <v>168</v>
      </c>
      <c r="U94" s="57" t="s">
        <v>52</v>
      </c>
      <c r="V94" s="57" t="s">
        <v>172</v>
      </c>
      <c r="W94" s="59">
        <v>10.0</v>
      </c>
    </row>
    <row r="95">
      <c r="A95" s="54">
        <v>46104.0</v>
      </c>
      <c r="B95" s="7" t="s">
        <v>230</v>
      </c>
      <c r="C95" s="8" t="s">
        <v>45</v>
      </c>
      <c r="D95" s="9" t="str">
        <f>HYPERLINK("https://vrporn.com/camgirls/model-vrporn/", "s_dream")</f>
        <v>s_dream</v>
      </c>
      <c r="E95" s="7" t="s">
        <v>34</v>
      </c>
      <c r="F95" s="10">
        <v>61.0</v>
      </c>
      <c r="G95" s="10">
        <v>4214.0</v>
      </c>
      <c r="H95" s="10">
        <v>316.0</v>
      </c>
      <c r="I95" s="10">
        <v>5.0E-4</v>
      </c>
      <c r="J95" s="10">
        <v>4240.0</v>
      </c>
      <c r="K95" s="10">
        <v>349.0</v>
      </c>
      <c r="L95" s="10">
        <v>5.0E-4</v>
      </c>
      <c r="M95" s="10">
        <v>254.0</v>
      </c>
      <c r="N95" s="10">
        <v>1932.0</v>
      </c>
      <c r="O95" s="10">
        <v>1932.0</v>
      </c>
      <c r="P95" s="10">
        <v>4310.0</v>
      </c>
      <c r="Q95" s="10">
        <v>19.0</v>
      </c>
      <c r="R95" s="7" t="s">
        <v>123</v>
      </c>
      <c r="S95" s="55" t="s">
        <v>232</v>
      </c>
      <c r="T95" s="57" t="s">
        <v>168</v>
      </c>
      <c r="U95" s="57" t="s">
        <v>52</v>
      </c>
      <c r="V95" s="57" t="s">
        <v>172</v>
      </c>
      <c r="W95" s="59">
        <v>10.0</v>
      </c>
    </row>
    <row r="96">
      <c r="A96" s="54">
        <v>46104.0</v>
      </c>
      <c r="B96" s="7" t="s">
        <v>230</v>
      </c>
      <c r="C96" s="8" t="s">
        <v>45</v>
      </c>
      <c r="D96" s="9" t="str">
        <f>HYPERLINK("https://vrporn.com/", "main")</f>
        <v>main</v>
      </c>
      <c r="E96" s="7" t="s">
        <v>35</v>
      </c>
      <c r="F96" s="10">
        <v>38.0</v>
      </c>
      <c r="G96" s="10">
        <v>11251.0</v>
      </c>
      <c r="H96" s="10">
        <v>816.0</v>
      </c>
      <c r="I96" s="10">
        <v>0.0054</v>
      </c>
      <c r="J96" s="10">
        <v>11251.0</v>
      </c>
      <c r="K96" s="10">
        <v>816.0</v>
      </c>
      <c r="L96" s="10">
        <v>0.0054</v>
      </c>
      <c r="M96" s="10">
        <v>732.0</v>
      </c>
      <c r="N96" s="10">
        <v>11101.0</v>
      </c>
      <c r="O96" s="10">
        <v>11101.0</v>
      </c>
      <c r="P96" s="10">
        <v>27314.0</v>
      </c>
      <c r="Q96" s="10">
        <v>64.0</v>
      </c>
      <c r="R96" s="7" t="s">
        <v>123</v>
      </c>
      <c r="S96" s="55" t="s">
        <v>232</v>
      </c>
      <c r="T96" s="57" t="s">
        <v>168</v>
      </c>
      <c r="U96" s="57" t="s">
        <v>52</v>
      </c>
      <c r="V96" s="57" t="s">
        <v>172</v>
      </c>
      <c r="W96" s="59">
        <v>10.0</v>
      </c>
    </row>
    <row r="97">
      <c r="A97" s="54">
        <v>46104.0</v>
      </c>
      <c r="B97" s="7" t="s">
        <v>230</v>
      </c>
      <c r="C97" s="8" t="s">
        <v>45</v>
      </c>
      <c r="D97" s="9" t="str">
        <f>HYPERLINK("https://vrporn.com/pretty-petite-vr-pmv/", "s_video")</f>
        <v>s_video</v>
      </c>
      <c r="E97" s="7" t="s">
        <v>35</v>
      </c>
      <c r="F97" s="10">
        <v>48.0</v>
      </c>
      <c r="G97" s="10">
        <v>11851.0</v>
      </c>
      <c r="H97" s="10">
        <v>289.0</v>
      </c>
      <c r="I97" s="10">
        <v>0.0054</v>
      </c>
      <c r="J97" s="10">
        <v>11851.0</v>
      </c>
      <c r="K97" s="10">
        <v>289.0</v>
      </c>
      <c r="L97" s="10">
        <v>0.0054</v>
      </c>
      <c r="M97" s="10">
        <v>329.0</v>
      </c>
      <c r="N97" s="10">
        <v>11401.0</v>
      </c>
      <c r="O97" s="10">
        <v>11401.0</v>
      </c>
      <c r="P97" s="10">
        <v>21447.0</v>
      </c>
      <c r="Q97" s="10">
        <v>49.0</v>
      </c>
      <c r="R97" s="7" t="s">
        <v>123</v>
      </c>
      <c r="S97" s="55" t="s">
        <v>232</v>
      </c>
      <c r="T97" s="57" t="s">
        <v>168</v>
      </c>
      <c r="U97" s="57" t="s">
        <v>52</v>
      </c>
      <c r="V97" s="57" t="s">
        <v>172</v>
      </c>
      <c r="W97" s="59">
        <v>10.0</v>
      </c>
    </row>
    <row r="98">
      <c r="A98" s="54">
        <v>46104.0</v>
      </c>
      <c r="B98" s="7" t="s">
        <v>230</v>
      </c>
      <c r="C98" s="8" t="s">
        <v>45</v>
      </c>
      <c r="D98" s="9" t="str">
        <f>HYPERLINK("https://vrporn.com/pornstars/?sort=latest", "models")</f>
        <v>models</v>
      </c>
      <c r="E98" s="7" t="s">
        <v>35</v>
      </c>
      <c r="F98" s="10">
        <v>69.0</v>
      </c>
      <c r="G98" s="10">
        <v>3186.0</v>
      </c>
      <c r="H98" s="10">
        <v>460.0</v>
      </c>
      <c r="I98" s="10">
        <v>0.0054</v>
      </c>
      <c r="J98" s="10">
        <v>3186.0</v>
      </c>
      <c r="K98" s="10">
        <v>460.0</v>
      </c>
      <c r="L98" s="10">
        <v>0.0054</v>
      </c>
      <c r="M98" s="10">
        <v>535.0</v>
      </c>
      <c r="N98" s="10">
        <v>3186.0</v>
      </c>
      <c r="O98" s="10">
        <v>5714.0</v>
      </c>
      <c r="P98" s="10">
        <v>24421.0</v>
      </c>
      <c r="Q98" s="10">
        <v>63.0</v>
      </c>
      <c r="R98" s="7" t="s">
        <v>123</v>
      </c>
      <c r="S98" s="55" t="s">
        <v>232</v>
      </c>
      <c r="T98" s="57" t="s">
        <v>168</v>
      </c>
      <c r="U98" s="57" t="s">
        <v>52</v>
      </c>
      <c r="V98" s="57" t="s">
        <v>172</v>
      </c>
      <c r="W98" s="59">
        <v>10.0</v>
      </c>
    </row>
    <row r="99">
      <c r="A99" s="54">
        <v>46104.0</v>
      </c>
      <c r="B99" s="7" t="s">
        <v>230</v>
      </c>
      <c r="C99" s="8" t="s">
        <v>45</v>
      </c>
      <c r="D99" s="9" t="str">
        <f>HYPERLINK("https://vrporn.com/pornstars/samy-sun/", "s_model")</f>
        <v>s_model</v>
      </c>
      <c r="E99" s="7" t="s">
        <v>35</v>
      </c>
      <c r="F99" s="10">
        <v>48.0</v>
      </c>
      <c r="G99" s="10">
        <v>11701.0</v>
      </c>
      <c r="H99" s="10">
        <v>342.0</v>
      </c>
      <c r="I99" s="10">
        <v>0.0054</v>
      </c>
      <c r="J99" s="10">
        <v>11701.0</v>
      </c>
      <c r="K99" s="10">
        <v>342.0</v>
      </c>
      <c r="L99" s="10">
        <v>0.0054</v>
      </c>
      <c r="M99" s="10">
        <v>354.0</v>
      </c>
      <c r="N99" s="10">
        <v>10801.0</v>
      </c>
      <c r="O99" s="10">
        <v>10801.0</v>
      </c>
      <c r="P99" s="10">
        <v>17777.0</v>
      </c>
      <c r="Q99" s="10">
        <v>65.0</v>
      </c>
      <c r="R99" s="7" t="s">
        <v>123</v>
      </c>
      <c r="S99" s="55" t="s">
        <v>232</v>
      </c>
      <c r="T99" s="57" t="s">
        <v>168</v>
      </c>
      <c r="U99" s="57" t="s">
        <v>52</v>
      </c>
      <c r="V99" s="57" t="s">
        <v>172</v>
      </c>
      <c r="W99" s="59">
        <v>10.0</v>
      </c>
    </row>
    <row r="100">
      <c r="A100" s="54">
        <v>46104.0</v>
      </c>
      <c r="B100" s="7" t="s">
        <v>230</v>
      </c>
      <c r="C100" s="8" t="s">
        <v>45</v>
      </c>
      <c r="D100" s="9" t="str">
        <f>HYPERLINK("https://vrporn.com/categories/", "categories")</f>
        <v>categories</v>
      </c>
      <c r="E100" s="7" t="s">
        <v>35</v>
      </c>
      <c r="F100" s="10">
        <v>38.0</v>
      </c>
      <c r="G100" s="10">
        <v>10951.0</v>
      </c>
      <c r="H100" s="10">
        <v>420.0</v>
      </c>
      <c r="I100" s="10">
        <v>0.0054</v>
      </c>
      <c r="J100" s="10">
        <v>10951.0</v>
      </c>
      <c r="K100" s="10">
        <v>420.0</v>
      </c>
      <c r="L100" s="10">
        <v>0.0054</v>
      </c>
      <c r="M100" s="10">
        <v>714.0</v>
      </c>
      <c r="N100" s="10">
        <v>10801.0</v>
      </c>
      <c r="O100" s="10">
        <v>10801.0</v>
      </c>
      <c r="P100" s="10">
        <v>16660.0</v>
      </c>
      <c r="Q100" s="10">
        <v>100.0</v>
      </c>
      <c r="R100" s="7" t="s">
        <v>123</v>
      </c>
      <c r="S100" s="55" t="s">
        <v>232</v>
      </c>
      <c r="T100" s="57" t="s">
        <v>168</v>
      </c>
      <c r="U100" s="57" t="s">
        <v>52</v>
      </c>
      <c r="V100" s="57" t="s">
        <v>172</v>
      </c>
      <c r="W100" s="59">
        <v>10.0</v>
      </c>
    </row>
    <row r="101">
      <c r="A101" s="54">
        <v>46104.0</v>
      </c>
      <c r="B101" s="7" t="s">
        <v>230</v>
      </c>
      <c r="C101" s="8" t="s">
        <v>45</v>
      </c>
      <c r="D101" s="9" t="str">
        <f>HYPERLINK("https://vrporn.com/tag/anal/", "s_category")</f>
        <v>s_category</v>
      </c>
      <c r="E101" s="7" t="s">
        <v>35</v>
      </c>
      <c r="F101" s="10">
        <v>63.0</v>
      </c>
      <c r="G101" s="10">
        <v>11251.0</v>
      </c>
      <c r="H101" s="10">
        <v>613.0</v>
      </c>
      <c r="I101" s="10">
        <v>0.0054</v>
      </c>
      <c r="J101" s="10">
        <v>11702.0</v>
      </c>
      <c r="K101" s="10">
        <v>652.0</v>
      </c>
      <c r="L101" s="10">
        <v>0.0054</v>
      </c>
      <c r="M101" s="10">
        <v>608.0</v>
      </c>
      <c r="N101" s="10">
        <v>11101.0</v>
      </c>
      <c r="O101" s="10">
        <v>11101.0</v>
      </c>
      <c r="P101" s="10">
        <v>28938.0</v>
      </c>
      <c r="Q101" s="10">
        <v>163.0</v>
      </c>
      <c r="R101" s="7" t="s">
        <v>123</v>
      </c>
      <c r="S101" s="55" t="s">
        <v>232</v>
      </c>
      <c r="T101" s="57" t="s">
        <v>168</v>
      </c>
      <c r="U101" s="57" t="s">
        <v>52</v>
      </c>
      <c r="V101" s="57" t="s">
        <v>172</v>
      </c>
      <c r="W101" s="59">
        <v>10.0</v>
      </c>
    </row>
    <row r="102">
      <c r="A102" s="54">
        <v>46104.0</v>
      </c>
      <c r="B102" s="7" t="s">
        <v>230</v>
      </c>
      <c r="C102" s="8" t="s">
        <v>45</v>
      </c>
      <c r="D102" s="9" t="str">
        <f>HYPERLINK("https://vrporn.com/studio/vrbangers/", "s_studio")</f>
        <v>s_studio</v>
      </c>
      <c r="E102" s="7" t="s">
        <v>35</v>
      </c>
      <c r="F102" s="10">
        <v>39.0</v>
      </c>
      <c r="G102" s="10">
        <v>11401.0</v>
      </c>
      <c r="H102" s="10">
        <v>773.0</v>
      </c>
      <c r="I102" s="10">
        <v>0.0054</v>
      </c>
      <c r="J102" s="10">
        <v>11401.0</v>
      </c>
      <c r="K102" s="10">
        <v>773.0</v>
      </c>
      <c r="L102" s="10">
        <v>0.0054</v>
      </c>
      <c r="M102" s="10">
        <v>671.0</v>
      </c>
      <c r="N102" s="10">
        <v>11101.0</v>
      </c>
      <c r="O102" s="10">
        <v>11101.0</v>
      </c>
      <c r="P102" s="10">
        <v>29706.0</v>
      </c>
      <c r="Q102" s="10">
        <v>93.0</v>
      </c>
      <c r="R102" s="7" t="s">
        <v>123</v>
      </c>
      <c r="S102" s="55" t="s">
        <v>232</v>
      </c>
      <c r="T102" s="57" t="s">
        <v>168</v>
      </c>
      <c r="U102" s="57" t="s">
        <v>52</v>
      </c>
      <c r="V102" s="57" t="s">
        <v>172</v>
      </c>
      <c r="W102" s="59">
        <v>10.0</v>
      </c>
    </row>
    <row r="103">
      <c r="A103" s="54">
        <v>46104.0</v>
      </c>
      <c r="B103" s="7" t="s">
        <v>230</v>
      </c>
      <c r="C103" s="8" t="s">
        <v>45</v>
      </c>
      <c r="D103" s="9" t="str">
        <f>HYPERLINK("https://vrporn.com/camgirls/", "dreams")</f>
        <v>dreams</v>
      </c>
      <c r="E103" s="7" t="s">
        <v>35</v>
      </c>
      <c r="F103" s="10">
        <v>48.0</v>
      </c>
      <c r="G103" s="10">
        <v>11101.0</v>
      </c>
      <c r="H103" s="10">
        <v>329.0</v>
      </c>
      <c r="I103" s="10">
        <v>0.0054</v>
      </c>
      <c r="J103" s="10">
        <v>11101.0</v>
      </c>
      <c r="K103" s="10">
        <v>329.0</v>
      </c>
      <c r="L103" s="10">
        <v>0.0054</v>
      </c>
      <c r="M103" s="10">
        <v>334.0</v>
      </c>
      <c r="N103" s="10">
        <v>10951.0</v>
      </c>
      <c r="O103" s="10">
        <v>10951.0</v>
      </c>
      <c r="P103" s="10">
        <v>15578.0</v>
      </c>
      <c r="Q103" s="10">
        <v>21.0</v>
      </c>
      <c r="R103" s="7" t="s">
        <v>123</v>
      </c>
      <c r="S103" s="55" t="s">
        <v>232</v>
      </c>
      <c r="T103" s="57" t="s">
        <v>168</v>
      </c>
      <c r="U103" s="57" t="s">
        <v>52</v>
      </c>
      <c r="V103" s="57" t="s">
        <v>172</v>
      </c>
      <c r="W103" s="59">
        <v>10.0</v>
      </c>
    </row>
    <row r="104">
      <c r="A104" s="54">
        <v>46104.0</v>
      </c>
      <c r="B104" s="7" t="s">
        <v>230</v>
      </c>
      <c r="C104" s="8" t="s">
        <v>45</v>
      </c>
      <c r="D104" s="9" t="str">
        <f>HYPERLINK("https://vrporn.com/camgirls/model-vrporn/", "s_dream")</f>
        <v>s_dream</v>
      </c>
      <c r="E104" s="7" t="s">
        <v>35</v>
      </c>
      <c r="F104" s="10">
        <v>50.0</v>
      </c>
      <c r="G104" s="10">
        <v>20346.0</v>
      </c>
      <c r="H104" s="10">
        <v>354.0</v>
      </c>
      <c r="I104" s="10">
        <v>5.0E-4</v>
      </c>
      <c r="J104" s="10">
        <v>20346.0</v>
      </c>
      <c r="K104" s="10">
        <v>354.0</v>
      </c>
      <c r="L104" s="10">
        <v>5.0E-4</v>
      </c>
      <c r="M104" s="10">
        <v>284.0</v>
      </c>
      <c r="N104" s="10">
        <v>10670.0</v>
      </c>
      <c r="O104" s="10">
        <v>10670.0</v>
      </c>
      <c r="P104" s="10">
        <v>20951.0</v>
      </c>
      <c r="Q104" s="10">
        <v>98.0</v>
      </c>
      <c r="R104" s="7" t="s">
        <v>123</v>
      </c>
      <c r="S104" s="55" t="s">
        <v>232</v>
      </c>
      <c r="T104" s="57" t="s">
        <v>168</v>
      </c>
      <c r="U104" s="57" t="s">
        <v>52</v>
      </c>
      <c r="V104" s="57" t="s">
        <v>172</v>
      </c>
      <c r="W104" s="59">
        <v>10.0</v>
      </c>
    </row>
    <row r="105">
      <c r="A105" s="54">
        <v>46104.0</v>
      </c>
      <c r="B105" s="7" t="s">
        <v>225</v>
      </c>
      <c r="C105" s="8" t="s">
        <v>45</v>
      </c>
      <c r="D105" s="9" t="str">
        <f>HYPERLINK("https://vrporn.com/", "main")</f>
        <v>main</v>
      </c>
      <c r="E105" s="7" t="s">
        <v>35</v>
      </c>
      <c r="F105" s="10">
        <v>38.0</v>
      </c>
      <c r="G105" s="10">
        <v>11924.0</v>
      </c>
      <c r="H105" s="10">
        <v>2358.0</v>
      </c>
      <c r="I105" s="10">
        <v>0.0039</v>
      </c>
      <c r="J105" s="10">
        <v>12303.0</v>
      </c>
      <c r="K105" s="10">
        <v>2415.0</v>
      </c>
      <c r="L105" s="10">
        <v>0.0039</v>
      </c>
      <c r="M105" s="10">
        <v>2268.0</v>
      </c>
      <c r="N105" s="10">
        <v>11699.0</v>
      </c>
      <c r="O105" s="10">
        <v>11699.0</v>
      </c>
      <c r="P105" s="10">
        <v>28494.0</v>
      </c>
      <c r="Q105" s="10">
        <v>472.0</v>
      </c>
      <c r="R105" s="7" t="s">
        <v>123</v>
      </c>
      <c r="S105" s="55" t="s">
        <v>232</v>
      </c>
      <c r="T105" s="57" t="s">
        <v>168</v>
      </c>
      <c r="U105" s="57" t="s">
        <v>52</v>
      </c>
      <c r="V105" s="57" t="s">
        <v>169</v>
      </c>
      <c r="W105" s="59">
        <v>10.0</v>
      </c>
    </row>
    <row r="106">
      <c r="A106" s="54">
        <v>46104.0</v>
      </c>
      <c r="B106" s="7" t="s">
        <v>225</v>
      </c>
      <c r="C106" s="8" t="s">
        <v>45</v>
      </c>
      <c r="D106" s="9" t="str">
        <f>HYPERLINK("https://vrporn.com/pretty-petite-vr-pmv/", "s_video")</f>
        <v>s_video</v>
      </c>
      <c r="E106" s="7" t="s">
        <v>35</v>
      </c>
      <c r="F106" s="10">
        <v>44.0</v>
      </c>
      <c r="G106" s="10">
        <v>13410.0</v>
      </c>
      <c r="H106" s="10">
        <v>1301.0</v>
      </c>
      <c r="I106" s="10">
        <v>0.0039</v>
      </c>
      <c r="J106" s="10">
        <v>13416.0</v>
      </c>
      <c r="K106" s="10">
        <v>1386.0</v>
      </c>
      <c r="L106" s="10">
        <v>0.0039</v>
      </c>
      <c r="M106" s="10">
        <v>2357.0</v>
      </c>
      <c r="N106" s="10">
        <v>13110.0</v>
      </c>
      <c r="O106" s="10">
        <v>13110.0</v>
      </c>
      <c r="P106" s="10">
        <v>25090.0</v>
      </c>
      <c r="Q106" s="10">
        <v>566.0</v>
      </c>
      <c r="R106" s="7" t="s">
        <v>123</v>
      </c>
      <c r="S106" s="55" t="s">
        <v>232</v>
      </c>
      <c r="T106" s="57" t="s">
        <v>168</v>
      </c>
      <c r="U106" s="57" t="s">
        <v>52</v>
      </c>
      <c r="V106" s="57" t="s">
        <v>169</v>
      </c>
      <c r="W106" s="59">
        <v>10.0</v>
      </c>
    </row>
    <row r="107">
      <c r="A107" s="54">
        <v>46104.0</v>
      </c>
      <c r="B107" s="7" t="s">
        <v>225</v>
      </c>
      <c r="C107" s="8" t="s">
        <v>45</v>
      </c>
      <c r="D107" s="9" t="str">
        <f>HYPERLINK("https://vrporn.com/pornstars/?sort=latest", "models")</f>
        <v>models</v>
      </c>
      <c r="E107" s="7" t="s">
        <v>35</v>
      </c>
      <c r="F107" s="10">
        <v>53.0</v>
      </c>
      <c r="G107" s="10">
        <v>10985.0</v>
      </c>
      <c r="H107" s="10">
        <v>1338.0</v>
      </c>
      <c r="I107" s="10">
        <v>0.0039</v>
      </c>
      <c r="J107" s="10">
        <v>11032.0</v>
      </c>
      <c r="K107" s="10">
        <v>1490.0</v>
      </c>
      <c r="L107" s="10">
        <v>0.0039</v>
      </c>
      <c r="M107" s="10">
        <v>1979.0</v>
      </c>
      <c r="N107" s="10">
        <v>10535.0</v>
      </c>
      <c r="O107" s="10">
        <v>10535.0</v>
      </c>
      <c r="P107" s="10">
        <v>25816.0</v>
      </c>
      <c r="Q107" s="10">
        <v>319.0</v>
      </c>
      <c r="R107" s="7" t="s">
        <v>123</v>
      </c>
      <c r="S107" s="55" t="s">
        <v>232</v>
      </c>
      <c r="T107" s="57" t="s">
        <v>168</v>
      </c>
      <c r="U107" s="57" t="s">
        <v>52</v>
      </c>
      <c r="V107" s="57" t="s">
        <v>169</v>
      </c>
      <c r="W107" s="59">
        <v>10.0</v>
      </c>
    </row>
    <row r="108">
      <c r="A108" s="54">
        <v>46104.0</v>
      </c>
      <c r="B108" s="7" t="s">
        <v>225</v>
      </c>
      <c r="C108" s="8" t="s">
        <v>45</v>
      </c>
      <c r="D108" s="9" t="str">
        <f>HYPERLINK("https://vrporn.com/pornstars/samy-sun/", "s_model")</f>
        <v>s_model</v>
      </c>
      <c r="E108" s="7" t="s">
        <v>35</v>
      </c>
      <c r="F108" s="10">
        <v>48.0</v>
      </c>
      <c r="G108" s="10">
        <v>10860.0</v>
      </c>
      <c r="H108" s="10">
        <v>1231.0</v>
      </c>
      <c r="I108" s="10">
        <v>0.0039</v>
      </c>
      <c r="J108" s="10">
        <v>10886.0</v>
      </c>
      <c r="K108" s="10">
        <v>1301.0</v>
      </c>
      <c r="L108" s="10">
        <v>0.0039</v>
      </c>
      <c r="M108" s="10">
        <v>1469.0</v>
      </c>
      <c r="N108" s="10">
        <v>10546.0</v>
      </c>
      <c r="O108" s="10">
        <v>10546.0</v>
      </c>
      <c r="P108" s="10">
        <v>19214.0</v>
      </c>
      <c r="Q108" s="10">
        <v>326.0</v>
      </c>
      <c r="R108" s="7" t="s">
        <v>123</v>
      </c>
      <c r="S108" s="55" t="s">
        <v>232</v>
      </c>
      <c r="T108" s="57" t="s">
        <v>168</v>
      </c>
      <c r="U108" s="57" t="s">
        <v>52</v>
      </c>
      <c r="V108" s="57" t="s">
        <v>169</v>
      </c>
      <c r="W108" s="59">
        <v>10.0</v>
      </c>
    </row>
    <row r="109">
      <c r="A109" s="54">
        <v>46104.0</v>
      </c>
      <c r="B109" s="7" t="s">
        <v>225</v>
      </c>
      <c r="C109" s="8" t="s">
        <v>45</v>
      </c>
      <c r="D109" s="9" t="str">
        <f>HYPERLINK("https://vrporn.com/categories/", "categories")</f>
        <v>categories</v>
      </c>
      <c r="E109" s="7" t="s">
        <v>35</v>
      </c>
      <c r="F109" s="10">
        <v>28.0</v>
      </c>
      <c r="G109" s="10">
        <v>10992.0</v>
      </c>
      <c r="H109" s="10">
        <v>1210.0</v>
      </c>
      <c r="I109" s="10">
        <v>0.0039</v>
      </c>
      <c r="J109" s="10">
        <v>11042.0</v>
      </c>
      <c r="K109" s="10">
        <v>1229.0</v>
      </c>
      <c r="L109" s="10">
        <v>0.0039</v>
      </c>
      <c r="M109" s="10">
        <v>2504.0</v>
      </c>
      <c r="N109" s="10">
        <v>10692.0</v>
      </c>
      <c r="O109" s="10">
        <v>10692.0</v>
      </c>
      <c r="P109" s="10">
        <v>18796.0</v>
      </c>
      <c r="Q109" s="10">
        <v>340.0</v>
      </c>
      <c r="R109" s="7" t="s">
        <v>123</v>
      </c>
      <c r="S109" s="55" t="s">
        <v>232</v>
      </c>
      <c r="T109" s="57" t="s">
        <v>168</v>
      </c>
      <c r="U109" s="57" t="s">
        <v>52</v>
      </c>
      <c r="V109" s="57" t="s">
        <v>169</v>
      </c>
      <c r="W109" s="59">
        <v>10.0</v>
      </c>
    </row>
    <row r="110">
      <c r="A110" s="54">
        <v>46104.0</v>
      </c>
      <c r="B110" s="7" t="s">
        <v>225</v>
      </c>
      <c r="C110" s="8" t="s">
        <v>45</v>
      </c>
      <c r="D110" s="9" t="str">
        <f>HYPERLINK("https://vrporn.com/tag/anal/", "s_category")</f>
        <v>s_category</v>
      </c>
      <c r="E110" s="7" t="s">
        <v>35</v>
      </c>
      <c r="F110" s="10">
        <v>28.0</v>
      </c>
      <c r="G110" s="10">
        <v>11234.0</v>
      </c>
      <c r="H110" s="10">
        <v>1911.0</v>
      </c>
      <c r="I110" s="10">
        <v>0.0039</v>
      </c>
      <c r="J110" s="10">
        <v>11272.0</v>
      </c>
      <c r="K110" s="10">
        <v>2035.0</v>
      </c>
      <c r="L110" s="10">
        <v>0.0039</v>
      </c>
      <c r="M110" s="10">
        <v>2283.0</v>
      </c>
      <c r="N110" s="10">
        <v>10872.0</v>
      </c>
      <c r="O110" s="10">
        <v>12680.0</v>
      </c>
      <c r="P110" s="10">
        <v>31552.0</v>
      </c>
      <c r="Q110" s="10">
        <v>373.0</v>
      </c>
      <c r="R110" s="7" t="s">
        <v>123</v>
      </c>
      <c r="S110" s="55" t="s">
        <v>232</v>
      </c>
      <c r="T110" s="57" t="s">
        <v>168</v>
      </c>
      <c r="U110" s="57" t="s">
        <v>52</v>
      </c>
      <c r="V110" s="57" t="s">
        <v>169</v>
      </c>
      <c r="W110" s="59">
        <v>10.0</v>
      </c>
    </row>
    <row r="111">
      <c r="A111" s="54">
        <v>46104.0</v>
      </c>
      <c r="B111" s="7" t="s">
        <v>225</v>
      </c>
      <c r="C111" s="8" t="s">
        <v>45</v>
      </c>
      <c r="D111" s="9" t="str">
        <f>HYPERLINK("https://vrporn.com/studio/vrbangers/", "s_studio")</f>
        <v>s_studio</v>
      </c>
      <c r="E111" s="7" t="s">
        <v>35</v>
      </c>
      <c r="F111" s="10">
        <v>28.0</v>
      </c>
      <c r="G111" s="10">
        <v>11175.0</v>
      </c>
      <c r="H111" s="10">
        <v>2044.0</v>
      </c>
      <c r="I111" s="10">
        <v>0.0039</v>
      </c>
      <c r="J111" s="10">
        <v>11283.0</v>
      </c>
      <c r="K111" s="10">
        <v>2079.0</v>
      </c>
      <c r="L111" s="10">
        <v>0.0039</v>
      </c>
      <c r="M111" s="10">
        <v>2029.0</v>
      </c>
      <c r="N111" s="10">
        <v>10875.0</v>
      </c>
      <c r="O111" s="10">
        <v>11725.0</v>
      </c>
      <c r="P111" s="10">
        <v>31824.0</v>
      </c>
      <c r="Q111" s="10">
        <v>424.0</v>
      </c>
      <c r="R111" s="7" t="s">
        <v>123</v>
      </c>
      <c r="S111" s="55" t="s">
        <v>232</v>
      </c>
      <c r="T111" s="57" t="s">
        <v>168</v>
      </c>
      <c r="U111" s="57" t="s">
        <v>52</v>
      </c>
      <c r="V111" s="57" t="s">
        <v>169</v>
      </c>
      <c r="W111" s="59">
        <v>10.0</v>
      </c>
    </row>
    <row r="112">
      <c r="A112" s="54">
        <v>46104.0</v>
      </c>
      <c r="B112" s="7" t="s">
        <v>225</v>
      </c>
      <c r="C112" s="8" t="s">
        <v>45</v>
      </c>
      <c r="D112" s="9" t="str">
        <f>HYPERLINK("https://vrporn.com/camgirls/", "dreams")</f>
        <v>dreams</v>
      </c>
      <c r="E112" s="7" t="s">
        <v>35</v>
      </c>
      <c r="F112" s="10">
        <v>45.0</v>
      </c>
      <c r="G112" s="10">
        <v>10956.0</v>
      </c>
      <c r="H112" s="10">
        <v>1185.0</v>
      </c>
      <c r="I112" s="10">
        <v>0.0039</v>
      </c>
      <c r="J112" s="10">
        <v>10970.0</v>
      </c>
      <c r="K112" s="10">
        <v>1200.0</v>
      </c>
      <c r="L112" s="10">
        <v>0.0039</v>
      </c>
      <c r="M112" s="10">
        <v>1706.0</v>
      </c>
      <c r="N112" s="10">
        <v>10667.0</v>
      </c>
      <c r="O112" s="10">
        <v>10667.0</v>
      </c>
      <c r="P112" s="10">
        <v>17198.0</v>
      </c>
      <c r="Q112" s="10">
        <v>815.0</v>
      </c>
      <c r="R112" s="7" t="s">
        <v>123</v>
      </c>
      <c r="S112" s="55" t="s">
        <v>232</v>
      </c>
      <c r="T112" s="57" t="s">
        <v>168</v>
      </c>
      <c r="U112" s="57" t="s">
        <v>52</v>
      </c>
      <c r="V112" s="57" t="s">
        <v>169</v>
      </c>
      <c r="W112" s="59">
        <v>10.0</v>
      </c>
    </row>
    <row r="113">
      <c r="A113" s="54">
        <v>46104.0</v>
      </c>
      <c r="B113" s="7" t="s">
        <v>225</v>
      </c>
      <c r="C113" s="8" t="s">
        <v>45</v>
      </c>
      <c r="D113" s="9" t="str">
        <f>HYPERLINK("https://vrporn.com/", "main")</f>
        <v>main</v>
      </c>
      <c r="E113" s="7" t="s">
        <v>34</v>
      </c>
      <c r="F113" s="10">
        <v>85.0</v>
      </c>
      <c r="G113" s="10">
        <v>2285.0</v>
      </c>
      <c r="H113" s="10">
        <v>526.0</v>
      </c>
      <c r="I113" s="10">
        <v>2.0E-4</v>
      </c>
      <c r="J113" s="10">
        <v>2530.0</v>
      </c>
      <c r="K113" s="10">
        <v>800.0</v>
      </c>
      <c r="L113" s="10">
        <v>2.0E-4</v>
      </c>
      <c r="M113" s="10">
        <v>406.0</v>
      </c>
      <c r="N113" s="10">
        <v>2216.0</v>
      </c>
      <c r="O113" s="10">
        <v>3568.0</v>
      </c>
      <c r="P113" s="10">
        <v>6950.0</v>
      </c>
      <c r="Q113" s="10">
        <v>465.0</v>
      </c>
      <c r="R113" s="7" t="s">
        <v>123</v>
      </c>
      <c r="S113" s="55" t="s">
        <v>232</v>
      </c>
      <c r="T113" s="57" t="s">
        <v>168</v>
      </c>
      <c r="U113" s="57" t="s">
        <v>52</v>
      </c>
      <c r="V113" s="57" t="s">
        <v>169</v>
      </c>
      <c r="W113" s="59">
        <v>10.0</v>
      </c>
    </row>
    <row r="114">
      <c r="A114" s="22">
        <v>46104.0</v>
      </c>
      <c r="B114" s="7" t="s">
        <v>225</v>
      </c>
      <c r="C114" s="8" t="s">
        <v>45</v>
      </c>
      <c r="D114" s="9" t="str">
        <f>HYPERLINK("https://vrporn.com/pretty-petite-vr-pmv/", "s_video")</f>
        <v>s_video</v>
      </c>
      <c r="E114" s="7" t="s">
        <v>34</v>
      </c>
      <c r="F114" s="10">
        <v>54.0</v>
      </c>
      <c r="G114" s="10">
        <v>3000.0</v>
      </c>
      <c r="H114" s="10">
        <v>317.0</v>
      </c>
      <c r="I114" s="10">
        <v>2.0E-4</v>
      </c>
      <c r="J114" s="10">
        <v>3041.0</v>
      </c>
      <c r="K114" s="10">
        <v>326.0</v>
      </c>
      <c r="L114" s="10">
        <v>2.0E-4</v>
      </c>
      <c r="M114" s="10">
        <v>416.0</v>
      </c>
      <c r="N114" s="10">
        <v>2768.0</v>
      </c>
      <c r="O114" s="10">
        <v>3608.0</v>
      </c>
      <c r="P114" s="10">
        <v>5582.0</v>
      </c>
      <c r="Q114" s="10">
        <v>632.0</v>
      </c>
      <c r="R114" s="7" t="s">
        <v>123</v>
      </c>
      <c r="S114" s="55" t="s">
        <v>232</v>
      </c>
      <c r="T114" s="57" t="s">
        <v>168</v>
      </c>
      <c r="U114" s="57" t="s">
        <v>52</v>
      </c>
      <c r="V114" s="57" t="s">
        <v>169</v>
      </c>
      <c r="W114" s="59">
        <v>10.0</v>
      </c>
    </row>
    <row r="115">
      <c r="A115" s="22">
        <v>46104.0</v>
      </c>
      <c r="B115" s="7" t="s">
        <v>225</v>
      </c>
      <c r="C115" s="8" t="s">
        <v>45</v>
      </c>
      <c r="D115" s="9" t="str">
        <f>HYPERLINK("https://vrporn.com/pornstars/?sort=latest", "models")</f>
        <v>models</v>
      </c>
      <c r="E115" s="7" t="s">
        <v>34</v>
      </c>
      <c r="F115" s="10">
        <v>70.0</v>
      </c>
      <c r="G115" s="10">
        <v>2530.0</v>
      </c>
      <c r="H115" s="10">
        <v>317.0</v>
      </c>
      <c r="I115" s="10">
        <v>2.0E-4</v>
      </c>
      <c r="J115" s="10">
        <v>2626.0</v>
      </c>
      <c r="K115" s="10">
        <v>324.0</v>
      </c>
      <c r="L115" s="10">
        <v>2.0E-4</v>
      </c>
      <c r="M115" s="10">
        <v>279.0</v>
      </c>
      <c r="N115" s="10">
        <v>2290.0</v>
      </c>
      <c r="O115" s="10">
        <v>3526.0</v>
      </c>
      <c r="P115" s="10">
        <v>6042.0</v>
      </c>
      <c r="Q115" s="10">
        <v>417.0</v>
      </c>
      <c r="R115" s="7" t="s">
        <v>123</v>
      </c>
      <c r="S115" s="55" t="s">
        <v>232</v>
      </c>
      <c r="T115" s="57" t="s">
        <v>168</v>
      </c>
      <c r="U115" s="57" t="s">
        <v>52</v>
      </c>
      <c r="V115" s="57" t="s">
        <v>169</v>
      </c>
      <c r="W115" s="59">
        <v>10.0</v>
      </c>
    </row>
    <row r="116">
      <c r="A116" s="22">
        <v>46104.0</v>
      </c>
      <c r="B116" s="7" t="s">
        <v>225</v>
      </c>
      <c r="C116" s="8" t="s">
        <v>45</v>
      </c>
      <c r="D116" s="9" t="str">
        <f>HYPERLINK("https://vrporn.com/pornstars/samy-sun/", "s_model")</f>
        <v>s_model</v>
      </c>
      <c r="E116" s="7" t="s">
        <v>34</v>
      </c>
      <c r="F116" s="10">
        <v>65.0</v>
      </c>
      <c r="G116" s="10">
        <v>2489.0</v>
      </c>
      <c r="H116" s="10">
        <v>314.0</v>
      </c>
      <c r="I116" s="10">
        <v>2.0E-4</v>
      </c>
      <c r="J116" s="10">
        <v>2632.0</v>
      </c>
      <c r="K116" s="10">
        <v>326.0</v>
      </c>
      <c r="L116" s="10">
        <v>2.0E-4</v>
      </c>
      <c r="M116" s="10">
        <v>368.0</v>
      </c>
      <c r="N116" s="10">
        <v>2274.0</v>
      </c>
      <c r="O116" s="10">
        <v>3004.0</v>
      </c>
      <c r="P116" s="10">
        <v>4925.0</v>
      </c>
      <c r="Q116" s="10">
        <v>493.0</v>
      </c>
      <c r="R116" s="7" t="s">
        <v>123</v>
      </c>
      <c r="S116" s="55" t="s">
        <v>232</v>
      </c>
      <c r="T116" s="57" t="s">
        <v>168</v>
      </c>
      <c r="U116" s="57" t="s">
        <v>52</v>
      </c>
      <c r="V116" s="57" t="s">
        <v>169</v>
      </c>
      <c r="W116" s="59">
        <v>10.0</v>
      </c>
    </row>
    <row r="117">
      <c r="A117" s="22">
        <v>46104.0</v>
      </c>
      <c r="B117" s="7" t="s">
        <v>225</v>
      </c>
      <c r="C117" s="8" t="s">
        <v>45</v>
      </c>
      <c r="D117" s="9" t="str">
        <f>HYPERLINK("https://vrporn.com/categories/", "categories")</f>
        <v>categories</v>
      </c>
      <c r="E117" s="7" t="s">
        <v>34</v>
      </c>
      <c r="F117" s="10">
        <v>56.0</v>
      </c>
      <c r="G117" s="10">
        <v>2526.0</v>
      </c>
      <c r="H117" s="10">
        <v>315.0</v>
      </c>
      <c r="I117" s="10">
        <v>2.0E-4</v>
      </c>
      <c r="J117" s="10">
        <v>2533.0</v>
      </c>
      <c r="K117" s="10">
        <v>320.0</v>
      </c>
      <c r="L117" s="10">
        <v>2.0E-4</v>
      </c>
      <c r="M117" s="10">
        <v>458.0</v>
      </c>
      <c r="N117" s="10">
        <v>2347.0</v>
      </c>
      <c r="O117" s="10">
        <v>3314.0</v>
      </c>
      <c r="P117" s="10">
        <v>5327.0</v>
      </c>
      <c r="Q117" s="10">
        <v>404.0</v>
      </c>
      <c r="R117" s="7" t="s">
        <v>123</v>
      </c>
      <c r="S117" s="55" t="s">
        <v>232</v>
      </c>
      <c r="T117" s="57" t="s">
        <v>168</v>
      </c>
      <c r="U117" s="57" t="s">
        <v>52</v>
      </c>
      <c r="V117" s="57" t="s">
        <v>169</v>
      </c>
      <c r="W117" s="59">
        <v>10.0</v>
      </c>
    </row>
    <row r="118">
      <c r="A118" s="22">
        <v>46104.0</v>
      </c>
      <c r="B118" s="7" t="s">
        <v>225</v>
      </c>
      <c r="C118" s="8" t="s">
        <v>45</v>
      </c>
      <c r="D118" s="9" t="str">
        <f>HYPERLINK("https://vrporn.com/tag/anal/", "s_category")</f>
        <v>s_category</v>
      </c>
      <c r="E118" s="7" t="s">
        <v>34</v>
      </c>
      <c r="F118" s="10">
        <v>55.0</v>
      </c>
      <c r="G118" s="10">
        <v>2704.0</v>
      </c>
      <c r="H118" s="10">
        <v>462.0</v>
      </c>
      <c r="I118" s="10">
        <v>2.0E-4</v>
      </c>
      <c r="J118" s="10">
        <v>2828.0</v>
      </c>
      <c r="K118" s="10">
        <v>506.0</v>
      </c>
      <c r="L118" s="10">
        <v>2.0E-4</v>
      </c>
      <c r="M118" s="10">
        <v>444.0</v>
      </c>
      <c r="N118" s="10">
        <v>2400.0</v>
      </c>
      <c r="O118" s="10">
        <v>3878.0</v>
      </c>
      <c r="P118" s="10">
        <v>8279.0</v>
      </c>
      <c r="Q118" s="10">
        <v>556.0</v>
      </c>
      <c r="R118" s="7" t="s">
        <v>123</v>
      </c>
      <c r="S118" s="55" t="s">
        <v>232</v>
      </c>
      <c r="T118" s="57" t="s">
        <v>168</v>
      </c>
      <c r="U118" s="57" t="s">
        <v>52</v>
      </c>
      <c r="V118" s="57" t="s">
        <v>169</v>
      </c>
      <c r="W118" s="59">
        <v>10.0</v>
      </c>
    </row>
    <row r="119">
      <c r="A119" s="22">
        <v>46104.0</v>
      </c>
      <c r="B119" s="7" t="s">
        <v>225</v>
      </c>
      <c r="C119" s="8" t="s">
        <v>45</v>
      </c>
      <c r="D119" s="9" t="str">
        <f>HYPERLINK("https://vrporn.com/studio/vrbangers/", "s_studio")</f>
        <v>s_studio</v>
      </c>
      <c r="E119" s="7" t="s">
        <v>34</v>
      </c>
      <c r="F119" s="10">
        <v>66.0</v>
      </c>
      <c r="G119" s="10">
        <v>2578.0</v>
      </c>
      <c r="H119" s="10">
        <v>463.0</v>
      </c>
      <c r="I119" s="10">
        <v>2.0E-4</v>
      </c>
      <c r="J119" s="10">
        <v>2590.0</v>
      </c>
      <c r="K119" s="10">
        <v>485.0</v>
      </c>
      <c r="L119" s="10">
        <v>2.0E-4</v>
      </c>
      <c r="M119" s="10">
        <v>350.0</v>
      </c>
      <c r="N119" s="10">
        <v>2347.0</v>
      </c>
      <c r="O119" s="10">
        <v>3977.0</v>
      </c>
      <c r="P119" s="10">
        <v>8551.0</v>
      </c>
      <c r="Q119" s="10">
        <v>359.0</v>
      </c>
      <c r="R119" s="7" t="s">
        <v>123</v>
      </c>
      <c r="S119" s="55" t="s">
        <v>232</v>
      </c>
      <c r="T119" s="57" t="s">
        <v>168</v>
      </c>
      <c r="U119" s="57" t="s">
        <v>52</v>
      </c>
      <c r="V119" s="57" t="s">
        <v>169</v>
      </c>
      <c r="W119" s="59">
        <v>10.0</v>
      </c>
    </row>
    <row r="120">
      <c r="A120" s="22">
        <v>46104.0</v>
      </c>
      <c r="B120" s="7" t="s">
        <v>225</v>
      </c>
      <c r="C120" s="8" t="s">
        <v>45</v>
      </c>
      <c r="D120" s="9" t="str">
        <f>HYPERLINK("https://vrporn.com/camgirls/", "dreams")</f>
        <v>dreams</v>
      </c>
      <c r="E120" s="7" t="s">
        <v>34</v>
      </c>
      <c r="F120" s="10">
        <v>64.0</v>
      </c>
      <c r="G120" s="10">
        <v>2460.0</v>
      </c>
      <c r="H120" s="10">
        <v>247.0</v>
      </c>
      <c r="I120" s="10">
        <v>2.0E-4</v>
      </c>
      <c r="J120" s="10">
        <v>2615.0</v>
      </c>
      <c r="K120" s="10">
        <v>252.0</v>
      </c>
      <c r="L120" s="10">
        <v>2.0E-4</v>
      </c>
      <c r="M120" s="10">
        <v>266.0</v>
      </c>
      <c r="N120" s="10">
        <v>2297.0</v>
      </c>
      <c r="O120" s="10">
        <v>2860.0</v>
      </c>
      <c r="P120" s="10">
        <v>4232.0</v>
      </c>
      <c r="Q120" s="10">
        <v>877.0</v>
      </c>
      <c r="R120" s="7" t="s">
        <v>123</v>
      </c>
      <c r="S120" s="55" t="s">
        <v>232</v>
      </c>
      <c r="T120" s="57" t="s">
        <v>168</v>
      </c>
      <c r="U120" s="57" t="s">
        <v>52</v>
      </c>
      <c r="V120" s="57" t="s">
        <v>169</v>
      </c>
      <c r="W120" s="59">
        <v>10.0</v>
      </c>
    </row>
    <row r="121">
      <c r="A121" s="54">
        <v>46104.0</v>
      </c>
      <c r="B121" s="7" t="s">
        <v>225</v>
      </c>
      <c r="C121" s="21" t="s">
        <v>45</v>
      </c>
      <c r="D121" s="9" t="str">
        <f>HYPERLINK("https://vrporn.com/", "main")</f>
        <v>main</v>
      </c>
      <c r="E121" s="7" t="s">
        <v>35</v>
      </c>
      <c r="F121" s="10">
        <v>42.0</v>
      </c>
      <c r="G121" s="10">
        <v>9552.0</v>
      </c>
      <c r="H121" s="10">
        <v>1984.0</v>
      </c>
      <c r="I121" s="10">
        <v>0.0039</v>
      </c>
      <c r="J121" s="10">
        <v>10720.0</v>
      </c>
      <c r="K121" s="10">
        <v>2002.0</v>
      </c>
      <c r="L121" s="10">
        <v>0.0039</v>
      </c>
      <c r="M121" s="10">
        <v>1847.0</v>
      </c>
      <c r="N121" s="10">
        <v>9140.0</v>
      </c>
      <c r="O121" s="10">
        <v>10668.0</v>
      </c>
      <c r="P121" s="10">
        <v>28757.0</v>
      </c>
      <c r="Q121" s="10">
        <v>410.0</v>
      </c>
      <c r="R121" s="7" t="s">
        <v>123</v>
      </c>
      <c r="S121" s="55" t="s">
        <v>232</v>
      </c>
      <c r="T121" s="57" t="s">
        <v>168</v>
      </c>
      <c r="U121" s="57" t="s">
        <v>52</v>
      </c>
      <c r="V121" s="57" t="s">
        <v>169</v>
      </c>
      <c r="W121" s="59">
        <v>10.0</v>
      </c>
    </row>
    <row r="122">
      <c r="A122" s="54">
        <v>46104.0</v>
      </c>
      <c r="B122" s="7" t="s">
        <v>225</v>
      </c>
      <c r="C122" s="21" t="s">
        <v>45</v>
      </c>
      <c r="D122" s="9" t="str">
        <f>HYPERLINK("https://vrporn.com/camgirls/", "dreams")</f>
        <v>dreams</v>
      </c>
      <c r="E122" s="7" t="s">
        <v>35</v>
      </c>
      <c r="F122" s="10">
        <v>56.0</v>
      </c>
      <c r="G122" s="10">
        <v>7031.0</v>
      </c>
      <c r="H122" s="10">
        <v>973.0</v>
      </c>
      <c r="I122" s="10">
        <v>0.0039</v>
      </c>
      <c r="J122" s="10">
        <v>9384.0</v>
      </c>
      <c r="K122" s="10">
        <v>988.0</v>
      </c>
      <c r="L122" s="10">
        <v>0.0039</v>
      </c>
      <c r="M122" s="10">
        <v>1691.0</v>
      </c>
      <c r="N122" s="10">
        <v>6872.0</v>
      </c>
      <c r="O122" s="10">
        <v>9167.0</v>
      </c>
      <c r="P122" s="10">
        <v>17176.0</v>
      </c>
      <c r="Q122" s="10">
        <v>818.0</v>
      </c>
      <c r="R122" s="7" t="s">
        <v>123</v>
      </c>
      <c r="S122" s="55" t="s">
        <v>232</v>
      </c>
      <c r="T122" s="57" t="s">
        <v>168</v>
      </c>
      <c r="U122" s="57" t="s">
        <v>52</v>
      </c>
      <c r="V122" s="57" t="s">
        <v>169</v>
      </c>
      <c r="W122" s="59">
        <v>10.0</v>
      </c>
    </row>
    <row r="123">
      <c r="A123" s="22">
        <v>46104.0</v>
      </c>
      <c r="B123" s="7" t="s">
        <v>225</v>
      </c>
      <c r="C123" s="21" t="s">
        <v>45</v>
      </c>
      <c r="D123" s="9" t="str">
        <f>HYPERLINK("https://vrporn.com/", "main")</f>
        <v>main</v>
      </c>
      <c r="E123" s="7" t="s">
        <v>34</v>
      </c>
      <c r="F123" s="10">
        <v>55.0</v>
      </c>
      <c r="G123" s="10">
        <v>2755.0</v>
      </c>
      <c r="H123" s="10">
        <v>442.0</v>
      </c>
      <c r="I123" s="10">
        <v>2.0E-4</v>
      </c>
      <c r="J123" s="10">
        <v>2776.0</v>
      </c>
      <c r="K123" s="10">
        <v>447.0</v>
      </c>
      <c r="L123" s="10">
        <v>2.0E-4</v>
      </c>
      <c r="M123" s="10">
        <v>314.0</v>
      </c>
      <c r="N123" s="10">
        <v>2695.0</v>
      </c>
      <c r="O123" s="10">
        <v>4210.0</v>
      </c>
      <c r="P123" s="10">
        <v>11309.0</v>
      </c>
      <c r="Q123" s="10">
        <v>369.0</v>
      </c>
      <c r="R123" s="7" t="s">
        <v>123</v>
      </c>
      <c r="S123" s="55" t="s">
        <v>232</v>
      </c>
      <c r="T123" s="57" t="s">
        <v>168</v>
      </c>
      <c r="U123" s="57" t="s">
        <v>52</v>
      </c>
      <c r="V123" s="57" t="s">
        <v>169</v>
      </c>
      <c r="W123" s="59">
        <v>10.0</v>
      </c>
    </row>
    <row r="124">
      <c r="A124" s="22">
        <v>46104.0</v>
      </c>
      <c r="B124" s="7" t="s">
        <v>225</v>
      </c>
      <c r="C124" s="21" t="s">
        <v>45</v>
      </c>
      <c r="D124" s="9" t="str">
        <f>HYPERLINK("https://vrporn.com/camgirls/", "dreams")</f>
        <v>dreams</v>
      </c>
      <c r="E124" s="7" t="s">
        <v>34</v>
      </c>
      <c r="F124" s="10">
        <v>61.0</v>
      </c>
      <c r="G124" s="10">
        <v>2836.0</v>
      </c>
      <c r="H124" s="10">
        <v>249.0</v>
      </c>
      <c r="I124" s="10">
        <v>2.0E-4</v>
      </c>
      <c r="J124" s="10">
        <v>2922.0</v>
      </c>
      <c r="K124" s="10">
        <v>252.0</v>
      </c>
      <c r="L124" s="10">
        <v>2.0E-4</v>
      </c>
      <c r="M124" s="10">
        <v>270.0</v>
      </c>
      <c r="N124" s="10">
        <v>2670.0</v>
      </c>
      <c r="O124" s="10">
        <v>2861.0</v>
      </c>
      <c r="P124" s="10">
        <v>4496.0</v>
      </c>
      <c r="Q124" s="10">
        <v>759.0</v>
      </c>
      <c r="R124" s="7" t="s">
        <v>123</v>
      </c>
      <c r="S124" s="55" t="s">
        <v>232</v>
      </c>
      <c r="T124" s="57" t="s">
        <v>168</v>
      </c>
      <c r="U124" s="57" t="s">
        <v>52</v>
      </c>
      <c r="V124" s="57" t="s">
        <v>169</v>
      </c>
      <c r="W124" s="59">
        <v>10.0</v>
      </c>
    </row>
    <row r="125">
      <c r="A125" s="22">
        <v>46104.0</v>
      </c>
      <c r="B125" s="7" t="s">
        <v>225</v>
      </c>
      <c r="C125" s="8" t="s">
        <v>45</v>
      </c>
      <c r="D125" s="9" t="str">
        <f>HYPERLINK("https://vrporn.com/", "main")</f>
        <v>main</v>
      </c>
      <c r="E125" s="7" t="s">
        <v>34</v>
      </c>
      <c r="F125" s="10">
        <v>58.0</v>
      </c>
      <c r="G125" s="10">
        <v>2603.0</v>
      </c>
      <c r="H125" s="10">
        <v>415.0</v>
      </c>
      <c r="I125" s="10">
        <v>2.0E-4</v>
      </c>
      <c r="J125" s="10">
        <v>2640.0</v>
      </c>
      <c r="K125" s="10">
        <v>431.0</v>
      </c>
      <c r="L125" s="10">
        <v>2.0E-4</v>
      </c>
      <c r="M125" s="10">
        <v>292.0</v>
      </c>
      <c r="N125" s="10">
        <v>2385.0</v>
      </c>
      <c r="O125" s="10">
        <v>3816.0</v>
      </c>
      <c r="P125" s="10">
        <v>10250.0</v>
      </c>
      <c r="Q125" s="10">
        <v>446.0</v>
      </c>
      <c r="R125" s="7" t="s">
        <v>123</v>
      </c>
      <c r="S125" s="7" t="s">
        <v>232</v>
      </c>
      <c r="T125" s="57" t="s">
        <v>168</v>
      </c>
      <c r="U125" s="57" t="s">
        <v>52</v>
      </c>
      <c r="V125" s="57" t="s">
        <v>169</v>
      </c>
      <c r="W125" s="59">
        <v>10.0</v>
      </c>
    </row>
    <row r="126">
      <c r="A126" s="22">
        <v>46104.0</v>
      </c>
      <c r="B126" s="7" t="s">
        <v>225</v>
      </c>
      <c r="C126" s="8" t="s">
        <v>45</v>
      </c>
      <c r="D126" s="9" t="str">
        <f>HYPERLINK("https://vrporn.com/pornstars/?sort=latest", "models")</f>
        <v>models</v>
      </c>
      <c r="E126" s="7" t="s">
        <v>34</v>
      </c>
      <c r="F126" s="10">
        <v>66.0</v>
      </c>
      <c r="G126" s="10">
        <v>2530.0</v>
      </c>
      <c r="H126" s="10">
        <v>256.0</v>
      </c>
      <c r="I126" s="10">
        <v>2.0E-4</v>
      </c>
      <c r="J126" s="10">
        <v>2536.0</v>
      </c>
      <c r="K126" s="10">
        <v>259.0</v>
      </c>
      <c r="L126" s="10">
        <v>2.0E-4</v>
      </c>
      <c r="M126" s="10">
        <v>198.0</v>
      </c>
      <c r="N126" s="10">
        <v>2270.0</v>
      </c>
      <c r="O126" s="10">
        <v>3290.0</v>
      </c>
      <c r="P126" s="10">
        <v>5646.0</v>
      </c>
      <c r="Q126" s="10">
        <v>525.0</v>
      </c>
      <c r="R126" s="7" t="s">
        <v>123</v>
      </c>
      <c r="S126" s="7" t="s">
        <v>232</v>
      </c>
      <c r="T126" s="57" t="s">
        <v>168</v>
      </c>
      <c r="U126" s="57" t="s">
        <v>52</v>
      </c>
      <c r="V126" s="57" t="s">
        <v>169</v>
      </c>
      <c r="W126" s="59">
        <v>10.0</v>
      </c>
    </row>
    <row r="127">
      <c r="A127" s="22">
        <v>46104.0</v>
      </c>
      <c r="B127" s="7" t="s">
        <v>225</v>
      </c>
      <c r="C127" s="8" t="s">
        <v>45</v>
      </c>
      <c r="D127" s="9" t="str">
        <f>HYPERLINK("https://vrporn.com/pornstars/samy-sun/", "s_model")</f>
        <v>s_model</v>
      </c>
      <c r="E127" s="7" t="s">
        <v>34</v>
      </c>
      <c r="F127" s="10">
        <v>66.0</v>
      </c>
      <c r="G127" s="10">
        <v>2490.0</v>
      </c>
      <c r="H127" s="10">
        <v>253.0</v>
      </c>
      <c r="I127" s="10">
        <v>2.0E-4</v>
      </c>
      <c r="J127" s="10">
        <v>2498.0</v>
      </c>
      <c r="K127" s="10">
        <v>256.0</v>
      </c>
      <c r="L127" s="10">
        <v>2.0E-4</v>
      </c>
      <c r="M127" s="10">
        <v>219.0</v>
      </c>
      <c r="N127" s="10">
        <v>2260.0</v>
      </c>
      <c r="O127" s="10">
        <v>2823.0</v>
      </c>
      <c r="P127" s="10">
        <v>4471.0</v>
      </c>
      <c r="Q127" s="10">
        <v>322.0</v>
      </c>
      <c r="R127" s="7" t="s">
        <v>123</v>
      </c>
      <c r="S127" s="7" t="s">
        <v>232</v>
      </c>
      <c r="T127" s="57" t="s">
        <v>168</v>
      </c>
      <c r="U127" s="57" t="s">
        <v>52</v>
      </c>
      <c r="V127" s="57" t="s">
        <v>169</v>
      </c>
      <c r="W127" s="59">
        <v>10.0</v>
      </c>
    </row>
    <row r="128">
      <c r="A128" s="22">
        <v>46104.0</v>
      </c>
      <c r="B128" s="7" t="s">
        <v>225</v>
      </c>
      <c r="C128" s="8" t="s">
        <v>45</v>
      </c>
      <c r="D128" s="9" t="str">
        <f>HYPERLINK("https://vrporn.com/", "main")</f>
        <v>main</v>
      </c>
      <c r="E128" s="7" t="s">
        <v>35</v>
      </c>
      <c r="F128" s="10">
        <v>28.0</v>
      </c>
      <c r="G128" s="10">
        <v>11276.0</v>
      </c>
      <c r="H128" s="10">
        <v>1816.0</v>
      </c>
      <c r="I128" s="10">
        <v>0.0039</v>
      </c>
      <c r="J128" s="10">
        <v>11294.0</v>
      </c>
      <c r="K128" s="10">
        <v>1838.0</v>
      </c>
      <c r="L128" s="10">
        <v>0.0039</v>
      </c>
      <c r="M128" s="10">
        <v>1690.0</v>
      </c>
      <c r="N128" s="10">
        <v>10874.0</v>
      </c>
      <c r="O128" s="10">
        <v>11145.0</v>
      </c>
      <c r="P128" s="10">
        <v>30214.0</v>
      </c>
      <c r="Q128" s="10">
        <v>397.0</v>
      </c>
      <c r="R128" s="7" t="s">
        <v>123</v>
      </c>
      <c r="S128" s="7" t="s">
        <v>232</v>
      </c>
      <c r="T128" s="57" t="s">
        <v>168</v>
      </c>
      <c r="U128" s="57" t="s">
        <v>52</v>
      </c>
      <c r="V128" s="57" t="s">
        <v>169</v>
      </c>
      <c r="W128" s="59">
        <v>10.0</v>
      </c>
    </row>
    <row r="129">
      <c r="A129" s="54">
        <v>46104.0</v>
      </c>
      <c r="B129" s="7" t="s">
        <v>225</v>
      </c>
      <c r="C129" s="8" t="s">
        <v>45</v>
      </c>
      <c r="D129" s="9" t="str">
        <f>HYPERLINK("https://vrporn.com/pornstars/?sort=latest", "models")</f>
        <v>models</v>
      </c>
      <c r="E129" s="7" t="s">
        <v>35</v>
      </c>
      <c r="F129" s="10">
        <v>33.0</v>
      </c>
      <c r="G129" s="10">
        <v>10971.0</v>
      </c>
      <c r="H129" s="10">
        <v>1054.0</v>
      </c>
      <c r="I129" s="10">
        <v>0.0039</v>
      </c>
      <c r="J129" s="10">
        <v>10990.0</v>
      </c>
      <c r="K129" s="10">
        <v>1072.0</v>
      </c>
      <c r="L129" s="10">
        <v>0.0039</v>
      </c>
      <c r="M129" s="10">
        <v>1259.0</v>
      </c>
      <c r="N129" s="10">
        <v>10529.0</v>
      </c>
      <c r="O129" s="10">
        <v>10529.0</v>
      </c>
      <c r="P129" s="10">
        <v>25137.0</v>
      </c>
      <c r="Q129" s="10">
        <v>312.0</v>
      </c>
      <c r="R129" s="7" t="s">
        <v>123</v>
      </c>
      <c r="S129" s="7" t="s">
        <v>232</v>
      </c>
      <c r="T129" s="57" t="s">
        <v>168</v>
      </c>
      <c r="U129" s="57" t="s">
        <v>52</v>
      </c>
      <c r="V129" s="57" t="s">
        <v>169</v>
      </c>
      <c r="W129" s="59">
        <v>10.0</v>
      </c>
    </row>
    <row r="130">
      <c r="A130" s="54">
        <v>46104.0</v>
      </c>
      <c r="B130" s="7" t="s">
        <v>225</v>
      </c>
      <c r="C130" s="8" t="s">
        <v>45</v>
      </c>
      <c r="D130" s="9" t="str">
        <f>HYPERLINK("https://vrporn.com/pornstars/samy-sun/", "s_model")</f>
        <v>s_model</v>
      </c>
      <c r="E130" s="7" t="s">
        <v>35</v>
      </c>
      <c r="F130" s="10">
        <v>34.0</v>
      </c>
      <c r="G130" s="10">
        <v>10873.0</v>
      </c>
      <c r="H130" s="10">
        <v>1035.0</v>
      </c>
      <c r="I130" s="10">
        <v>0.0039</v>
      </c>
      <c r="J130" s="10">
        <v>10955.0</v>
      </c>
      <c r="K130" s="10">
        <v>1087.0</v>
      </c>
      <c r="L130" s="10">
        <v>0.0039</v>
      </c>
      <c r="M130" s="10">
        <v>1110.0</v>
      </c>
      <c r="N130" s="10">
        <v>10535.0</v>
      </c>
      <c r="O130" s="10">
        <v>10573.0</v>
      </c>
      <c r="P130" s="10">
        <v>18779.0</v>
      </c>
      <c r="Q130" s="10">
        <v>384.0</v>
      </c>
      <c r="R130" s="7" t="s">
        <v>123</v>
      </c>
      <c r="S130" s="7" t="s">
        <v>232</v>
      </c>
      <c r="T130" s="57" t="s">
        <v>168</v>
      </c>
      <c r="U130" s="57" t="s">
        <v>52</v>
      </c>
      <c r="V130" s="57" t="s">
        <v>169</v>
      </c>
      <c r="W130" s="59">
        <v>10.0</v>
      </c>
    </row>
    <row r="131">
      <c r="A131" s="54">
        <v>46105.454201388886</v>
      </c>
      <c r="B131" s="7" t="s">
        <v>166</v>
      </c>
      <c r="C131" s="8" t="s">
        <v>45</v>
      </c>
      <c r="D131" s="9" t="str">
        <f>HYPERLINK("https://vrporn.com/", "main")</f>
        <v>main</v>
      </c>
      <c r="E131" s="7" t="s">
        <v>35</v>
      </c>
      <c r="F131" s="10">
        <v>30.0</v>
      </c>
      <c r="G131" s="10">
        <v>11145.0</v>
      </c>
      <c r="H131" s="10">
        <v>2023.0</v>
      </c>
      <c r="I131" s="10">
        <v>0.0039</v>
      </c>
      <c r="J131" s="10">
        <v>11474.0</v>
      </c>
      <c r="K131" s="10">
        <v>2044.0</v>
      </c>
      <c r="L131" s="10">
        <v>0.0039</v>
      </c>
      <c r="M131" s="10">
        <v>1900.0</v>
      </c>
      <c r="N131" s="10">
        <v>10845.0</v>
      </c>
      <c r="O131" s="10">
        <v>11899.0</v>
      </c>
      <c r="P131" s="10">
        <v>29471.0</v>
      </c>
      <c r="Q131" s="10">
        <v>592.0</v>
      </c>
      <c r="R131" s="7" t="s">
        <v>125</v>
      </c>
      <c r="S131" s="7" t="s">
        <v>232</v>
      </c>
      <c r="T131" s="57" t="s">
        <v>168</v>
      </c>
      <c r="U131" s="57" t="s">
        <v>52</v>
      </c>
      <c r="V131" s="57" t="s">
        <v>169</v>
      </c>
      <c r="W131" s="59">
        <v>5.0</v>
      </c>
    </row>
    <row r="132">
      <c r="A132" s="54">
        <v>46105.45559027778</v>
      </c>
      <c r="B132" s="7" t="s">
        <v>166</v>
      </c>
      <c r="C132" s="21" t="s">
        <v>45</v>
      </c>
      <c r="D132" s="9" t="str">
        <f>HYPERLINK("https://vrporn.com/pornstars/?sort=latest", "models")</f>
        <v>models</v>
      </c>
      <c r="E132" s="7" t="s">
        <v>35</v>
      </c>
      <c r="F132" s="10">
        <v>34.0</v>
      </c>
      <c r="G132" s="10">
        <v>10962.0</v>
      </c>
      <c r="H132" s="10">
        <v>1006.0</v>
      </c>
      <c r="I132" s="10">
        <v>0.0039</v>
      </c>
      <c r="J132" s="10">
        <v>11138.0</v>
      </c>
      <c r="K132" s="10">
        <v>1023.0</v>
      </c>
      <c r="L132" s="10">
        <v>0.0039</v>
      </c>
      <c r="M132" s="10">
        <v>1160.0</v>
      </c>
      <c r="N132" s="10">
        <v>10627.0</v>
      </c>
      <c r="O132" s="10">
        <v>10655.0</v>
      </c>
      <c r="P132" s="10">
        <v>24771.0</v>
      </c>
      <c r="Q132" s="10">
        <v>342.0</v>
      </c>
      <c r="R132" s="7" t="s">
        <v>125</v>
      </c>
      <c r="S132" s="7" t="s">
        <v>232</v>
      </c>
      <c r="T132" s="57" t="s">
        <v>168</v>
      </c>
      <c r="U132" s="57" t="s">
        <v>52</v>
      </c>
      <c r="V132" s="57" t="s">
        <v>169</v>
      </c>
      <c r="W132" s="59">
        <v>5.0</v>
      </c>
    </row>
    <row r="133">
      <c r="A133" s="54">
        <v>46105.456921296296</v>
      </c>
      <c r="B133" s="7" t="s">
        <v>166</v>
      </c>
      <c r="C133" s="21" t="s">
        <v>45</v>
      </c>
      <c r="D133" s="9" t="str">
        <f>HYPERLINK("https://vrporn.com/pornstars/samy-sun/", "s_model")</f>
        <v>s_model</v>
      </c>
      <c r="E133" s="7" t="s">
        <v>35</v>
      </c>
      <c r="F133" s="10">
        <v>35.0</v>
      </c>
      <c r="G133" s="10">
        <v>10855.0</v>
      </c>
      <c r="H133" s="10">
        <v>1115.0</v>
      </c>
      <c r="I133" s="10">
        <v>0.0039</v>
      </c>
      <c r="J133" s="10">
        <v>10890.0</v>
      </c>
      <c r="K133" s="10">
        <v>1137.0</v>
      </c>
      <c r="L133" s="10">
        <v>0.0039</v>
      </c>
      <c r="M133" s="10">
        <v>1182.0</v>
      </c>
      <c r="N133" s="10">
        <v>10539.0</v>
      </c>
      <c r="O133" s="10">
        <v>10539.0</v>
      </c>
      <c r="P133" s="10">
        <v>18913.0</v>
      </c>
      <c r="Q133" s="10">
        <v>265.0</v>
      </c>
      <c r="R133" s="7" t="s">
        <v>125</v>
      </c>
      <c r="S133" s="7" t="s">
        <v>232</v>
      </c>
      <c r="T133" s="57" t="s">
        <v>168</v>
      </c>
      <c r="U133" s="57" t="s">
        <v>52</v>
      </c>
      <c r="V133" s="57" t="s">
        <v>169</v>
      </c>
      <c r="W133" s="59">
        <v>5.0</v>
      </c>
    </row>
    <row r="134">
      <c r="A134" s="54">
        <v>46105.4546875</v>
      </c>
      <c r="B134" s="7" t="s">
        <v>166</v>
      </c>
      <c r="C134" s="21" t="s">
        <v>45</v>
      </c>
      <c r="D134" s="9" t="str">
        <f>HYPERLINK("https://vrporn.com/", "main")</f>
        <v>main</v>
      </c>
      <c r="E134" s="7" t="s">
        <v>34</v>
      </c>
      <c r="F134" s="10">
        <v>56.0</v>
      </c>
      <c r="G134" s="10">
        <v>2655.0</v>
      </c>
      <c r="H134" s="10">
        <v>457.0</v>
      </c>
      <c r="I134" s="10">
        <v>2.0E-4</v>
      </c>
      <c r="J134" s="10">
        <v>2830.0</v>
      </c>
      <c r="K134" s="10">
        <v>461.0</v>
      </c>
      <c r="L134" s="10">
        <v>2.0E-4</v>
      </c>
      <c r="M134" s="10">
        <v>317.0</v>
      </c>
      <c r="N134" s="10">
        <v>2536.0</v>
      </c>
      <c r="O134" s="10">
        <v>3733.0</v>
      </c>
      <c r="P134" s="10">
        <v>10157.0</v>
      </c>
      <c r="Q134" s="10">
        <v>402.0</v>
      </c>
      <c r="R134" s="7" t="s">
        <v>125</v>
      </c>
      <c r="S134" s="7" t="s">
        <v>232</v>
      </c>
      <c r="T134" s="57" t="s">
        <v>168</v>
      </c>
      <c r="U134" s="57" t="s">
        <v>52</v>
      </c>
      <c r="V134" s="57" t="s">
        <v>169</v>
      </c>
      <c r="W134" s="59">
        <v>5.0</v>
      </c>
    </row>
    <row r="135">
      <c r="A135" s="54">
        <v>46105.456041666665</v>
      </c>
      <c r="B135" s="7" t="s">
        <v>166</v>
      </c>
      <c r="C135" s="21" t="s">
        <v>45</v>
      </c>
      <c r="D135" s="9" t="str">
        <f>HYPERLINK("https://vrporn.com/pornstars/?sort=latest", "models")</f>
        <v>models</v>
      </c>
      <c r="E135" s="7" t="s">
        <v>34</v>
      </c>
      <c r="F135" s="10">
        <v>68.0</v>
      </c>
      <c r="G135" s="10">
        <v>2495.0</v>
      </c>
      <c r="H135" s="10">
        <v>251.0</v>
      </c>
      <c r="I135" s="10">
        <v>2.0E-4</v>
      </c>
      <c r="J135" s="10">
        <v>2515.0</v>
      </c>
      <c r="K135" s="10">
        <v>252.0</v>
      </c>
      <c r="L135" s="10">
        <v>2.0E-4</v>
      </c>
      <c r="M135" s="10">
        <v>182.0</v>
      </c>
      <c r="N135" s="10">
        <v>2255.0</v>
      </c>
      <c r="O135" s="10">
        <v>3061.0</v>
      </c>
      <c r="P135" s="10">
        <v>5488.0</v>
      </c>
      <c r="Q135" s="10">
        <v>300.0</v>
      </c>
      <c r="R135" s="7" t="s">
        <v>125</v>
      </c>
      <c r="S135" s="7" t="s">
        <v>232</v>
      </c>
      <c r="T135" s="57" t="s">
        <v>168</v>
      </c>
      <c r="U135" s="57" t="s">
        <v>52</v>
      </c>
      <c r="V135" s="57" t="s">
        <v>169</v>
      </c>
      <c r="W135" s="59">
        <v>5.0</v>
      </c>
    </row>
    <row r="136">
      <c r="A136" s="54">
        <v>46105.45736111111</v>
      </c>
      <c r="B136" s="7" t="s">
        <v>166</v>
      </c>
      <c r="C136" s="8" t="s">
        <v>45</v>
      </c>
      <c r="D136" s="9" t="str">
        <f>HYPERLINK("https://vrporn.com/pornstars/samy-sun/", "s_model")</f>
        <v>s_model</v>
      </c>
      <c r="E136" s="7" t="s">
        <v>34</v>
      </c>
      <c r="F136" s="10">
        <v>70.0</v>
      </c>
      <c r="G136" s="10">
        <v>2451.0</v>
      </c>
      <c r="H136" s="10">
        <v>239.0</v>
      </c>
      <c r="I136" s="10">
        <v>2.0E-4</v>
      </c>
      <c r="J136" s="10">
        <v>2479.0</v>
      </c>
      <c r="K136" s="10">
        <v>242.0</v>
      </c>
      <c r="L136" s="10">
        <v>2.0E-4</v>
      </c>
      <c r="M136" s="10">
        <v>214.0</v>
      </c>
      <c r="N136" s="10">
        <v>2251.0</v>
      </c>
      <c r="O136" s="10">
        <v>2996.0</v>
      </c>
      <c r="P136" s="10">
        <v>4457.0</v>
      </c>
      <c r="Q136" s="10">
        <v>382.0</v>
      </c>
      <c r="R136" s="7" t="s">
        <v>125</v>
      </c>
      <c r="S136" s="7" t="s">
        <v>232</v>
      </c>
      <c r="T136" s="57" t="s">
        <v>168</v>
      </c>
      <c r="U136" s="57" t="s">
        <v>52</v>
      </c>
      <c r="V136" s="57" t="s">
        <v>169</v>
      </c>
      <c r="W136" s="59">
        <v>5.0</v>
      </c>
    </row>
    <row r="137">
      <c r="A137" s="54">
        <v>46105.46891203704</v>
      </c>
      <c r="B137" s="7" t="s">
        <v>225</v>
      </c>
      <c r="C137" s="8" t="s">
        <v>45</v>
      </c>
      <c r="D137" s="9" t="str">
        <f>HYPERLINK("https://vrporn.com/", "main")</f>
        <v>main</v>
      </c>
      <c r="E137" s="7" t="s">
        <v>35</v>
      </c>
      <c r="F137" s="10">
        <v>36.0</v>
      </c>
      <c r="G137" s="10">
        <v>11130.0</v>
      </c>
      <c r="H137" s="10">
        <v>1696.0</v>
      </c>
      <c r="I137" s="10">
        <v>0.0039</v>
      </c>
      <c r="J137" s="10">
        <v>11319.0</v>
      </c>
      <c r="K137" s="10">
        <v>1730.0</v>
      </c>
      <c r="L137" s="10">
        <v>0.0039</v>
      </c>
      <c r="M137" s="10">
        <v>1558.0</v>
      </c>
      <c r="N137" s="10">
        <v>10838.0</v>
      </c>
      <c r="O137" s="10">
        <v>11051.0</v>
      </c>
      <c r="P137" s="10">
        <v>27395.0</v>
      </c>
      <c r="Q137" s="10">
        <v>411.0</v>
      </c>
      <c r="R137" s="7" t="s">
        <v>127</v>
      </c>
      <c r="S137" s="7" t="s">
        <v>232</v>
      </c>
      <c r="T137" s="57" t="s">
        <v>168</v>
      </c>
      <c r="U137" s="57" t="s">
        <v>52</v>
      </c>
      <c r="V137" s="57" t="s">
        <v>169</v>
      </c>
      <c r="W137" s="59">
        <v>10.0</v>
      </c>
    </row>
    <row r="138">
      <c r="A138" s="54">
        <v>46105.47148148148</v>
      </c>
      <c r="B138" s="7" t="s">
        <v>225</v>
      </c>
      <c r="C138" s="8" t="s">
        <v>45</v>
      </c>
      <c r="D138" s="9" t="str">
        <f>HYPERLINK("https://vrporn.com/pretty-petite-vr-pmv/", "s_video")</f>
        <v>s_video</v>
      </c>
      <c r="E138" s="7" t="s">
        <v>35</v>
      </c>
      <c r="F138" s="10">
        <v>31.0</v>
      </c>
      <c r="G138" s="10">
        <v>13329.0</v>
      </c>
      <c r="H138" s="10">
        <v>1005.0</v>
      </c>
      <c r="I138" s="10">
        <v>0.0039</v>
      </c>
      <c r="J138" s="10">
        <v>13556.0</v>
      </c>
      <c r="K138" s="10">
        <v>1037.0</v>
      </c>
      <c r="L138" s="10">
        <v>0.0039</v>
      </c>
      <c r="M138" s="10">
        <v>1386.0</v>
      </c>
      <c r="N138" s="10">
        <v>13029.0</v>
      </c>
      <c r="O138" s="10">
        <v>13029.0</v>
      </c>
      <c r="P138" s="10">
        <v>22964.0</v>
      </c>
      <c r="Q138" s="10">
        <v>490.0</v>
      </c>
      <c r="R138" s="7" t="s">
        <v>127</v>
      </c>
      <c r="S138" s="7" t="s">
        <v>232</v>
      </c>
      <c r="T138" s="57" t="s">
        <v>168</v>
      </c>
      <c r="U138" s="57" t="s">
        <v>52</v>
      </c>
      <c r="V138" s="57" t="s">
        <v>169</v>
      </c>
      <c r="W138" s="59">
        <v>10.0</v>
      </c>
    </row>
    <row r="139">
      <c r="A139" s="54">
        <v>46105.47423611111</v>
      </c>
      <c r="B139" s="7" t="s">
        <v>225</v>
      </c>
      <c r="C139" s="8" t="s">
        <v>45</v>
      </c>
      <c r="D139" s="9" t="str">
        <f>HYPERLINK("https://vrporn.com/pornstars/?sort=latest", "models")</f>
        <v>models</v>
      </c>
      <c r="E139" s="7" t="s">
        <v>35</v>
      </c>
      <c r="F139" s="10">
        <v>55.0</v>
      </c>
      <c r="G139" s="10">
        <v>10956.0</v>
      </c>
      <c r="H139" s="10">
        <v>870.0</v>
      </c>
      <c r="I139" s="10">
        <v>0.0039</v>
      </c>
      <c r="J139" s="10">
        <v>10989.0</v>
      </c>
      <c r="K139" s="10">
        <v>992.0</v>
      </c>
      <c r="L139" s="10">
        <v>0.0039</v>
      </c>
      <c r="M139" s="10">
        <v>1088.0</v>
      </c>
      <c r="N139" s="10">
        <v>10536.0</v>
      </c>
      <c r="O139" s="10">
        <v>10544.0</v>
      </c>
      <c r="P139" s="10">
        <v>25149.0</v>
      </c>
      <c r="Q139" s="10">
        <v>296.0</v>
      </c>
      <c r="R139" s="7" t="s">
        <v>127</v>
      </c>
      <c r="S139" s="7" t="s">
        <v>232</v>
      </c>
      <c r="T139" s="57" t="s">
        <v>168</v>
      </c>
      <c r="U139" s="57" t="s">
        <v>52</v>
      </c>
      <c r="V139" s="57" t="s">
        <v>169</v>
      </c>
      <c r="W139" s="59">
        <v>10.0</v>
      </c>
    </row>
    <row r="140">
      <c r="A140" s="54">
        <v>46105.47688657408</v>
      </c>
      <c r="B140" s="7" t="s">
        <v>225</v>
      </c>
      <c r="C140" s="8" t="s">
        <v>45</v>
      </c>
      <c r="D140" s="9" t="str">
        <f>HYPERLINK("https://vrporn.com/pornstars/samy-sun/", "s_model")</f>
        <v>s_model</v>
      </c>
      <c r="E140" s="7" t="s">
        <v>35</v>
      </c>
      <c r="F140" s="10">
        <v>58.0</v>
      </c>
      <c r="G140" s="10">
        <v>10808.0</v>
      </c>
      <c r="H140" s="10">
        <v>961.0</v>
      </c>
      <c r="I140" s="10">
        <v>0.0039</v>
      </c>
      <c r="J140" s="10">
        <v>10834.0</v>
      </c>
      <c r="K140" s="10">
        <v>964.0</v>
      </c>
      <c r="L140" s="10">
        <v>0.0039</v>
      </c>
      <c r="M140" s="10">
        <v>1120.0</v>
      </c>
      <c r="N140" s="10">
        <v>10508.0</v>
      </c>
      <c r="O140" s="10">
        <v>10508.0</v>
      </c>
      <c r="P140" s="10">
        <v>18818.0</v>
      </c>
      <c r="Q140" s="10">
        <v>337.0</v>
      </c>
      <c r="R140" s="7" t="s">
        <v>127</v>
      </c>
      <c r="S140" s="7" t="s">
        <v>232</v>
      </c>
      <c r="T140" s="57" t="s">
        <v>168</v>
      </c>
      <c r="U140" s="57" t="s">
        <v>52</v>
      </c>
      <c r="V140" s="57" t="s">
        <v>169</v>
      </c>
      <c r="W140" s="59">
        <v>10.0</v>
      </c>
    </row>
    <row r="141">
      <c r="A141" s="54">
        <v>46105.47951388889</v>
      </c>
      <c r="B141" s="7" t="s">
        <v>225</v>
      </c>
      <c r="C141" s="8" t="s">
        <v>45</v>
      </c>
      <c r="D141" s="9" t="str">
        <f>HYPERLINK("https://vrporn.com/categories/", "categories")</f>
        <v>categories</v>
      </c>
      <c r="E141" s="7" t="s">
        <v>35</v>
      </c>
      <c r="F141" s="10">
        <v>44.0</v>
      </c>
      <c r="G141" s="10">
        <v>10976.0</v>
      </c>
      <c r="H141" s="10">
        <v>986.0</v>
      </c>
      <c r="I141" s="10">
        <v>0.0039</v>
      </c>
      <c r="J141" s="10">
        <v>10982.0</v>
      </c>
      <c r="K141" s="10">
        <v>1084.0</v>
      </c>
      <c r="L141" s="10">
        <v>0.0039</v>
      </c>
      <c r="M141" s="10">
        <v>1972.0</v>
      </c>
      <c r="N141" s="10">
        <v>10676.0</v>
      </c>
      <c r="O141" s="10">
        <v>10676.0</v>
      </c>
      <c r="P141" s="10">
        <v>18213.0</v>
      </c>
      <c r="Q141" s="10">
        <v>319.0</v>
      </c>
      <c r="R141" s="7" t="s">
        <v>127</v>
      </c>
      <c r="S141" s="7" t="s">
        <v>232</v>
      </c>
      <c r="T141" s="57" t="s">
        <v>168</v>
      </c>
      <c r="U141" s="57" t="s">
        <v>52</v>
      </c>
      <c r="V141" s="57" t="s">
        <v>169</v>
      </c>
      <c r="W141" s="59">
        <v>10.0</v>
      </c>
    </row>
    <row r="142">
      <c r="A142" s="54">
        <v>46105.48287037037</v>
      </c>
      <c r="B142" s="7" t="s">
        <v>225</v>
      </c>
      <c r="C142" s="21" t="s">
        <v>45</v>
      </c>
      <c r="D142" s="9" t="str">
        <f>HYPERLINK("https://vrporn.com/tag/anal/", "s_category")</f>
        <v>s_category</v>
      </c>
      <c r="E142" s="7" t="s">
        <v>35</v>
      </c>
      <c r="F142" s="10">
        <v>30.0</v>
      </c>
      <c r="G142" s="10">
        <v>11184.0</v>
      </c>
      <c r="H142" s="10">
        <v>1321.0</v>
      </c>
      <c r="I142" s="10">
        <v>0.0039</v>
      </c>
      <c r="J142" s="10">
        <v>11262.0</v>
      </c>
      <c r="K142" s="10">
        <v>1362.0</v>
      </c>
      <c r="L142" s="10">
        <v>0.0039</v>
      </c>
      <c r="M142" s="10">
        <v>1558.0</v>
      </c>
      <c r="N142" s="10">
        <v>10837.0</v>
      </c>
      <c r="O142" s="10">
        <v>12196.0</v>
      </c>
      <c r="P142" s="10">
        <v>31212.0</v>
      </c>
      <c r="Q142" s="10">
        <v>347.0</v>
      </c>
      <c r="R142" s="7" t="s">
        <v>127</v>
      </c>
      <c r="S142" s="7" t="s">
        <v>232</v>
      </c>
      <c r="T142" s="57" t="s">
        <v>168</v>
      </c>
      <c r="U142" s="57" t="s">
        <v>52</v>
      </c>
      <c r="V142" s="57" t="s">
        <v>169</v>
      </c>
      <c r="W142" s="59">
        <v>10.0</v>
      </c>
    </row>
    <row r="143">
      <c r="A143" s="54">
        <v>46105.485925925925</v>
      </c>
      <c r="B143" s="7" t="s">
        <v>225</v>
      </c>
      <c r="C143" s="21" t="s">
        <v>45</v>
      </c>
      <c r="D143" s="9" t="str">
        <f>HYPERLINK("https://vrporn.com/studio/vrbangers/", "s_studio")</f>
        <v>s_studio</v>
      </c>
      <c r="E143" s="7" t="s">
        <v>35</v>
      </c>
      <c r="F143" s="10">
        <v>45.0</v>
      </c>
      <c r="G143" s="10">
        <v>11312.0</v>
      </c>
      <c r="H143" s="10">
        <v>1300.0</v>
      </c>
      <c r="I143" s="10">
        <v>0.0039</v>
      </c>
      <c r="J143" s="10">
        <v>11913.0</v>
      </c>
      <c r="K143" s="10">
        <v>1331.0</v>
      </c>
      <c r="L143" s="10">
        <v>0.0039</v>
      </c>
      <c r="M143" s="10">
        <v>1236.0</v>
      </c>
      <c r="N143" s="10">
        <v>10866.0</v>
      </c>
      <c r="O143" s="10">
        <v>12554.0</v>
      </c>
      <c r="P143" s="10">
        <v>31264.0</v>
      </c>
      <c r="Q143" s="10">
        <v>560.0</v>
      </c>
      <c r="R143" s="7" t="s">
        <v>127</v>
      </c>
      <c r="S143" s="7" t="s">
        <v>232</v>
      </c>
      <c r="T143" s="57" t="s">
        <v>168</v>
      </c>
      <c r="U143" s="57" t="s">
        <v>52</v>
      </c>
      <c r="V143" s="57" t="s">
        <v>169</v>
      </c>
      <c r="W143" s="59">
        <v>10.0</v>
      </c>
    </row>
    <row r="144">
      <c r="A144" s="54">
        <v>46105.488391203704</v>
      </c>
      <c r="B144" s="7" t="s">
        <v>225</v>
      </c>
      <c r="C144" s="21" t="s">
        <v>45</v>
      </c>
      <c r="D144" s="9" t="str">
        <f>HYPERLINK("https://vrporn.com/camgirls/", "dreams")</f>
        <v>dreams</v>
      </c>
      <c r="E144" s="7" t="s">
        <v>35</v>
      </c>
      <c r="F144" s="10">
        <v>34.0</v>
      </c>
      <c r="G144" s="10">
        <v>10950.0</v>
      </c>
      <c r="H144" s="10">
        <v>874.0</v>
      </c>
      <c r="I144" s="10">
        <v>0.0039</v>
      </c>
      <c r="J144" s="10">
        <v>11030.0</v>
      </c>
      <c r="K144" s="10">
        <v>915.0</v>
      </c>
      <c r="L144" s="10">
        <v>0.0039</v>
      </c>
      <c r="M144" s="10">
        <v>1269.0</v>
      </c>
      <c r="N144" s="10">
        <v>10662.0</v>
      </c>
      <c r="O144" s="10">
        <v>10662.0</v>
      </c>
      <c r="P144" s="10">
        <v>16822.0</v>
      </c>
      <c r="Q144" s="10">
        <v>802.0</v>
      </c>
      <c r="R144" s="7" t="s">
        <v>127</v>
      </c>
      <c r="S144" s="7" t="s">
        <v>232</v>
      </c>
      <c r="T144" s="57" t="s">
        <v>168</v>
      </c>
      <c r="U144" s="57" t="s">
        <v>52</v>
      </c>
      <c r="V144" s="57" t="s">
        <v>169</v>
      </c>
      <c r="W144" s="59">
        <v>10.0</v>
      </c>
    </row>
    <row r="145">
      <c r="A145" s="54">
        <v>46105.4696412037</v>
      </c>
      <c r="B145" s="7" t="s">
        <v>225</v>
      </c>
      <c r="C145" s="21" t="s">
        <v>45</v>
      </c>
      <c r="D145" s="9" t="str">
        <f>HYPERLINK("https://vrporn.com/", "main")</f>
        <v>main</v>
      </c>
      <c r="E145" s="7" t="s">
        <v>34</v>
      </c>
      <c r="F145" s="10">
        <v>60.0</v>
      </c>
      <c r="G145" s="10">
        <v>2619.0</v>
      </c>
      <c r="H145" s="10">
        <v>422.0</v>
      </c>
      <c r="I145" s="10">
        <v>2.0E-4</v>
      </c>
      <c r="J145" s="10">
        <v>2953.0</v>
      </c>
      <c r="K145" s="10">
        <v>442.0</v>
      </c>
      <c r="L145" s="10">
        <v>2.0E-4</v>
      </c>
      <c r="M145" s="10">
        <v>291.0</v>
      </c>
      <c r="N145" s="10">
        <v>2434.0</v>
      </c>
      <c r="O145" s="10">
        <v>3904.0</v>
      </c>
      <c r="P145" s="10">
        <v>10679.0</v>
      </c>
      <c r="Q145" s="10">
        <v>425.0</v>
      </c>
      <c r="R145" s="7" t="s">
        <v>127</v>
      </c>
      <c r="S145" s="7" t="s">
        <v>232</v>
      </c>
      <c r="T145" s="57" t="s">
        <v>168</v>
      </c>
      <c r="U145" s="57" t="s">
        <v>52</v>
      </c>
      <c r="V145" s="57" t="s">
        <v>169</v>
      </c>
      <c r="W145" s="59">
        <v>10.0</v>
      </c>
    </row>
    <row r="146">
      <c r="A146" s="54">
        <v>46105.472233796296</v>
      </c>
      <c r="B146" s="7" t="s">
        <v>225</v>
      </c>
      <c r="C146" s="8" t="s">
        <v>45</v>
      </c>
      <c r="D146" s="9" t="str">
        <f>HYPERLINK("https://vrporn.com/pretty-petite-vr-pmv/", "s_video")</f>
        <v>s_video</v>
      </c>
      <c r="E146" s="7" t="s">
        <v>34</v>
      </c>
      <c r="F146" s="10">
        <v>64.0</v>
      </c>
      <c r="G146" s="10">
        <v>2917.0</v>
      </c>
      <c r="H146" s="10">
        <v>232.0</v>
      </c>
      <c r="I146" s="10">
        <v>2.0E-4</v>
      </c>
      <c r="J146" s="10">
        <v>2995.0</v>
      </c>
      <c r="K146" s="10">
        <v>253.0</v>
      </c>
      <c r="L146" s="10">
        <v>2.0E-4</v>
      </c>
      <c r="M146" s="10">
        <v>228.0</v>
      </c>
      <c r="N146" s="10">
        <v>2734.0</v>
      </c>
      <c r="O146" s="10">
        <v>3414.0</v>
      </c>
      <c r="P146" s="10">
        <v>5340.0</v>
      </c>
      <c r="Q146" s="10">
        <v>703.0</v>
      </c>
      <c r="R146" s="7" t="s">
        <v>127</v>
      </c>
      <c r="S146" s="7" t="s">
        <v>232</v>
      </c>
      <c r="T146" s="57" t="s">
        <v>168</v>
      </c>
      <c r="U146" s="57" t="s">
        <v>52</v>
      </c>
      <c r="V146" s="57" t="s">
        <v>169</v>
      </c>
      <c r="W146" s="59">
        <v>10.0</v>
      </c>
    </row>
    <row r="147">
      <c r="A147" s="54">
        <v>46105.475011574075</v>
      </c>
      <c r="B147" s="7" t="s">
        <v>225</v>
      </c>
      <c r="C147" s="8" t="s">
        <v>45</v>
      </c>
      <c r="D147" s="9" t="str">
        <f>HYPERLINK("https://vrporn.com/pornstars/?sort=latest", "models")</f>
        <v>models</v>
      </c>
      <c r="E147" s="7" t="s">
        <v>34</v>
      </c>
      <c r="F147" s="10">
        <v>68.0</v>
      </c>
      <c r="G147" s="10">
        <v>2550.0</v>
      </c>
      <c r="H147" s="10">
        <v>245.0</v>
      </c>
      <c r="I147" s="10">
        <v>2.0E-4</v>
      </c>
      <c r="J147" s="10">
        <v>2580.0</v>
      </c>
      <c r="K147" s="10">
        <v>256.0</v>
      </c>
      <c r="L147" s="10">
        <v>2.0E-4</v>
      </c>
      <c r="M147" s="10">
        <v>186.0</v>
      </c>
      <c r="N147" s="10">
        <v>2291.0</v>
      </c>
      <c r="O147" s="10">
        <v>3116.0</v>
      </c>
      <c r="P147" s="10">
        <v>5511.0</v>
      </c>
      <c r="Q147" s="10">
        <v>277.0</v>
      </c>
      <c r="R147" s="7" t="s">
        <v>127</v>
      </c>
      <c r="S147" s="7" t="s">
        <v>232</v>
      </c>
      <c r="T147" s="57" t="s">
        <v>168</v>
      </c>
      <c r="U147" s="57" t="s">
        <v>52</v>
      </c>
      <c r="V147" s="57" t="s">
        <v>169</v>
      </c>
      <c r="W147" s="59">
        <v>10.0</v>
      </c>
    </row>
    <row r="148">
      <c r="A148" s="54">
        <v>46105.47759259259</v>
      </c>
      <c r="B148" s="7" t="s">
        <v>225</v>
      </c>
      <c r="C148" s="8" t="s">
        <v>45</v>
      </c>
      <c r="D148" s="9" t="str">
        <f>HYPERLINK("https://vrporn.com/pornstars/samy-sun/", "s_model")</f>
        <v>s_model</v>
      </c>
      <c r="E148" s="7" t="s">
        <v>34</v>
      </c>
      <c r="F148" s="10">
        <v>69.0</v>
      </c>
      <c r="G148" s="10">
        <v>2492.0</v>
      </c>
      <c r="H148" s="10">
        <v>258.0</v>
      </c>
      <c r="I148" s="10">
        <v>2.0E-4</v>
      </c>
      <c r="J148" s="10">
        <v>2610.0</v>
      </c>
      <c r="K148" s="10">
        <v>285.0</v>
      </c>
      <c r="L148" s="10">
        <v>2.0E-4</v>
      </c>
      <c r="M148" s="10">
        <v>190.0</v>
      </c>
      <c r="N148" s="10">
        <v>2259.0</v>
      </c>
      <c r="O148" s="10">
        <v>2919.0</v>
      </c>
      <c r="P148" s="10">
        <v>4479.0</v>
      </c>
      <c r="Q148" s="10">
        <v>488.0</v>
      </c>
      <c r="R148" s="7" t="s">
        <v>127</v>
      </c>
      <c r="S148" s="7" t="s">
        <v>232</v>
      </c>
      <c r="T148" s="57" t="s">
        <v>168</v>
      </c>
      <c r="U148" s="57" t="s">
        <v>52</v>
      </c>
      <c r="V148" s="57" t="s">
        <v>169</v>
      </c>
      <c r="W148" s="59">
        <v>10.0</v>
      </c>
    </row>
    <row r="149">
      <c r="A149" s="54">
        <v>46105.480208333334</v>
      </c>
      <c r="B149" s="7" t="s">
        <v>225</v>
      </c>
      <c r="C149" s="8" t="s">
        <v>45</v>
      </c>
      <c r="D149" s="9" t="str">
        <f>HYPERLINK("https://vrporn.com/categories/", "categories")</f>
        <v>categories</v>
      </c>
      <c r="E149" s="7" t="s">
        <v>34</v>
      </c>
      <c r="F149" s="10">
        <v>62.0</v>
      </c>
      <c r="G149" s="10">
        <v>2560.0</v>
      </c>
      <c r="H149" s="10">
        <v>232.0</v>
      </c>
      <c r="I149" s="10">
        <v>2.0E-4</v>
      </c>
      <c r="J149" s="10">
        <v>2774.0</v>
      </c>
      <c r="K149" s="10">
        <v>238.0</v>
      </c>
      <c r="L149" s="10">
        <v>2.0E-4</v>
      </c>
      <c r="M149" s="10">
        <v>297.0</v>
      </c>
      <c r="N149" s="10">
        <v>2332.0</v>
      </c>
      <c r="O149" s="10">
        <v>2871.0</v>
      </c>
      <c r="P149" s="10">
        <v>4588.0</v>
      </c>
      <c r="Q149" s="10">
        <v>282.0</v>
      </c>
      <c r="R149" s="7" t="s">
        <v>127</v>
      </c>
      <c r="S149" s="7" t="s">
        <v>232</v>
      </c>
      <c r="T149" s="57" t="s">
        <v>168</v>
      </c>
      <c r="U149" s="57" t="s">
        <v>52</v>
      </c>
      <c r="V149" s="57" t="s">
        <v>169</v>
      </c>
      <c r="W149" s="59">
        <v>10.0</v>
      </c>
    </row>
    <row r="150">
      <c r="A150" s="54">
        <v>46105.48365740741</v>
      </c>
      <c r="B150" s="7" t="s">
        <v>225</v>
      </c>
      <c r="C150" s="8" t="s">
        <v>45</v>
      </c>
      <c r="D150" s="9" t="str">
        <f>HYPERLINK("https://vrporn.com/tag/anal/", "s_category")</f>
        <v>s_category</v>
      </c>
      <c r="E150" s="7" t="s">
        <v>34</v>
      </c>
      <c r="F150" s="10">
        <v>62.0</v>
      </c>
      <c r="G150" s="10">
        <v>2609.0</v>
      </c>
      <c r="H150" s="10">
        <v>382.0</v>
      </c>
      <c r="I150" s="10">
        <v>2.0E-4</v>
      </c>
      <c r="J150" s="10">
        <v>2649.0</v>
      </c>
      <c r="K150" s="10">
        <v>393.0</v>
      </c>
      <c r="L150" s="10">
        <v>2.0E-4</v>
      </c>
      <c r="M150" s="10">
        <v>310.0</v>
      </c>
      <c r="N150" s="10">
        <v>2358.0</v>
      </c>
      <c r="O150" s="10">
        <v>3807.0</v>
      </c>
      <c r="P150" s="10">
        <v>8164.0</v>
      </c>
      <c r="Q150" s="10">
        <v>364.0</v>
      </c>
      <c r="R150" s="7" t="s">
        <v>127</v>
      </c>
      <c r="S150" s="7" t="s">
        <v>232</v>
      </c>
      <c r="T150" s="57" t="s">
        <v>168</v>
      </c>
      <c r="U150" s="57" t="s">
        <v>52</v>
      </c>
      <c r="V150" s="57" t="s">
        <v>169</v>
      </c>
      <c r="W150" s="59">
        <v>10.0</v>
      </c>
    </row>
    <row r="151">
      <c r="A151" s="54">
        <v>46105.48689814815</v>
      </c>
      <c r="B151" s="7" t="s">
        <v>225</v>
      </c>
      <c r="C151" s="8" t="s">
        <v>45</v>
      </c>
      <c r="D151" s="9" t="str">
        <f>HYPERLINK("https://vrporn.com/studio/vrbangers/", "s_studio")</f>
        <v>s_studio</v>
      </c>
      <c r="E151" s="7" t="s">
        <v>34</v>
      </c>
      <c r="F151" s="10">
        <v>63.0</v>
      </c>
      <c r="G151" s="10">
        <v>2584.0</v>
      </c>
      <c r="H151" s="10">
        <v>337.0</v>
      </c>
      <c r="I151" s="10">
        <v>2.0E-4</v>
      </c>
      <c r="J151" s="10">
        <v>2639.0</v>
      </c>
      <c r="K151" s="10">
        <v>345.0</v>
      </c>
      <c r="L151" s="10">
        <v>2.0E-4</v>
      </c>
      <c r="M151" s="10">
        <v>238.0</v>
      </c>
      <c r="N151" s="10">
        <v>2354.0</v>
      </c>
      <c r="O151" s="10">
        <v>4221.0</v>
      </c>
      <c r="P151" s="10">
        <v>8486.0</v>
      </c>
      <c r="Q151" s="10">
        <v>744.0</v>
      </c>
      <c r="R151" s="7" t="s">
        <v>127</v>
      </c>
      <c r="S151" s="7" t="s">
        <v>232</v>
      </c>
      <c r="T151" s="57" t="s">
        <v>168</v>
      </c>
      <c r="U151" s="57" t="s">
        <v>52</v>
      </c>
      <c r="V151" s="57" t="s">
        <v>169</v>
      </c>
      <c r="W151" s="59">
        <v>10.0</v>
      </c>
    </row>
    <row r="152">
      <c r="A152" s="54">
        <v>46105.489386574074</v>
      </c>
      <c r="B152" s="7" t="s">
        <v>225</v>
      </c>
      <c r="C152" s="8" t="s">
        <v>45</v>
      </c>
      <c r="D152" s="9" t="str">
        <f>HYPERLINK("https://vrporn.com/camgirls/", "dreams")</f>
        <v>dreams</v>
      </c>
      <c r="E152" s="7" t="s">
        <v>34</v>
      </c>
      <c r="F152" s="10">
        <v>65.0</v>
      </c>
      <c r="G152" s="10">
        <v>2411.0</v>
      </c>
      <c r="H152" s="10">
        <v>219.0</v>
      </c>
      <c r="I152" s="10">
        <v>2.0E-4</v>
      </c>
      <c r="J152" s="10">
        <v>2441.0</v>
      </c>
      <c r="K152" s="10">
        <v>229.0</v>
      </c>
      <c r="L152" s="10">
        <v>2.0E-4</v>
      </c>
      <c r="M152" s="10">
        <v>237.0</v>
      </c>
      <c r="N152" s="10">
        <v>2284.0</v>
      </c>
      <c r="O152" s="10">
        <v>2903.0</v>
      </c>
      <c r="P152" s="10">
        <v>4063.0</v>
      </c>
      <c r="Q152" s="10">
        <v>818.0</v>
      </c>
      <c r="R152" s="7" t="s">
        <v>127</v>
      </c>
      <c r="S152" s="7" t="s">
        <v>232</v>
      </c>
      <c r="T152" s="57" t="s">
        <v>168</v>
      </c>
      <c r="U152" s="57" t="s">
        <v>52</v>
      </c>
      <c r="V152" s="57" t="s">
        <v>169</v>
      </c>
      <c r="W152" s="59">
        <v>10.0</v>
      </c>
    </row>
    <row r="153">
      <c r="A153" s="54">
        <v>46105.49628472222</v>
      </c>
      <c r="B153" s="7" t="s">
        <v>225</v>
      </c>
      <c r="C153" s="21" t="s">
        <v>45</v>
      </c>
      <c r="D153" s="9" t="str">
        <f t="shared" ref="D153:D154" si="1">HYPERLINK("https://vrporn.com/", "main")</f>
        <v>main</v>
      </c>
      <c r="E153" s="7" t="s">
        <v>35</v>
      </c>
      <c r="F153" s="10">
        <v>46.0</v>
      </c>
      <c r="G153" s="10">
        <v>11391.0</v>
      </c>
      <c r="H153" s="10">
        <v>1659.0</v>
      </c>
      <c r="I153" s="10">
        <v>0.0039</v>
      </c>
      <c r="J153" s="10">
        <v>11517.0</v>
      </c>
      <c r="K153" s="10">
        <v>1780.0</v>
      </c>
      <c r="L153" s="10">
        <v>0.0039</v>
      </c>
      <c r="M153" s="10">
        <v>1623.0</v>
      </c>
      <c r="N153" s="10">
        <v>10966.0</v>
      </c>
      <c r="O153" s="10">
        <v>12838.0</v>
      </c>
      <c r="P153" s="10">
        <v>29759.0</v>
      </c>
      <c r="Q153" s="10">
        <v>701.0</v>
      </c>
      <c r="R153" s="7" t="s">
        <v>128</v>
      </c>
      <c r="S153" s="7" t="s">
        <v>232</v>
      </c>
      <c r="T153" s="57" t="s">
        <v>168</v>
      </c>
      <c r="U153" s="57" t="s">
        <v>52</v>
      </c>
      <c r="V153" s="57" t="s">
        <v>169</v>
      </c>
      <c r="W153" s="59">
        <v>10.0</v>
      </c>
    </row>
    <row r="154">
      <c r="A154" s="54">
        <v>46105.4972337963</v>
      </c>
      <c r="B154" s="7" t="s">
        <v>225</v>
      </c>
      <c r="C154" s="21" t="s">
        <v>45</v>
      </c>
      <c r="D154" s="9" t="str">
        <f t="shared" si="1"/>
        <v>main</v>
      </c>
      <c r="E154" s="7" t="s">
        <v>34</v>
      </c>
      <c r="F154" s="10">
        <v>59.0</v>
      </c>
      <c r="G154" s="10">
        <v>2594.0</v>
      </c>
      <c r="H154" s="10">
        <v>427.0</v>
      </c>
      <c r="I154" s="10">
        <v>2.0E-4</v>
      </c>
      <c r="J154" s="10">
        <v>2679.0</v>
      </c>
      <c r="K154" s="10">
        <v>457.0</v>
      </c>
      <c r="L154" s="10">
        <v>2.0E-4</v>
      </c>
      <c r="M154" s="10">
        <v>306.0</v>
      </c>
      <c r="N154" s="10">
        <v>2385.0</v>
      </c>
      <c r="O154" s="10">
        <v>3785.0</v>
      </c>
      <c r="P154" s="10">
        <v>10617.0</v>
      </c>
      <c r="Q154" s="10">
        <v>386.0</v>
      </c>
      <c r="R154" s="7" t="s">
        <v>128</v>
      </c>
      <c r="S154" s="7" t="s">
        <v>232</v>
      </c>
      <c r="T154" s="57" t="s">
        <v>168</v>
      </c>
      <c r="U154" s="57" t="s">
        <v>52</v>
      </c>
      <c r="V154" s="57" t="s">
        <v>169</v>
      </c>
      <c r="W154" s="59">
        <v>10.0</v>
      </c>
    </row>
    <row r="155">
      <c r="A155" s="54">
        <v>46105.49912037037</v>
      </c>
      <c r="B155" s="7" t="s">
        <v>225</v>
      </c>
      <c r="C155" s="21" t="s">
        <v>45</v>
      </c>
      <c r="D155" s="9" t="str">
        <f t="shared" ref="D155:D156" si="2">HYPERLINK("https://vrporn.com/pretty-petite-vr-pmv/", "s_video")</f>
        <v>s_video</v>
      </c>
      <c r="E155" s="7" t="s">
        <v>35</v>
      </c>
      <c r="F155" s="10">
        <v>30.0</v>
      </c>
      <c r="G155" s="10">
        <v>13357.0</v>
      </c>
      <c r="H155" s="10">
        <v>1087.0</v>
      </c>
      <c r="I155" s="10">
        <v>0.0039</v>
      </c>
      <c r="J155" s="10">
        <v>13581.0</v>
      </c>
      <c r="K155" s="10">
        <v>1294.0</v>
      </c>
      <c r="L155" s="10">
        <v>0.0039</v>
      </c>
      <c r="M155" s="10">
        <v>1862.0</v>
      </c>
      <c r="N155" s="10">
        <v>13064.0</v>
      </c>
      <c r="O155" s="10">
        <v>13064.0</v>
      </c>
      <c r="P155" s="10">
        <v>23689.0</v>
      </c>
      <c r="Q155" s="10">
        <v>493.0</v>
      </c>
      <c r="R155" s="7" t="s">
        <v>128</v>
      </c>
      <c r="S155" s="7" t="s">
        <v>232</v>
      </c>
      <c r="T155" s="57" t="s">
        <v>168</v>
      </c>
      <c r="U155" s="57" t="s">
        <v>52</v>
      </c>
      <c r="V155" s="57" t="s">
        <v>169</v>
      </c>
      <c r="W155" s="59">
        <v>10.0</v>
      </c>
    </row>
    <row r="156">
      <c r="A156" s="54">
        <v>46105.500069444446</v>
      </c>
      <c r="B156" s="7" t="s">
        <v>225</v>
      </c>
      <c r="C156" s="21" t="s">
        <v>45</v>
      </c>
      <c r="D156" s="9" t="str">
        <f t="shared" si="2"/>
        <v>s_video</v>
      </c>
      <c r="E156" s="7" t="s">
        <v>34</v>
      </c>
      <c r="F156" s="10">
        <v>63.0</v>
      </c>
      <c r="G156" s="10">
        <v>2920.0</v>
      </c>
      <c r="H156" s="10">
        <v>259.0</v>
      </c>
      <c r="I156" s="10">
        <v>2.0E-4</v>
      </c>
      <c r="J156" s="10">
        <v>2980.0</v>
      </c>
      <c r="K156" s="10">
        <v>273.0</v>
      </c>
      <c r="L156" s="10">
        <v>2.0E-4</v>
      </c>
      <c r="M156" s="10">
        <v>249.0</v>
      </c>
      <c r="N156" s="10">
        <v>2678.0</v>
      </c>
      <c r="O156" s="10">
        <v>3346.0</v>
      </c>
      <c r="P156" s="10">
        <v>5320.0</v>
      </c>
      <c r="Q156" s="10">
        <v>550.0</v>
      </c>
      <c r="R156" s="7" t="s">
        <v>128</v>
      </c>
      <c r="S156" s="7" t="s">
        <v>232</v>
      </c>
      <c r="T156" s="57" t="s">
        <v>168</v>
      </c>
      <c r="U156" s="57" t="s">
        <v>52</v>
      </c>
      <c r="V156" s="57" t="s">
        <v>169</v>
      </c>
      <c r="W156" s="59">
        <v>10.0</v>
      </c>
    </row>
    <row r="157">
      <c r="A157" s="54">
        <v>46105.50170138889</v>
      </c>
      <c r="B157" s="7" t="s">
        <v>225</v>
      </c>
      <c r="C157" s="8" t="s">
        <v>45</v>
      </c>
      <c r="D157" s="9" t="str">
        <f t="shared" ref="D157:D158" si="3">HYPERLINK("https://vrporn.com/pornstars/?sort=latest", "models")</f>
        <v>models</v>
      </c>
      <c r="E157" s="7" t="s">
        <v>35</v>
      </c>
      <c r="F157" s="10">
        <v>34.0</v>
      </c>
      <c r="G157" s="10">
        <v>10981.0</v>
      </c>
      <c r="H157" s="10">
        <v>974.0</v>
      </c>
      <c r="I157" s="10">
        <v>0.0039</v>
      </c>
      <c r="J157" s="10">
        <v>11016.0</v>
      </c>
      <c r="K157" s="10">
        <v>980.0</v>
      </c>
      <c r="L157" s="10">
        <v>0.0039</v>
      </c>
      <c r="M157" s="10">
        <v>1107.0</v>
      </c>
      <c r="N157" s="10">
        <v>10549.0</v>
      </c>
      <c r="O157" s="10">
        <v>10549.0</v>
      </c>
      <c r="P157" s="10">
        <v>24761.0</v>
      </c>
      <c r="Q157" s="10">
        <v>335.0</v>
      </c>
      <c r="R157" s="7" t="s">
        <v>128</v>
      </c>
      <c r="S157" s="7" t="s">
        <v>232</v>
      </c>
      <c r="T157" s="57" t="s">
        <v>168</v>
      </c>
      <c r="U157" s="57" t="s">
        <v>52</v>
      </c>
      <c r="V157" s="57" t="s">
        <v>169</v>
      </c>
      <c r="W157" s="59">
        <v>10.0</v>
      </c>
    </row>
    <row r="158">
      <c r="A158" s="54">
        <v>46105.5028125</v>
      </c>
      <c r="B158" s="7" t="s">
        <v>225</v>
      </c>
      <c r="C158" s="8" t="s">
        <v>45</v>
      </c>
      <c r="D158" s="9" t="str">
        <f t="shared" si="3"/>
        <v>models</v>
      </c>
      <c r="E158" s="7" t="s">
        <v>34</v>
      </c>
      <c r="F158" s="10">
        <v>68.0</v>
      </c>
      <c r="G158" s="10">
        <v>2535.0</v>
      </c>
      <c r="H158" s="10">
        <v>244.0</v>
      </c>
      <c r="I158" s="10">
        <v>2.0E-4</v>
      </c>
      <c r="J158" s="10">
        <v>2564.0</v>
      </c>
      <c r="K158" s="10">
        <v>253.0</v>
      </c>
      <c r="L158" s="10">
        <v>2.0E-4</v>
      </c>
      <c r="M158" s="10">
        <v>184.0</v>
      </c>
      <c r="N158" s="10">
        <v>2290.0</v>
      </c>
      <c r="O158" s="10">
        <v>3128.0</v>
      </c>
      <c r="P158" s="10">
        <v>5522.0</v>
      </c>
      <c r="Q158" s="10">
        <v>539.0</v>
      </c>
      <c r="R158" s="7" t="s">
        <v>128</v>
      </c>
      <c r="S158" s="7" t="s">
        <v>232</v>
      </c>
      <c r="T158" s="57" t="s">
        <v>168</v>
      </c>
      <c r="U158" s="57" t="s">
        <v>52</v>
      </c>
      <c r="V158" s="57" t="s">
        <v>169</v>
      </c>
      <c r="W158" s="59">
        <v>10.0</v>
      </c>
    </row>
    <row r="159">
      <c r="A159" s="54">
        <v>46105.50429398148</v>
      </c>
      <c r="B159" s="7" t="s">
        <v>225</v>
      </c>
      <c r="C159" s="8" t="s">
        <v>45</v>
      </c>
      <c r="D159" s="9" t="str">
        <f t="shared" ref="D159:D160" si="4">HYPERLINK("https://vrporn.com/pornstars/samy-sun/", "s_model")</f>
        <v>s_model</v>
      </c>
      <c r="E159" s="7" t="s">
        <v>35</v>
      </c>
      <c r="F159" s="10">
        <v>35.0</v>
      </c>
      <c r="G159" s="10">
        <v>10882.0</v>
      </c>
      <c r="H159" s="10">
        <v>995.0</v>
      </c>
      <c r="I159" s="10">
        <v>0.0039</v>
      </c>
      <c r="J159" s="10">
        <v>11000.0</v>
      </c>
      <c r="K159" s="10">
        <v>1037.0</v>
      </c>
      <c r="L159" s="10">
        <v>0.0039</v>
      </c>
      <c r="M159" s="10">
        <v>1153.0</v>
      </c>
      <c r="N159" s="10">
        <v>10564.0</v>
      </c>
      <c r="O159" s="10">
        <v>10564.0</v>
      </c>
      <c r="P159" s="10">
        <v>18746.0</v>
      </c>
      <c r="Q159" s="10">
        <v>370.0</v>
      </c>
      <c r="R159" s="7" t="s">
        <v>128</v>
      </c>
      <c r="S159" s="7" t="s">
        <v>232</v>
      </c>
      <c r="T159" s="57" t="s">
        <v>168</v>
      </c>
      <c r="U159" s="57" t="s">
        <v>52</v>
      </c>
      <c r="V159" s="57" t="s">
        <v>169</v>
      </c>
      <c r="W159" s="59">
        <v>10.0</v>
      </c>
    </row>
    <row r="160">
      <c r="A160" s="54">
        <v>46105.505381944444</v>
      </c>
      <c r="B160" s="7" t="s">
        <v>225</v>
      </c>
      <c r="C160" s="8" t="s">
        <v>45</v>
      </c>
      <c r="D160" s="9" t="str">
        <f t="shared" si="4"/>
        <v>s_model</v>
      </c>
      <c r="E160" s="7" t="s">
        <v>34</v>
      </c>
      <c r="F160" s="10">
        <v>80.0</v>
      </c>
      <c r="G160" s="10">
        <v>2486.0</v>
      </c>
      <c r="H160" s="10">
        <v>216.0</v>
      </c>
      <c r="I160" s="10">
        <v>2.0E-4</v>
      </c>
      <c r="J160" s="10">
        <v>2578.0</v>
      </c>
      <c r="K160" s="10">
        <v>221.0</v>
      </c>
      <c r="L160" s="10">
        <v>2.0E-4</v>
      </c>
      <c r="M160" s="10">
        <v>159.0</v>
      </c>
      <c r="N160" s="10">
        <v>2286.0</v>
      </c>
      <c r="O160" s="10">
        <v>2944.0</v>
      </c>
      <c r="P160" s="10">
        <v>4420.0</v>
      </c>
      <c r="Q160" s="10">
        <v>386.0</v>
      </c>
      <c r="R160" s="7" t="s">
        <v>128</v>
      </c>
      <c r="S160" s="7" t="s">
        <v>232</v>
      </c>
      <c r="T160" s="57" t="s">
        <v>168</v>
      </c>
      <c r="U160" s="57" t="s">
        <v>52</v>
      </c>
      <c r="V160" s="57" t="s">
        <v>169</v>
      </c>
      <c r="W160" s="59">
        <v>10.0</v>
      </c>
    </row>
    <row r="161">
      <c r="A161" s="54">
        <v>46105.50703703704</v>
      </c>
      <c r="B161" s="7" t="s">
        <v>225</v>
      </c>
      <c r="C161" s="8" t="s">
        <v>45</v>
      </c>
      <c r="D161" s="9" t="str">
        <f>HYPERLINK("https://vrporn.com/categories/", "categories")</f>
        <v>categories</v>
      </c>
      <c r="E161" s="7" t="s">
        <v>35</v>
      </c>
      <c r="F161" s="10">
        <v>28.0</v>
      </c>
      <c r="G161" s="10">
        <v>10980.0</v>
      </c>
      <c r="H161" s="10">
        <v>938.0</v>
      </c>
      <c r="I161" s="10">
        <v>0.0039</v>
      </c>
      <c r="J161" s="10">
        <v>11054.0</v>
      </c>
      <c r="K161" s="10">
        <v>1027.0</v>
      </c>
      <c r="L161" s="10">
        <v>0.0039</v>
      </c>
      <c r="M161" s="10">
        <v>2040.0</v>
      </c>
      <c r="N161" s="10">
        <v>10688.0</v>
      </c>
      <c r="O161" s="10">
        <v>10688.0</v>
      </c>
      <c r="P161" s="10">
        <v>18405.0</v>
      </c>
      <c r="Q161" s="10">
        <v>290.0</v>
      </c>
      <c r="R161" s="7" t="s">
        <v>128</v>
      </c>
      <c r="S161" s="7" t="s">
        <v>232</v>
      </c>
      <c r="T161" s="57" t="s">
        <v>168</v>
      </c>
      <c r="U161" s="57" t="s">
        <v>52</v>
      </c>
      <c r="V161" s="57" t="s">
        <v>169</v>
      </c>
      <c r="W161" s="59">
        <v>10.0</v>
      </c>
    </row>
    <row r="162">
      <c r="A162" s="22"/>
      <c r="B162" s="11"/>
      <c r="C162" s="8"/>
      <c r="D162" s="2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5"/>
      <c r="U162" s="15"/>
      <c r="V162" s="15"/>
      <c r="W162" s="15"/>
    </row>
    <row r="163">
      <c r="A163" s="22"/>
      <c r="B163" s="11"/>
      <c r="C163" s="8"/>
      <c r="D163" s="2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5"/>
      <c r="U163" s="15"/>
      <c r="V163" s="15"/>
      <c r="W163" s="15"/>
    </row>
    <row r="164">
      <c r="A164" s="22"/>
      <c r="B164" s="11"/>
      <c r="C164" s="8"/>
      <c r="D164" s="2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5"/>
      <c r="U164" s="15"/>
      <c r="V164" s="15"/>
      <c r="W164" s="15"/>
    </row>
    <row r="165">
      <c r="A165" s="22"/>
      <c r="B165" s="11"/>
      <c r="C165" s="8"/>
      <c r="D165" s="2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5"/>
      <c r="U165" s="15"/>
      <c r="V165" s="15"/>
      <c r="W165" s="15"/>
    </row>
    <row r="166">
      <c r="A166" s="22"/>
      <c r="B166" s="11"/>
      <c r="C166" s="8"/>
      <c r="D166" s="2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5"/>
      <c r="U166" s="15"/>
      <c r="V166" s="15"/>
      <c r="W166" s="15"/>
    </row>
    <row r="167">
      <c r="A167" s="22"/>
      <c r="B167" s="11"/>
      <c r="C167" s="8"/>
      <c r="D167" s="2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5"/>
      <c r="U167" s="15"/>
      <c r="V167" s="15"/>
      <c r="W167" s="15"/>
    </row>
    <row r="168">
      <c r="A168" s="22"/>
      <c r="B168" s="11"/>
      <c r="C168" s="8"/>
      <c r="D168" s="2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5"/>
      <c r="U168" s="15"/>
      <c r="V168" s="15"/>
      <c r="W168" s="15"/>
    </row>
    <row r="169">
      <c r="A169" s="22"/>
      <c r="B169" s="11"/>
      <c r="C169" s="8"/>
      <c r="D169" s="2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5"/>
      <c r="U169" s="15"/>
      <c r="V169" s="15"/>
      <c r="W169" s="15"/>
    </row>
    <row r="170">
      <c r="A170" s="54"/>
      <c r="B170" s="11"/>
      <c r="C170" s="8"/>
      <c r="D170" s="2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5"/>
      <c r="U170" s="15"/>
      <c r="V170" s="15"/>
      <c r="W170" s="15"/>
    </row>
    <row r="171">
      <c r="A171" s="54"/>
      <c r="B171" s="11"/>
      <c r="C171" s="8"/>
      <c r="D171" s="2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5"/>
      <c r="U171" s="15"/>
      <c r="V171" s="15"/>
      <c r="W171" s="15"/>
    </row>
    <row r="172">
      <c r="A172" s="54"/>
      <c r="B172" s="11"/>
      <c r="C172" s="8"/>
      <c r="D172" s="2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5"/>
      <c r="U172" s="15"/>
      <c r="V172" s="15"/>
      <c r="W172" s="15"/>
    </row>
    <row r="173">
      <c r="A173" s="54"/>
      <c r="B173" s="11"/>
      <c r="C173" s="8"/>
      <c r="D173" s="2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5"/>
      <c r="U173" s="15"/>
      <c r="V173" s="15"/>
      <c r="W173" s="15"/>
    </row>
    <row r="174">
      <c r="A174" s="54"/>
      <c r="B174" s="11"/>
      <c r="C174" s="8"/>
      <c r="D174" s="2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5"/>
      <c r="U174" s="15"/>
      <c r="V174" s="15"/>
      <c r="W174" s="15"/>
    </row>
    <row r="175">
      <c r="A175" s="54"/>
      <c r="B175" s="11"/>
      <c r="C175" s="8"/>
      <c r="D175" s="2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5"/>
      <c r="U175" s="15"/>
      <c r="V175" s="15"/>
      <c r="W175" s="15"/>
    </row>
    <row r="176">
      <c r="A176" s="54"/>
      <c r="B176" s="11"/>
      <c r="C176" s="8"/>
      <c r="D176" s="2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5"/>
      <c r="U176" s="15"/>
      <c r="V176" s="15"/>
      <c r="W176" s="15"/>
    </row>
    <row r="177">
      <c r="A177" s="54"/>
      <c r="B177" s="11"/>
      <c r="C177" s="8"/>
      <c r="D177" s="2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5"/>
      <c r="U177" s="15"/>
      <c r="V177" s="15"/>
      <c r="W177" s="15"/>
    </row>
    <row r="178">
      <c r="A178" s="54"/>
      <c r="B178" s="11"/>
      <c r="C178" s="8"/>
      <c r="D178" s="2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5"/>
      <c r="U178" s="15"/>
      <c r="V178" s="15"/>
      <c r="W178" s="15"/>
    </row>
    <row r="179">
      <c r="A179" s="54"/>
      <c r="B179" s="11"/>
      <c r="C179" s="8"/>
      <c r="D179" s="2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5"/>
      <c r="U179" s="15"/>
      <c r="V179" s="15"/>
      <c r="W179" s="15"/>
    </row>
    <row r="180">
      <c r="A180" s="54"/>
      <c r="B180" s="11"/>
      <c r="C180" s="8"/>
      <c r="D180" s="2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5"/>
      <c r="U180" s="15"/>
      <c r="V180" s="15"/>
      <c r="W180" s="15"/>
    </row>
    <row r="181">
      <c r="A181" s="54"/>
      <c r="B181" s="11"/>
      <c r="C181" s="8"/>
      <c r="D181" s="2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5"/>
      <c r="U181" s="15"/>
      <c r="V181" s="15"/>
      <c r="W181" s="15"/>
    </row>
    <row r="182">
      <c r="A182" s="54"/>
      <c r="B182" s="11"/>
      <c r="C182" s="8"/>
      <c r="D182" s="2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5"/>
      <c r="U182" s="15"/>
      <c r="V182" s="15"/>
      <c r="W182" s="15"/>
    </row>
    <row r="183">
      <c r="A183" s="54"/>
      <c r="B183" s="11"/>
      <c r="C183" s="8"/>
      <c r="D183" s="2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5"/>
      <c r="U183" s="15"/>
      <c r="V183" s="15"/>
      <c r="W183" s="15"/>
    </row>
    <row r="184">
      <c r="A184" s="54"/>
      <c r="B184" s="11"/>
      <c r="C184" s="8"/>
      <c r="D184" s="2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5"/>
      <c r="U184" s="15"/>
      <c r="V184" s="15"/>
      <c r="W184" s="15"/>
    </row>
    <row r="185">
      <c r="A185" s="54"/>
      <c r="B185" s="11"/>
      <c r="C185" s="8"/>
      <c r="D185" s="2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5"/>
      <c r="U185" s="15"/>
      <c r="V185" s="15"/>
      <c r="W185" s="15"/>
    </row>
    <row r="186">
      <c r="A186" s="54"/>
      <c r="B186" s="11"/>
      <c r="C186" s="8"/>
      <c r="D186" s="2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5"/>
      <c r="U186" s="15"/>
      <c r="V186" s="15"/>
      <c r="W186" s="15"/>
    </row>
    <row r="187">
      <c r="A187" s="54"/>
      <c r="B187" s="11"/>
      <c r="C187" s="8"/>
      <c r="D187" s="2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5"/>
      <c r="U187" s="15"/>
      <c r="V187" s="15"/>
      <c r="W187" s="15"/>
    </row>
    <row r="188">
      <c r="A188" s="54"/>
      <c r="B188" s="11"/>
      <c r="C188" s="8"/>
      <c r="D188" s="2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5"/>
      <c r="U188" s="15"/>
      <c r="V188" s="15"/>
      <c r="W188" s="15"/>
    </row>
    <row r="189">
      <c r="A189" s="54"/>
      <c r="B189" s="11"/>
      <c r="C189" s="8"/>
      <c r="D189" s="2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5"/>
      <c r="U189" s="15"/>
      <c r="V189" s="15"/>
      <c r="W189" s="15"/>
    </row>
    <row r="190">
      <c r="A190" s="54"/>
      <c r="B190" s="11"/>
      <c r="C190" s="8"/>
      <c r="D190" s="2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5"/>
      <c r="U190" s="15"/>
      <c r="V190" s="15"/>
      <c r="W190" s="15"/>
    </row>
    <row r="191">
      <c r="A191" s="54"/>
      <c r="B191" s="11"/>
      <c r="C191" s="8"/>
      <c r="D191" s="2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5"/>
      <c r="U191" s="15"/>
      <c r="V191" s="15"/>
      <c r="W191" s="15"/>
    </row>
    <row r="192">
      <c r="A192" s="54"/>
      <c r="B192" s="11"/>
      <c r="C192" s="8"/>
      <c r="D192" s="2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5"/>
      <c r="U192" s="15"/>
      <c r="V192" s="15"/>
      <c r="W192" s="15"/>
    </row>
    <row r="193">
      <c r="A193" s="54"/>
      <c r="B193" s="11"/>
      <c r="C193" s="8"/>
      <c r="D193" s="2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5"/>
      <c r="U193" s="15"/>
      <c r="V193" s="15"/>
      <c r="W193" s="15"/>
    </row>
    <row r="194">
      <c r="A194" s="54"/>
      <c r="B194" s="11"/>
      <c r="C194" s="8"/>
      <c r="D194" s="2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5"/>
      <c r="U194" s="15"/>
      <c r="V194" s="15"/>
      <c r="W194" s="15"/>
    </row>
    <row r="195">
      <c r="A195" s="54"/>
      <c r="B195" s="11"/>
      <c r="C195" s="8"/>
      <c r="D195" s="2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5"/>
      <c r="U195" s="15"/>
      <c r="V195" s="15"/>
      <c r="W195" s="15"/>
    </row>
    <row r="196">
      <c r="A196" s="54"/>
      <c r="B196" s="11"/>
      <c r="C196" s="8"/>
      <c r="D196" s="2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5"/>
      <c r="U196" s="15"/>
      <c r="V196" s="15"/>
      <c r="W196" s="15"/>
    </row>
    <row r="197">
      <c r="A197" s="22"/>
      <c r="B197" s="11"/>
      <c r="C197" s="8"/>
      <c r="D197" s="2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5"/>
      <c r="U197" s="15"/>
      <c r="V197" s="15"/>
      <c r="W197" s="15"/>
    </row>
    <row r="198">
      <c r="A198" s="22"/>
      <c r="B198" s="11"/>
      <c r="C198" s="8"/>
      <c r="D198" s="2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5"/>
      <c r="U198" s="15"/>
      <c r="V198" s="15"/>
      <c r="W198" s="15"/>
    </row>
    <row r="199">
      <c r="A199" s="22"/>
      <c r="B199" s="11"/>
      <c r="C199" s="8"/>
      <c r="D199" s="2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5"/>
      <c r="U199" s="15"/>
      <c r="V199" s="15"/>
      <c r="W199" s="15"/>
    </row>
    <row r="200">
      <c r="A200" s="22"/>
      <c r="B200" s="11"/>
      <c r="C200" s="8"/>
      <c r="D200" s="2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5"/>
      <c r="U200" s="15"/>
      <c r="V200" s="15"/>
      <c r="W200" s="15"/>
    </row>
    <row r="201">
      <c r="A201" s="22"/>
      <c r="B201" s="11"/>
      <c r="C201" s="8"/>
      <c r="D201" s="2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5"/>
      <c r="U201" s="15"/>
      <c r="V201" s="15"/>
      <c r="W201" s="15"/>
    </row>
    <row r="202">
      <c r="A202" s="22"/>
      <c r="B202" s="11"/>
      <c r="C202" s="8"/>
      <c r="D202" s="2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5"/>
      <c r="U202" s="15"/>
      <c r="V202" s="15"/>
      <c r="W202" s="15"/>
    </row>
    <row r="203">
      <c r="A203" s="22"/>
      <c r="B203" s="11"/>
      <c r="C203" s="8"/>
      <c r="D203" s="2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5"/>
      <c r="U203" s="15"/>
      <c r="V203" s="15"/>
      <c r="W203" s="15"/>
    </row>
    <row r="204">
      <c r="A204" s="22"/>
      <c r="B204" s="11"/>
      <c r="C204" s="8"/>
      <c r="D204" s="2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5"/>
      <c r="U204" s="15"/>
      <c r="V204" s="15"/>
      <c r="W204" s="15"/>
    </row>
    <row r="205">
      <c r="A205" s="22"/>
      <c r="B205" s="11"/>
      <c r="C205" s="8"/>
      <c r="D205" s="2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5"/>
      <c r="U205" s="15"/>
      <c r="V205" s="15"/>
      <c r="W205" s="15"/>
    </row>
    <row r="206">
      <c r="A206" s="22"/>
      <c r="B206" s="11"/>
      <c r="C206" s="8"/>
      <c r="D206" s="2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5"/>
      <c r="U206" s="15"/>
      <c r="V206" s="15"/>
      <c r="W206" s="15"/>
    </row>
    <row r="207">
      <c r="A207" s="22"/>
      <c r="B207" s="11"/>
      <c r="C207" s="8"/>
      <c r="D207" s="2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5"/>
      <c r="U207" s="15"/>
      <c r="V207" s="15"/>
      <c r="W207" s="15"/>
    </row>
    <row r="208">
      <c r="A208" s="22"/>
      <c r="B208" s="11"/>
      <c r="C208" s="8"/>
      <c r="D208" s="2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5"/>
      <c r="U208" s="15"/>
      <c r="V208" s="15"/>
      <c r="W208" s="15"/>
    </row>
    <row r="209">
      <c r="A209" s="22"/>
      <c r="B209" s="11"/>
      <c r="C209" s="8"/>
      <c r="D209" s="2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5"/>
      <c r="U209" s="15"/>
      <c r="V209" s="15"/>
      <c r="W209" s="15"/>
    </row>
    <row r="210">
      <c r="A210" s="22"/>
      <c r="B210" s="11"/>
      <c r="C210" s="8"/>
      <c r="D210" s="2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5"/>
      <c r="U210" s="15"/>
      <c r="V210" s="15"/>
      <c r="W210" s="15"/>
    </row>
    <row r="211">
      <c r="A211" s="22"/>
      <c r="B211" s="11"/>
      <c r="C211" s="8"/>
      <c r="D211" s="2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5"/>
      <c r="U211" s="15"/>
      <c r="V211" s="15"/>
      <c r="W211" s="15"/>
    </row>
    <row r="212">
      <c r="A212" s="22"/>
      <c r="B212" s="11"/>
      <c r="C212" s="8"/>
      <c r="D212" s="2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5"/>
      <c r="U212" s="15"/>
      <c r="V212" s="15"/>
      <c r="W212" s="15"/>
    </row>
    <row r="213">
      <c r="A213" s="22"/>
      <c r="B213" s="11"/>
      <c r="C213" s="8"/>
      <c r="D213" s="2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5"/>
      <c r="U213" s="15"/>
      <c r="V213" s="15"/>
      <c r="W213" s="15"/>
    </row>
    <row r="214">
      <c r="A214" s="22"/>
      <c r="B214" s="11"/>
      <c r="C214" s="8"/>
      <c r="D214" s="2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5"/>
      <c r="U214" s="15"/>
      <c r="V214" s="15"/>
      <c r="W214" s="15"/>
    </row>
    <row r="215">
      <c r="A215" s="22"/>
      <c r="B215" s="11"/>
      <c r="C215" s="8"/>
      <c r="D215" s="2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5"/>
      <c r="U215" s="15"/>
      <c r="V215" s="15"/>
      <c r="W215" s="15"/>
    </row>
    <row r="216">
      <c r="A216" s="54"/>
      <c r="B216" s="11"/>
      <c r="C216" s="8"/>
      <c r="D216" s="2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5"/>
      <c r="U216" s="15"/>
      <c r="V216" s="15"/>
      <c r="W216" s="15"/>
    </row>
    <row r="217">
      <c r="A217" s="54"/>
      <c r="B217" s="11"/>
      <c r="C217" s="8"/>
      <c r="D217" s="2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5"/>
      <c r="U217" s="15"/>
      <c r="V217" s="15"/>
      <c r="W217" s="15"/>
    </row>
    <row r="218">
      <c r="A218" s="54"/>
      <c r="B218" s="11"/>
      <c r="C218" s="8"/>
      <c r="D218" s="2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5"/>
      <c r="U218" s="15"/>
      <c r="V218" s="15"/>
      <c r="W218" s="15"/>
    </row>
    <row r="219">
      <c r="A219" s="54"/>
      <c r="B219" s="11"/>
      <c r="C219" s="8"/>
      <c r="D219" s="2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5"/>
      <c r="U219" s="15"/>
      <c r="V219" s="15"/>
      <c r="W219" s="15"/>
    </row>
    <row r="220">
      <c r="A220" s="54"/>
      <c r="B220" s="11"/>
      <c r="C220" s="8"/>
      <c r="D220" s="2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5"/>
      <c r="U220" s="15"/>
      <c r="V220" s="15"/>
      <c r="W220" s="15"/>
    </row>
    <row r="221">
      <c r="A221" s="54"/>
      <c r="B221" s="11"/>
      <c r="C221" s="8"/>
      <c r="D221" s="2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5"/>
      <c r="U221" s="15"/>
      <c r="V221" s="15"/>
      <c r="W221" s="15"/>
    </row>
    <row r="222">
      <c r="A222" s="54"/>
      <c r="B222" s="11"/>
      <c r="C222" s="8"/>
      <c r="D222" s="2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5"/>
      <c r="U222" s="15"/>
      <c r="V222" s="15"/>
      <c r="W222" s="15"/>
    </row>
    <row r="223">
      <c r="A223" s="54"/>
      <c r="B223" s="11"/>
      <c r="C223" s="8"/>
      <c r="D223" s="2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5"/>
      <c r="U223" s="15"/>
      <c r="V223" s="15"/>
      <c r="W223" s="15"/>
    </row>
    <row r="224">
      <c r="A224" s="54"/>
      <c r="B224" s="11"/>
      <c r="C224" s="8"/>
      <c r="D224" s="2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5"/>
      <c r="U224" s="15"/>
      <c r="V224" s="15"/>
      <c r="W224" s="15"/>
    </row>
    <row r="225">
      <c r="A225" s="54"/>
      <c r="B225" s="11"/>
      <c r="C225" s="8"/>
      <c r="D225" s="2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5"/>
      <c r="U225" s="15"/>
      <c r="V225" s="15"/>
      <c r="W225" s="15"/>
    </row>
    <row r="226">
      <c r="A226" s="54"/>
      <c r="B226" s="11"/>
      <c r="C226" s="8"/>
      <c r="D226" s="2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5"/>
      <c r="U226" s="15"/>
      <c r="V226" s="15"/>
      <c r="W226" s="15"/>
    </row>
    <row r="227">
      <c r="A227" s="54"/>
      <c r="B227" s="11"/>
      <c r="C227" s="8"/>
      <c r="D227" s="2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5"/>
      <c r="U227" s="15"/>
      <c r="V227" s="15"/>
      <c r="W227" s="15"/>
    </row>
    <row r="228">
      <c r="A228" s="54"/>
      <c r="B228" s="11"/>
      <c r="C228" s="8"/>
      <c r="D228" s="2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5"/>
      <c r="U228" s="15"/>
      <c r="V228" s="15"/>
      <c r="W228" s="15"/>
    </row>
    <row r="229">
      <c r="A229" s="54"/>
      <c r="B229" s="11"/>
      <c r="C229" s="8"/>
      <c r="D229" s="2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5"/>
      <c r="U229" s="15"/>
      <c r="V229" s="15"/>
      <c r="W229" s="15"/>
    </row>
    <row r="230">
      <c r="A230" s="54"/>
      <c r="B230" s="11"/>
      <c r="C230" s="8"/>
      <c r="D230" s="2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5"/>
      <c r="U230" s="15"/>
      <c r="V230" s="15"/>
      <c r="W230" s="15"/>
    </row>
    <row r="231">
      <c r="A231" s="54"/>
      <c r="B231" s="11"/>
      <c r="C231" s="8"/>
      <c r="D231" s="2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5"/>
      <c r="U231" s="15"/>
      <c r="V231" s="15"/>
      <c r="W231" s="15"/>
    </row>
    <row r="232">
      <c r="A232" s="54"/>
      <c r="B232" s="11"/>
      <c r="C232" s="8"/>
      <c r="D232" s="2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5"/>
      <c r="U232" s="15"/>
      <c r="V232" s="15"/>
      <c r="W232" s="15"/>
    </row>
    <row r="233">
      <c r="A233" s="54"/>
      <c r="B233" s="11"/>
      <c r="C233" s="8"/>
      <c r="D233" s="2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5"/>
      <c r="U233" s="15"/>
      <c r="V233" s="15"/>
      <c r="W233" s="15"/>
    </row>
    <row r="234">
      <c r="A234" s="22"/>
      <c r="B234" s="11"/>
      <c r="C234" s="8"/>
      <c r="D234" s="2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5"/>
      <c r="U234" s="15"/>
      <c r="V234" s="15"/>
      <c r="W234" s="15"/>
    </row>
    <row r="235">
      <c r="A235" s="22"/>
      <c r="B235" s="11"/>
      <c r="C235" s="8"/>
      <c r="D235" s="2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5"/>
      <c r="U235" s="15"/>
      <c r="V235" s="15"/>
      <c r="W235" s="15"/>
    </row>
    <row r="236">
      <c r="A236" s="22"/>
      <c r="B236" s="11"/>
      <c r="C236" s="8"/>
      <c r="D236" s="2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5"/>
      <c r="U236" s="15"/>
      <c r="V236" s="15"/>
      <c r="W236" s="15"/>
    </row>
    <row r="237">
      <c r="A237" s="22"/>
      <c r="B237" s="11"/>
      <c r="C237" s="8"/>
      <c r="D237" s="2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5"/>
      <c r="U237" s="15"/>
      <c r="V237" s="15"/>
      <c r="W237" s="15"/>
    </row>
    <row r="238">
      <c r="A238" s="22"/>
      <c r="B238" s="11"/>
      <c r="C238" s="8"/>
      <c r="D238" s="2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5"/>
      <c r="U238" s="15"/>
      <c r="V238" s="15"/>
      <c r="W238" s="15"/>
    </row>
    <row r="239">
      <c r="A239" s="22"/>
      <c r="B239" s="11"/>
      <c r="C239" s="8"/>
      <c r="D239" s="2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5"/>
      <c r="U239" s="15"/>
      <c r="V239" s="15"/>
      <c r="W239" s="15"/>
    </row>
    <row r="240">
      <c r="A240" s="22"/>
      <c r="B240" s="11"/>
      <c r="C240" s="8"/>
      <c r="D240" s="2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5"/>
      <c r="U240" s="15"/>
      <c r="V240" s="15"/>
      <c r="W240" s="15"/>
    </row>
    <row r="241">
      <c r="A241" s="22"/>
      <c r="B241" s="11"/>
      <c r="C241" s="8"/>
      <c r="D241" s="2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5"/>
      <c r="U241" s="15"/>
      <c r="V241" s="15"/>
      <c r="W241" s="15"/>
    </row>
    <row r="242">
      <c r="A242" s="22"/>
      <c r="B242" s="11"/>
      <c r="C242" s="8"/>
      <c r="D242" s="2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5"/>
      <c r="U242" s="15"/>
      <c r="V242" s="15"/>
      <c r="W242" s="15"/>
    </row>
    <row r="243">
      <c r="A243" s="22"/>
      <c r="B243" s="11"/>
      <c r="C243" s="8"/>
      <c r="D243" s="2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5"/>
      <c r="U243" s="15"/>
      <c r="V243" s="15"/>
      <c r="W243" s="15"/>
    </row>
    <row r="244">
      <c r="A244" s="22"/>
      <c r="B244" s="11"/>
      <c r="C244" s="8"/>
      <c r="D244" s="2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5"/>
      <c r="U244" s="15"/>
      <c r="V244" s="15"/>
      <c r="W244" s="15"/>
    </row>
    <row r="245">
      <c r="A245" s="22"/>
      <c r="B245" s="11"/>
      <c r="C245" s="8"/>
      <c r="D245" s="2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5"/>
      <c r="U245" s="15"/>
      <c r="V245" s="15"/>
      <c r="W245" s="15"/>
    </row>
    <row r="246">
      <c r="A246" s="22"/>
      <c r="B246" s="11"/>
      <c r="C246" s="8"/>
      <c r="D246" s="2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5"/>
      <c r="U246" s="15"/>
      <c r="V246" s="15"/>
      <c r="W246" s="15"/>
    </row>
    <row r="247">
      <c r="A247" s="22"/>
      <c r="B247" s="11"/>
      <c r="C247" s="8"/>
      <c r="D247" s="2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5"/>
      <c r="U247" s="15"/>
      <c r="V247" s="15"/>
      <c r="W247" s="15"/>
    </row>
    <row r="248">
      <c r="A248" s="22"/>
      <c r="B248" s="11"/>
      <c r="C248" s="8"/>
      <c r="D248" s="2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5"/>
      <c r="U248" s="15"/>
      <c r="V248" s="15"/>
      <c r="W248" s="15"/>
    </row>
    <row r="249">
      <c r="A249" s="22"/>
      <c r="B249" s="11"/>
      <c r="C249" s="8"/>
      <c r="D249" s="2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5"/>
      <c r="U249" s="15"/>
      <c r="V249" s="15"/>
      <c r="W249" s="15"/>
    </row>
    <row r="250">
      <c r="A250" s="22"/>
      <c r="B250" s="11"/>
      <c r="C250" s="8"/>
      <c r="D250" s="2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5"/>
      <c r="U250" s="15"/>
      <c r="V250" s="15"/>
      <c r="W250" s="15"/>
    </row>
    <row r="251">
      <c r="A251" s="22"/>
      <c r="B251" s="11"/>
      <c r="C251" s="8"/>
      <c r="D251" s="2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5"/>
      <c r="U251" s="15"/>
      <c r="V251" s="15"/>
      <c r="W251" s="15"/>
    </row>
    <row r="252">
      <c r="A252" s="22"/>
      <c r="B252" s="11"/>
      <c r="C252" s="8"/>
      <c r="D252" s="2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5"/>
      <c r="U252" s="15"/>
      <c r="V252" s="15"/>
      <c r="W252" s="15"/>
    </row>
    <row r="253">
      <c r="A253" s="54"/>
      <c r="B253" s="11"/>
      <c r="C253" s="8"/>
      <c r="D253" s="2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5"/>
      <c r="U253" s="15"/>
      <c r="V253" s="15"/>
      <c r="W253" s="15"/>
    </row>
    <row r="254">
      <c r="A254" s="54"/>
      <c r="B254" s="11"/>
      <c r="C254" s="8"/>
      <c r="D254" s="2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5"/>
      <c r="U254" s="15"/>
      <c r="V254" s="15"/>
      <c r="W254" s="15"/>
    </row>
    <row r="255">
      <c r="A255" s="54"/>
      <c r="B255" s="11"/>
      <c r="C255" s="8"/>
      <c r="D255" s="2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5"/>
      <c r="U255" s="15"/>
      <c r="V255" s="15"/>
      <c r="W255" s="15"/>
    </row>
    <row r="256">
      <c r="A256" s="54"/>
      <c r="B256" s="11"/>
      <c r="C256" s="8"/>
      <c r="D256" s="2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5"/>
      <c r="U256" s="15"/>
      <c r="V256" s="15"/>
      <c r="W256" s="15"/>
    </row>
    <row r="257">
      <c r="A257" s="54"/>
      <c r="B257" s="11"/>
      <c r="C257" s="8"/>
      <c r="D257" s="2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5"/>
      <c r="U257" s="15"/>
      <c r="V257" s="15"/>
      <c r="W257" s="15"/>
    </row>
    <row r="258">
      <c r="A258" s="54"/>
      <c r="B258" s="11"/>
      <c r="C258" s="8"/>
      <c r="D258" s="2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5"/>
      <c r="U258" s="15"/>
      <c r="V258" s="15"/>
      <c r="W258" s="15"/>
    </row>
    <row r="259">
      <c r="A259" s="54"/>
      <c r="B259" s="11"/>
      <c r="C259" s="8"/>
      <c r="D259" s="2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5"/>
      <c r="U259" s="15"/>
      <c r="V259" s="15"/>
      <c r="W259" s="15"/>
    </row>
    <row r="260">
      <c r="A260" s="54"/>
      <c r="B260" s="11"/>
      <c r="C260" s="8"/>
      <c r="D260" s="2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5"/>
      <c r="U260" s="15"/>
      <c r="V260" s="15"/>
      <c r="W260" s="15"/>
    </row>
    <row r="261">
      <c r="A261" s="54"/>
      <c r="B261" s="11"/>
      <c r="C261" s="8"/>
      <c r="D261" s="2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5"/>
      <c r="U261" s="15"/>
      <c r="V261" s="15"/>
      <c r="W261" s="15"/>
    </row>
    <row r="262">
      <c r="A262" s="54"/>
      <c r="B262" s="11"/>
      <c r="C262" s="8"/>
      <c r="D262" s="2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5"/>
      <c r="U262" s="15"/>
      <c r="V262" s="15"/>
      <c r="W262" s="15"/>
    </row>
    <row r="263">
      <c r="A263" s="54"/>
      <c r="B263" s="11"/>
      <c r="C263" s="8"/>
      <c r="D263" s="2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5"/>
      <c r="U263" s="15"/>
      <c r="V263" s="15"/>
      <c r="W263" s="15"/>
    </row>
    <row r="264">
      <c r="A264" s="54"/>
      <c r="B264" s="11"/>
      <c r="C264" s="8"/>
      <c r="D264" s="20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5"/>
      <c r="U264" s="15"/>
      <c r="V264" s="15"/>
      <c r="W264" s="15"/>
    </row>
    <row r="265">
      <c r="A265" s="54"/>
      <c r="B265" s="11"/>
      <c r="C265" s="8"/>
      <c r="D265" s="20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5"/>
      <c r="U265" s="15"/>
      <c r="V265" s="15"/>
      <c r="W265" s="15"/>
    </row>
    <row r="266">
      <c r="A266" s="54"/>
      <c r="B266" s="11"/>
      <c r="C266" s="8"/>
      <c r="D266" s="20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5"/>
      <c r="U266" s="15"/>
      <c r="V266" s="15"/>
      <c r="W266" s="15"/>
    </row>
    <row r="267">
      <c r="A267" s="54"/>
      <c r="B267" s="11"/>
      <c r="C267" s="8"/>
      <c r="D267" s="20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5"/>
      <c r="U267" s="15"/>
      <c r="V267" s="15"/>
      <c r="W267" s="15"/>
    </row>
    <row r="268">
      <c r="A268" s="54"/>
      <c r="B268" s="11"/>
      <c r="C268" s="8"/>
      <c r="D268" s="20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5"/>
      <c r="U268" s="15"/>
      <c r="V268" s="15"/>
      <c r="W268" s="15"/>
    </row>
    <row r="269">
      <c r="A269" s="54"/>
      <c r="B269" s="11"/>
      <c r="C269" s="8"/>
      <c r="D269" s="20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5"/>
      <c r="U269" s="15"/>
      <c r="V269" s="15"/>
      <c r="W269" s="15"/>
    </row>
    <row r="270">
      <c r="A270" s="54"/>
      <c r="B270" s="11"/>
      <c r="C270" s="8"/>
      <c r="D270" s="20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5"/>
      <c r="U270" s="15"/>
      <c r="V270" s="15"/>
      <c r="W270" s="15"/>
    </row>
    <row r="271">
      <c r="A271" s="54"/>
      <c r="B271" s="11"/>
      <c r="C271" s="8"/>
      <c r="D271" s="20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5"/>
      <c r="U271" s="15"/>
      <c r="V271" s="15"/>
      <c r="W271" s="15"/>
    </row>
    <row r="272">
      <c r="A272" s="54"/>
      <c r="B272" s="11"/>
      <c r="C272" s="8"/>
      <c r="D272" s="20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5"/>
      <c r="U272" s="15"/>
      <c r="V272" s="15"/>
      <c r="W272" s="15"/>
    </row>
    <row r="273">
      <c r="A273" s="54"/>
      <c r="B273" s="11"/>
      <c r="C273" s="8"/>
      <c r="D273" s="20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5"/>
      <c r="U273" s="15"/>
      <c r="V273" s="15"/>
      <c r="W273" s="15"/>
    </row>
    <row r="274">
      <c r="A274" s="54"/>
      <c r="B274" s="11"/>
      <c r="C274" s="21"/>
      <c r="D274" s="2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5"/>
      <c r="U274" s="15"/>
      <c r="V274" s="15"/>
      <c r="W274" s="15"/>
    </row>
    <row r="275">
      <c r="A275" s="54"/>
      <c r="B275" s="11"/>
      <c r="C275" s="21"/>
      <c r="D275" s="20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5"/>
      <c r="U275" s="15"/>
      <c r="V275" s="15"/>
      <c r="W275" s="15"/>
    </row>
    <row r="276">
      <c r="A276" s="54"/>
      <c r="B276" s="11"/>
      <c r="C276" s="21"/>
      <c r="D276" s="20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5"/>
      <c r="U276" s="15"/>
      <c r="V276" s="15"/>
      <c r="W276" s="15"/>
    </row>
    <row r="277">
      <c r="A277" s="54"/>
      <c r="B277" s="11"/>
      <c r="C277" s="21"/>
      <c r="D277" s="20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5"/>
      <c r="U277" s="15"/>
      <c r="V277" s="15"/>
      <c r="W277" s="15"/>
    </row>
    <row r="278">
      <c r="A278" s="54"/>
      <c r="B278" s="11"/>
      <c r="C278" s="8"/>
      <c r="D278" s="20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5"/>
      <c r="U278" s="15"/>
      <c r="V278" s="15"/>
      <c r="W278" s="15"/>
    </row>
    <row r="279">
      <c r="A279" s="54"/>
      <c r="B279" s="11"/>
      <c r="C279" s="8"/>
      <c r="D279" s="20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5"/>
      <c r="U279" s="15"/>
      <c r="V279" s="15"/>
      <c r="W279" s="15"/>
    </row>
    <row r="280">
      <c r="A280" s="22"/>
      <c r="B280" s="11"/>
      <c r="C280" s="8"/>
      <c r="D280" s="2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5"/>
      <c r="U280" s="15"/>
      <c r="V280" s="15"/>
      <c r="W280" s="15"/>
    </row>
    <row r="281">
      <c r="A281" s="22"/>
      <c r="B281" s="11"/>
      <c r="C281" s="8"/>
      <c r="D281" s="20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5"/>
      <c r="U281" s="15"/>
      <c r="V281" s="15"/>
      <c r="W281" s="15"/>
    </row>
    <row r="282">
      <c r="A282" s="22"/>
      <c r="B282" s="11"/>
      <c r="C282" s="8"/>
      <c r="D282" s="20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5"/>
      <c r="U282" s="15"/>
      <c r="V282" s="15"/>
      <c r="W282" s="15"/>
    </row>
    <row r="283">
      <c r="A283" s="22"/>
      <c r="B283" s="11"/>
      <c r="C283" s="8"/>
      <c r="D283" s="20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5"/>
      <c r="U283" s="15"/>
      <c r="V283" s="15"/>
      <c r="W283" s="15"/>
    </row>
    <row r="284">
      <c r="A284" s="22"/>
      <c r="B284" s="11"/>
      <c r="C284" s="8"/>
      <c r="D284" s="20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5"/>
      <c r="U284" s="15"/>
      <c r="V284" s="15"/>
      <c r="W284" s="15"/>
    </row>
    <row r="285">
      <c r="A285" s="22"/>
      <c r="B285" s="11"/>
      <c r="C285" s="21"/>
      <c r="D285" s="20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5"/>
      <c r="U285" s="15"/>
      <c r="V285" s="15"/>
      <c r="W285" s="15"/>
    </row>
    <row r="286">
      <c r="A286" s="22"/>
      <c r="B286" s="11"/>
      <c r="C286" s="21"/>
      <c r="D286" s="20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5"/>
      <c r="U286" s="15"/>
      <c r="V286" s="15"/>
      <c r="W286" s="15"/>
    </row>
    <row r="287">
      <c r="A287" s="22"/>
      <c r="B287" s="11"/>
      <c r="C287" s="21"/>
      <c r="D287" s="20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5"/>
      <c r="U287" s="15"/>
      <c r="V287" s="15"/>
      <c r="W287" s="15"/>
    </row>
    <row r="288">
      <c r="A288" s="22"/>
      <c r="B288" s="11"/>
      <c r="C288" s="21"/>
      <c r="D288" s="20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5"/>
      <c r="U288" s="15"/>
      <c r="V288" s="15"/>
      <c r="W288" s="15"/>
    </row>
    <row r="289">
      <c r="A289" s="22"/>
      <c r="B289" s="11"/>
      <c r="C289" s="8"/>
      <c r="D289" s="20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5"/>
      <c r="U289" s="15"/>
      <c r="V289" s="15"/>
      <c r="W289" s="15"/>
    </row>
    <row r="290">
      <c r="A290" s="22"/>
      <c r="B290" s="11"/>
      <c r="C290" s="8"/>
      <c r="D290" s="20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5"/>
      <c r="U290" s="15"/>
      <c r="V290" s="15"/>
      <c r="W290" s="15"/>
    </row>
    <row r="291">
      <c r="A291" s="22"/>
      <c r="B291" s="11"/>
      <c r="C291" s="8"/>
      <c r="D291" s="20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5"/>
      <c r="U291" s="15"/>
      <c r="V291" s="15"/>
      <c r="W291" s="15"/>
    </row>
    <row r="292">
      <c r="A292" s="22"/>
      <c r="B292" s="11"/>
      <c r="C292" s="8"/>
      <c r="D292" s="20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5"/>
      <c r="U292" s="15"/>
      <c r="V292" s="15"/>
      <c r="W292" s="15"/>
    </row>
    <row r="293">
      <c r="A293" s="22"/>
      <c r="B293" s="11"/>
      <c r="C293" s="8"/>
      <c r="D293" s="20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5"/>
      <c r="U293" s="15"/>
      <c r="V293" s="15"/>
      <c r="W293" s="15"/>
    </row>
    <row r="294">
      <c r="A294" s="22"/>
      <c r="B294" s="11"/>
      <c r="C294" s="8"/>
      <c r="D294" s="20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5"/>
      <c r="U294" s="15"/>
      <c r="V294" s="15"/>
      <c r="W294" s="15"/>
    </row>
    <row r="295">
      <c r="A295" s="22"/>
      <c r="B295" s="11"/>
      <c r="C295" s="21"/>
      <c r="D295" s="20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5"/>
      <c r="U295" s="15"/>
      <c r="V295" s="15"/>
      <c r="W295" s="15"/>
    </row>
    <row r="296">
      <c r="A296" s="22"/>
      <c r="B296" s="11"/>
      <c r="C296" s="21"/>
      <c r="D296" s="20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5"/>
      <c r="U296" s="15"/>
      <c r="V296" s="15"/>
      <c r="W296" s="15"/>
    </row>
    <row r="297">
      <c r="A297" s="22"/>
      <c r="B297" s="11"/>
      <c r="C297" s="21"/>
      <c r="D297" s="20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5"/>
      <c r="U297" s="15"/>
      <c r="V297" s="15"/>
      <c r="W297" s="15"/>
    </row>
    <row r="298">
      <c r="A298" s="22"/>
      <c r="B298" s="11"/>
      <c r="C298" s="21"/>
      <c r="D298" s="20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5"/>
      <c r="U298" s="15"/>
      <c r="V298" s="15"/>
      <c r="W298" s="15"/>
    </row>
    <row r="299">
      <c r="A299" s="54"/>
      <c r="B299" s="11"/>
      <c r="C299" s="8"/>
      <c r="D299" s="20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5"/>
      <c r="U299" s="15"/>
      <c r="V299" s="15"/>
      <c r="W299" s="15"/>
    </row>
    <row r="300">
      <c r="A300" s="54"/>
      <c r="B300" s="11"/>
      <c r="C300" s="8"/>
      <c r="D300" s="20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5"/>
      <c r="U300" s="15"/>
      <c r="V300" s="15"/>
      <c r="W300" s="15"/>
    </row>
    <row r="301">
      <c r="A301" s="54"/>
      <c r="B301" s="11"/>
      <c r="C301" s="8"/>
      <c r="D301" s="20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5"/>
      <c r="U301" s="15"/>
      <c r="V301" s="15"/>
      <c r="W301" s="15"/>
    </row>
    <row r="302">
      <c r="A302" s="54"/>
      <c r="B302" s="11"/>
      <c r="C302" s="8"/>
      <c r="D302" s="20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5"/>
      <c r="U302" s="15"/>
      <c r="V302" s="15"/>
      <c r="W302" s="15"/>
    </row>
    <row r="303">
      <c r="A303" s="54"/>
      <c r="B303" s="11"/>
      <c r="C303" s="8"/>
      <c r="D303" s="20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5"/>
      <c r="U303" s="15"/>
      <c r="V303" s="15"/>
      <c r="W303" s="15"/>
    </row>
    <row r="304">
      <c r="A304" s="54"/>
      <c r="B304" s="11"/>
      <c r="C304" s="8"/>
      <c r="D304" s="20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5"/>
      <c r="U304" s="15"/>
      <c r="V304" s="15"/>
      <c r="W304" s="15"/>
    </row>
    <row r="305">
      <c r="A305" s="54"/>
      <c r="B305" s="11"/>
      <c r="C305" s="8"/>
      <c r="D305" s="20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5"/>
      <c r="U305" s="15"/>
      <c r="V305" s="15"/>
      <c r="W305" s="15"/>
    </row>
    <row r="306">
      <c r="A306" s="54"/>
      <c r="B306" s="11"/>
      <c r="C306" s="21"/>
      <c r="D306" s="20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5"/>
      <c r="U306" s="15"/>
      <c r="V306" s="15"/>
      <c r="W306" s="15"/>
    </row>
    <row r="307">
      <c r="A307" s="54"/>
      <c r="B307" s="11"/>
      <c r="C307" s="20"/>
      <c r="D307" s="20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5"/>
      <c r="U307" s="15"/>
      <c r="V307" s="15"/>
      <c r="W307" s="15"/>
    </row>
    <row r="308">
      <c r="A308" s="54"/>
      <c r="B308" s="11"/>
      <c r="C308" s="20"/>
      <c r="D308" s="20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5"/>
      <c r="U308" s="15"/>
      <c r="V308" s="15"/>
      <c r="W308" s="15"/>
    </row>
    <row r="309">
      <c r="A309" s="54"/>
      <c r="B309" s="11"/>
      <c r="C309" s="20"/>
      <c r="D309" s="20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5"/>
      <c r="U309" s="15"/>
      <c r="V309" s="15"/>
      <c r="W309" s="15"/>
    </row>
    <row r="310">
      <c r="A310" s="54"/>
      <c r="B310" s="11"/>
      <c r="C310" s="20"/>
      <c r="D310" s="20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5"/>
      <c r="U310" s="15"/>
      <c r="V310" s="15"/>
      <c r="W310" s="15"/>
    </row>
    <row r="311">
      <c r="A311" s="54"/>
      <c r="B311" s="11"/>
      <c r="C311" s="20"/>
      <c r="D311" s="2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5"/>
      <c r="U311" s="15"/>
      <c r="V311" s="15"/>
      <c r="W311" s="15"/>
    </row>
    <row r="312">
      <c r="A312" s="54"/>
      <c r="B312" s="11"/>
      <c r="C312" s="20"/>
      <c r="D312" s="20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5"/>
      <c r="U312" s="15"/>
      <c r="V312" s="15"/>
      <c r="W312" s="15"/>
    </row>
    <row r="313">
      <c r="A313" s="54"/>
      <c r="B313" s="11"/>
      <c r="C313" s="20"/>
      <c r="D313" s="20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5"/>
      <c r="U313" s="15"/>
      <c r="V313" s="15"/>
      <c r="W313" s="15"/>
    </row>
    <row r="314">
      <c r="A314" s="54"/>
      <c r="B314" s="11"/>
      <c r="C314" s="20"/>
      <c r="D314" s="20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5"/>
      <c r="U314" s="15"/>
      <c r="V314" s="15"/>
      <c r="W314" s="15"/>
    </row>
    <row r="315">
      <c r="A315" s="54"/>
      <c r="B315" s="11"/>
      <c r="C315" s="20"/>
      <c r="D315" s="20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5"/>
      <c r="U315" s="15"/>
      <c r="V315" s="15"/>
      <c r="W315" s="15"/>
    </row>
    <row r="316">
      <c r="A316" s="54"/>
      <c r="B316" s="11"/>
      <c r="C316" s="20"/>
      <c r="D316" s="20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5"/>
      <c r="U316" s="15"/>
      <c r="V316" s="15"/>
      <c r="W316" s="15"/>
    </row>
    <row r="317">
      <c r="A317" s="22"/>
      <c r="B317" s="11"/>
      <c r="C317" s="20"/>
      <c r="D317" s="20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5"/>
      <c r="U317" s="15"/>
      <c r="V317" s="15"/>
      <c r="W317" s="15"/>
    </row>
    <row r="318">
      <c r="A318" s="22"/>
      <c r="B318" s="11"/>
      <c r="C318" s="20"/>
      <c r="D318" s="20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5"/>
      <c r="U318" s="15"/>
      <c r="V318" s="15"/>
      <c r="W318" s="15"/>
    </row>
    <row r="319">
      <c r="A319" s="22"/>
      <c r="B319" s="11"/>
      <c r="C319" s="20"/>
      <c r="D319" s="20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5"/>
      <c r="U319" s="15"/>
      <c r="V319" s="15"/>
      <c r="W319" s="15"/>
    </row>
    <row r="320">
      <c r="A320" s="22"/>
      <c r="B320" s="11"/>
      <c r="C320" s="20"/>
      <c r="D320" s="20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5"/>
      <c r="U320" s="15"/>
      <c r="V320" s="15"/>
      <c r="W320" s="15"/>
    </row>
    <row r="321">
      <c r="A321" s="22"/>
      <c r="B321" s="11"/>
      <c r="C321" s="20"/>
      <c r="D321" s="20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5"/>
      <c r="U321" s="15"/>
      <c r="V321" s="15"/>
      <c r="W321" s="15"/>
    </row>
    <row r="322">
      <c r="A322" s="22"/>
      <c r="B322" s="11"/>
      <c r="C322" s="20"/>
      <c r="D322" s="2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5"/>
      <c r="U322" s="15"/>
      <c r="V322" s="15"/>
      <c r="W322" s="15"/>
    </row>
    <row r="323">
      <c r="A323" s="22"/>
      <c r="B323" s="11"/>
      <c r="C323" s="20"/>
      <c r="D323" s="20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5"/>
      <c r="U323" s="15"/>
      <c r="V323" s="15"/>
      <c r="W323" s="15"/>
    </row>
    <row r="324">
      <c r="A324" s="22"/>
      <c r="B324" s="11"/>
      <c r="C324" s="20"/>
      <c r="D324" s="20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5"/>
      <c r="U324" s="15"/>
      <c r="V324" s="15"/>
      <c r="W324" s="15"/>
    </row>
    <row r="325">
      <c r="A325" s="22"/>
      <c r="B325" s="11"/>
      <c r="C325" s="20"/>
      <c r="D325" s="20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5"/>
      <c r="U325" s="15"/>
      <c r="V325" s="15"/>
      <c r="W325" s="15"/>
    </row>
    <row r="326">
      <c r="A326" s="22"/>
      <c r="B326" s="11"/>
      <c r="C326" s="20"/>
      <c r="D326" s="20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5"/>
      <c r="U326" s="15"/>
      <c r="V326" s="15"/>
      <c r="W326" s="15"/>
    </row>
    <row r="327">
      <c r="A327" s="22"/>
      <c r="B327" s="11"/>
      <c r="C327" s="20"/>
      <c r="D327" s="20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5"/>
      <c r="U327" s="15"/>
      <c r="V327" s="15"/>
      <c r="W327" s="15"/>
    </row>
    <row r="328">
      <c r="A328" s="22"/>
      <c r="B328" s="11"/>
      <c r="C328" s="20"/>
      <c r="D328" s="2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5"/>
      <c r="U328" s="15"/>
      <c r="V328" s="15"/>
      <c r="W328" s="15"/>
    </row>
    <row r="329">
      <c r="A329" s="22"/>
      <c r="B329" s="11"/>
      <c r="C329" s="20"/>
      <c r="D329" s="20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5"/>
      <c r="U329" s="15"/>
      <c r="V329" s="15"/>
      <c r="W329" s="15"/>
    </row>
    <row r="330">
      <c r="A330" s="22"/>
      <c r="B330" s="11"/>
      <c r="C330" s="20"/>
      <c r="D330" s="2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5"/>
      <c r="U330" s="15"/>
      <c r="V330" s="15"/>
      <c r="W330" s="15"/>
    </row>
    <row r="331">
      <c r="A331" s="22"/>
      <c r="B331" s="11"/>
      <c r="C331" s="20"/>
      <c r="D331" s="20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5"/>
      <c r="U331" s="15"/>
      <c r="V331" s="15"/>
      <c r="W331" s="15"/>
    </row>
    <row r="332">
      <c r="A332" s="22"/>
      <c r="B332" s="11"/>
      <c r="C332" s="20"/>
      <c r="D332" s="20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5"/>
      <c r="U332" s="15"/>
      <c r="V332" s="15"/>
      <c r="W332" s="15"/>
    </row>
    <row r="333">
      <c r="A333" s="22"/>
      <c r="B333" s="11"/>
      <c r="C333" s="20"/>
      <c r="D333" s="20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5"/>
      <c r="U333" s="15"/>
      <c r="V333" s="15"/>
      <c r="W333" s="15"/>
    </row>
    <row r="334">
      <c r="A334" s="22"/>
      <c r="B334" s="11"/>
      <c r="C334" s="20"/>
      <c r="D334" s="20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5"/>
      <c r="U334" s="15"/>
      <c r="V334" s="15"/>
      <c r="W334" s="15"/>
    </row>
    <row r="335">
      <c r="A335" s="22"/>
      <c r="B335" s="11"/>
      <c r="C335" s="20"/>
      <c r="D335" s="20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5"/>
      <c r="U335" s="15"/>
      <c r="V335" s="15"/>
      <c r="W335" s="15"/>
    </row>
    <row r="336">
      <c r="A336" s="54"/>
      <c r="B336" s="11"/>
      <c r="C336" s="20"/>
      <c r="D336" s="2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5"/>
      <c r="U336" s="15"/>
      <c r="V336" s="15"/>
      <c r="W336" s="15"/>
    </row>
    <row r="337">
      <c r="A337" s="54"/>
      <c r="B337" s="11"/>
      <c r="C337" s="20"/>
      <c r="D337" s="20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5"/>
      <c r="U337" s="15"/>
      <c r="V337" s="15"/>
      <c r="W337" s="15"/>
    </row>
    <row r="338">
      <c r="A338" s="54"/>
      <c r="B338" s="11"/>
      <c r="C338" s="20"/>
      <c r="D338" s="20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5"/>
      <c r="U338" s="15"/>
      <c r="V338" s="15"/>
      <c r="W338" s="15"/>
    </row>
    <row r="339">
      <c r="A339" s="54"/>
      <c r="B339" s="11"/>
      <c r="C339" s="20"/>
      <c r="D339" s="20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5"/>
      <c r="U339" s="15"/>
      <c r="V339" s="15"/>
      <c r="W339" s="15"/>
    </row>
    <row r="340">
      <c r="A340" s="54"/>
      <c r="B340" s="11"/>
      <c r="C340" s="20"/>
      <c r="D340" s="20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5"/>
      <c r="U340" s="15"/>
      <c r="V340" s="15"/>
      <c r="W340" s="15"/>
    </row>
    <row r="341">
      <c r="A341" s="54"/>
      <c r="B341" s="11"/>
      <c r="C341" s="20"/>
      <c r="D341" s="20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5"/>
      <c r="U341" s="15"/>
      <c r="V341" s="15"/>
      <c r="W341" s="15"/>
    </row>
    <row r="342">
      <c r="A342" s="54"/>
      <c r="B342" s="11"/>
      <c r="C342" s="20"/>
      <c r="D342" s="20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5"/>
      <c r="U342" s="15"/>
      <c r="V342" s="15"/>
      <c r="W342" s="15"/>
    </row>
    <row r="343">
      <c r="A343" s="54"/>
      <c r="B343" s="11"/>
      <c r="C343" s="20"/>
      <c r="D343" s="20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5"/>
      <c r="U343" s="15"/>
      <c r="V343" s="15"/>
      <c r="W343" s="15"/>
    </row>
    <row r="344">
      <c r="A344" s="54"/>
      <c r="B344" s="11"/>
      <c r="C344" s="20"/>
      <c r="D344" s="20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5"/>
      <c r="U344" s="15"/>
      <c r="V344" s="15"/>
      <c r="W344" s="15"/>
    </row>
    <row r="345">
      <c r="A345" s="54"/>
      <c r="B345" s="11"/>
      <c r="C345" s="20"/>
      <c r="D345" s="20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5"/>
      <c r="U345" s="15"/>
      <c r="V345" s="15"/>
      <c r="W345" s="15"/>
    </row>
    <row r="346">
      <c r="A346" s="54"/>
      <c r="B346" s="11"/>
      <c r="C346" s="20"/>
      <c r="D346" s="20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5"/>
      <c r="U346" s="15"/>
      <c r="V346" s="15"/>
      <c r="W346" s="15"/>
    </row>
    <row r="347">
      <c r="A347" s="54"/>
      <c r="B347" s="11"/>
      <c r="C347" s="20"/>
      <c r="D347" s="20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5"/>
      <c r="U347" s="15"/>
      <c r="V347" s="15"/>
      <c r="W347" s="15"/>
    </row>
    <row r="348">
      <c r="A348" s="54"/>
      <c r="B348" s="11"/>
      <c r="C348" s="20"/>
      <c r="D348" s="20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5"/>
      <c r="U348" s="15"/>
      <c r="V348" s="15"/>
      <c r="W348" s="15"/>
    </row>
    <row r="349">
      <c r="A349" s="54"/>
      <c r="B349" s="11"/>
      <c r="C349" s="20"/>
      <c r="D349" s="20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5"/>
      <c r="U349" s="15"/>
      <c r="V349" s="15"/>
      <c r="W349" s="15"/>
    </row>
    <row r="350">
      <c r="A350" s="54"/>
      <c r="B350" s="11"/>
      <c r="C350" s="20"/>
      <c r="D350" s="20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5"/>
      <c r="U350" s="15"/>
      <c r="V350" s="15"/>
      <c r="W350" s="15"/>
    </row>
    <row r="351">
      <c r="A351" s="54"/>
      <c r="B351" s="11"/>
      <c r="C351" s="20"/>
      <c r="D351" s="20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5"/>
      <c r="U351" s="15"/>
      <c r="V351" s="15"/>
      <c r="W351" s="15"/>
    </row>
    <row r="352">
      <c r="A352" s="54"/>
      <c r="B352" s="11"/>
      <c r="C352" s="20"/>
      <c r="D352" s="20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5"/>
      <c r="U352" s="15"/>
      <c r="V352" s="15"/>
      <c r="W352" s="15"/>
    </row>
    <row r="353">
      <c r="A353" s="54"/>
      <c r="B353" s="11"/>
      <c r="C353" s="20"/>
      <c r="D353" s="20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5"/>
      <c r="U353" s="15"/>
      <c r="V353" s="15"/>
      <c r="W353" s="15"/>
    </row>
    <row r="354">
      <c r="A354" s="54"/>
      <c r="B354" s="11"/>
      <c r="C354" s="20"/>
      <c r="D354" s="20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5"/>
      <c r="U354" s="15"/>
      <c r="V354" s="15"/>
      <c r="W354" s="15"/>
    </row>
    <row r="355">
      <c r="A355" s="54"/>
      <c r="B355" s="11"/>
      <c r="C355" s="20"/>
      <c r="D355" s="20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5"/>
      <c r="U355" s="15"/>
      <c r="V355" s="15"/>
      <c r="W355" s="15"/>
    </row>
    <row r="356">
      <c r="A356" s="54"/>
      <c r="B356" s="11"/>
      <c r="C356" s="20"/>
      <c r="D356" s="20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5"/>
      <c r="U356" s="15"/>
      <c r="V356" s="15"/>
      <c r="W356" s="15"/>
    </row>
    <row r="357">
      <c r="A357" s="54"/>
      <c r="B357" s="11"/>
      <c r="C357" s="20"/>
      <c r="D357" s="20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5"/>
      <c r="U357" s="15"/>
      <c r="V357" s="15"/>
      <c r="W357" s="15"/>
    </row>
    <row r="358">
      <c r="A358" s="54"/>
      <c r="B358" s="11"/>
      <c r="C358" s="20"/>
      <c r="D358" s="20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5"/>
      <c r="U358" s="15"/>
      <c r="V358" s="15"/>
      <c r="W358" s="15"/>
    </row>
    <row r="359">
      <c r="A359" s="54"/>
      <c r="B359" s="11"/>
      <c r="C359" s="20"/>
      <c r="D359" s="20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5"/>
      <c r="U359" s="15"/>
      <c r="V359" s="15"/>
      <c r="W359" s="15"/>
    </row>
    <row r="360">
      <c r="A360" s="54"/>
      <c r="B360" s="11"/>
      <c r="C360" s="20"/>
      <c r="D360" s="20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5"/>
      <c r="U360" s="15"/>
      <c r="V360" s="15"/>
      <c r="W360" s="15"/>
    </row>
    <row r="361">
      <c r="A361" s="54"/>
      <c r="B361" s="11"/>
      <c r="C361" s="20"/>
      <c r="D361" s="2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5"/>
      <c r="U361" s="15"/>
      <c r="V361" s="15"/>
      <c r="W361" s="15"/>
    </row>
    <row r="362">
      <c r="A362" s="54"/>
      <c r="B362" s="11"/>
      <c r="C362" s="20"/>
      <c r="D362" s="20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5"/>
      <c r="U362" s="15"/>
      <c r="V362" s="15"/>
      <c r="W362" s="15"/>
    </row>
    <row r="363">
      <c r="A363" s="22"/>
      <c r="B363" s="11"/>
      <c r="C363" s="20"/>
      <c r="D363" s="20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5"/>
      <c r="U363" s="15"/>
      <c r="V363" s="15"/>
      <c r="W363" s="15"/>
    </row>
    <row r="364">
      <c r="A364" s="22"/>
      <c r="B364" s="11"/>
      <c r="C364" s="20"/>
      <c r="D364" s="20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5"/>
      <c r="U364" s="15"/>
      <c r="V364" s="15"/>
      <c r="W364" s="15"/>
    </row>
    <row r="365">
      <c r="A365" s="22"/>
      <c r="B365" s="11"/>
      <c r="C365" s="20"/>
      <c r="D365" s="20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5"/>
      <c r="U365" s="15"/>
      <c r="V365" s="15"/>
      <c r="W365" s="15"/>
    </row>
    <row r="366">
      <c r="A366" s="22"/>
      <c r="B366" s="11"/>
      <c r="C366" s="20"/>
      <c r="D366" s="2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5"/>
      <c r="U366" s="15"/>
      <c r="V366" s="15"/>
      <c r="W366" s="15"/>
    </row>
    <row r="367">
      <c r="A367" s="22"/>
      <c r="B367" s="11"/>
      <c r="C367" s="20"/>
      <c r="D367" s="20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5"/>
      <c r="U367" s="15"/>
      <c r="V367" s="15"/>
      <c r="W367" s="15"/>
    </row>
    <row r="368">
      <c r="A368" s="22"/>
      <c r="B368" s="11"/>
      <c r="C368" s="20"/>
      <c r="D368" s="20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5"/>
      <c r="U368" s="15"/>
      <c r="V368" s="15"/>
      <c r="W368" s="15"/>
    </row>
    <row r="369">
      <c r="A369" s="22"/>
      <c r="B369" s="11"/>
      <c r="C369" s="20"/>
      <c r="D369" s="20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5"/>
      <c r="U369" s="15"/>
      <c r="V369" s="15"/>
      <c r="W369" s="15"/>
    </row>
    <row r="370">
      <c r="A370" s="22"/>
      <c r="B370" s="11"/>
      <c r="C370" s="20"/>
      <c r="D370" s="20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5"/>
      <c r="U370" s="15"/>
      <c r="V370" s="15"/>
      <c r="W370" s="15"/>
    </row>
    <row r="371">
      <c r="A371" s="22"/>
      <c r="B371" s="11"/>
      <c r="C371" s="20"/>
      <c r="D371" s="20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5"/>
      <c r="U371" s="15"/>
      <c r="V371" s="15"/>
      <c r="W371" s="15"/>
    </row>
    <row r="372">
      <c r="A372" s="22"/>
      <c r="B372" s="11"/>
      <c r="C372" s="20"/>
      <c r="D372" s="20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5"/>
      <c r="U372" s="15"/>
      <c r="V372" s="15"/>
      <c r="W372" s="15"/>
    </row>
    <row r="373">
      <c r="A373" s="22"/>
      <c r="B373" s="11"/>
      <c r="C373" s="20"/>
      <c r="D373" s="20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5"/>
      <c r="U373" s="15"/>
      <c r="V373" s="15"/>
      <c r="W373" s="15"/>
    </row>
    <row r="374">
      <c r="A374" s="22"/>
      <c r="B374" s="11"/>
      <c r="C374" s="20"/>
      <c r="D374" s="20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5"/>
      <c r="U374" s="15"/>
      <c r="V374" s="15"/>
      <c r="W374" s="15"/>
    </row>
    <row r="375">
      <c r="A375" s="22"/>
      <c r="B375" s="11"/>
      <c r="C375" s="20"/>
      <c r="D375" s="20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5"/>
      <c r="U375" s="15"/>
      <c r="V375" s="15"/>
      <c r="W375" s="15"/>
    </row>
    <row r="376">
      <c r="A376" s="22"/>
      <c r="B376" s="11"/>
      <c r="C376" s="20"/>
      <c r="D376" s="20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5"/>
      <c r="U376" s="15"/>
      <c r="V376" s="15"/>
      <c r="W376" s="15"/>
    </row>
    <row r="377">
      <c r="A377" s="22"/>
      <c r="B377" s="11"/>
      <c r="C377" s="20"/>
      <c r="D377" s="20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5"/>
      <c r="U377" s="15"/>
      <c r="V377" s="15"/>
      <c r="W377" s="15"/>
    </row>
    <row r="378">
      <c r="A378" s="22"/>
      <c r="B378" s="11"/>
      <c r="C378" s="20"/>
      <c r="D378" s="20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5"/>
      <c r="U378" s="15"/>
      <c r="V378" s="15"/>
      <c r="W378" s="15"/>
    </row>
    <row r="379">
      <c r="A379" s="22"/>
      <c r="B379" s="11"/>
      <c r="C379" s="20"/>
      <c r="D379" s="20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5"/>
      <c r="U379" s="15"/>
      <c r="V379" s="15"/>
      <c r="W379" s="15"/>
    </row>
    <row r="380">
      <c r="A380" s="22"/>
      <c r="B380" s="11"/>
      <c r="C380" s="20"/>
      <c r="D380" s="20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5"/>
      <c r="U380" s="15"/>
      <c r="V380" s="15"/>
      <c r="W380" s="15"/>
    </row>
    <row r="381">
      <c r="A381" s="22"/>
      <c r="B381" s="11"/>
      <c r="C381" s="20"/>
      <c r="D381" s="20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5"/>
      <c r="U381" s="15"/>
      <c r="V381" s="15"/>
      <c r="W381" s="15"/>
    </row>
    <row r="382">
      <c r="A382" s="54"/>
      <c r="B382" s="11"/>
      <c r="C382" s="20"/>
      <c r="D382" s="20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5"/>
      <c r="U382" s="15"/>
      <c r="V382" s="15"/>
      <c r="W382" s="15"/>
    </row>
    <row r="383">
      <c r="A383" s="54"/>
      <c r="B383" s="11"/>
      <c r="C383" s="20"/>
      <c r="D383" s="20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5"/>
      <c r="U383" s="15"/>
      <c r="V383" s="15"/>
      <c r="W383" s="15"/>
    </row>
    <row r="384">
      <c r="A384" s="54"/>
      <c r="B384" s="11"/>
      <c r="C384" s="20"/>
      <c r="D384" s="20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5"/>
      <c r="U384" s="15"/>
      <c r="V384" s="15"/>
      <c r="W384" s="15"/>
    </row>
    <row r="385">
      <c r="A385" s="54"/>
      <c r="B385" s="11"/>
      <c r="C385" s="20"/>
      <c r="D385" s="20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5"/>
      <c r="U385" s="15"/>
      <c r="V385" s="15"/>
      <c r="W385" s="15"/>
    </row>
    <row r="386">
      <c r="A386" s="54"/>
      <c r="B386" s="11"/>
      <c r="C386" s="20"/>
      <c r="D386" s="2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5"/>
      <c r="U386" s="15"/>
      <c r="V386" s="15"/>
      <c r="W386" s="15"/>
    </row>
    <row r="387">
      <c r="A387" s="54"/>
      <c r="B387" s="11"/>
      <c r="C387" s="20"/>
      <c r="D387" s="20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5"/>
      <c r="U387" s="15"/>
      <c r="V387" s="15"/>
      <c r="W387" s="15"/>
    </row>
    <row r="388">
      <c r="A388" s="54"/>
      <c r="B388" s="11"/>
      <c r="C388" s="20"/>
      <c r="D388" s="20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5"/>
      <c r="U388" s="15"/>
      <c r="V388" s="15"/>
      <c r="W388" s="15"/>
    </row>
    <row r="389">
      <c r="A389" s="54"/>
      <c r="B389" s="11"/>
      <c r="C389" s="20"/>
      <c r="D389" s="20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5"/>
      <c r="U389" s="15"/>
      <c r="V389" s="15"/>
      <c r="W389" s="15"/>
    </row>
    <row r="390">
      <c r="A390" s="54"/>
      <c r="B390" s="11"/>
      <c r="C390" s="20"/>
      <c r="D390" s="20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5"/>
      <c r="U390" s="15"/>
      <c r="V390" s="15"/>
      <c r="W390" s="15"/>
    </row>
    <row r="391">
      <c r="A391" s="54"/>
      <c r="B391" s="11"/>
      <c r="C391" s="20"/>
      <c r="D391" s="20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5"/>
      <c r="U391" s="15"/>
      <c r="V391" s="15"/>
      <c r="W391" s="15"/>
    </row>
    <row r="392">
      <c r="A392" s="54"/>
      <c r="B392" s="11"/>
      <c r="C392" s="20"/>
      <c r="D392" s="20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5"/>
      <c r="U392" s="15"/>
      <c r="V392" s="15"/>
      <c r="W392" s="15"/>
    </row>
    <row r="393">
      <c r="A393" s="54"/>
      <c r="B393" s="11"/>
      <c r="C393" s="20"/>
      <c r="D393" s="20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5"/>
      <c r="U393" s="15"/>
      <c r="V393" s="15"/>
      <c r="W393" s="15"/>
    </row>
    <row r="394">
      <c r="A394" s="54"/>
      <c r="B394" s="11"/>
      <c r="C394" s="20"/>
      <c r="D394" s="20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5"/>
      <c r="U394" s="15"/>
      <c r="V394" s="15"/>
      <c r="W394" s="15"/>
    </row>
    <row r="395">
      <c r="A395" s="54"/>
      <c r="B395" s="11"/>
      <c r="C395" s="20"/>
      <c r="D395" s="20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5"/>
      <c r="U395" s="15"/>
      <c r="V395" s="15"/>
      <c r="W395" s="15"/>
    </row>
    <row r="396">
      <c r="A396" s="54"/>
      <c r="B396" s="11"/>
      <c r="C396" s="20"/>
      <c r="D396" s="2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5"/>
      <c r="U396" s="15"/>
      <c r="V396" s="15"/>
      <c r="W396" s="15"/>
    </row>
    <row r="397">
      <c r="A397" s="54"/>
      <c r="B397" s="11"/>
      <c r="C397" s="20"/>
      <c r="D397" s="20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5"/>
      <c r="U397" s="15"/>
      <c r="V397" s="15"/>
      <c r="W397" s="15"/>
    </row>
    <row r="398">
      <c r="A398" s="54"/>
      <c r="B398" s="11"/>
      <c r="C398" s="20"/>
      <c r="D398" s="2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5"/>
      <c r="U398" s="15"/>
      <c r="V398" s="15"/>
      <c r="W398" s="15"/>
    </row>
    <row r="399">
      <c r="A399" s="54"/>
      <c r="B399" s="11"/>
      <c r="C399" s="20"/>
      <c r="D399" s="20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5"/>
      <c r="U399" s="15"/>
      <c r="V399" s="15"/>
      <c r="W399" s="15"/>
    </row>
    <row r="400">
      <c r="A400" s="22"/>
      <c r="B400" s="11"/>
      <c r="C400" s="20"/>
      <c r="D400" s="20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5"/>
      <c r="U400" s="15"/>
      <c r="V400" s="15"/>
      <c r="W400" s="15"/>
    </row>
    <row r="401">
      <c r="A401" s="22"/>
      <c r="B401" s="11"/>
      <c r="C401" s="20"/>
      <c r="D401" s="20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5"/>
      <c r="U401" s="15"/>
      <c r="V401" s="15"/>
      <c r="W401" s="15"/>
    </row>
    <row r="402">
      <c r="A402" s="22"/>
      <c r="B402" s="11"/>
      <c r="C402" s="20"/>
      <c r="D402" s="20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5"/>
      <c r="U402" s="15"/>
      <c r="V402" s="15"/>
      <c r="W402" s="15"/>
    </row>
    <row r="403">
      <c r="A403" s="22"/>
      <c r="B403" s="11"/>
      <c r="C403" s="20"/>
      <c r="D403" s="20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5"/>
      <c r="U403" s="15"/>
      <c r="V403" s="15"/>
      <c r="W403" s="15"/>
    </row>
    <row r="404">
      <c r="A404" s="22"/>
      <c r="B404" s="11"/>
      <c r="C404" s="20"/>
      <c r="D404" s="20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5"/>
      <c r="U404" s="15"/>
      <c r="V404" s="15"/>
      <c r="W404" s="15"/>
    </row>
    <row r="405">
      <c r="A405" s="22"/>
      <c r="B405" s="11"/>
      <c r="C405" s="20"/>
      <c r="D405" s="20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5"/>
      <c r="U405" s="15"/>
      <c r="V405" s="15"/>
      <c r="W405" s="15"/>
    </row>
    <row r="406">
      <c r="A406" s="22"/>
      <c r="B406" s="11"/>
      <c r="C406" s="20"/>
      <c r="D406" s="20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5"/>
      <c r="U406" s="15"/>
      <c r="V406" s="15"/>
      <c r="W406" s="15"/>
    </row>
    <row r="407">
      <c r="A407" s="22"/>
      <c r="B407" s="11"/>
      <c r="C407" s="20"/>
      <c r="D407" s="20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5"/>
      <c r="U407" s="15"/>
      <c r="V407" s="15"/>
      <c r="W407" s="15"/>
    </row>
    <row r="408">
      <c r="A408" s="22"/>
      <c r="B408" s="11"/>
      <c r="C408" s="20"/>
      <c r="D408" s="20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5"/>
      <c r="U408" s="15"/>
      <c r="V408" s="15"/>
      <c r="W408" s="15"/>
    </row>
    <row r="409">
      <c r="A409" s="22"/>
      <c r="B409" s="11"/>
      <c r="C409" s="20"/>
      <c r="D409" s="20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5"/>
      <c r="U409" s="15"/>
      <c r="V409" s="15"/>
      <c r="W409" s="15"/>
    </row>
    <row r="410">
      <c r="A410" s="22"/>
      <c r="B410" s="11"/>
      <c r="C410" s="20"/>
      <c r="D410" s="20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5"/>
      <c r="U410" s="15"/>
      <c r="V410" s="15"/>
      <c r="W410" s="15"/>
    </row>
    <row r="411">
      <c r="A411" s="22"/>
      <c r="B411" s="11"/>
      <c r="C411" s="20"/>
      <c r="D411" s="2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5"/>
      <c r="U411" s="15"/>
      <c r="V411" s="15"/>
      <c r="W411" s="15"/>
    </row>
    <row r="412">
      <c r="A412" s="22"/>
      <c r="B412" s="11"/>
      <c r="C412" s="20"/>
      <c r="D412" s="20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5"/>
      <c r="U412" s="15"/>
      <c r="V412" s="15"/>
      <c r="W412" s="15"/>
    </row>
    <row r="413">
      <c r="A413" s="22"/>
      <c r="B413" s="11"/>
      <c r="C413" s="20"/>
      <c r="D413" s="20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5"/>
      <c r="U413" s="15"/>
      <c r="V413" s="15"/>
      <c r="W413" s="15"/>
    </row>
    <row r="414">
      <c r="A414" s="22"/>
      <c r="B414" s="11"/>
      <c r="C414" s="20"/>
      <c r="D414" s="20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5"/>
      <c r="U414" s="15"/>
      <c r="V414" s="15"/>
      <c r="W414" s="15"/>
    </row>
    <row r="415">
      <c r="A415" s="22"/>
      <c r="B415" s="11"/>
      <c r="C415" s="20"/>
      <c r="D415" s="20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5"/>
      <c r="U415" s="15"/>
      <c r="V415" s="15"/>
      <c r="W415" s="15"/>
    </row>
    <row r="416">
      <c r="A416" s="22"/>
      <c r="B416" s="11"/>
      <c r="C416" s="20"/>
      <c r="D416" s="20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5"/>
      <c r="U416" s="15"/>
      <c r="V416" s="15"/>
      <c r="W416" s="15"/>
    </row>
    <row r="417">
      <c r="A417" s="22"/>
      <c r="B417" s="11"/>
      <c r="C417" s="20"/>
      <c r="D417" s="20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5"/>
      <c r="U417" s="15"/>
      <c r="V417" s="15"/>
      <c r="W417" s="15"/>
    </row>
    <row r="418">
      <c r="A418" s="22"/>
      <c r="B418" s="11"/>
      <c r="C418" s="20"/>
      <c r="D418" s="20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5"/>
      <c r="U418" s="15"/>
      <c r="V418" s="15"/>
      <c r="W418" s="15"/>
    </row>
    <row r="419">
      <c r="A419" s="54"/>
      <c r="B419" s="11"/>
      <c r="C419" s="20"/>
      <c r="D419" s="20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5"/>
      <c r="U419" s="15"/>
      <c r="V419" s="15"/>
      <c r="W419" s="15"/>
    </row>
    <row r="420">
      <c r="A420" s="54"/>
      <c r="B420" s="11"/>
      <c r="C420" s="20"/>
      <c r="D420" s="20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5"/>
      <c r="U420" s="15"/>
      <c r="V420" s="15"/>
      <c r="W420" s="15"/>
    </row>
    <row r="421">
      <c r="A421" s="54"/>
      <c r="B421" s="11"/>
      <c r="C421" s="20"/>
      <c r="D421" s="20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5"/>
      <c r="U421" s="15"/>
      <c r="V421" s="15"/>
      <c r="W421" s="15"/>
    </row>
    <row r="422">
      <c r="A422" s="54"/>
      <c r="B422" s="11"/>
      <c r="C422" s="20"/>
      <c r="D422" s="2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5"/>
      <c r="U422" s="15"/>
      <c r="V422" s="15"/>
      <c r="W422" s="15"/>
    </row>
    <row r="423">
      <c r="A423" s="54"/>
      <c r="B423" s="11"/>
      <c r="C423" s="20"/>
      <c r="D423" s="20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5"/>
      <c r="U423" s="15"/>
      <c r="V423" s="15"/>
      <c r="W423" s="15"/>
    </row>
    <row r="424">
      <c r="A424" s="54"/>
      <c r="B424" s="11"/>
      <c r="C424" s="20"/>
      <c r="D424" s="20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5"/>
      <c r="U424" s="15"/>
      <c r="V424" s="15"/>
      <c r="W424" s="15"/>
    </row>
    <row r="425">
      <c r="A425" s="54"/>
      <c r="B425" s="11"/>
      <c r="C425" s="20"/>
      <c r="D425" s="20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5"/>
      <c r="U425" s="15"/>
      <c r="V425" s="15"/>
      <c r="W425" s="15"/>
    </row>
    <row r="426">
      <c r="A426" s="54"/>
      <c r="B426" s="11"/>
      <c r="C426" s="20"/>
      <c r="D426" s="20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5"/>
      <c r="U426" s="15"/>
      <c r="V426" s="15"/>
      <c r="W426" s="15"/>
    </row>
    <row r="427">
      <c r="A427" s="54"/>
      <c r="B427" s="11"/>
      <c r="C427" s="20"/>
      <c r="D427" s="20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5"/>
      <c r="U427" s="15"/>
      <c r="V427" s="15"/>
      <c r="W427" s="15"/>
    </row>
    <row r="428">
      <c r="A428" s="54"/>
      <c r="B428" s="11"/>
      <c r="C428" s="20"/>
      <c r="D428" s="20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5"/>
      <c r="U428" s="15"/>
      <c r="V428" s="15"/>
      <c r="W428" s="15"/>
    </row>
    <row r="429">
      <c r="A429" s="54"/>
      <c r="B429" s="11"/>
      <c r="C429" s="20"/>
      <c r="D429" s="20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5"/>
      <c r="U429" s="15"/>
      <c r="V429" s="15"/>
      <c r="W429" s="15"/>
    </row>
    <row r="430">
      <c r="A430" s="54"/>
      <c r="B430" s="11"/>
      <c r="C430" s="20"/>
      <c r="D430" s="20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5"/>
      <c r="U430" s="15"/>
      <c r="V430" s="15"/>
      <c r="W430" s="15"/>
    </row>
    <row r="431">
      <c r="A431" s="54"/>
      <c r="B431" s="11"/>
      <c r="C431" s="20"/>
      <c r="D431" s="20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5"/>
      <c r="U431" s="15"/>
      <c r="V431" s="15"/>
      <c r="W431" s="15"/>
    </row>
    <row r="432">
      <c r="A432" s="54"/>
      <c r="B432" s="11"/>
      <c r="C432" s="20"/>
      <c r="D432" s="20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5"/>
      <c r="U432" s="15"/>
      <c r="V432" s="15"/>
      <c r="W432" s="15"/>
    </row>
    <row r="433">
      <c r="A433" s="54"/>
      <c r="B433" s="11"/>
      <c r="C433" s="20"/>
      <c r="D433" s="20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5"/>
      <c r="U433" s="15"/>
      <c r="V433" s="15"/>
      <c r="W433" s="15"/>
    </row>
    <row r="434">
      <c r="A434" s="54"/>
      <c r="B434" s="11"/>
      <c r="C434" s="20"/>
      <c r="D434" s="20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5"/>
      <c r="U434" s="15"/>
      <c r="V434" s="15"/>
      <c r="W434" s="15"/>
    </row>
    <row r="435">
      <c r="A435" s="54"/>
      <c r="B435" s="11"/>
      <c r="C435" s="20"/>
      <c r="D435" s="20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5"/>
      <c r="U435" s="15"/>
      <c r="V435" s="15"/>
      <c r="W435" s="15"/>
    </row>
    <row r="436">
      <c r="A436" s="54"/>
      <c r="B436" s="11"/>
      <c r="C436" s="20"/>
      <c r="D436" s="2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5"/>
      <c r="U436" s="15"/>
      <c r="V436" s="15"/>
      <c r="W436" s="15"/>
    </row>
    <row r="437">
      <c r="A437" s="54"/>
      <c r="B437" s="11"/>
      <c r="C437" s="20"/>
      <c r="D437" s="20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5"/>
      <c r="U437" s="15"/>
      <c r="V437" s="15"/>
      <c r="W437" s="15"/>
    </row>
    <row r="438">
      <c r="A438" s="54"/>
      <c r="B438" s="11"/>
      <c r="C438" s="20"/>
      <c r="D438" s="20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5"/>
      <c r="U438" s="15"/>
      <c r="V438" s="15"/>
      <c r="W438" s="15"/>
    </row>
    <row r="439">
      <c r="A439" s="54"/>
      <c r="B439" s="11"/>
      <c r="C439" s="20"/>
      <c r="D439" s="20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5"/>
      <c r="U439" s="15"/>
      <c r="V439" s="15"/>
      <c r="W439" s="15"/>
    </row>
    <row r="440">
      <c r="A440" s="54"/>
      <c r="B440" s="11"/>
      <c r="C440" s="20"/>
      <c r="D440" s="20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5"/>
      <c r="U440" s="15"/>
      <c r="V440" s="15"/>
      <c r="W440" s="15"/>
    </row>
    <row r="441">
      <c r="A441" s="54"/>
      <c r="B441" s="11"/>
      <c r="C441" s="20"/>
      <c r="D441" s="20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5"/>
      <c r="U441" s="15"/>
      <c r="V441" s="15"/>
      <c r="W441" s="15"/>
    </row>
    <row r="442">
      <c r="A442" s="54"/>
      <c r="B442" s="11"/>
      <c r="C442" s="20"/>
      <c r="D442" s="20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5"/>
      <c r="U442" s="15"/>
      <c r="V442" s="15"/>
      <c r="W442" s="15"/>
    </row>
    <row r="443">
      <c r="A443" s="54"/>
      <c r="B443" s="11"/>
      <c r="C443" s="20"/>
      <c r="D443" s="20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5"/>
      <c r="U443" s="15"/>
      <c r="V443" s="15"/>
      <c r="W443" s="15"/>
    </row>
    <row r="444">
      <c r="A444" s="54"/>
      <c r="B444" s="11"/>
      <c r="C444" s="20"/>
      <c r="D444" s="20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5"/>
      <c r="U444" s="15"/>
      <c r="V444" s="15"/>
      <c r="W444" s="15"/>
    </row>
    <row r="445">
      <c r="A445" s="54"/>
      <c r="B445" s="11"/>
      <c r="C445" s="20"/>
      <c r="D445" s="20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5"/>
      <c r="U445" s="15"/>
      <c r="V445" s="15"/>
      <c r="W445" s="15"/>
    </row>
    <row r="446">
      <c r="A446" s="22"/>
      <c r="B446" s="11"/>
      <c r="C446" s="20"/>
      <c r="D446" s="20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5"/>
      <c r="U446" s="15"/>
      <c r="V446" s="15"/>
      <c r="W446" s="15"/>
    </row>
    <row r="447">
      <c r="A447" s="22"/>
      <c r="B447" s="11"/>
      <c r="C447" s="20"/>
      <c r="D447" s="20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5"/>
      <c r="U447" s="15"/>
      <c r="V447" s="15"/>
      <c r="W447" s="15"/>
    </row>
    <row r="448">
      <c r="A448" s="22"/>
      <c r="B448" s="11"/>
      <c r="C448" s="20"/>
      <c r="D448" s="20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5"/>
      <c r="U448" s="15"/>
      <c r="V448" s="15"/>
      <c r="W448" s="15"/>
    </row>
    <row r="449">
      <c r="A449" s="22"/>
      <c r="B449" s="11"/>
      <c r="C449" s="20"/>
      <c r="D449" s="20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5"/>
      <c r="U449" s="15"/>
      <c r="V449" s="15"/>
      <c r="W449" s="15"/>
    </row>
    <row r="450">
      <c r="A450" s="22"/>
      <c r="B450" s="11"/>
      <c r="C450" s="20"/>
      <c r="D450" s="20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5"/>
      <c r="U450" s="15"/>
      <c r="V450" s="15"/>
      <c r="W450" s="15"/>
    </row>
    <row r="451">
      <c r="A451" s="22"/>
      <c r="B451" s="11"/>
      <c r="C451" s="20"/>
      <c r="D451" s="20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5"/>
      <c r="U451" s="15"/>
      <c r="V451" s="15"/>
      <c r="W451" s="15"/>
    </row>
    <row r="452">
      <c r="A452" s="22"/>
      <c r="B452" s="11"/>
      <c r="C452" s="20"/>
      <c r="D452" s="20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5"/>
      <c r="U452" s="15"/>
      <c r="V452" s="15"/>
      <c r="W452" s="15"/>
    </row>
    <row r="453">
      <c r="A453" s="22"/>
      <c r="B453" s="11"/>
      <c r="C453" s="20"/>
      <c r="D453" s="20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5"/>
      <c r="U453" s="15"/>
      <c r="V453" s="15"/>
      <c r="W453" s="15"/>
    </row>
    <row r="454">
      <c r="A454" s="22"/>
      <c r="B454" s="11"/>
      <c r="C454" s="20"/>
      <c r="D454" s="20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5"/>
      <c r="U454" s="15"/>
      <c r="V454" s="15"/>
      <c r="W454" s="15"/>
    </row>
    <row r="455">
      <c r="A455" s="22"/>
      <c r="B455" s="11"/>
      <c r="C455" s="20"/>
      <c r="D455" s="20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5"/>
      <c r="U455" s="15"/>
      <c r="V455" s="15"/>
      <c r="W455" s="15"/>
    </row>
    <row r="456">
      <c r="A456" s="22"/>
      <c r="B456" s="11"/>
      <c r="C456" s="20"/>
      <c r="D456" s="20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5"/>
      <c r="U456" s="15"/>
      <c r="V456" s="15"/>
      <c r="W456" s="15"/>
    </row>
    <row r="457">
      <c r="A457" s="22"/>
      <c r="B457" s="11"/>
      <c r="C457" s="20"/>
      <c r="D457" s="20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5"/>
      <c r="U457" s="15"/>
      <c r="V457" s="15"/>
      <c r="W457" s="15"/>
    </row>
    <row r="458">
      <c r="A458" s="22"/>
      <c r="B458" s="11"/>
      <c r="C458" s="20"/>
      <c r="D458" s="20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5"/>
      <c r="U458" s="15"/>
      <c r="V458" s="15"/>
      <c r="W458" s="15"/>
    </row>
    <row r="459">
      <c r="A459" s="22"/>
      <c r="B459" s="11"/>
      <c r="C459" s="20"/>
      <c r="D459" s="20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5"/>
      <c r="U459" s="15"/>
      <c r="V459" s="15"/>
      <c r="W459" s="15"/>
    </row>
    <row r="460">
      <c r="A460" s="22"/>
      <c r="B460" s="11"/>
      <c r="C460" s="20"/>
      <c r="D460" s="20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5"/>
      <c r="U460" s="15"/>
      <c r="V460" s="15"/>
      <c r="W460" s="15"/>
    </row>
    <row r="461">
      <c r="A461" s="22"/>
      <c r="B461" s="11"/>
      <c r="C461" s="20"/>
      <c r="D461" s="2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5"/>
      <c r="U461" s="15"/>
      <c r="V461" s="15"/>
      <c r="W461" s="15"/>
    </row>
    <row r="462">
      <c r="A462" s="22"/>
      <c r="B462" s="11"/>
      <c r="C462" s="20"/>
      <c r="D462" s="20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5"/>
      <c r="U462" s="15"/>
      <c r="V462" s="15"/>
      <c r="W462" s="15"/>
    </row>
    <row r="463">
      <c r="A463" s="22"/>
      <c r="B463" s="11"/>
      <c r="C463" s="20"/>
      <c r="D463" s="20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5"/>
      <c r="U463" s="15"/>
      <c r="V463" s="15"/>
      <c r="W463" s="15"/>
    </row>
    <row r="464">
      <c r="A464" s="22"/>
      <c r="B464" s="11"/>
      <c r="C464" s="20"/>
      <c r="D464" s="20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5"/>
      <c r="U464" s="15"/>
      <c r="V464" s="15"/>
      <c r="W464" s="15"/>
    </row>
    <row r="465">
      <c r="A465" s="54"/>
      <c r="B465" s="11"/>
      <c r="C465" s="20"/>
      <c r="D465" s="20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5"/>
      <c r="U465" s="15"/>
      <c r="V465" s="15"/>
      <c r="W465" s="15"/>
    </row>
    <row r="466">
      <c r="A466" s="54"/>
      <c r="B466" s="11"/>
      <c r="C466" s="20"/>
      <c r="D466" s="20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5"/>
      <c r="U466" s="15"/>
      <c r="V466" s="15"/>
      <c r="W466" s="15"/>
    </row>
    <row r="467">
      <c r="A467" s="54"/>
      <c r="B467" s="11"/>
      <c r="C467" s="20"/>
      <c r="D467" s="20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5"/>
      <c r="U467" s="15"/>
      <c r="V467" s="15"/>
      <c r="W467" s="15"/>
    </row>
    <row r="468">
      <c r="A468" s="54"/>
      <c r="B468" s="11"/>
      <c r="C468" s="20"/>
      <c r="D468" s="20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5"/>
      <c r="U468" s="15"/>
      <c r="V468" s="15"/>
      <c r="W468" s="15"/>
    </row>
    <row r="469">
      <c r="A469" s="54"/>
      <c r="B469" s="11"/>
      <c r="C469" s="20"/>
      <c r="D469" s="20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5"/>
      <c r="U469" s="15"/>
      <c r="V469" s="15"/>
      <c r="W469" s="15"/>
    </row>
    <row r="470">
      <c r="A470" s="54"/>
      <c r="B470" s="11"/>
      <c r="C470" s="20"/>
      <c r="D470" s="20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5"/>
      <c r="U470" s="15"/>
      <c r="V470" s="15"/>
      <c r="W470" s="15"/>
    </row>
    <row r="471">
      <c r="A471" s="54"/>
      <c r="B471" s="11"/>
      <c r="C471" s="20"/>
      <c r="D471" s="20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5"/>
      <c r="U471" s="15"/>
      <c r="V471" s="15"/>
      <c r="W471" s="15"/>
    </row>
    <row r="472">
      <c r="A472" s="54"/>
      <c r="B472" s="11"/>
      <c r="C472" s="20"/>
      <c r="D472" s="20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5"/>
      <c r="U472" s="15"/>
      <c r="V472" s="15"/>
      <c r="W472" s="15"/>
    </row>
    <row r="473">
      <c r="A473" s="54"/>
      <c r="B473" s="11"/>
      <c r="C473" s="20"/>
      <c r="D473" s="20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5"/>
      <c r="U473" s="15"/>
      <c r="V473" s="15"/>
      <c r="W473" s="15"/>
    </row>
    <row r="474">
      <c r="A474" s="54"/>
      <c r="B474" s="11"/>
      <c r="C474" s="20"/>
      <c r="D474" s="20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5"/>
      <c r="U474" s="15"/>
      <c r="V474" s="15"/>
      <c r="W474" s="15"/>
    </row>
    <row r="475">
      <c r="A475" s="54"/>
      <c r="B475" s="11"/>
      <c r="C475" s="20"/>
      <c r="D475" s="20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5"/>
      <c r="U475" s="15"/>
      <c r="V475" s="15"/>
      <c r="W475" s="15"/>
    </row>
    <row r="476">
      <c r="A476" s="54"/>
      <c r="B476" s="11"/>
      <c r="C476" s="20"/>
      <c r="D476" s="20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5"/>
      <c r="U476" s="15"/>
      <c r="V476" s="15"/>
      <c r="W476" s="15"/>
    </row>
    <row r="477">
      <c r="A477" s="54"/>
      <c r="B477" s="11"/>
      <c r="C477" s="20"/>
      <c r="D477" s="20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5"/>
      <c r="U477" s="15"/>
      <c r="V477" s="15"/>
      <c r="W477" s="15"/>
    </row>
    <row r="478">
      <c r="A478" s="54"/>
      <c r="B478" s="11"/>
      <c r="C478" s="20"/>
      <c r="D478" s="20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5"/>
      <c r="U478" s="15"/>
      <c r="V478" s="15"/>
      <c r="W478" s="15"/>
    </row>
    <row r="479">
      <c r="A479" s="54"/>
      <c r="B479" s="11"/>
      <c r="C479" s="20"/>
      <c r="D479" s="20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5"/>
      <c r="U479" s="15"/>
      <c r="V479" s="15"/>
      <c r="W479" s="15"/>
    </row>
    <row r="480">
      <c r="A480" s="54"/>
      <c r="B480" s="11"/>
      <c r="C480" s="20"/>
      <c r="D480" s="20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5"/>
      <c r="U480" s="15"/>
      <c r="V480" s="15"/>
      <c r="W480" s="15"/>
    </row>
    <row r="481">
      <c r="A481" s="54"/>
      <c r="B481" s="11"/>
      <c r="C481" s="20"/>
      <c r="D481" s="20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5"/>
      <c r="U481" s="15"/>
      <c r="V481" s="15"/>
      <c r="W481" s="15"/>
    </row>
    <row r="482">
      <c r="A482" s="54"/>
      <c r="B482" s="11"/>
      <c r="C482" s="20"/>
      <c r="D482" s="20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5"/>
      <c r="U482" s="15"/>
      <c r="V482" s="15"/>
      <c r="W482" s="15"/>
    </row>
    <row r="483">
      <c r="A483" s="22"/>
      <c r="B483" s="11"/>
      <c r="C483" s="20"/>
      <c r="D483" s="20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5"/>
      <c r="U483" s="15"/>
      <c r="V483" s="15"/>
      <c r="W483" s="15"/>
    </row>
    <row r="484">
      <c r="A484" s="22"/>
      <c r="B484" s="11"/>
      <c r="C484" s="20"/>
      <c r="D484" s="20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5"/>
      <c r="U484" s="15"/>
      <c r="V484" s="15"/>
      <c r="W484" s="15"/>
    </row>
    <row r="485">
      <c r="A485" s="22"/>
      <c r="B485" s="11"/>
      <c r="C485" s="20"/>
      <c r="D485" s="20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5"/>
      <c r="U485" s="15"/>
      <c r="V485" s="15"/>
      <c r="W485" s="15"/>
    </row>
    <row r="486">
      <c r="A486" s="22"/>
      <c r="B486" s="11"/>
      <c r="C486" s="20"/>
      <c r="D486" s="2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5"/>
      <c r="U486" s="15"/>
      <c r="V486" s="15"/>
      <c r="W486" s="15"/>
    </row>
    <row r="487">
      <c r="A487" s="22"/>
      <c r="B487" s="11"/>
      <c r="C487" s="20"/>
      <c r="D487" s="2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5"/>
      <c r="U487" s="15"/>
      <c r="V487" s="15"/>
      <c r="W487" s="15"/>
    </row>
    <row r="488">
      <c r="A488" s="22"/>
      <c r="B488" s="11"/>
      <c r="C488" s="20"/>
      <c r="D488" s="20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5"/>
      <c r="U488" s="15"/>
      <c r="V488" s="15"/>
      <c r="W488" s="15"/>
    </row>
    <row r="489">
      <c r="A489" s="22"/>
      <c r="B489" s="11"/>
      <c r="C489" s="20"/>
      <c r="D489" s="20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5"/>
      <c r="U489" s="15"/>
      <c r="V489" s="15"/>
      <c r="W489" s="15"/>
    </row>
    <row r="490">
      <c r="A490" s="22"/>
      <c r="B490" s="11"/>
      <c r="C490" s="20"/>
      <c r="D490" s="20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5"/>
      <c r="U490" s="15"/>
      <c r="V490" s="15"/>
      <c r="W490" s="15"/>
    </row>
    <row r="491">
      <c r="A491" s="22"/>
      <c r="B491" s="11"/>
      <c r="C491" s="20"/>
      <c r="D491" s="20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5"/>
      <c r="U491" s="15"/>
      <c r="V491" s="15"/>
      <c r="W491" s="15"/>
    </row>
    <row r="492">
      <c r="A492" s="22"/>
      <c r="B492" s="11"/>
      <c r="C492" s="20"/>
      <c r="D492" s="20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5"/>
      <c r="U492" s="15"/>
      <c r="V492" s="15"/>
      <c r="W492" s="15"/>
    </row>
    <row r="493">
      <c r="A493" s="22"/>
      <c r="B493" s="11"/>
      <c r="C493" s="20"/>
      <c r="D493" s="20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5"/>
      <c r="U493" s="15"/>
      <c r="V493" s="15"/>
      <c r="W493" s="15"/>
    </row>
    <row r="494">
      <c r="A494" s="22"/>
      <c r="B494" s="11"/>
      <c r="C494" s="20"/>
      <c r="D494" s="20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5"/>
      <c r="U494" s="15"/>
      <c r="V494" s="15"/>
      <c r="W494" s="15"/>
    </row>
    <row r="495">
      <c r="A495" s="22"/>
      <c r="B495" s="11"/>
      <c r="C495" s="20"/>
      <c r="D495" s="20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5"/>
      <c r="U495" s="15"/>
      <c r="V495" s="15"/>
      <c r="W495" s="15"/>
    </row>
    <row r="496">
      <c r="A496" s="22"/>
      <c r="B496" s="11"/>
      <c r="C496" s="20"/>
      <c r="D496" s="20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5"/>
      <c r="U496" s="15"/>
      <c r="V496" s="15"/>
      <c r="W496" s="15"/>
    </row>
    <row r="497">
      <c r="A497" s="22"/>
      <c r="B497" s="11"/>
      <c r="C497" s="20"/>
      <c r="D497" s="20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5"/>
      <c r="U497" s="15"/>
      <c r="V497" s="15"/>
      <c r="W497" s="15"/>
    </row>
    <row r="498">
      <c r="A498" s="22"/>
      <c r="B498" s="11"/>
      <c r="C498" s="20"/>
      <c r="D498" s="20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5"/>
      <c r="U498" s="15"/>
      <c r="V498" s="15"/>
      <c r="W498" s="15"/>
    </row>
    <row r="499">
      <c r="A499" s="22"/>
      <c r="B499" s="11"/>
      <c r="C499" s="20"/>
      <c r="D499" s="20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5"/>
      <c r="U499" s="15"/>
      <c r="V499" s="15"/>
      <c r="W499" s="15"/>
    </row>
    <row r="500">
      <c r="A500" s="22"/>
      <c r="B500" s="11"/>
      <c r="C500" s="20"/>
      <c r="D500" s="20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5"/>
      <c r="U500" s="15"/>
      <c r="V500" s="15"/>
      <c r="W500" s="15"/>
    </row>
    <row r="501">
      <c r="A501" s="22"/>
      <c r="B501" s="11"/>
      <c r="C501" s="20"/>
      <c r="D501" s="20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5"/>
      <c r="U501" s="15"/>
      <c r="V501" s="15"/>
      <c r="W501" s="15"/>
    </row>
    <row r="502">
      <c r="A502" s="54"/>
      <c r="B502" s="11"/>
      <c r="C502" s="20"/>
      <c r="D502" s="20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5"/>
      <c r="U502" s="15"/>
      <c r="V502" s="15"/>
      <c r="W502" s="15"/>
    </row>
    <row r="503">
      <c r="A503" s="54"/>
      <c r="B503" s="11"/>
      <c r="C503" s="20"/>
      <c r="D503" s="20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5"/>
      <c r="U503" s="15"/>
      <c r="V503" s="15"/>
      <c r="W503" s="15"/>
    </row>
    <row r="504">
      <c r="A504" s="54"/>
      <c r="B504" s="11"/>
      <c r="C504" s="20"/>
      <c r="D504" s="20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5"/>
      <c r="U504" s="15"/>
      <c r="V504" s="15"/>
      <c r="W504" s="15"/>
    </row>
    <row r="505">
      <c r="A505" s="54"/>
      <c r="B505" s="11"/>
      <c r="C505" s="20"/>
      <c r="D505" s="20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5"/>
      <c r="U505" s="15"/>
      <c r="V505" s="15"/>
      <c r="W505" s="15"/>
    </row>
    <row r="506">
      <c r="A506" s="54"/>
      <c r="B506" s="11"/>
      <c r="C506" s="20"/>
      <c r="D506" s="20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5"/>
      <c r="U506" s="15"/>
      <c r="V506" s="15"/>
      <c r="W506" s="15"/>
    </row>
    <row r="507">
      <c r="A507" s="54"/>
      <c r="B507" s="11"/>
      <c r="C507" s="20"/>
      <c r="D507" s="20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5"/>
      <c r="U507" s="15"/>
      <c r="V507" s="15"/>
      <c r="W507" s="15"/>
    </row>
    <row r="508">
      <c r="A508" s="54"/>
      <c r="B508" s="11"/>
      <c r="C508" s="20"/>
      <c r="D508" s="20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5"/>
      <c r="U508" s="15"/>
      <c r="V508" s="15"/>
      <c r="W508" s="15"/>
    </row>
    <row r="509">
      <c r="A509" s="54"/>
      <c r="B509" s="11"/>
      <c r="C509" s="20"/>
      <c r="D509" s="20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5"/>
      <c r="U509" s="15"/>
      <c r="V509" s="15"/>
      <c r="W509" s="15"/>
    </row>
    <row r="510">
      <c r="A510" s="54"/>
      <c r="B510" s="11"/>
      <c r="C510" s="20"/>
      <c r="D510" s="20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5"/>
      <c r="U510" s="15"/>
      <c r="V510" s="15"/>
      <c r="W510" s="15"/>
    </row>
    <row r="511">
      <c r="A511" s="54"/>
      <c r="B511" s="11"/>
      <c r="C511" s="20"/>
      <c r="D511" s="20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5"/>
      <c r="U511" s="15"/>
      <c r="V511" s="15"/>
      <c r="W511" s="15"/>
    </row>
    <row r="512">
      <c r="A512" s="54"/>
      <c r="B512" s="11"/>
      <c r="C512" s="20"/>
      <c r="D512" s="20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5"/>
      <c r="U512" s="15"/>
      <c r="V512" s="15"/>
      <c r="W512" s="15"/>
    </row>
    <row r="513">
      <c r="A513" s="54"/>
      <c r="B513" s="11"/>
      <c r="C513" s="20"/>
      <c r="D513" s="20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5"/>
      <c r="U513" s="15"/>
      <c r="V513" s="15"/>
      <c r="W513" s="15"/>
    </row>
    <row r="514">
      <c r="A514" s="54"/>
      <c r="B514" s="11"/>
      <c r="C514" s="20"/>
      <c r="D514" s="20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5"/>
      <c r="U514" s="15"/>
      <c r="V514" s="15"/>
      <c r="W514" s="15"/>
    </row>
    <row r="515">
      <c r="A515" s="54"/>
      <c r="B515" s="11"/>
      <c r="C515" s="20"/>
      <c r="D515" s="20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5"/>
      <c r="U515" s="15"/>
      <c r="V515" s="15"/>
      <c r="W515" s="15"/>
    </row>
    <row r="516">
      <c r="A516" s="54"/>
      <c r="B516" s="11"/>
      <c r="C516" s="20"/>
      <c r="D516" s="20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5"/>
      <c r="U516" s="15"/>
      <c r="V516" s="15"/>
      <c r="W516" s="15"/>
    </row>
    <row r="517">
      <c r="A517" s="54"/>
      <c r="B517" s="11"/>
      <c r="C517" s="20"/>
      <c r="D517" s="20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5"/>
      <c r="U517" s="15"/>
      <c r="V517" s="15"/>
      <c r="W517" s="15"/>
    </row>
    <row r="518">
      <c r="A518" s="54"/>
      <c r="B518" s="11"/>
      <c r="C518" s="20"/>
      <c r="D518" s="20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5"/>
      <c r="U518" s="15"/>
      <c r="V518" s="15"/>
      <c r="W518" s="15"/>
    </row>
    <row r="519">
      <c r="A519" s="54"/>
      <c r="B519" s="11"/>
      <c r="C519" s="20"/>
      <c r="D519" s="20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5"/>
      <c r="U519" s="15"/>
      <c r="V519" s="15"/>
      <c r="W519" s="15"/>
    </row>
    <row r="520">
      <c r="A520" s="54"/>
      <c r="B520" s="11"/>
      <c r="C520" s="20"/>
      <c r="D520" s="20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5"/>
      <c r="U520" s="15"/>
      <c r="V520" s="15"/>
      <c r="W520" s="15"/>
    </row>
    <row r="521">
      <c r="A521" s="54"/>
      <c r="B521" s="11"/>
      <c r="C521" s="20"/>
      <c r="D521" s="20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5"/>
      <c r="U521" s="15"/>
      <c r="V521" s="15"/>
      <c r="W521" s="15"/>
    </row>
    <row r="522">
      <c r="A522" s="54"/>
      <c r="B522" s="11"/>
      <c r="C522" s="20"/>
      <c r="D522" s="20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5"/>
      <c r="U522" s="15"/>
      <c r="V522" s="15"/>
      <c r="W522" s="15"/>
    </row>
    <row r="523">
      <c r="A523" s="54"/>
      <c r="B523" s="11"/>
      <c r="C523" s="20"/>
      <c r="D523" s="20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5"/>
      <c r="U523" s="15"/>
      <c r="V523" s="15"/>
      <c r="W523" s="15"/>
    </row>
    <row r="524">
      <c r="A524" s="54"/>
      <c r="B524" s="11"/>
      <c r="C524" s="20"/>
      <c r="D524" s="20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5"/>
      <c r="U524" s="15"/>
      <c r="V524" s="15"/>
      <c r="W524" s="15"/>
    </row>
    <row r="525">
      <c r="A525" s="54"/>
      <c r="B525" s="11"/>
      <c r="C525" s="20"/>
      <c r="D525" s="20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5"/>
      <c r="U525" s="15"/>
      <c r="V525" s="15"/>
      <c r="W525" s="15"/>
    </row>
    <row r="526">
      <c r="A526" s="54"/>
      <c r="B526" s="11"/>
      <c r="C526" s="20"/>
      <c r="D526" s="20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5"/>
      <c r="U526" s="15"/>
      <c r="V526" s="15"/>
      <c r="W526" s="15"/>
    </row>
    <row r="527">
      <c r="A527" s="54"/>
      <c r="B527" s="11"/>
      <c r="C527" s="20"/>
      <c r="D527" s="20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5"/>
      <c r="U527" s="15"/>
      <c r="V527" s="15"/>
      <c r="W527" s="15"/>
    </row>
    <row r="528">
      <c r="A528" s="54"/>
      <c r="B528" s="11"/>
      <c r="C528" s="20"/>
      <c r="D528" s="20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5"/>
      <c r="U528" s="15"/>
      <c r="V528" s="15"/>
      <c r="W528" s="15"/>
    </row>
    <row r="529">
      <c r="A529" s="22"/>
      <c r="B529" s="11"/>
      <c r="C529" s="20"/>
      <c r="D529" s="20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5"/>
      <c r="U529" s="15"/>
      <c r="V529" s="15"/>
      <c r="W529" s="15"/>
    </row>
    <row r="530">
      <c r="A530" s="22"/>
      <c r="B530" s="11"/>
      <c r="C530" s="20"/>
      <c r="D530" s="20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5"/>
      <c r="U530" s="15"/>
      <c r="V530" s="15"/>
      <c r="W530" s="15"/>
    </row>
    <row r="531">
      <c r="A531" s="22"/>
      <c r="B531" s="11"/>
      <c r="C531" s="20"/>
      <c r="D531" s="20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5"/>
      <c r="U531" s="15"/>
      <c r="V531" s="15"/>
      <c r="W531" s="15"/>
    </row>
    <row r="532">
      <c r="A532" s="22"/>
      <c r="B532" s="11"/>
      <c r="C532" s="20"/>
      <c r="D532" s="20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5"/>
      <c r="U532" s="15"/>
      <c r="V532" s="15"/>
      <c r="W532" s="15"/>
    </row>
    <row r="533">
      <c r="A533" s="22"/>
      <c r="B533" s="11"/>
      <c r="C533" s="20"/>
      <c r="D533" s="20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5"/>
      <c r="U533" s="15"/>
      <c r="V533" s="15"/>
      <c r="W533" s="15"/>
    </row>
    <row r="534">
      <c r="A534" s="22"/>
      <c r="B534" s="11"/>
      <c r="C534" s="20"/>
      <c r="D534" s="20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5"/>
      <c r="U534" s="15"/>
      <c r="V534" s="15"/>
      <c r="W534" s="15"/>
    </row>
    <row r="535">
      <c r="A535" s="22"/>
      <c r="B535" s="11"/>
      <c r="C535" s="20"/>
      <c r="D535" s="20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5"/>
      <c r="U535" s="15"/>
      <c r="V535" s="15"/>
      <c r="W535" s="15"/>
    </row>
    <row r="536">
      <c r="A536" s="22"/>
      <c r="B536" s="11"/>
      <c r="C536" s="20"/>
      <c r="D536" s="20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5"/>
      <c r="U536" s="15"/>
      <c r="V536" s="15"/>
      <c r="W536" s="15"/>
    </row>
    <row r="537">
      <c r="A537" s="22"/>
      <c r="B537" s="11"/>
      <c r="C537" s="20"/>
      <c r="D537" s="20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5"/>
      <c r="U537" s="15"/>
      <c r="V537" s="15"/>
      <c r="W537" s="15"/>
    </row>
    <row r="538">
      <c r="A538" s="22"/>
      <c r="B538" s="11"/>
      <c r="C538" s="20"/>
      <c r="D538" s="20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5"/>
      <c r="U538" s="15"/>
      <c r="V538" s="15"/>
      <c r="W538" s="15"/>
    </row>
    <row r="539">
      <c r="A539" s="22"/>
      <c r="B539" s="11"/>
      <c r="C539" s="20"/>
      <c r="D539" s="20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5"/>
      <c r="U539" s="15"/>
      <c r="V539" s="15"/>
      <c r="W539" s="15"/>
    </row>
    <row r="540">
      <c r="A540" s="22"/>
      <c r="B540" s="11"/>
      <c r="C540" s="20"/>
      <c r="D540" s="20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5"/>
      <c r="U540" s="15"/>
      <c r="V540" s="15"/>
      <c r="W540" s="15"/>
    </row>
    <row r="541">
      <c r="A541" s="22"/>
      <c r="B541" s="11"/>
      <c r="C541" s="20"/>
      <c r="D541" s="20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5"/>
      <c r="U541" s="15"/>
      <c r="V541" s="15"/>
      <c r="W541" s="15"/>
    </row>
    <row r="542">
      <c r="A542" s="22"/>
      <c r="B542" s="11"/>
      <c r="C542" s="20"/>
      <c r="D542" s="20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5"/>
      <c r="U542" s="15"/>
      <c r="V542" s="15"/>
      <c r="W542" s="15"/>
    </row>
    <row r="543">
      <c r="A543" s="22"/>
      <c r="B543" s="11"/>
      <c r="C543" s="20"/>
      <c r="D543" s="20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5"/>
      <c r="U543" s="15"/>
      <c r="V543" s="15"/>
      <c r="W543" s="15"/>
    </row>
    <row r="544">
      <c r="A544" s="22"/>
      <c r="B544" s="11"/>
      <c r="C544" s="20"/>
      <c r="D544" s="20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5"/>
      <c r="U544" s="15"/>
      <c r="V544" s="15"/>
      <c r="W544" s="15"/>
    </row>
    <row r="545">
      <c r="A545" s="22"/>
      <c r="B545" s="11"/>
      <c r="C545" s="20"/>
      <c r="D545" s="20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5"/>
      <c r="U545" s="15"/>
      <c r="V545" s="15"/>
      <c r="W545" s="15"/>
    </row>
    <row r="546">
      <c r="A546" s="22"/>
      <c r="B546" s="11"/>
      <c r="C546" s="20"/>
      <c r="D546" s="20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5"/>
      <c r="U546" s="15"/>
      <c r="V546" s="15"/>
      <c r="W546" s="15"/>
    </row>
    <row r="547">
      <c r="A547" s="22"/>
      <c r="B547" s="11"/>
      <c r="C547" s="20"/>
      <c r="D547" s="20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5"/>
      <c r="U547" s="15"/>
      <c r="V547" s="15"/>
      <c r="W547" s="15"/>
    </row>
    <row r="548">
      <c r="A548" s="54"/>
      <c r="B548" s="11"/>
      <c r="C548" s="20"/>
      <c r="D548" s="20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5"/>
      <c r="U548" s="15"/>
      <c r="V548" s="15"/>
      <c r="W548" s="15"/>
    </row>
    <row r="549">
      <c r="A549" s="54"/>
      <c r="B549" s="11"/>
      <c r="C549" s="20"/>
      <c r="D549" s="20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5"/>
      <c r="U549" s="15"/>
      <c r="V549" s="15"/>
      <c r="W549" s="15"/>
    </row>
    <row r="550">
      <c r="A550" s="54"/>
      <c r="B550" s="11"/>
      <c r="C550" s="20"/>
      <c r="D550" s="20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5"/>
      <c r="U550" s="15"/>
      <c r="V550" s="15"/>
      <c r="W550" s="15"/>
    </row>
    <row r="551">
      <c r="A551" s="54"/>
      <c r="B551" s="11"/>
      <c r="C551" s="20"/>
      <c r="D551" s="20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5"/>
      <c r="U551" s="15"/>
      <c r="V551" s="15"/>
      <c r="W551" s="15"/>
    </row>
    <row r="552">
      <c r="A552" s="54"/>
      <c r="B552" s="11"/>
      <c r="C552" s="20"/>
      <c r="D552" s="20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5"/>
      <c r="U552" s="15"/>
      <c r="V552" s="15"/>
      <c r="W552" s="15"/>
    </row>
    <row r="553">
      <c r="A553" s="54"/>
      <c r="B553" s="11"/>
      <c r="C553" s="20"/>
      <c r="D553" s="20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5"/>
      <c r="U553" s="15"/>
      <c r="V553" s="15"/>
      <c r="W553" s="15"/>
    </row>
    <row r="554">
      <c r="A554" s="54"/>
      <c r="B554" s="11"/>
      <c r="C554" s="20"/>
      <c r="D554" s="20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5"/>
      <c r="U554" s="15"/>
      <c r="V554" s="15"/>
      <c r="W554" s="15"/>
    </row>
    <row r="555">
      <c r="A555" s="54"/>
      <c r="B555" s="11"/>
      <c r="C555" s="20"/>
      <c r="D555" s="20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5"/>
      <c r="U555" s="15"/>
      <c r="V555" s="15"/>
      <c r="W555" s="15"/>
    </row>
    <row r="556">
      <c r="A556" s="54"/>
      <c r="B556" s="11"/>
      <c r="C556" s="20"/>
      <c r="D556" s="20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5"/>
      <c r="U556" s="15"/>
      <c r="V556" s="15"/>
      <c r="W556" s="15"/>
    </row>
    <row r="557">
      <c r="A557" s="54"/>
      <c r="B557" s="11"/>
      <c r="C557" s="20"/>
      <c r="D557" s="20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5"/>
      <c r="U557" s="15"/>
      <c r="V557" s="15"/>
      <c r="W557" s="15"/>
    </row>
    <row r="558">
      <c r="A558" s="54"/>
      <c r="B558" s="11"/>
      <c r="C558" s="20"/>
      <c r="D558" s="20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5"/>
      <c r="U558" s="15"/>
      <c r="V558" s="15"/>
      <c r="W558" s="15"/>
    </row>
    <row r="559">
      <c r="A559" s="54"/>
      <c r="B559" s="11"/>
      <c r="C559" s="20"/>
      <c r="D559" s="20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5"/>
      <c r="U559" s="15"/>
      <c r="V559" s="15"/>
      <c r="W559" s="15"/>
    </row>
    <row r="560">
      <c r="A560" s="54"/>
      <c r="B560" s="11"/>
      <c r="C560" s="20"/>
      <c r="D560" s="20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5"/>
      <c r="U560" s="15"/>
      <c r="V560" s="15"/>
      <c r="W560" s="15"/>
    </row>
    <row r="561">
      <c r="A561" s="54"/>
      <c r="B561" s="11"/>
      <c r="C561" s="20"/>
      <c r="D561" s="20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5"/>
      <c r="U561" s="15"/>
      <c r="V561" s="15"/>
      <c r="W561" s="15"/>
    </row>
    <row r="562">
      <c r="A562" s="54"/>
      <c r="B562" s="11"/>
      <c r="C562" s="20"/>
      <c r="D562" s="20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5"/>
      <c r="U562" s="15"/>
      <c r="V562" s="15"/>
      <c r="W562" s="15"/>
    </row>
    <row r="563">
      <c r="A563" s="54"/>
      <c r="B563" s="11"/>
      <c r="C563" s="20"/>
      <c r="D563" s="20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5"/>
      <c r="U563" s="15"/>
      <c r="V563" s="15"/>
      <c r="W563" s="15"/>
    </row>
    <row r="564">
      <c r="A564" s="54"/>
      <c r="B564" s="11"/>
      <c r="C564" s="20"/>
      <c r="D564" s="20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5"/>
      <c r="U564" s="15"/>
      <c r="V564" s="15"/>
      <c r="W564" s="15"/>
    </row>
    <row r="565">
      <c r="A565" s="54"/>
      <c r="B565" s="11"/>
      <c r="C565" s="20"/>
      <c r="D565" s="20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5"/>
      <c r="U565" s="15"/>
      <c r="V565" s="15"/>
      <c r="W565" s="15"/>
    </row>
    <row r="566">
      <c r="A566" s="22"/>
      <c r="B566" s="11"/>
      <c r="C566" s="20"/>
      <c r="D566" s="20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5"/>
      <c r="U566" s="15"/>
      <c r="V566" s="15"/>
      <c r="W566" s="15"/>
    </row>
    <row r="567">
      <c r="A567" s="22"/>
      <c r="B567" s="11"/>
      <c r="C567" s="20"/>
      <c r="D567" s="20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5"/>
      <c r="U567" s="15"/>
      <c r="V567" s="15"/>
      <c r="W567" s="15"/>
    </row>
    <row r="568">
      <c r="A568" s="22"/>
      <c r="B568" s="11"/>
      <c r="C568" s="20"/>
      <c r="D568" s="20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5"/>
      <c r="U568" s="15"/>
      <c r="V568" s="15"/>
      <c r="W568" s="15"/>
    </row>
    <row r="569">
      <c r="A569" s="22"/>
      <c r="B569" s="11"/>
      <c r="C569" s="20"/>
      <c r="D569" s="20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5"/>
      <c r="U569" s="15"/>
      <c r="V569" s="15"/>
      <c r="W569" s="15"/>
    </row>
    <row r="570">
      <c r="A570" s="22"/>
      <c r="B570" s="11"/>
      <c r="C570" s="20"/>
      <c r="D570" s="20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5"/>
      <c r="U570" s="15"/>
      <c r="V570" s="15"/>
      <c r="W570" s="15"/>
    </row>
    <row r="571">
      <c r="A571" s="22"/>
      <c r="B571" s="11"/>
      <c r="C571" s="20"/>
      <c r="D571" s="20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5"/>
      <c r="U571" s="15"/>
      <c r="V571" s="15"/>
      <c r="W571" s="15"/>
    </row>
    <row r="572">
      <c r="A572" s="22"/>
      <c r="B572" s="11"/>
      <c r="C572" s="20"/>
      <c r="D572" s="20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5"/>
      <c r="U572" s="15"/>
      <c r="V572" s="15"/>
      <c r="W572" s="15"/>
    </row>
    <row r="573">
      <c r="A573" s="22"/>
      <c r="B573" s="11"/>
      <c r="C573" s="20"/>
      <c r="D573" s="20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5"/>
      <c r="U573" s="15"/>
      <c r="V573" s="15"/>
      <c r="W573" s="15"/>
    </row>
    <row r="574">
      <c r="A574" s="22"/>
      <c r="B574" s="11"/>
      <c r="C574" s="20"/>
      <c r="D574" s="20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5"/>
      <c r="U574" s="15"/>
      <c r="V574" s="15"/>
      <c r="W574" s="15"/>
    </row>
    <row r="575">
      <c r="A575" s="22"/>
      <c r="B575" s="11"/>
      <c r="C575" s="20"/>
      <c r="D575" s="20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5"/>
      <c r="U575" s="15"/>
      <c r="V575" s="15"/>
      <c r="W575" s="15"/>
    </row>
    <row r="576">
      <c r="A576" s="22"/>
      <c r="B576" s="11"/>
      <c r="C576" s="20"/>
      <c r="D576" s="20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5"/>
      <c r="U576" s="15"/>
      <c r="V576" s="15"/>
      <c r="W576" s="15"/>
    </row>
    <row r="577">
      <c r="A577" s="22"/>
      <c r="B577" s="11"/>
      <c r="C577" s="20"/>
      <c r="D577" s="20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5"/>
      <c r="U577" s="15"/>
      <c r="V577" s="15"/>
      <c r="W577" s="15"/>
    </row>
    <row r="578">
      <c r="A578" s="22"/>
      <c r="B578" s="11"/>
      <c r="C578" s="20"/>
      <c r="D578" s="20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5"/>
      <c r="U578" s="15"/>
      <c r="V578" s="15"/>
      <c r="W578" s="15"/>
    </row>
    <row r="579">
      <c r="A579" s="22"/>
      <c r="B579" s="11"/>
      <c r="C579" s="20"/>
      <c r="D579" s="20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5"/>
      <c r="U579" s="15"/>
      <c r="V579" s="15"/>
      <c r="W579" s="15"/>
    </row>
    <row r="580">
      <c r="A580" s="22"/>
      <c r="B580" s="11"/>
      <c r="C580" s="20"/>
      <c r="D580" s="20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5"/>
      <c r="U580" s="15"/>
      <c r="V580" s="15"/>
      <c r="W580" s="15"/>
    </row>
    <row r="581">
      <c r="A581" s="22"/>
      <c r="B581" s="11"/>
      <c r="C581" s="20"/>
      <c r="D581" s="20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5"/>
      <c r="U581" s="15"/>
      <c r="V581" s="15"/>
      <c r="W581" s="15"/>
    </row>
    <row r="582">
      <c r="A582" s="22"/>
      <c r="B582" s="11"/>
      <c r="C582" s="20"/>
      <c r="D582" s="20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5"/>
      <c r="U582" s="15"/>
      <c r="V582" s="15"/>
      <c r="W582" s="15"/>
    </row>
    <row r="583">
      <c r="A583" s="22"/>
      <c r="B583" s="11"/>
      <c r="C583" s="20"/>
      <c r="D583" s="20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5"/>
      <c r="U583" s="15"/>
      <c r="V583" s="15"/>
      <c r="W583" s="15"/>
    </row>
    <row r="584">
      <c r="A584" s="22"/>
      <c r="B584" s="11"/>
      <c r="C584" s="20"/>
      <c r="D584" s="20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5"/>
      <c r="U584" s="15"/>
      <c r="V584" s="15"/>
      <c r="W584" s="15"/>
    </row>
    <row r="585">
      <c r="A585" s="54"/>
      <c r="B585" s="11"/>
      <c r="C585" s="20"/>
      <c r="D585" s="20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5"/>
      <c r="U585" s="15"/>
      <c r="V585" s="15"/>
      <c r="W585" s="15"/>
    </row>
    <row r="586">
      <c r="A586" s="54"/>
      <c r="B586" s="11"/>
      <c r="C586" s="20"/>
      <c r="D586" s="20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5"/>
      <c r="U586" s="15"/>
      <c r="V586" s="15"/>
      <c r="W586" s="15"/>
    </row>
    <row r="587">
      <c r="A587" s="54"/>
      <c r="B587" s="11"/>
      <c r="C587" s="20"/>
      <c r="D587" s="20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5"/>
      <c r="U587" s="15"/>
      <c r="V587" s="15"/>
      <c r="W587" s="15"/>
    </row>
    <row r="588">
      <c r="A588" s="54"/>
      <c r="B588" s="11"/>
      <c r="C588" s="20"/>
      <c r="D588" s="20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5"/>
      <c r="U588" s="15"/>
      <c r="V588" s="15"/>
      <c r="W588" s="15"/>
    </row>
    <row r="589">
      <c r="A589" s="54"/>
      <c r="B589" s="11"/>
      <c r="C589" s="20"/>
      <c r="D589" s="20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5"/>
      <c r="U589" s="15"/>
      <c r="V589" s="15"/>
      <c r="W589" s="15"/>
    </row>
    <row r="590">
      <c r="A590" s="54"/>
      <c r="B590" s="11"/>
      <c r="C590" s="20"/>
      <c r="D590" s="20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5"/>
      <c r="U590" s="15"/>
      <c r="V590" s="15"/>
      <c r="W590" s="15"/>
    </row>
    <row r="591">
      <c r="A591" s="54"/>
      <c r="B591" s="11"/>
      <c r="C591" s="20"/>
      <c r="D591" s="20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5"/>
      <c r="U591" s="15"/>
      <c r="V591" s="15"/>
      <c r="W591" s="15"/>
    </row>
    <row r="592">
      <c r="A592" s="54"/>
      <c r="B592" s="11"/>
      <c r="C592" s="20"/>
      <c r="D592" s="20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5"/>
      <c r="U592" s="15"/>
      <c r="V592" s="15"/>
      <c r="W592" s="15"/>
    </row>
    <row r="593">
      <c r="A593" s="54"/>
      <c r="B593" s="11"/>
      <c r="C593" s="20"/>
      <c r="D593" s="20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5"/>
      <c r="U593" s="15"/>
      <c r="V593" s="15"/>
      <c r="W593" s="15"/>
    </row>
    <row r="594">
      <c r="A594" s="54"/>
      <c r="B594" s="11"/>
      <c r="C594" s="20"/>
      <c r="D594" s="20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5"/>
      <c r="U594" s="15"/>
      <c r="V594" s="15"/>
      <c r="W594" s="15"/>
    </row>
    <row r="595">
      <c r="A595" s="54"/>
      <c r="B595" s="11"/>
      <c r="C595" s="20"/>
      <c r="D595" s="20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5"/>
      <c r="U595" s="15"/>
      <c r="V595" s="15"/>
      <c r="W595" s="15"/>
    </row>
    <row r="596">
      <c r="A596" s="54"/>
      <c r="B596" s="11"/>
      <c r="C596" s="20"/>
      <c r="D596" s="20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5"/>
      <c r="U596" s="15"/>
      <c r="V596" s="15"/>
      <c r="W596" s="15"/>
    </row>
    <row r="597">
      <c r="A597" s="54"/>
      <c r="B597" s="11"/>
      <c r="C597" s="20"/>
      <c r="D597" s="20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5"/>
      <c r="U597" s="15"/>
      <c r="V597" s="15"/>
      <c r="W597" s="15"/>
    </row>
    <row r="598">
      <c r="A598" s="54"/>
      <c r="B598" s="11"/>
      <c r="C598" s="20"/>
      <c r="D598" s="20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5"/>
      <c r="U598" s="15"/>
      <c r="V598" s="15"/>
      <c r="W598" s="15"/>
    </row>
    <row r="599">
      <c r="A599" s="54"/>
      <c r="B599" s="11"/>
      <c r="C599" s="20"/>
      <c r="D599" s="20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5"/>
      <c r="U599" s="15"/>
      <c r="V599" s="15"/>
      <c r="W599" s="15"/>
    </row>
    <row r="600">
      <c r="A600" s="54"/>
      <c r="B600" s="11"/>
      <c r="C600" s="20"/>
      <c r="D600" s="20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5"/>
      <c r="U600" s="15"/>
      <c r="V600" s="15"/>
      <c r="W600" s="15"/>
    </row>
    <row r="601">
      <c r="A601" s="54"/>
      <c r="B601" s="11"/>
      <c r="C601" s="20"/>
      <c r="D601" s="20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5"/>
      <c r="U601" s="15"/>
      <c r="V601" s="15"/>
      <c r="W601" s="15"/>
    </row>
    <row r="602">
      <c r="A602" s="54"/>
      <c r="B602" s="11"/>
      <c r="C602" s="20"/>
      <c r="D602" s="20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5"/>
      <c r="U602" s="15"/>
      <c r="V602" s="15"/>
      <c r="W602" s="15"/>
    </row>
    <row r="603">
      <c r="A603" s="54"/>
      <c r="B603" s="11"/>
      <c r="C603" s="20"/>
      <c r="D603" s="20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5"/>
      <c r="U603" s="15"/>
      <c r="V603" s="15"/>
      <c r="W603" s="15"/>
    </row>
    <row r="604">
      <c r="A604" s="54"/>
      <c r="B604" s="11"/>
      <c r="C604" s="20"/>
      <c r="D604" s="20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5"/>
      <c r="U604" s="15"/>
      <c r="V604" s="15"/>
      <c r="W604" s="15"/>
    </row>
    <row r="605">
      <c r="A605" s="54"/>
      <c r="B605" s="11"/>
      <c r="C605" s="20"/>
      <c r="D605" s="20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5"/>
      <c r="U605" s="15"/>
      <c r="V605" s="15"/>
      <c r="W605" s="15"/>
    </row>
    <row r="606">
      <c r="A606" s="54"/>
      <c r="B606" s="11"/>
      <c r="C606" s="20"/>
      <c r="D606" s="20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5"/>
      <c r="U606" s="15"/>
      <c r="V606" s="15"/>
      <c r="W606" s="15"/>
    </row>
    <row r="607">
      <c r="A607" s="54"/>
      <c r="B607" s="11"/>
      <c r="C607" s="20"/>
      <c r="D607" s="20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5"/>
      <c r="U607" s="15"/>
      <c r="V607" s="15"/>
      <c r="W607" s="15"/>
    </row>
    <row r="608">
      <c r="A608" s="54"/>
      <c r="B608" s="11"/>
      <c r="C608" s="20"/>
      <c r="D608" s="20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5"/>
      <c r="U608" s="15"/>
      <c r="V608" s="15"/>
      <c r="W608" s="15"/>
    </row>
    <row r="609">
      <c r="A609" s="54"/>
      <c r="B609" s="11"/>
      <c r="C609" s="20"/>
      <c r="D609" s="20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5"/>
      <c r="U609" s="15"/>
      <c r="V609" s="15"/>
      <c r="W609" s="15"/>
    </row>
    <row r="610">
      <c r="A610" s="54"/>
      <c r="B610" s="11"/>
      <c r="C610" s="20"/>
      <c r="D610" s="20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5"/>
      <c r="U610" s="15"/>
      <c r="V610" s="15"/>
      <c r="W610" s="15"/>
    </row>
    <row r="611">
      <c r="A611" s="54"/>
      <c r="B611" s="11"/>
      <c r="C611" s="20"/>
      <c r="D611" s="20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5"/>
      <c r="U611" s="15"/>
      <c r="V611" s="15"/>
      <c r="W611" s="15"/>
    </row>
    <row r="612">
      <c r="A612" s="22"/>
      <c r="B612" s="11"/>
      <c r="C612" s="20"/>
      <c r="D612" s="20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5"/>
      <c r="U612" s="15"/>
      <c r="V612" s="15"/>
      <c r="W612" s="15"/>
    </row>
    <row r="613">
      <c r="A613" s="22"/>
      <c r="B613" s="11"/>
      <c r="C613" s="20"/>
      <c r="D613" s="20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5"/>
      <c r="U613" s="15"/>
      <c r="V613" s="15"/>
      <c r="W613" s="15"/>
    </row>
    <row r="614">
      <c r="A614" s="22"/>
      <c r="B614" s="11"/>
      <c r="C614" s="20"/>
      <c r="D614" s="20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5"/>
      <c r="U614" s="15"/>
      <c r="V614" s="15"/>
      <c r="W614" s="15"/>
    </row>
    <row r="615">
      <c r="A615" s="22"/>
      <c r="B615" s="11"/>
      <c r="C615" s="20"/>
      <c r="D615" s="20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5"/>
      <c r="U615" s="15"/>
      <c r="V615" s="15"/>
      <c r="W615" s="15"/>
    </row>
    <row r="616">
      <c r="A616" s="22"/>
      <c r="B616" s="11"/>
      <c r="C616" s="20"/>
      <c r="D616" s="20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5"/>
      <c r="U616" s="15"/>
      <c r="V616" s="15"/>
      <c r="W616" s="15"/>
    </row>
    <row r="617">
      <c r="A617" s="22"/>
      <c r="B617" s="11"/>
      <c r="C617" s="20"/>
      <c r="D617" s="20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5"/>
      <c r="U617" s="15"/>
      <c r="V617" s="15"/>
      <c r="W617" s="15"/>
    </row>
    <row r="618">
      <c r="A618" s="22"/>
      <c r="B618" s="11"/>
      <c r="C618" s="20"/>
      <c r="D618" s="20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5"/>
      <c r="U618" s="15"/>
      <c r="V618" s="15"/>
      <c r="W618" s="15"/>
    </row>
    <row r="619">
      <c r="A619" s="22"/>
      <c r="B619" s="11"/>
      <c r="C619" s="20"/>
      <c r="D619" s="20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5"/>
      <c r="U619" s="15"/>
      <c r="V619" s="15"/>
      <c r="W619" s="15"/>
    </row>
    <row r="620">
      <c r="A620" s="22"/>
      <c r="B620" s="11"/>
      <c r="C620" s="20"/>
      <c r="D620" s="20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5"/>
      <c r="U620" s="15"/>
      <c r="V620" s="15"/>
      <c r="W620" s="15"/>
    </row>
    <row r="621">
      <c r="A621" s="22"/>
      <c r="B621" s="11"/>
      <c r="C621" s="20"/>
      <c r="D621" s="20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5"/>
      <c r="U621" s="15"/>
      <c r="V621" s="15"/>
      <c r="W621" s="15"/>
    </row>
    <row r="622">
      <c r="A622" s="22"/>
      <c r="B622" s="11"/>
      <c r="C622" s="20"/>
      <c r="D622" s="20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5"/>
      <c r="U622" s="15"/>
      <c r="V622" s="15"/>
      <c r="W622" s="15"/>
    </row>
    <row r="623">
      <c r="A623" s="22"/>
      <c r="B623" s="11"/>
      <c r="C623" s="20"/>
      <c r="D623" s="20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5"/>
      <c r="U623" s="15"/>
      <c r="V623" s="15"/>
      <c r="W623" s="15"/>
    </row>
    <row r="624">
      <c r="A624" s="22"/>
      <c r="B624" s="11"/>
      <c r="C624" s="20"/>
      <c r="D624" s="20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5"/>
      <c r="U624" s="15"/>
      <c r="V624" s="15"/>
      <c r="W624" s="15"/>
    </row>
    <row r="625">
      <c r="A625" s="22"/>
      <c r="B625" s="11"/>
      <c r="C625" s="20"/>
      <c r="D625" s="20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5"/>
      <c r="U625" s="15"/>
      <c r="V625" s="15"/>
      <c r="W625" s="15"/>
    </row>
    <row r="626">
      <c r="A626" s="22"/>
      <c r="B626" s="11"/>
      <c r="C626" s="20"/>
      <c r="D626" s="20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5"/>
      <c r="U626" s="15"/>
      <c r="V626" s="15"/>
      <c r="W626" s="15"/>
    </row>
    <row r="627">
      <c r="A627" s="22"/>
      <c r="B627" s="11"/>
      <c r="C627" s="20"/>
      <c r="D627" s="20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5"/>
      <c r="U627" s="15"/>
      <c r="V627" s="15"/>
      <c r="W627" s="15"/>
    </row>
    <row r="628">
      <c r="A628" s="22"/>
      <c r="B628" s="11"/>
      <c r="C628" s="20"/>
      <c r="D628" s="20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5"/>
      <c r="U628" s="15"/>
      <c r="V628" s="15"/>
      <c r="W628" s="15"/>
    </row>
    <row r="629">
      <c r="A629" s="22"/>
      <c r="B629" s="11"/>
      <c r="C629" s="20"/>
      <c r="D629" s="20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5"/>
      <c r="U629" s="15"/>
      <c r="V629" s="15"/>
      <c r="W629" s="15"/>
    </row>
    <row r="630">
      <c r="A630" s="22"/>
      <c r="B630" s="11"/>
      <c r="C630" s="20"/>
      <c r="D630" s="20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5"/>
      <c r="U630" s="15"/>
      <c r="V630" s="15"/>
      <c r="W630" s="15"/>
    </row>
    <row r="631">
      <c r="A631" s="54"/>
      <c r="B631" s="11"/>
      <c r="C631" s="20"/>
      <c r="D631" s="20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5"/>
      <c r="U631" s="15"/>
      <c r="V631" s="15"/>
      <c r="W631" s="15"/>
    </row>
    <row r="632">
      <c r="A632" s="54"/>
      <c r="B632" s="11"/>
      <c r="C632" s="20"/>
      <c r="D632" s="20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5"/>
      <c r="U632" s="15"/>
      <c r="V632" s="15"/>
      <c r="W632" s="15"/>
    </row>
    <row r="633">
      <c r="A633" s="54"/>
      <c r="B633" s="11"/>
      <c r="C633" s="20"/>
      <c r="D633" s="20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5"/>
      <c r="U633" s="15"/>
      <c r="V633" s="15"/>
      <c r="W633" s="15"/>
    </row>
    <row r="634">
      <c r="A634" s="54"/>
      <c r="B634" s="11"/>
      <c r="C634" s="20"/>
      <c r="D634" s="20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5"/>
      <c r="U634" s="15"/>
      <c r="V634" s="15"/>
      <c r="W634" s="15"/>
    </row>
    <row r="635">
      <c r="A635" s="54"/>
      <c r="B635" s="11"/>
      <c r="C635" s="20"/>
      <c r="D635" s="20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5"/>
      <c r="U635" s="15"/>
      <c r="V635" s="15"/>
      <c r="W635" s="15"/>
    </row>
    <row r="636">
      <c r="A636" s="54"/>
      <c r="B636" s="11"/>
      <c r="C636" s="20"/>
      <c r="D636" s="20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5"/>
      <c r="U636" s="15"/>
      <c r="V636" s="15"/>
      <c r="W636" s="15"/>
    </row>
    <row r="637">
      <c r="A637" s="54"/>
      <c r="B637" s="11"/>
      <c r="C637" s="20"/>
      <c r="D637" s="20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5"/>
      <c r="U637" s="15"/>
      <c r="V637" s="15"/>
      <c r="W637" s="15"/>
    </row>
    <row r="638">
      <c r="A638" s="54"/>
      <c r="B638" s="11"/>
      <c r="C638" s="20"/>
      <c r="D638" s="20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5"/>
      <c r="U638" s="15"/>
      <c r="V638" s="15"/>
      <c r="W638" s="15"/>
    </row>
    <row r="639">
      <c r="A639" s="54"/>
      <c r="B639" s="11"/>
      <c r="C639" s="20"/>
      <c r="D639" s="20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5"/>
      <c r="U639" s="15"/>
      <c r="V639" s="15"/>
      <c r="W639" s="15"/>
    </row>
    <row r="640">
      <c r="A640" s="54"/>
      <c r="B640" s="11"/>
      <c r="C640" s="20"/>
      <c r="D640" s="20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5"/>
      <c r="U640" s="15"/>
      <c r="V640" s="15"/>
      <c r="W640" s="15"/>
    </row>
    <row r="641">
      <c r="A641" s="54"/>
      <c r="B641" s="11"/>
      <c r="C641" s="20"/>
      <c r="D641" s="20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5"/>
      <c r="U641" s="15"/>
      <c r="V641" s="15"/>
      <c r="W641" s="15"/>
    </row>
    <row r="642">
      <c r="A642" s="54"/>
      <c r="B642" s="11"/>
      <c r="C642" s="20"/>
      <c r="D642" s="20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5"/>
      <c r="U642" s="15"/>
      <c r="V642" s="15"/>
      <c r="W642" s="15"/>
    </row>
    <row r="643">
      <c r="A643" s="54"/>
      <c r="B643" s="11"/>
      <c r="C643" s="20"/>
      <c r="D643" s="20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5"/>
      <c r="U643" s="15"/>
      <c r="V643" s="15"/>
      <c r="W643" s="15"/>
    </row>
    <row r="644">
      <c r="A644" s="54"/>
      <c r="B644" s="11"/>
      <c r="C644" s="20"/>
      <c r="D644" s="20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5"/>
      <c r="U644" s="15"/>
      <c r="V644" s="15"/>
      <c r="W644" s="15"/>
    </row>
    <row r="645">
      <c r="A645" s="54"/>
      <c r="B645" s="11"/>
      <c r="C645" s="20"/>
      <c r="D645" s="20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5"/>
      <c r="U645" s="15"/>
      <c r="V645" s="15"/>
      <c r="W645" s="15"/>
    </row>
    <row r="646">
      <c r="A646" s="54"/>
      <c r="B646" s="11"/>
      <c r="C646" s="20"/>
      <c r="D646" s="20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5"/>
      <c r="U646" s="15"/>
      <c r="V646" s="15"/>
      <c r="W646" s="15"/>
    </row>
    <row r="647">
      <c r="A647" s="54"/>
      <c r="B647" s="11"/>
      <c r="C647" s="20"/>
      <c r="D647" s="20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5"/>
      <c r="U647" s="15"/>
      <c r="V647" s="15"/>
      <c r="W647" s="15"/>
    </row>
    <row r="648">
      <c r="A648" s="54"/>
      <c r="B648" s="11"/>
      <c r="C648" s="20"/>
      <c r="D648" s="20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5"/>
      <c r="U648" s="15"/>
      <c r="V648" s="15"/>
      <c r="W648" s="15"/>
    </row>
    <row r="649">
      <c r="A649" s="22"/>
      <c r="B649" s="11"/>
      <c r="C649" s="20"/>
      <c r="D649" s="20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5"/>
      <c r="U649" s="15"/>
      <c r="V649" s="15"/>
      <c r="W649" s="15"/>
    </row>
    <row r="650">
      <c r="A650" s="22"/>
      <c r="B650" s="11"/>
      <c r="C650" s="20"/>
      <c r="D650" s="20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5"/>
      <c r="U650" s="15"/>
      <c r="V650" s="15"/>
      <c r="W650" s="15"/>
    </row>
    <row r="651">
      <c r="A651" s="22"/>
      <c r="B651" s="11"/>
      <c r="C651" s="20"/>
      <c r="D651" s="20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5"/>
      <c r="U651" s="15"/>
      <c r="V651" s="15"/>
      <c r="W651" s="15"/>
    </row>
    <row r="652">
      <c r="A652" s="22"/>
      <c r="B652" s="11"/>
      <c r="C652" s="20"/>
      <c r="D652" s="20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5"/>
      <c r="U652" s="15"/>
      <c r="V652" s="15"/>
      <c r="W652" s="15"/>
    </row>
    <row r="653">
      <c r="A653" s="22"/>
      <c r="B653" s="11"/>
      <c r="C653" s="20"/>
      <c r="D653" s="20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5"/>
      <c r="U653" s="15"/>
      <c r="V653" s="15"/>
      <c r="W653" s="15"/>
    </row>
    <row r="654">
      <c r="A654" s="22"/>
      <c r="B654" s="11"/>
      <c r="C654" s="20"/>
      <c r="D654" s="20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5"/>
      <c r="U654" s="15"/>
      <c r="V654" s="15"/>
      <c r="W654" s="15"/>
    </row>
    <row r="655">
      <c r="A655" s="22"/>
      <c r="B655" s="11"/>
      <c r="C655" s="20"/>
      <c r="D655" s="20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5"/>
      <c r="U655" s="15"/>
      <c r="V655" s="15"/>
      <c r="W655" s="15"/>
    </row>
    <row r="656">
      <c r="A656" s="22"/>
      <c r="B656" s="11"/>
      <c r="C656" s="20"/>
      <c r="D656" s="20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5"/>
      <c r="U656" s="15"/>
      <c r="V656" s="15"/>
      <c r="W656" s="15"/>
    </row>
    <row r="657">
      <c r="A657" s="22"/>
      <c r="B657" s="11"/>
      <c r="C657" s="20"/>
      <c r="D657" s="20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5"/>
      <c r="U657" s="15"/>
      <c r="V657" s="15"/>
      <c r="W657" s="15"/>
    </row>
    <row r="658">
      <c r="A658" s="22"/>
      <c r="B658" s="11"/>
      <c r="C658" s="20"/>
      <c r="D658" s="20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5"/>
      <c r="U658" s="15"/>
      <c r="V658" s="15"/>
      <c r="W658" s="15"/>
    </row>
    <row r="659">
      <c r="A659" s="22"/>
      <c r="B659" s="11"/>
      <c r="C659" s="20"/>
      <c r="D659" s="20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5"/>
      <c r="U659" s="15"/>
      <c r="V659" s="15"/>
      <c r="W659" s="15"/>
    </row>
    <row r="660">
      <c r="A660" s="22"/>
      <c r="B660" s="11"/>
      <c r="C660" s="20"/>
      <c r="D660" s="20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5"/>
      <c r="U660" s="15"/>
      <c r="V660" s="15"/>
      <c r="W660" s="15"/>
    </row>
    <row r="661">
      <c r="A661" s="22"/>
      <c r="B661" s="11"/>
      <c r="C661" s="20"/>
      <c r="D661" s="20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5"/>
      <c r="U661" s="15"/>
      <c r="V661" s="15"/>
      <c r="W661" s="15"/>
    </row>
    <row r="662">
      <c r="A662" s="22"/>
      <c r="B662" s="11"/>
      <c r="C662" s="20"/>
      <c r="D662" s="20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5"/>
      <c r="U662" s="15"/>
      <c r="V662" s="15"/>
      <c r="W662" s="15"/>
    </row>
    <row r="663">
      <c r="A663" s="22"/>
      <c r="B663" s="11"/>
      <c r="C663" s="20"/>
      <c r="D663" s="20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5"/>
      <c r="U663" s="15"/>
      <c r="V663" s="15"/>
      <c r="W663" s="15"/>
    </row>
    <row r="664">
      <c r="A664" s="22"/>
      <c r="B664" s="11"/>
      <c r="C664" s="20"/>
      <c r="D664" s="20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5"/>
      <c r="U664" s="15"/>
      <c r="V664" s="15"/>
      <c r="W664" s="15"/>
    </row>
    <row r="665">
      <c r="A665" s="22"/>
      <c r="B665" s="11"/>
      <c r="C665" s="20"/>
      <c r="D665" s="20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5"/>
      <c r="U665" s="15"/>
      <c r="V665" s="15"/>
      <c r="W665" s="15"/>
    </row>
    <row r="666">
      <c r="A666" s="22"/>
      <c r="B666" s="11"/>
      <c r="C666" s="20"/>
      <c r="D666" s="20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5"/>
      <c r="U666" s="15"/>
      <c r="V666" s="15"/>
      <c r="W666" s="15"/>
    </row>
    <row r="667">
      <c r="A667" s="22"/>
      <c r="B667" s="11"/>
      <c r="C667" s="20"/>
      <c r="D667" s="20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5"/>
      <c r="U667" s="15"/>
      <c r="V667" s="15"/>
      <c r="W667" s="15"/>
    </row>
    <row r="668">
      <c r="A668" s="54"/>
      <c r="B668" s="11"/>
      <c r="C668" s="20"/>
      <c r="D668" s="20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5"/>
      <c r="U668" s="15"/>
      <c r="V668" s="15"/>
      <c r="W668" s="15"/>
    </row>
    <row r="669">
      <c r="A669" s="54"/>
      <c r="B669" s="11"/>
      <c r="C669" s="20"/>
      <c r="D669" s="20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5"/>
      <c r="U669" s="15"/>
      <c r="V669" s="15"/>
      <c r="W669" s="15"/>
    </row>
    <row r="670">
      <c r="A670" s="54"/>
      <c r="B670" s="11"/>
      <c r="C670" s="20"/>
      <c r="D670" s="20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5"/>
      <c r="U670" s="15"/>
      <c r="V670" s="15"/>
      <c r="W670" s="15"/>
    </row>
    <row r="671">
      <c r="A671" s="54"/>
      <c r="B671" s="11"/>
      <c r="C671" s="20"/>
      <c r="D671" s="20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5"/>
      <c r="U671" s="15"/>
      <c r="V671" s="15"/>
      <c r="W671" s="15"/>
    </row>
    <row r="672">
      <c r="A672" s="54"/>
      <c r="B672" s="11"/>
      <c r="C672" s="20"/>
      <c r="D672" s="20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5"/>
      <c r="U672" s="15"/>
      <c r="V672" s="15"/>
      <c r="W672" s="15"/>
    </row>
    <row r="673">
      <c r="A673" s="54"/>
      <c r="B673" s="11"/>
      <c r="C673" s="20"/>
      <c r="D673" s="20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5"/>
      <c r="U673" s="15"/>
      <c r="V673" s="15"/>
      <c r="W673" s="15"/>
    </row>
    <row r="674">
      <c r="A674" s="54"/>
      <c r="B674" s="11"/>
      <c r="C674" s="20"/>
      <c r="D674" s="20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5"/>
      <c r="U674" s="15"/>
      <c r="V674" s="15"/>
      <c r="W674" s="15"/>
    </row>
    <row r="675">
      <c r="A675" s="54"/>
      <c r="B675" s="11"/>
      <c r="C675" s="20"/>
      <c r="D675" s="20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5"/>
      <c r="U675" s="15"/>
      <c r="V675" s="15"/>
      <c r="W675" s="15"/>
    </row>
    <row r="676">
      <c r="A676" s="54"/>
      <c r="B676" s="11"/>
      <c r="C676" s="20"/>
      <c r="D676" s="20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5"/>
      <c r="U676" s="15"/>
      <c r="V676" s="15"/>
      <c r="W676" s="15"/>
    </row>
    <row r="677">
      <c r="A677" s="54"/>
      <c r="B677" s="11"/>
      <c r="C677" s="20"/>
      <c r="D677" s="20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5"/>
      <c r="U677" s="15"/>
      <c r="V677" s="15"/>
      <c r="W677" s="15"/>
    </row>
    <row r="678">
      <c r="A678" s="54"/>
      <c r="B678" s="11"/>
      <c r="C678" s="20"/>
      <c r="D678" s="20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5"/>
      <c r="U678" s="15"/>
      <c r="V678" s="15"/>
      <c r="W678" s="15"/>
    </row>
    <row r="679">
      <c r="A679" s="54"/>
      <c r="B679" s="11"/>
      <c r="C679" s="20"/>
      <c r="D679" s="20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5"/>
      <c r="U679" s="15"/>
      <c r="V679" s="15"/>
      <c r="W679" s="15"/>
    </row>
    <row r="680">
      <c r="A680" s="54"/>
      <c r="B680" s="11"/>
      <c r="C680" s="20"/>
      <c r="D680" s="20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5"/>
      <c r="U680" s="15"/>
      <c r="V680" s="15"/>
      <c r="W680" s="15"/>
    </row>
    <row r="681">
      <c r="A681" s="54"/>
      <c r="B681" s="11"/>
      <c r="C681" s="20"/>
      <c r="D681" s="20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5"/>
      <c r="U681" s="15"/>
      <c r="V681" s="15"/>
      <c r="W681" s="15"/>
    </row>
    <row r="682">
      <c r="A682" s="54"/>
      <c r="B682" s="11"/>
      <c r="C682" s="20"/>
      <c r="D682" s="20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5"/>
      <c r="U682" s="15"/>
      <c r="V682" s="15"/>
      <c r="W682" s="15"/>
    </row>
    <row r="683">
      <c r="A683" s="54"/>
      <c r="B683" s="11"/>
      <c r="C683" s="20"/>
      <c r="D683" s="20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5"/>
      <c r="U683" s="15"/>
      <c r="V683" s="15"/>
      <c r="W683" s="15"/>
    </row>
    <row r="684">
      <c r="A684" s="54"/>
      <c r="B684" s="11"/>
      <c r="C684" s="20"/>
      <c r="D684" s="20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5"/>
      <c r="U684" s="15"/>
      <c r="V684" s="15"/>
      <c r="W684" s="15"/>
    </row>
    <row r="685">
      <c r="A685" s="54"/>
      <c r="B685" s="11"/>
      <c r="C685" s="20"/>
      <c r="D685" s="20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5"/>
      <c r="U685" s="15"/>
      <c r="V685" s="15"/>
      <c r="W685" s="15"/>
    </row>
    <row r="686">
      <c r="A686" s="54"/>
      <c r="B686" s="11"/>
      <c r="C686" s="20"/>
      <c r="D686" s="20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5"/>
      <c r="U686" s="15"/>
      <c r="V686" s="15"/>
      <c r="W686" s="15"/>
    </row>
    <row r="687">
      <c r="A687" s="54"/>
      <c r="B687" s="11"/>
      <c r="C687" s="20"/>
      <c r="D687" s="20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5"/>
      <c r="U687" s="15"/>
      <c r="V687" s="15"/>
      <c r="W687" s="15"/>
    </row>
    <row r="688">
      <c r="A688" s="54"/>
      <c r="B688" s="11"/>
      <c r="C688" s="20"/>
      <c r="D688" s="20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5"/>
      <c r="U688" s="15"/>
      <c r="V688" s="15"/>
      <c r="W688" s="15"/>
    </row>
    <row r="689">
      <c r="A689" s="54"/>
      <c r="B689" s="11"/>
      <c r="C689" s="20"/>
      <c r="D689" s="20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5"/>
      <c r="U689" s="15"/>
      <c r="V689" s="15"/>
      <c r="W689" s="15"/>
    </row>
    <row r="690">
      <c r="A690" s="54"/>
      <c r="B690" s="11"/>
      <c r="C690" s="20"/>
      <c r="D690" s="20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5"/>
      <c r="U690" s="15"/>
      <c r="V690" s="15"/>
      <c r="W690" s="15"/>
    </row>
    <row r="691">
      <c r="A691" s="54"/>
      <c r="B691" s="11"/>
      <c r="C691" s="20"/>
      <c r="D691" s="20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5"/>
      <c r="U691" s="15"/>
      <c r="V691" s="15"/>
      <c r="W691" s="15"/>
    </row>
    <row r="692">
      <c r="A692" s="54"/>
      <c r="B692" s="11"/>
      <c r="C692" s="20"/>
      <c r="D692" s="20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5"/>
      <c r="U692" s="15"/>
      <c r="V692" s="15"/>
      <c r="W692" s="15"/>
    </row>
    <row r="693">
      <c r="A693" s="54"/>
      <c r="B693" s="11"/>
      <c r="C693" s="20"/>
      <c r="D693" s="20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5"/>
      <c r="U693" s="15"/>
      <c r="V693" s="15"/>
      <c r="W693" s="15"/>
    </row>
    <row r="694">
      <c r="A694" s="54"/>
      <c r="B694" s="11"/>
      <c r="C694" s="20"/>
      <c r="D694" s="20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5"/>
      <c r="U694" s="15"/>
      <c r="V694" s="15"/>
      <c r="W694" s="15"/>
    </row>
    <row r="695">
      <c r="A695" s="22"/>
      <c r="B695" s="11"/>
      <c r="C695" s="20"/>
      <c r="D695" s="20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5"/>
      <c r="U695" s="15"/>
      <c r="V695" s="15"/>
      <c r="W695" s="15"/>
    </row>
    <row r="696">
      <c r="A696" s="22"/>
      <c r="B696" s="11"/>
      <c r="C696" s="20"/>
      <c r="D696" s="20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5"/>
      <c r="U696" s="15"/>
      <c r="V696" s="15"/>
      <c r="W696" s="15"/>
    </row>
    <row r="697">
      <c r="A697" s="22"/>
      <c r="B697" s="11"/>
      <c r="C697" s="20"/>
      <c r="D697" s="20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5"/>
      <c r="U697" s="15"/>
      <c r="V697" s="15"/>
      <c r="W697" s="15"/>
    </row>
    <row r="698">
      <c r="A698" s="22"/>
      <c r="B698" s="11"/>
      <c r="C698" s="20"/>
      <c r="D698" s="20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5"/>
      <c r="U698" s="15"/>
      <c r="V698" s="15"/>
      <c r="W698" s="15"/>
    </row>
    <row r="699">
      <c r="A699" s="22"/>
      <c r="B699" s="11"/>
      <c r="C699" s="20"/>
      <c r="D699" s="20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5"/>
      <c r="U699" s="15"/>
      <c r="V699" s="15"/>
      <c r="W699" s="15"/>
    </row>
    <row r="700">
      <c r="A700" s="22"/>
      <c r="B700" s="11"/>
      <c r="C700" s="20"/>
      <c r="D700" s="20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5"/>
      <c r="U700" s="15"/>
      <c r="V700" s="15"/>
      <c r="W700" s="15"/>
    </row>
    <row r="701">
      <c r="A701" s="22"/>
      <c r="B701" s="11"/>
      <c r="C701" s="20"/>
      <c r="D701" s="20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5"/>
      <c r="U701" s="15"/>
      <c r="V701" s="15"/>
      <c r="W701" s="15"/>
    </row>
    <row r="702">
      <c r="A702" s="22"/>
      <c r="B702" s="11"/>
      <c r="C702" s="20"/>
      <c r="D702" s="20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5"/>
      <c r="U702" s="15"/>
      <c r="V702" s="15"/>
      <c r="W702" s="15"/>
    </row>
    <row r="703">
      <c r="A703" s="22"/>
      <c r="B703" s="11"/>
      <c r="C703" s="20"/>
      <c r="D703" s="20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5"/>
      <c r="U703" s="15"/>
      <c r="V703" s="15"/>
      <c r="W703" s="15"/>
    </row>
    <row r="704">
      <c r="A704" s="22"/>
      <c r="B704" s="11"/>
      <c r="C704" s="20"/>
      <c r="D704" s="20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5"/>
      <c r="U704" s="15"/>
      <c r="V704" s="15"/>
      <c r="W704" s="15"/>
    </row>
    <row r="705">
      <c r="A705" s="22"/>
      <c r="B705" s="11"/>
      <c r="C705" s="20"/>
      <c r="D705" s="20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5"/>
      <c r="U705" s="15"/>
      <c r="V705" s="15"/>
      <c r="W705" s="15"/>
    </row>
    <row r="706">
      <c r="A706" s="22"/>
      <c r="B706" s="11"/>
      <c r="C706" s="20"/>
      <c r="D706" s="20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5"/>
      <c r="U706" s="15"/>
      <c r="V706" s="15"/>
      <c r="W706" s="15"/>
    </row>
    <row r="707">
      <c r="A707" s="22"/>
      <c r="B707" s="11"/>
      <c r="C707" s="20"/>
      <c r="D707" s="20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5"/>
      <c r="U707" s="15"/>
      <c r="V707" s="15"/>
      <c r="W707" s="15"/>
    </row>
    <row r="708">
      <c r="A708" s="22"/>
      <c r="B708" s="11"/>
      <c r="C708" s="20"/>
      <c r="D708" s="20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5"/>
      <c r="U708" s="15"/>
      <c r="V708" s="15"/>
      <c r="W708" s="15"/>
    </row>
    <row r="709">
      <c r="A709" s="22"/>
      <c r="B709" s="11"/>
      <c r="C709" s="20"/>
      <c r="D709" s="20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5"/>
      <c r="U709" s="15"/>
      <c r="V709" s="15"/>
      <c r="W709" s="15"/>
    </row>
    <row r="710">
      <c r="A710" s="22"/>
      <c r="B710" s="11"/>
      <c r="C710" s="20"/>
      <c r="D710" s="20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5"/>
      <c r="U710" s="15"/>
      <c r="V710" s="15"/>
      <c r="W710" s="15"/>
    </row>
    <row r="711">
      <c r="A711" s="22"/>
      <c r="B711" s="11"/>
      <c r="C711" s="20"/>
      <c r="D711" s="20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5"/>
      <c r="U711" s="15"/>
      <c r="V711" s="15"/>
      <c r="W711" s="15"/>
    </row>
    <row r="712">
      <c r="A712" s="22"/>
      <c r="B712" s="11"/>
      <c r="C712" s="20"/>
      <c r="D712" s="20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5"/>
      <c r="U712" s="15"/>
      <c r="V712" s="15"/>
      <c r="W712" s="15"/>
    </row>
    <row r="713">
      <c r="A713" s="22"/>
      <c r="B713" s="11"/>
      <c r="C713" s="20"/>
      <c r="D713" s="20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5"/>
      <c r="U713" s="15"/>
      <c r="V713" s="15"/>
      <c r="W713" s="15"/>
    </row>
    <row r="714">
      <c r="A714" s="54"/>
      <c r="B714" s="11"/>
      <c r="C714" s="20"/>
      <c r="D714" s="20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5"/>
      <c r="U714" s="15"/>
      <c r="V714" s="15"/>
      <c r="W714" s="15"/>
    </row>
    <row r="715">
      <c r="A715" s="54"/>
      <c r="B715" s="11"/>
      <c r="C715" s="20"/>
      <c r="D715" s="20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5"/>
      <c r="U715" s="15"/>
      <c r="V715" s="15"/>
      <c r="W715" s="15"/>
    </row>
    <row r="716">
      <c r="A716" s="54"/>
      <c r="B716" s="11"/>
      <c r="C716" s="20"/>
      <c r="D716" s="20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5"/>
      <c r="U716" s="15"/>
      <c r="V716" s="15"/>
      <c r="W716" s="15"/>
    </row>
    <row r="717">
      <c r="A717" s="54"/>
      <c r="B717" s="11"/>
      <c r="C717" s="20"/>
      <c r="D717" s="20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5"/>
      <c r="U717" s="15"/>
      <c r="V717" s="15"/>
      <c r="W717" s="15"/>
    </row>
    <row r="718">
      <c r="A718" s="54"/>
      <c r="B718" s="11"/>
      <c r="C718" s="20"/>
      <c r="D718" s="20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5"/>
      <c r="U718" s="15"/>
      <c r="V718" s="15"/>
      <c r="W718" s="15"/>
    </row>
    <row r="719">
      <c r="A719" s="54"/>
      <c r="B719" s="11"/>
      <c r="C719" s="20"/>
      <c r="D719" s="20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5"/>
      <c r="U719" s="15"/>
      <c r="V719" s="15"/>
      <c r="W719" s="15"/>
    </row>
    <row r="720">
      <c r="A720" s="54"/>
      <c r="B720" s="11"/>
      <c r="C720" s="20"/>
      <c r="D720" s="20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5"/>
      <c r="U720" s="15"/>
      <c r="V720" s="15"/>
      <c r="W720" s="15"/>
    </row>
    <row r="721">
      <c r="A721" s="54"/>
      <c r="B721" s="11"/>
      <c r="C721" s="20"/>
      <c r="D721" s="20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5"/>
      <c r="U721" s="15"/>
      <c r="V721" s="15"/>
      <c r="W721" s="15"/>
    </row>
    <row r="722">
      <c r="A722" s="54"/>
      <c r="B722" s="11"/>
      <c r="C722" s="20"/>
      <c r="D722" s="20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5"/>
      <c r="U722" s="15"/>
      <c r="V722" s="15"/>
      <c r="W722" s="15"/>
    </row>
    <row r="723">
      <c r="A723" s="54"/>
      <c r="B723" s="11"/>
      <c r="C723" s="20"/>
      <c r="D723" s="20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5"/>
      <c r="U723" s="15"/>
      <c r="V723" s="15"/>
      <c r="W723" s="15"/>
    </row>
    <row r="724">
      <c r="A724" s="54"/>
      <c r="B724" s="11"/>
      <c r="C724" s="20"/>
      <c r="D724" s="20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5"/>
      <c r="U724" s="15"/>
      <c r="V724" s="15"/>
      <c r="W724" s="15"/>
    </row>
    <row r="725">
      <c r="A725" s="54"/>
      <c r="B725" s="11"/>
      <c r="C725" s="20"/>
      <c r="D725" s="20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5"/>
      <c r="U725" s="15"/>
      <c r="V725" s="15"/>
      <c r="W725" s="15"/>
    </row>
    <row r="726">
      <c r="A726" s="54"/>
      <c r="B726" s="11"/>
      <c r="C726" s="20"/>
      <c r="D726" s="20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5"/>
      <c r="U726" s="15"/>
      <c r="V726" s="15"/>
      <c r="W726" s="15"/>
    </row>
    <row r="727">
      <c r="A727" s="54"/>
      <c r="B727" s="11"/>
      <c r="C727" s="20"/>
      <c r="D727" s="20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5"/>
      <c r="U727" s="15"/>
      <c r="V727" s="15"/>
      <c r="W727" s="15"/>
    </row>
    <row r="728">
      <c r="A728" s="54"/>
      <c r="B728" s="11"/>
      <c r="C728" s="20"/>
      <c r="D728" s="20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5"/>
      <c r="U728" s="15"/>
      <c r="V728" s="15"/>
      <c r="W728" s="15"/>
    </row>
    <row r="729">
      <c r="A729" s="54"/>
      <c r="B729" s="11"/>
      <c r="C729" s="20"/>
      <c r="D729" s="20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5"/>
      <c r="U729" s="15"/>
      <c r="V729" s="15"/>
      <c r="W729" s="15"/>
    </row>
    <row r="730">
      <c r="A730" s="54"/>
      <c r="B730" s="11"/>
      <c r="C730" s="20"/>
      <c r="D730" s="20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5"/>
      <c r="U730" s="15"/>
      <c r="V730" s="15"/>
      <c r="W730" s="15"/>
    </row>
    <row r="731">
      <c r="A731" s="54"/>
      <c r="B731" s="11"/>
      <c r="C731" s="20"/>
      <c r="D731" s="20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5"/>
      <c r="U731" s="15"/>
      <c r="V731" s="15"/>
      <c r="W731" s="15"/>
    </row>
    <row r="732">
      <c r="A732" s="22"/>
      <c r="B732" s="11"/>
      <c r="C732" s="20"/>
      <c r="D732" s="20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5"/>
      <c r="U732" s="15"/>
      <c r="V732" s="15"/>
      <c r="W732" s="15"/>
    </row>
    <row r="733">
      <c r="A733" s="22"/>
      <c r="B733" s="11"/>
      <c r="C733" s="20"/>
      <c r="D733" s="20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5"/>
      <c r="U733" s="15"/>
      <c r="V733" s="15"/>
      <c r="W733" s="15"/>
    </row>
    <row r="734">
      <c r="A734" s="22"/>
      <c r="B734" s="11"/>
      <c r="C734" s="20"/>
      <c r="D734" s="20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5"/>
      <c r="U734" s="15"/>
      <c r="V734" s="15"/>
      <c r="W734" s="15"/>
    </row>
    <row r="735">
      <c r="A735" s="22"/>
      <c r="B735" s="11"/>
      <c r="C735" s="20"/>
      <c r="D735" s="20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5"/>
      <c r="U735" s="15"/>
      <c r="V735" s="15"/>
      <c r="W735" s="15"/>
    </row>
    <row r="736">
      <c r="A736" s="22"/>
      <c r="B736" s="11"/>
      <c r="C736" s="20"/>
      <c r="D736" s="20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5"/>
      <c r="U736" s="15"/>
      <c r="V736" s="15"/>
      <c r="W736" s="15"/>
    </row>
    <row r="737">
      <c r="A737" s="22"/>
      <c r="B737" s="11"/>
      <c r="C737" s="20"/>
      <c r="D737" s="20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5"/>
      <c r="U737" s="15"/>
      <c r="V737" s="15"/>
      <c r="W737" s="15"/>
    </row>
    <row r="738">
      <c r="A738" s="22"/>
      <c r="B738" s="11"/>
      <c r="C738" s="20"/>
      <c r="D738" s="20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5"/>
      <c r="U738" s="15"/>
      <c r="V738" s="15"/>
      <c r="W738" s="15"/>
    </row>
    <row r="739">
      <c r="A739" s="22"/>
      <c r="B739" s="11"/>
      <c r="C739" s="20"/>
      <c r="D739" s="20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5"/>
      <c r="U739" s="15"/>
      <c r="V739" s="15"/>
      <c r="W739" s="15"/>
    </row>
    <row r="740">
      <c r="A740" s="22"/>
      <c r="B740" s="11"/>
      <c r="C740" s="20"/>
      <c r="D740" s="20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5"/>
      <c r="U740" s="15"/>
      <c r="V740" s="15"/>
      <c r="W740" s="15"/>
    </row>
    <row r="741">
      <c r="A741" s="22"/>
      <c r="B741" s="11"/>
      <c r="C741" s="20"/>
      <c r="D741" s="20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5"/>
      <c r="U741" s="15"/>
      <c r="V741" s="15"/>
      <c r="W741" s="15"/>
    </row>
    <row r="742">
      <c r="A742" s="22"/>
      <c r="B742" s="11"/>
      <c r="C742" s="20"/>
      <c r="D742" s="20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5"/>
      <c r="U742" s="15"/>
      <c r="V742" s="15"/>
      <c r="W742" s="15"/>
    </row>
    <row r="743">
      <c r="A743" s="22"/>
      <c r="B743" s="11"/>
      <c r="C743" s="20"/>
      <c r="D743" s="20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5"/>
      <c r="U743" s="15"/>
      <c r="V743" s="15"/>
      <c r="W743" s="15"/>
    </row>
    <row r="744">
      <c r="A744" s="22"/>
      <c r="B744" s="11"/>
      <c r="C744" s="20"/>
      <c r="D744" s="20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5"/>
      <c r="U744" s="15"/>
      <c r="V744" s="15"/>
      <c r="W744" s="15"/>
    </row>
    <row r="745">
      <c r="A745" s="22"/>
      <c r="B745" s="11"/>
      <c r="C745" s="20"/>
      <c r="D745" s="20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5"/>
      <c r="U745" s="15"/>
      <c r="V745" s="15"/>
      <c r="W745" s="15"/>
    </row>
    <row r="746">
      <c r="A746" s="22"/>
      <c r="B746" s="11"/>
      <c r="C746" s="20"/>
      <c r="D746" s="20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5"/>
      <c r="U746" s="15"/>
      <c r="V746" s="15"/>
      <c r="W746" s="15"/>
    </row>
    <row r="747">
      <c r="A747" s="22"/>
      <c r="B747" s="11"/>
      <c r="C747" s="20"/>
      <c r="D747" s="20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5"/>
      <c r="U747" s="15"/>
      <c r="V747" s="15"/>
      <c r="W747" s="15"/>
    </row>
    <row r="748">
      <c r="A748" s="22"/>
      <c r="B748" s="11"/>
      <c r="C748" s="20"/>
      <c r="D748" s="20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5"/>
      <c r="U748" s="15"/>
      <c r="V748" s="15"/>
      <c r="W748" s="15"/>
    </row>
    <row r="749">
      <c r="A749" s="22"/>
      <c r="B749" s="11"/>
      <c r="C749" s="20"/>
      <c r="D749" s="20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5"/>
      <c r="U749" s="15"/>
      <c r="V749" s="15"/>
      <c r="W749" s="15"/>
    </row>
    <row r="750">
      <c r="A750" s="22"/>
      <c r="B750" s="11"/>
      <c r="C750" s="20"/>
      <c r="D750" s="20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5"/>
      <c r="U750" s="15"/>
      <c r="V750" s="15"/>
      <c r="W750" s="15"/>
    </row>
    <row r="751">
      <c r="A751" s="54"/>
      <c r="B751" s="11"/>
      <c r="C751" s="20"/>
      <c r="D751" s="20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5"/>
      <c r="U751" s="15"/>
      <c r="V751" s="15"/>
      <c r="W751" s="15"/>
    </row>
    <row r="752">
      <c r="A752" s="54"/>
      <c r="B752" s="11"/>
      <c r="C752" s="20"/>
      <c r="D752" s="20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5"/>
      <c r="U752" s="15"/>
      <c r="V752" s="15"/>
      <c r="W752" s="15"/>
    </row>
    <row r="753">
      <c r="A753" s="54"/>
      <c r="B753" s="11"/>
      <c r="C753" s="20"/>
      <c r="D753" s="20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5"/>
      <c r="U753" s="15"/>
      <c r="V753" s="15"/>
      <c r="W753" s="15"/>
    </row>
    <row r="754">
      <c r="A754" s="54"/>
      <c r="B754" s="11"/>
      <c r="C754" s="20"/>
      <c r="D754" s="20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5"/>
      <c r="U754" s="15"/>
      <c r="V754" s="15"/>
      <c r="W754" s="15"/>
    </row>
    <row r="755">
      <c r="A755" s="54"/>
      <c r="B755" s="11"/>
      <c r="C755" s="20"/>
      <c r="D755" s="20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5"/>
      <c r="U755" s="15"/>
      <c r="V755" s="15"/>
      <c r="W755" s="15"/>
    </row>
    <row r="756">
      <c r="A756" s="54"/>
      <c r="B756" s="11"/>
      <c r="C756" s="20"/>
      <c r="D756" s="20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5"/>
      <c r="U756" s="15"/>
      <c r="V756" s="15"/>
      <c r="W756" s="15"/>
    </row>
    <row r="757">
      <c r="A757" s="54"/>
      <c r="B757" s="11"/>
      <c r="C757" s="20"/>
      <c r="D757" s="20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5"/>
      <c r="U757" s="15"/>
      <c r="V757" s="15"/>
      <c r="W757" s="15"/>
    </row>
    <row r="758">
      <c r="A758" s="54"/>
      <c r="B758" s="11"/>
      <c r="C758" s="20"/>
      <c r="D758" s="20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5"/>
      <c r="U758" s="15"/>
      <c r="V758" s="15"/>
      <c r="W758" s="15"/>
    </row>
    <row r="759">
      <c r="A759" s="54"/>
      <c r="B759" s="11"/>
      <c r="C759" s="20"/>
      <c r="D759" s="20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5"/>
      <c r="U759" s="15"/>
      <c r="V759" s="15"/>
      <c r="W759" s="15"/>
    </row>
    <row r="760">
      <c r="A760" s="54"/>
      <c r="B760" s="11"/>
      <c r="C760" s="20"/>
      <c r="D760" s="20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5"/>
      <c r="U760" s="15"/>
      <c r="V760" s="15"/>
      <c r="W760" s="15"/>
    </row>
    <row r="761">
      <c r="A761" s="54"/>
      <c r="B761" s="11"/>
      <c r="C761" s="20"/>
      <c r="D761" s="20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5"/>
      <c r="U761" s="15"/>
      <c r="V761" s="15"/>
      <c r="W761" s="15"/>
    </row>
    <row r="762">
      <c r="A762" s="54"/>
      <c r="B762" s="11"/>
      <c r="C762" s="20"/>
      <c r="D762" s="20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5"/>
      <c r="U762" s="15"/>
      <c r="V762" s="15"/>
      <c r="W762" s="15"/>
    </row>
    <row r="763">
      <c r="A763" s="54"/>
      <c r="B763" s="11"/>
      <c r="C763" s="20"/>
      <c r="D763" s="20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5"/>
      <c r="U763" s="15"/>
      <c r="V763" s="15"/>
      <c r="W763" s="15"/>
    </row>
    <row r="764">
      <c r="A764" s="54"/>
      <c r="B764" s="11"/>
      <c r="C764" s="20"/>
      <c r="D764" s="20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5"/>
      <c r="U764" s="15"/>
      <c r="V764" s="15"/>
      <c r="W764" s="15"/>
    </row>
    <row r="765">
      <c r="A765" s="54"/>
      <c r="B765" s="11"/>
      <c r="C765" s="20"/>
      <c r="D765" s="20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5"/>
      <c r="U765" s="15"/>
      <c r="V765" s="15"/>
      <c r="W765" s="15"/>
    </row>
    <row r="766">
      <c r="A766" s="54"/>
      <c r="B766" s="11"/>
      <c r="C766" s="20"/>
      <c r="D766" s="20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5"/>
      <c r="U766" s="15"/>
      <c r="V766" s="15"/>
      <c r="W766" s="15"/>
    </row>
    <row r="767">
      <c r="A767" s="54"/>
      <c r="B767" s="11"/>
      <c r="C767" s="20"/>
      <c r="D767" s="20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5"/>
      <c r="U767" s="15"/>
      <c r="V767" s="15"/>
      <c r="W767" s="15"/>
    </row>
    <row r="768">
      <c r="A768" s="54"/>
      <c r="B768" s="11"/>
      <c r="C768" s="20"/>
      <c r="D768" s="20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5"/>
      <c r="U768" s="15"/>
      <c r="V768" s="15"/>
      <c r="W768" s="15"/>
    </row>
    <row r="769">
      <c r="A769" s="54"/>
      <c r="B769" s="11"/>
      <c r="C769" s="20"/>
      <c r="D769" s="20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5"/>
      <c r="U769" s="15"/>
      <c r="V769" s="15"/>
      <c r="W769" s="15"/>
    </row>
    <row r="770">
      <c r="A770" s="54"/>
      <c r="B770" s="11"/>
      <c r="C770" s="20"/>
      <c r="D770" s="20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5"/>
      <c r="U770" s="15"/>
      <c r="V770" s="15"/>
      <c r="W770" s="15"/>
    </row>
    <row r="771">
      <c r="A771" s="54"/>
      <c r="B771" s="11"/>
      <c r="C771" s="20"/>
      <c r="D771" s="20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5"/>
      <c r="U771" s="15"/>
      <c r="V771" s="15"/>
      <c r="W771" s="15"/>
    </row>
    <row r="772">
      <c r="A772" s="54"/>
      <c r="B772" s="11"/>
      <c r="C772" s="20"/>
      <c r="D772" s="20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5"/>
      <c r="U772" s="15"/>
      <c r="V772" s="15"/>
      <c r="W772" s="15"/>
    </row>
    <row r="773">
      <c r="A773" s="54"/>
      <c r="B773" s="11"/>
      <c r="C773" s="20"/>
      <c r="D773" s="20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5"/>
      <c r="U773" s="15"/>
      <c r="V773" s="15"/>
      <c r="W773" s="15"/>
    </row>
    <row r="774">
      <c r="A774" s="54"/>
      <c r="B774" s="11"/>
      <c r="C774" s="20"/>
      <c r="D774" s="20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5"/>
      <c r="U774" s="15"/>
      <c r="V774" s="15"/>
      <c r="W774" s="15"/>
    </row>
    <row r="775">
      <c r="A775" s="54"/>
      <c r="B775" s="11"/>
      <c r="C775" s="20"/>
      <c r="D775" s="20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5"/>
      <c r="U775" s="15"/>
      <c r="V775" s="15"/>
      <c r="W775" s="15"/>
    </row>
    <row r="776">
      <c r="A776" s="54"/>
      <c r="B776" s="11"/>
      <c r="C776" s="20"/>
      <c r="D776" s="20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5"/>
      <c r="U776" s="15"/>
      <c r="V776" s="15"/>
      <c r="W776" s="15"/>
    </row>
    <row r="777">
      <c r="A777" s="54"/>
      <c r="B777" s="11"/>
      <c r="C777" s="20"/>
      <c r="D777" s="20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5"/>
      <c r="U777" s="15"/>
      <c r="V777" s="15"/>
      <c r="W777" s="15"/>
    </row>
    <row r="778">
      <c r="A778" s="22"/>
      <c r="B778" s="11"/>
      <c r="C778" s="20"/>
      <c r="D778" s="20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5"/>
      <c r="U778" s="15"/>
      <c r="V778" s="15"/>
      <c r="W778" s="15"/>
    </row>
    <row r="779">
      <c r="A779" s="22"/>
      <c r="B779" s="11"/>
      <c r="C779" s="20"/>
      <c r="D779" s="20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5"/>
      <c r="U779" s="15"/>
      <c r="V779" s="15"/>
      <c r="W779" s="15"/>
    </row>
    <row r="780">
      <c r="A780" s="22"/>
      <c r="B780" s="11"/>
      <c r="C780" s="20"/>
      <c r="D780" s="20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5"/>
      <c r="U780" s="15"/>
      <c r="V780" s="15"/>
      <c r="W780" s="15"/>
    </row>
    <row r="781">
      <c r="A781" s="22"/>
      <c r="B781" s="11"/>
      <c r="C781" s="20"/>
      <c r="D781" s="20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5"/>
      <c r="U781" s="15"/>
      <c r="V781" s="15"/>
      <c r="W781" s="15"/>
    </row>
    <row r="782">
      <c r="A782" s="22"/>
      <c r="B782" s="11"/>
      <c r="C782" s="20"/>
      <c r="D782" s="20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5"/>
      <c r="U782" s="15"/>
      <c r="V782" s="15"/>
      <c r="W782" s="15"/>
    </row>
    <row r="783">
      <c r="A783" s="22"/>
      <c r="B783" s="11"/>
      <c r="C783" s="20"/>
      <c r="D783" s="20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5"/>
      <c r="U783" s="15"/>
      <c r="V783" s="15"/>
      <c r="W783" s="15"/>
    </row>
    <row r="784">
      <c r="A784" s="22"/>
      <c r="B784" s="11"/>
      <c r="C784" s="20"/>
      <c r="D784" s="20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5"/>
      <c r="U784" s="15"/>
      <c r="V784" s="15"/>
      <c r="W784" s="15"/>
    </row>
    <row r="785">
      <c r="A785" s="22"/>
      <c r="B785" s="11"/>
      <c r="C785" s="20"/>
      <c r="D785" s="20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5"/>
      <c r="U785" s="15"/>
      <c r="V785" s="15"/>
      <c r="W785" s="15"/>
    </row>
    <row r="786">
      <c r="A786" s="22"/>
      <c r="B786" s="11"/>
      <c r="C786" s="20"/>
      <c r="D786" s="20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5"/>
      <c r="U786" s="15"/>
      <c r="V786" s="15"/>
      <c r="W786" s="15"/>
    </row>
    <row r="787">
      <c r="A787" s="22"/>
      <c r="B787" s="11"/>
      <c r="C787" s="20"/>
      <c r="D787" s="20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5"/>
      <c r="U787" s="15"/>
      <c r="V787" s="15"/>
      <c r="W787" s="15"/>
    </row>
    <row r="788">
      <c r="A788" s="22"/>
      <c r="B788" s="11"/>
      <c r="C788" s="20"/>
      <c r="D788" s="20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5"/>
      <c r="U788" s="15"/>
      <c r="V788" s="15"/>
      <c r="W788" s="15"/>
    </row>
    <row r="789">
      <c r="A789" s="22"/>
      <c r="B789" s="11"/>
      <c r="C789" s="20"/>
      <c r="D789" s="20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5"/>
      <c r="U789" s="15"/>
      <c r="V789" s="15"/>
      <c r="W789" s="15"/>
    </row>
    <row r="790">
      <c r="A790" s="22"/>
      <c r="B790" s="11"/>
      <c r="C790" s="20"/>
      <c r="D790" s="20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5"/>
      <c r="U790" s="15"/>
      <c r="V790" s="15"/>
      <c r="W790" s="15"/>
    </row>
    <row r="791">
      <c r="A791" s="22"/>
      <c r="B791" s="11"/>
      <c r="C791" s="20"/>
      <c r="D791" s="20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5"/>
      <c r="U791" s="15"/>
      <c r="V791" s="15"/>
      <c r="W791" s="15"/>
    </row>
    <row r="792">
      <c r="A792" s="22"/>
      <c r="B792" s="11"/>
      <c r="C792" s="20"/>
      <c r="D792" s="20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5"/>
      <c r="U792" s="15"/>
      <c r="V792" s="15"/>
      <c r="W792" s="15"/>
    </row>
    <row r="793">
      <c r="A793" s="22"/>
      <c r="B793" s="11"/>
      <c r="C793" s="20"/>
      <c r="D793" s="20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5"/>
      <c r="U793" s="15"/>
      <c r="V793" s="15"/>
      <c r="W793" s="15"/>
    </row>
    <row r="794">
      <c r="A794" s="22"/>
      <c r="B794" s="11"/>
      <c r="C794" s="20"/>
      <c r="D794" s="20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5"/>
      <c r="U794" s="15"/>
      <c r="V794" s="15"/>
      <c r="W794" s="15"/>
    </row>
    <row r="795">
      <c r="A795" s="22"/>
      <c r="B795" s="11"/>
      <c r="C795" s="20"/>
      <c r="D795" s="20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5"/>
      <c r="U795" s="15"/>
      <c r="V795" s="15"/>
      <c r="W795" s="15"/>
    </row>
    <row r="796">
      <c r="A796" s="22"/>
      <c r="B796" s="11"/>
      <c r="C796" s="20"/>
      <c r="D796" s="20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5"/>
      <c r="U796" s="15"/>
      <c r="V796" s="15"/>
      <c r="W796" s="15"/>
    </row>
    <row r="797">
      <c r="A797" s="54"/>
      <c r="B797" s="11"/>
      <c r="C797" s="20"/>
      <c r="D797" s="20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5"/>
      <c r="U797" s="15"/>
      <c r="V797" s="15"/>
      <c r="W797" s="15"/>
    </row>
    <row r="798">
      <c r="A798" s="54"/>
      <c r="B798" s="11"/>
      <c r="C798" s="20"/>
      <c r="D798" s="20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5"/>
      <c r="U798" s="15"/>
      <c r="V798" s="15"/>
      <c r="W798" s="15"/>
    </row>
    <row r="799">
      <c r="A799" s="54"/>
      <c r="B799" s="11"/>
      <c r="C799" s="20"/>
      <c r="D799" s="20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5"/>
      <c r="U799" s="15"/>
      <c r="V799" s="15"/>
      <c r="W799" s="15"/>
    </row>
    <row r="800">
      <c r="A800" s="54"/>
      <c r="B800" s="11"/>
      <c r="C800" s="20"/>
      <c r="D800" s="20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5"/>
      <c r="U800" s="15"/>
      <c r="V800" s="15"/>
      <c r="W800" s="15"/>
    </row>
    <row r="801">
      <c r="A801" s="54"/>
      <c r="B801" s="11"/>
      <c r="C801" s="20"/>
      <c r="D801" s="20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5"/>
      <c r="U801" s="15"/>
      <c r="V801" s="15"/>
      <c r="W801" s="15"/>
    </row>
    <row r="802">
      <c r="A802" s="54"/>
      <c r="B802" s="11"/>
      <c r="C802" s="20"/>
      <c r="D802" s="20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5"/>
      <c r="U802" s="15"/>
      <c r="V802" s="15"/>
      <c r="W802" s="15"/>
    </row>
    <row r="803">
      <c r="A803" s="54"/>
      <c r="B803" s="11"/>
      <c r="C803" s="20"/>
      <c r="D803" s="20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5"/>
      <c r="U803" s="15"/>
      <c r="V803" s="15"/>
      <c r="W803" s="15"/>
    </row>
    <row r="804">
      <c r="A804" s="54"/>
      <c r="B804" s="11"/>
      <c r="C804" s="20"/>
      <c r="D804" s="20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5"/>
      <c r="U804" s="15"/>
      <c r="V804" s="15"/>
      <c r="W804" s="15"/>
    </row>
    <row r="805">
      <c r="A805" s="54"/>
      <c r="B805" s="11"/>
      <c r="C805" s="20"/>
      <c r="D805" s="20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5"/>
      <c r="U805" s="15"/>
      <c r="V805" s="15"/>
      <c r="W805" s="15"/>
    </row>
    <row r="806">
      <c r="A806" s="54"/>
      <c r="B806" s="11"/>
      <c r="C806" s="20"/>
      <c r="D806" s="20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5"/>
      <c r="U806" s="15"/>
      <c r="V806" s="15"/>
      <c r="W806" s="15"/>
    </row>
    <row r="807">
      <c r="A807" s="54"/>
      <c r="B807" s="11"/>
      <c r="C807" s="20"/>
      <c r="D807" s="20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5"/>
      <c r="U807" s="15"/>
      <c r="V807" s="15"/>
      <c r="W807" s="15"/>
    </row>
    <row r="808">
      <c r="A808" s="54"/>
      <c r="B808" s="11"/>
      <c r="C808" s="20"/>
      <c r="D808" s="20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5"/>
      <c r="U808" s="15"/>
      <c r="V808" s="15"/>
      <c r="W808" s="15"/>
    </row>
    <row r="809">
      <c r="A809" s="54"/>
      <c r="B809" s="11"/>
      <c r="C809" s="20"/>
      <c r="D809" s="20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5"/>
      <c r="U809" s="15"/>
      <c r="V809" s="15"/>
      <c r="W809" s="15"/>
    </row>
    <row r="810">
      <c r="A810" s="54"/>
      <c r="B810" s="11"/>
      <c r="C810" s="20"/>
      <c r="D810" s="20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5"/>
      <c r="U810" s="15"/>
      <c r="V810" s="15"/>
      <c r="W810" s="15"/>
    </row>
    <row r="811">
      <c r="A811" s="54"/>
      <c r="B811" s="11"/>
      <c r="C811" s="20"/>
      <c r="D811" s="20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5"/>
      <c r="U811" s="15"/>
      <c r="V811" s="15"/>
      <c r="W811" s="15"/>
    </row>
    <row r="812">
      <c r="A812" s="54"/>
      <c r="B812" s="11"/>
      <c r="C812" s="20"/>
      <c r="D812" s="20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5"/>
      <c r="U812" s="15"/>
      <c r="V812" s="15"/>
      <c r="W812" s="15"/>
    </row>
    <row r="813">
      <c r="A813" s="54"/>
      <c r="B813" s="11"/>
      <c r="C813" s="20"/>
      <c r="D813" s="20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5"/>
      <c r="U813" s="15"/>
      <c r="V813" s="15"/>
      <c r="W813" s="15"/>
    </row>
    <row r="814">
      <c r="A814" s="54"/>
      <c r="B814" s="11"/>
      <c r="C814" s="20"/>
      <c r="D814" s="20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5"/>
      <c r="U814" s="15"/>
      <c r="V814" s="15"/>
      <c r="W814" s="15"/>
    </row>
    <row r="815">
      <c r="A815" s="22"/>
      <c r="B815" s="11"/>
      <c r="C815" s="20"/>
      <c r="D815" s="20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5"/>
      <c r="U815" s="15"/>
      <c r="V815" s="15"/>
      <c r="W815" s="15"/>
    </row>
    <row r="816">
      <c r="A816" s="22"/>
      <c r="B816" s="11"/>
      <c r="C816" s="20"/>
      <c r="D816" s="20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5"/>
      <c r="U816" s="15"/>
      <c r="V816" s="15"/>
      <c r="W816" s="15"/>
    </row>
    <row r="817">
      <c r="A817" s="22"/>
      <c r="B817" s="11"/>
      <c r="C817" s="20"/>
      <c r="D817" s="20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5"/>
      <c r="U817" s="15"/>
      <c r="V817" s="15"/>
      <c r="W817" s="15"/>
    </row>
    <row r="818">
      <c r="A818" s="22"/>
      <c r="B818" s="11"/>
      <c r="C818" s="20"/>
      <c r="D818" s="20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5"/>
      <c r="U818" s="15"/>
      <c r="V818" s="15"/>
      <c r="W818" s="15"/>
    </row>
    <row r="819">
      <c r="A819" s="22"/>
      <c r="B819" s="11"/>
      <c r="C819" s="20"/>
      <c r="D819" s="20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5"/>
      <c r="U819" s="15"/>
      <c r="V819" s="15"/>
      <c r="W819" s="15"/>
    </row>
    <row r="820">
      <c r="A820" s="22"/>
      <c r="B820" s="11"/>
      <c r="C820" s="20"/>
      <c r="D820" s="20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5"/>
      <c r="U820" s="15"/>
      <c r="V820" s="15"/>
      <c r="W820" s="15"/>
    </row>
    <row r="821">
      <c r="A821" s="22"/>
      <c r="B821" s="11"/>
      <c r="C821" s="20"/>
      <c r="D821" s="20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5"/>
      <c r="U821" s="15"/>
      <c r="V821" s="15"/>
      <c r="W821" s="15"/>
    </row>
    <row r="822">
      <c r="A822" s="22"/>
      <c r="B822" s="11"/>
      <c r="C822" s="20"/>
      <c r="D822" s="20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5"/>
      <c r="U822" s="15"/>
      <c r="V822" s="15"/>
      <c r="W822" s="15"/>
    </row>
    <row r="823">
      <c r="A823" s="22"/>
      <c r="B823" s="11"/>
      <c r="C823" s="20"/>
      <c r="D823" s="20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5"/>
      <c r="U823" s="15"/>
      <c r="V823" s="15"/>
      <c r="W823" s="15"/>
    </row>
    <row r="824">
      <c r="A824" s="22"/>
      <c r="B824" s="11"/>
      <c r="C824" s="20"/>
      <c r="D824" s="20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5"/>
      <c r="U824" s="15"/>
      <c r="V824" s="15"/>
      <c r="W824" s="15"/>
    </row>
    <row r="825">
      <c r="A825" s="22"/>
      <c r="B825" s="11"/>
      <c r="C825" s="20"/>
      <c r="D825" s="20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5"/>
      <c r="U825" s="15"/>
      <c r="V825" s="15"/>
      <c r="W825" s="15"/>
    </row>
    <row r="826">
      <c r="A826" s="22"/>
      <c r="B826" s="11"/>
      <c r="C826" s="20"/>
      <c r="D826" s="20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5"/>
      <c r="U826" s="15"/>
      <c r="V826" s="15"/>
      <c r="W826" s="15"/>
    </row>
    <row r="827">
      <c r="A827" s="22"/>
      <c r="B827" s="11"/>
      <c r="C827" s="20"/>
      <c r="D827" s="20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5"/>
      <c r="U827" s="15"/>
      <c r="V827" s="15"/>
      <c r="W827" s="15"/>
    </row>
    <row r="828">
      <c r="A828" s="22"/>
      <c r="B828" s="11"/>
      <c r="C828" s="20"/>
      <c r="D828" s="20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5"/>
      <c r="U828" s="15"/>
      <c r="V828" s="15"/>
      <c r="W828" s="15"/>
    </row>
    <row r="829">
      <c r="A829" s="22"/>
      <c r="B829" s="11"/>
      <c r="C829" s="20"/>
      <c r="D829" s="20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5"/>
      <c r="U829" s="15"/>
      <c r="V829" s="15"/>
      <c r="W829" s="15"/>
    </row>
    <row r="830">
      <c r="A830" s="22"/>
      <c r="B830" s="11"/>
      <c r="C830" s="20"/>
      <c r="D830" s="20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5"/>
      <c r="U830" s="15"/>
      <c r="V830" s="15"/>
      <c r="W830" s="15"/>
    </row>
    <row r="831">
      <c r="A831" s="22"/>
      <c r="B831" s="11"/>
      <c r="C831" s="20"/>
      <c r="D831" s="20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5"/>
      <c r="U831" s="15"/>
      <c r="V831" s="15"/>
      <c r="W831" s="15"/>
    </row>
    <row r="832">
      <c r="A832" s="22"/>
      <c r="B832" s="11"/>
      <c r="C832" s="20"/>
      <c r="D832" s="20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5"/>
      <c r="U832" s="15"/>
      <c r="V832" s="15"/>
      <c r="W832" s="15"/>
    </row>
    <row r="833">
      <c r="A833" s="22"/>
      <c r="B833" s="11"/>
      <c r="C833" s="20"/>
      <c r="D833" s="20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5"/>
      <c r="U833" s="15"/>
      <c r="V833" s="15"/>
      <c r="W833" s="15"/>
    </row>
    <row r="834">
      <c r="A834" s="54"/>
      <c r="B834" s="11"/>
      <c r="C834" s="20"/>
      <c r="D834" s="20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5"/>
      <c r="U834" s="15"/>
      <c r="V834" s="15"/>
      <c r="W834" s="15"/>
    </row>
    <row r="835">
      <c r="A835" s="54"/>
      <c r="B835" s="11"/>
      <c r="C835" s="20"/>
      <c r="D835" s="20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5"/>
      <c r="U835" s="15"/>
      <c r="V835" s="15"/>
      <c r="W835" s="15"/>
    </row>
    <row r="836">
      <c r="A836" s="54"/>
      <c r="B836" s="11"/>
      <c r="C836" s="20"/>
      <c r="D836" s="20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5"/>
      <c r="U836" s="15"/>
      <c r="V836" s="15"/>
      <c r="W836" s="15"/>
    </row>
    <row r="837">
      <c r="A837" s="54"/>
      <c r="B837" s="11"/>
      <c r="C837" s="20"/>
      <c r="D837" s="20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5"/>
      <c r="U837" s="15"/>
      <c r="V837" s="15"/>
      <c r="W837" s="15"/>
    </row>
    <row r="838">
      <c r="A838" s="54"/>
      <c r="B838" s="11"/>
      <c r="C838" s="20"/>
      <c r="D838" s="20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5"/>
      <c r="U838" s="15"/>
      <c r="V838" s="15"/>
      <c r="W838" s="15"/>
    </row>
    <row r="839">
      <c r="A839" s="54"/>
      <c r="B839" s="11"/>
      <c r="C839" s="20"/>
      <c r="D839" s="20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5"/>
      <c r="U839" s="15"/>
      <c r="V839" s="15"/>
      <c r="W839" s="15"/>
    </row>
    <row r="840">
      <c r="A840" s="54"/>
      <c r="B840" s="11"/>
      <c r="C840" s="20"/>
      <c r="D840" s="20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5"/>
      <c r="U840" s="15"/>
      <c r="V840" s="15"/>
      <c r="W840" s="15"/>
    </row>
    <row r="841">
      <c r="A841" s="54"/>
      <c r="B841" s="11"/>
      <c r="C841" s="20"/>
      <c r="D841" s="20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5"/>
      <c r="U841" s="15"/>
      <c r="V841" s="15"/>
      <c r="W841" s="15"/>
    </row>
    <row r="842">
      <c r="A842" s="54"/>
      <c r="B842" s="11"/>
      <c r="C842" s="20"/>
      <c r="D842" s="20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5"/>
      <c r="U842" s="15"/>
      <c r="V842" s="15"/>
      <c r="W842" s="15"/>
    </row>
    <row r="843">
      <c r="A843" s="54"/>
      <c r="B843" s="11"/>
      <c r="C843" s="20"/>
      <c r="D843" s="20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5"/>
      <c r="U843" s="15"/>
      <c r="V843" s="15"/>
      <c r="W843" s="15"/>
    </row>
    <row r="844">
      <c r="A844" s="54"/>
      <c r="B844" s="11"/>
      <c r="C844" s="20"/>
      <c r="D844" s="20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5"/>
      <c r="U844" s="15"/>
      <c r="V844" s="15"/>
      <c r="W844" s="15"/>
    </row>
    <row r="845">
      <c r="A845" s="54"/>
      <c r="B845" s="11"/>
      <c r="C845" s="20"/>
      <c r="D845" s="20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5"/>
      <c r="U845" s="15"/>
      <c r="V845" s="15"/>
      <c r="W845" s="15"/>
    </row>
    <row r="846">
      <c r="A846" s="54"/>
      <c r="B846" s="11"/>
      <c r="C846" s="20"/>
      <c r="D846" s="20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5"/>
      <c r="U846" s="15"/>
      <c r="V846" s="15"/>
      <c r="W846" s="15"/>
    </row>
    <row r="847">
      <c r="A847" s="54"/>
      <c r="B847" s="11"/>
      <c r="C847" s="20"/>
      <c r="D847" s="20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5"/>
      <c r="U847" s="15"/>
      <c r="V847" s="15"/>
      <c r="W847" s="15"/>
    </row>
    <row r="848">
      <c r="A848" s="54"/>
      <c r="B848" s="11"/>
      <c r="C848" s="20"/>
      <c r="D848" s="20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5"/>
      <c r="U848" s="15"/>
      <c r="V848" s="15"/>
      <c r="W848" s="15"/>
    </row>
    <row r="849">
      <c r="A849" s="54"/>
      <c r="B849" s="11"/>
      <c r="C849" s="20"/>
      <c r="D849" s="20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5"/>
      <c r="U849" s="15"/>
      <c r="V849" s="15"/>
      <c r="W849" s="15"/>
    </row>
    <row r="850">
      <c r="A850" s="54"/>
      <c r="B850" s="11"/>
      <c r="C850" s="20"/>
      <c r="D850" s="20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5"/>
      <c r="U850" s="15"/>
      <c r="V850" s="15"/>
      <c r="W850" s="15"/>
    </row>
    <row r="851">
      <c r="A851" s="54"/>
      <c r="B851" s="11"/>
      <c r="C851" s="20"/>
      <c r="D851" s="20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5"/>
      <c r="U851" s="15"/>
      <c r="V851" s="15"/>
      <c r="W851" s="15"/>
    </row>
    <row r="852">
      <c r="A852" s="54"/>
      <c r="B852" s="11"/>
      <c r="C852" s="20"/>
      <c r="D852" s="20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5"/>
      <c r="U852" s="15"/>
      <c r="V852" s="15"/>
      <c r="W852" s="15"/>
    </row>
    <row r="853">
      <c r="A853" s="54"/>
      <c r="B853" s="11"/>
      <c r="C853" s="20"/>
      <c r="D853" s="20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5"/>
      <c r="U853" s="15"/>
      <c r="V853" s="15"/>
      <c r="W853" s="15"/>
    </row>
    <row r="854">
      <c r="A854" s="54"/>
      <c r="B854" s="11"/>
      <c r="C854" s="20"/>
      <c r="D854" s="20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5"/>
      <c r="U854" s="15"/>
      <c r="V854" s="15"/>
      <c r="W854" s="15"/>
    </row>
    <row r="855">
      <c r="A855" s="54"/>
      <c r="B855" s="11"/>
      <c r="C855" s="20"/>
      <c r="D855" s="20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5"/>
      <c r="U855" s="15"/>
      <c r="V855" s="15"/>
      <c r="W855" s="15"/>
    </row>
    <row r="856">
      <c r="A856" s="54"/>
      <c r="B856" s="11"/>
      <c r="C856" s="20"/>
      <c r="D856" s="20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5"/>
      <c r="U856" s="15"/>
      <c r="V856" s="15"/>
      <c r="W856" s="15"/>
    </row>
    <row r="857">
      <c r="A857" s="54"/>
      <c r="B857" s="11"/>
      <c r="C857" s="20"/>
      <c r="D857" s="20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5"/>
      <c r="U857" s="15"/>
      <c r="V857" s="15"/>
      <c r="W857" s="15"/>
    </row>
    <row r="858">
      <c r="A858" s="54"/>
      <c r="B858" s="11"/>
      <c r="C858" s="20"/>
      <c r="D858" s="20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5"/>
      <c r="U858" s="15"/>
      <c r="V858" s="15"/>
      <c r="W858" s="15"/>
    </row>
    <row r="859">
      <c r="A859" s="54"/>
      <c r="B859" s="11"/>
      <c r="C859" s="20"/>
      <c r="D859" s="20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5"/>
      <c r="U859" s="15"/>
      <c r="V859" s="15"/>
      <c r="W859" s="15"/>
    </row>
    <row r="860">
      <c r="A860" s="54"/>
      <c r="B860" s="11"/>
      <c r="C860" s="20"/>
      <c r="D860" s="20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5"/>
      <c r="U860" s="15"/>
      <c r="V860" s="15"/>
      <c r="W860" s="15"/>
    </row>
    <row r="861">
      <c r="A861" s="22"/>
      <c r="B861" s="11"/>
      <c r="C861" s="20"/>
      <c r="D861" s="20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5"/>
      <c r="U861" s="15"/>
      <c r="V861" s="15"/>
      <c r="W861" s="15"/>
    </row>
    <row r="862">
      <c r="A862" s="22"/>
      <c r="B862" s="11"/>
      <c r="C862" s="20"/>
      <c r="D862" s="20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5"/>
      <c r="U862" s="15"/>
      <c r="V862" s="15"/>
      <c r="W862" s="15"/>
    </row>
    <row r="863">
      <c r="A863" s="22"/>
      <c r="B863" s="11"/>
      <c r="C863" s="20"/>
      <c r="D863" s="20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5"/>
      <c r="U863" s="15"/>
      <c r="V863" s="15"/>
      <c r="W863" s="15"/>
    </row>
    <row r="864">
      <c r="A864" s="22"/>
      <c r="B864" s="11"/>
      <c r="C864" s="20"/>
      <c r="D864" s="20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5"/>
      <c r="U864" s="15"/>
      <c r="V864" s="15"/>
      <c r="W864" s="15"/>
    </row>
    <row r="865">
      <c r="A865" s="22"/>
      <c r="B865" s="11"/>
      <c r="C865" s="20"/>
      <c r="D865" s="20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5"/>
      <c r="U865" s="15"/>
      <c r="V865" s="15"/>
      <c r="W865" s="15"/>
    </row>
    <row r="866">
      <c r="A866" s="22"/>
      <c r="B866" s="11"/>
      <c r="C866" s="20"/>
      <c r="D866" s="20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5"/>
      <c r="U866" s="15"/>
      <c r="V866" s="15"/>
      <c r="W866" s="15"/>
    </row>
    <row r="867">
      <c r="A867" s="22"/>
      <c r="B867" s="11"/>
      <c r="C867" s="20"/>
      <c r="D867" s="20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5"/>
      <c r="U867" s="15"/>
      <c r="V867" s="15"/>
      <c r="W867" s="15"/>
    </row>
    <row r="868">
      <c r="A868" s="22"/>
      <c r="B868" s="11"/>
      <c r="C868" s="20"/>
      <c r="D868" s="20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5"/>
      <c r="U868" s="15"/>
      <c r="V868" s="15"/>
      <c r="W868" s="15"/>
    </row>
    <row r="869">
      <c r="A869" s="22"/>
      <c r="B869" s="11"/>
      <c r="C869" s="20"/>
      <c r="D869" s="20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5"/>
      <c r="U869" s="15"/>
      <c r="V869" s="15"/>
      <c r="W869" s="15"/>
    </row>
    <row r="870">
      <c r="A870" s="22"/>
      <c r="B870" s="11"/>
      <c r="C870" s="20"/>
      <c r="D870" s="20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5"/>
      <c r="U870" s="15"/>
      <c r="V870" s="15"/>
      <c r="W870" s="15"/>
    </row>
    <row r="871">
      <c r="A871" s="22"/>
      <c r="B871" s="11"/>
      <c r="C871" s="20"/>
      <c r="D871" s="20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5"/>
      <c r="U871" s="15"/>
      <c r="V871" s="15"/>
      <c r="W871" s="15"/>
    </row>
    <row r="872">
      <c r="A872" s="22"/>
      <c r="B872" s="11"/>
      <c r="C872" s="20"/>
      <c r="D872" s="20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5"/>
      <c r="U872" s="15"/>
      <c r="V872" s="15"/>
      <c r="W872" s="15"/>
    </row>
    <row r="873">
      <c r="A873" s="22"/>
      <c r="B873" s="11"/>
      <c r="C873" s="20"/>
      <c r="D873" s="20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5"/>
      <c r="U873" s="15"/>
      <c r="V873" s="15"/>
      <c r="W873" s="15"/>
    </row>
    <row r="874">
      <c r="A874" s="22"/>
      <c r="B874" s="11"/>
      <c r="C874" s="20"/>
      <c r="D874" s="20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5"/>
      <c r="U874" s="15"/>
      <c r="V874" s="15"/>
      <c r="W874" s="15"/>
    </row>
    <row r="875">
      <c r="A875" s="22"/>
      <c r="B875" s="11"/>
      <c r="C875" s="20"/>
      <c r="D875" s="20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5"/>
      <c r="U875" s="15"/>
      <c r="V875" s="15"/>
      <c r="W875" s="15"/>
    </row>
    <row r="876">
      <c r="A876" s="22"/>
      <c r="B876" s="11"/>
      <c r="C876" s="20"/>
      <c r="D876" s="20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5"/>
      <c r="U876" s="15"/>
      <c r="V876" s="15"/>
      <c r="W876" s="15"/>
    </row>
    <row r="877">
      <c r="A877" s="22"/>
      <c r="B877" s="11"/>
      <c r="C877" s="20"/>
      <c r="D877" s="20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5"/>
      <c r="U877" s="15"/>
      <c r="V877" s="15"/>
      <c r="W877" s="15"/>
    </row>
    <row r="878">
      <c r="A878" s="22"/>
      <c r="B878" s="11"/>
      <c r="C878" s="20"/>
      <c r="D878" s="20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5"/>
      <c r="U878" s="15"/>
      <c r="V878" s="15"/>
      <c r="W878" s="15"/>
    </row>
    <row r="879">
      <c r="A879" s="22"/>
      <c r="B879" s="11"/>
      <c r="C879" s="20"/>
      <c r="D879" s="20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5"/>
      <c r="U879" s="15"/>
      <c r="V879" s="15"/>
      <c r="W879" s="15"/>
    </row>
    <row r="880">
      <c r="A880" s="54"/>
      <c r="B880" s="11"/>
      <c r="C880" s="20"/>
      <c r="D880" s="20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5"/>
      <c r="U880" s="15"/>
      <c r="V880" s="15"/>
      <c r="W880" s="15"/>
    </row>
    <row r="881">
      <c r="A881" s="54"/>
      <c r="B881" s="11"/>
      <c r="C881" s="20"/>
      <c r="D881" s="20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5"/>
      <c r="U881" s="15"/>
      <c r="V881" s="15"/>
      <c r="W881" s="15"/>
    </row>
    <row r="882">
      <c r="A882" s="54"/>
      <c r="B882" s="11"/>
      <c r="C882" s="20"/>
      <c r="D882" s="20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5"/>
      <c r="U882" s="15"/>
      <c r="V882" s="15"/>
      <c r="W882" s="15"/>
    </row>
    <row r="883">
      <c r="A883" s="54"/>
      <c r="B883" s="11"/>
      <c r="C883" s="20"/>
      <c r="D883" s="20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5"/>
      <c r="U883" s="15"/>
      <c r="V883" s="15"/>
      <c r="W883" s="15"/>
    </row>
    <row r="884">
      <c r="A884" s="54"/>
      <c r="B884" s="11"/>
      <c r="C884" s="20"/>
      <c r="D884" s="20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5"/>
      <c r="U884" s="15"/>
      <c r="V884" s="15"/>
      <c r="W884" s="15"/>
    </row>
    <row r="885">
      <c r="A885" s="54"/>
      <c r="B885" s="11"/>
      <c r="C885" s="20"/>
      <c r="D885" s="20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5"/>
      <c r="U885" s="15"/>
      <c r="V885" s="15"/>
      <c r="W885" s="15"/>
    </row>
    <row r="886">
      <c r="A886" s="54"/>
      <c r="B886" s="11"/>
      <c r="C886" s="20"/>
      <c r="D886" s="20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5"/>
      <c r="U886" s="15"/>
      <c r="V886" s="15"/>
      <c r="W886" s="15"/>
    </row>
    <row r="887">
      <c r="A887" s="54"/>
      <c r="B887" s="11"/>
      <c r="C887" s="20"/>
      <c r="D887" s="20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5"/>
      <c r="U887" s="15"/>
      <c r="V887" s="15"/>
      <c r="W887" s="15"/>
    </row>
    <row r="888">
      <c r="A888" s="54"/>
      <c r="B888" s="11"/>
      <c r="C888" s="20"/>
      <c r="D888" s="20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5"/>
      <c r="U888" s="15"/>
      <c r="V888" s="15"/>
      <c r="W888" s="15"/>
    </row>
    <row r="889">
      <c r="A889" s="54"/>
      <c r="B889" s="11"/>
      <c r="C889" s="20"/>
      <c r="D889" s="20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5"/>
      <c r="U889" s="15"/>
      <c r="V889" s="15"/>
      <c r="W889" s="15"/>
    </row>
    <row r="890">
      <c r="A890" s="54"/>
      <c r="B890" s="11"/>
      <c r="C890" s="20"/>
      <c r="D890" s="20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5"/>
      <c r="U890" s="15"/>
      <c r="V890" s="15"/>
      <c r="W890" s="15"/>
    </row>
    <row r="891">
      <c r="A891" s="54"/>
      <c r="B891" s="11"/>
      <c r="C891" s="20"/>
      <c r="D891" s="20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5"/>
      <c r="U891" s="15"/>
      <c r="V891" s="15"/>
      <c r="W891" s="15"/>
    </row>
    <row r="892">
      <c r="A892" s="54"/>
      <c r="B892" s="11"/>
      <c r="C892" s="20"/>
      <c r="D892" s="20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5"/>
      <c r="U892" s="15"/>
      <c r="V892" s="15"/>
      <c r="W892" s="15"/>
    </row>
    <row r="893">
      <c r="A893" s="54"/>
      <c r="B893" s="11"/>
      <c r="C893" s="20"/>
      <c r="D893" s="20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5"/>
      <c r="U893" s="15"/>
      <c r="V893" s="15"/>
      <c r="W893" s="15"/>
    </row>
    <row r="894">
      <c r="A894" s="54"/>
      <c r="B894" s="11"/>
      <c r="C894" s="20"/>
      <c r="D894" s="20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5"/>
      <c r="U894" s="15"/>
      <c r="V894" s="15"/>
      <c r="W894" s="15"/>
    </row>
    <row r="895">
      <c r="A895" s="54"/>
      <c r="B895" s="11"/>
      <c r="C895" s="20"/>
      <c r="D895" s="20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5"/>
      <c r="U895" s="15"/>
      <c r="V895" s="15"/>
      <c r="W895" s="15"/>
    </row>
    <row r="896">
      <c r="A896" s="54"/>
      <c r="B896" s="11"/>
      <c r="C896" s="20"/>
      <c r="D896" s="20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5"/>
      <c r="U896" s="15"/>
      <c r="V896" s="15"/>
      <c r="W896" s="15"/>
    </row>
    <row r="897">
      <c r="A897" s="54"/>
      <c r="B897" s="11"/>
      <c r="C897" s="20"/>
      <c r="D897" s="20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5"/>
      <c r="U897" s="15"/>
      <c r="V897" s="15"/>
      <c r="W897" s="15"/>
    </row>
    <row r="898">
      <c r="A898" s="22"/>
      <c r="B898" s="11"/>
      <c r="C898" s="20"/>
      <c r="D898" s="20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5"/>
      <c r="U898" s="15"/>
      <c r="V898" s="15"/>
      <c r="W898" s="15"/>
    </row>
    <row r="899">
      <c r="A899" s="22"/>
      <c r="B899" s="11"/>
      <c r="C899" s="20"/>
      <c r="D899" s="20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5"/>
      <c r="U899" s="15"/>
      <c r="V899" s="15"/>
      <c r="W899" s="15"/>
    </row>
    <row r="900">
      <c r="A900" s="22"/>
      <c r="B900" s="11"/>
      <c r="C900" s="20"/>
      <c r="D900" s="20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5"/>
      <c r="U900" s="15"/>
      <c r="V900" s="15"/>
      <c r="W900" s="15"/>
    </row>
    <row r="901">
      <c r="A901" s="22"/>
      <c r="B901" s="11"/>
      <c r="C901" s="20"/>
      <c r="D901" s="20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5"/>
      <c r="U901" s="15"/>
      <c r="V901" s="15"/>
      <c r="W901" s="15"/>
    </row>
    <row r="902">
      <c r="A902" s="22"/>
      <c r="B902" s="11"/>
      <c r="C902" s="20"/>
      <c r="D902" s="20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5"/>
      <c r="U902" s="15"/>
      <c r="V902" s="15"/>
      <c r="W902" s="15"/>
    </row>
    <row r="903">
      <c r="A903" s="22"/>
      <c r="B903" s="11"/>
      <c r="C903" s="20"/>
      <c r="D903" s="20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5"/>
      <c r="U903" s="15"/>
      <c r="V903" s="15"/>
      <c r="W903" s="15"/>
    </row>
    <row r="904">
      <c r="A904" s="22"/>
      <c r="B904" s="11"/>
      <c r="C904" s="20"/>
      <c r="D904" s="20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5"/>
      <c r="U904" s="15"/>
      <c r="V904" s="15"/>
      <c r="W904" s="15"/>
    </row>
    <row r="905">
      <c r="A905" s="22"/>
      <c r="B905" s="11"/>
      <c r="C905" s="20"/>
      <c r="D905" s="20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5"/>
      <c r="U905" s="15"/>
      <c r="V905" s="15"/>
      <c r="W905" s="15"/>
    </row>
    <row r="906">
      <c r="A906" s="22"/>
      <c r="B906" s="11"/>
      <c r="C906" s="20"/>
      <c r="D906" s="20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5"/>
      <c r="U906" s="15"/>
      <c r="V906" s="15"/>
      <c r="W906" s="15"/>
    </row>
    <row r="907">
      <c r="A907" s="22"/>
      <c r="B907" s="11"/>
      <c r="C907" s="20"/>
      <c r="D907" s="20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5"/>
      <c r="U907" s="15"/>
      <c r="V907" s="15"/>
      <c r="W907" s="15"/>
    </row>
    <row r="908">
      <c r="A908" s="22"/>
      <c r="B908" s="11"/>
      <c r="C908" s="20"/>
      <c r="D908" s="20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5"/>
      <c r="U908" s="15"/>
      <c r="V908" s="15"/>
      <c r="W908" s="15"/>
    </row>
    <row r="909">
      <c r="A909" s="22"/>
      <c r="B909" s="11"/>
      <c r="C909" s="20"/>
      <c r="D909" s="20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5"/>
      <c r="U909" s="15"/>
      <c r="V909" s="15"/>
      <c r="W909" s="15"/>
    </row>
    <row r="910">
      <c r="A910" s="22"/>
      <c r="B910" s="11"/>
      <c r="C910" s="20"/>
      <c r="D910" s="20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5"/>
      <c r="U910" s="15"/>
      <c r="V910" s="15"/>
      <c r="W910" s="15"/>
    </row>
    <row r="911">
      <c r="A911" s="22"/>
      <c r="B911" s="11"/>
      <c r="C911" s="20"/>
      <c r="D911" s="20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5"/>
      <c r="U911" s="15"/>
      <c r="V911" s="15"/>
      <c r="W911" s="15"/>
    </row>
    <row r="912">
      <c r="A912" s="22"/>
      <c r="B912" s="11"/>
      <c r="C912" s="20"/>
      <c r="D912" s="20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5"/>
      <c r="U912" s="15"/>
      <c r="V912" s="15"/>
      <c r="W912" s="15"/>
    </row>
    <row r="913">
      <c r="A913" s="22"/>
      <c r="B913" s="11"/>
      <c r="C913" s="20"/>
      <c r="D913" s="20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5"/>
      <c r="U913" s="15"/>
      <c r="V913" s="15"/>
      <c r="W913" s="15"/>
    </row>
    <row r="914">
      <c r="A914" s="22"/>
      <c r="B914" s="11"/>
      <c r="C914" s="20"/>
      <c r="D914" s="20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5"/>
      <c r="U914" s="15"/>
      <c r="V914" s="15"/>
      <c r="W914" s="15"/>
    </row>
    <row r="915">
      <c r="A915" s="22"/>
      <c r="B915" s="11"/>
      <c r="C915" s="20"/>
      <c r="D915" s="20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5"/>
      <c r="U915" s="15"/>
      <c r="V915" s="15"/>
      <c r="W915" s="15"/>
    </row>
    <row r="916">
      <c r="A916" s="22"/>
      <c r="B916" s="11"/>
      <c r="C916" s="20"/>
      <c r="D916" s="20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5"/>
      <c r="U916" s="15"/>
      <c r="V916" s="15"/>
      <c r="W916" s="15"/>
    </row>
    <row r="917">
      <c r="A917" s="54"/>
      <c r="B917" s="11"/>
      <c r="C917" s="20"/>
      <c r="D917" s="20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5"/>
      <c r="U917" s="15"/>
      <c r="V917" s="15"/>
      <c r="W917" s="15"/>
    </row>
    <row r="918">
      <c r="A918" s="54"/>
      <c r="B918" s="11"/>
      <c r="C918" s="20"/>
      <c r="D918" s="20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5"/>
      <c r="U918" s="15"/>
      <c r="V918" s="15"/>
      <c r="W918" s="15"/>
    </row>
    <row r="919">
      <c r="A919" s="54"/>
      <c r="B919" s="11"/>
      <c r="C919" s="20"/>
      <c r="D919" s="20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5"/>
      <c r="U919" s="15"/>
      <c r="V919" s="15"/>
      <c r="W919" s="15"/>
    </row>
    <row r="920">
      <c r="A920" s="54"/>
      <c r="B920" s="11"/>
      <c r="C920" s="20"/>
      <c r="D920" s="20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5"/>
      <c r="U920" s="15"/>
      <c r="V920" s="15"/>
      <c r="W920" s="15"/>
    </row>
    <row r="921">
      <c r="A921" s="54"/>
      <c r="B921" s="11"/>
      <c r="C921" s="20"/>
      <c r="D921" s="20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5"/>
      <c r="U921" s="15"/>
      <c r="V921" s="15"/>
      <c r="W921" s="15"/>
    </row>
    <row r="922">
      <c r="A922" s="54"/>
      <c r="B922" s="11"/>
      <c r="C922" s="20"/>
      <c r="D922" s="20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5"/>
      <c r="U922" s="15"/>
      <c r="V922" s="15"/>
      <c r="W922" s="15"/>
    </row>
    <row r="923">
      <c r="A923" s="54"/>
      <c r="B923" s="11"/>
      <c r="C923" s="20"/>
      <c r="D923" s="20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5"/>
      <c r="U923" s="15"/>
      <c r="V923" s="15"/>
      <c r="W923" s="15"/>
    </row>
    <row r="924">
      <c r="A924" s="54"/>
      <c r="B924" s="11"/>
      <c r="C924" s="20"/>
      <c r="D924" s="20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5"/>
      <c r="U924" s="15"/>
      <c r="V924" s="15"/>
      <c r="W924" s="15"/>
    </row>
    <row r="925">
      <c r="A925" s="54"/>
      <c r="B925" s="11"/>
      <c r="C925" s="20"/>
      <c r="D925" s="20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5"/>
      <c r="U925" s="15"/>
      <c r="V925" s="15"/>
      <c r="W925" s="15"/>
    </row>
    <row r="926">
      <c r="A926" s="54"/>
      <c r="B926" s="11"/>
      <c r="C926" s="20"/>
      <c r="D926" s="20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5"/>
      <c r="U926" s="15"/>
      <c r="V926" s="15"/>
      <c r="W926" s="15"/>
    </row>
    <row r="927">
      <c r="A927" s="54"/>
      <c r="B927" s="11"/>
      <c r="C927" s="20"/>
      <c r="D927" s="20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5"/>
      <c r="U927" s="15"/>
      <c r="V927" s="15"/>
      <c r="W927" s="15"/>
    </row>
    <row r="928">
      <c r="A928" s="54"/>
      <c r="B928" s="11"/>
      <c r="C928" s="20"/>
      <c r="D928" s="20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5"/>
      <c r="U928" s="15"/>
      <c r="V928" s="15"/>
      <c r="W928" s="15"/>
    </row>
    <row r="929">
      <c r="A929" s="54"/>
      <c r="B929" s="11"/>
      <c r="C929" s="20"/>
      <c r="D929" s="20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5"/>
      <c r="U929" s="15"/>
      <c r="V929" s="15"/>
      <c r="W929" s="15"/>
    </row>
    <row r="930">
      <c r="A930" s="54"/>
      <c r="B930" s="11"/>
      <c r="C930" s="20"/>
      <c r="D930" s="20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5"/>
      <c r="U930" s="15"/>
      <c r="V930" s="15"/>
      <c r="W930" s="15"/>
    </row>
    <row r="931">
      <c r="A931" s="54"/>
      <c r="B931" s="11"/>
      <c r="C931" s="20"/>
      <c r="D931" s="20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5"/>
      <c r="U931" s="15"/>
      <c r="V931" s="15"/>
      <c r="W931" s="15"/>
    </row>
    <row r="932">
      <c r="A932" s="54"/>
      <c r="B932" s="11"/>
      <c r="C932" s="20"/>
      <c r="D932" s="20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5"/>
      <c r="U932" s="15"/>
      <c r="V932" s="15"/>
      <c r="W932" s="15"/>
    </row>
    <row r="933">
      <c r="A933" s="54"/>
      <c r="B933" s="11"/>
      <c r="C933" s="20"/>
      <c r="D933" s="20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5"/>
      <c r="U933" s="15"/>
      <c r="V933" s="15"/>
      <c r="W933" s="15"/>
    </row>
    <row r="934">
      <c r="A934" s="54"/>
      <c r="B934" s="11"/>
      <c r="C934" s="20"/>
      <c r="D934" s="20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5"/>
      <c r="U934" s="15"/>
      <c r="V934" s="15"/>
      <c r="W934" s="15"/>
    </row>
    <row r="935">
      <c r="A935" s="54"/>
      <c r="B935" s="11"/>
      <c r="C935" s="20"/>
      <c r="D935" s="20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5"/>
      <c r="U935" s="15"/>
      <c r="V935" s="15"/>
      <c r="W935" s="15"/>
    </row>
    <row r="936">
      <c r="A936" s="54"/>
      <c r="B936" s="11"/>
      <c r="C936" s="20"/>
      <c r="D936" s="20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5"/>
      <c r="U936" s="15"/>
      <c r="V936" s="15"/>
      <c r="W936" s="15"/>
    </row>
    <row r="937">
      <c r="A937" s="54"/>
      <c r="B937" s="11"/>
      <c r="C937" s="20"/>
      <c r="D937" s="20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5"/>
      <c r="U937" s="15"/>
      <c r="V937" s="15"/>
      <c r="W937" s="15"/>
    </row>
    <row r="938">
      <c r="A938" s="54"/>
      <c r="B938" s="11"/>
      <c r="C938" s="20"/>
      <c r="D938" s="20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5"/>
      <c r="U938" s="15"/>
      <c r="V938" s="15"/>
      <c r="W938" s="15"/>
    </row>
    <row r="939">
      <c r="A939" s="54"/>
      <c r="B939" s="11"/>
      <c r="C939" s="20"/>
      <c r="D939" s="20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5"/>
      <c r="U939" s="15"/>
      <c r="V939" s="15"/>
      <c r="W939" s="15"/>
    </row>
    <row r="940">
      <c r="A940" s="54"/>
      <c r="B940" s="11"/>
      <c r="C940" s="20"/>
      <c r="D940" s="20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5"/>
      <c r="U940" s="15"/>
      <c r="V940" s="15"/>
      <c r="W940" s="15"/>
    </row>
    <row r="941">
      <c r="A941" s="54"/>
      <c r="B941" s="11"/>
      <c r="C941" s="20"/>
      <c r="D941" s="20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5"/>
      <c r="U941" s="15"/>
      <c r="V941" s="15"/>
      <c r="W941" s="15"/>
    </row>
    <row r="942">
      <c r="A942" s="54"/>
      <c r="B942" s="11"/>
      <c r="C942" s="20"/>
      <c r="D942" s="20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5"/>
      <c r="U942" s="15"/>
      <c r="V942" s="15"/>
      <c r="W942" s="15"/>
    </row>
    <row r="943">
      <c r="A943" s="54"/>
      <c r="B943" s="11"/>
      <c r="C943" s="20"/>
      <c r="D943" s="20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5"/>
      <c r="U943" s="15"/>
      <c r="V943" s="15"/>
      <c r="W943" s="15"/>
    </row>
    <row r="944">
      <c r="A944" s="22"/>
      <c r="B944" s="11"/>
      <c r="C944" s="20"/>
      <c r="D944" s="20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5"/>
      <c r="U944" s="15"/>
      <c r="V944" s="15"/>
      <c r="W944" s="15"/>
    </row>
    <row r="945">
      <c r="A945" s="22"/>
      <c r="B945" s="11"/>
      <c r="C945" s="20"/>
      <c r="D945" s="20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5"/>
      <c r="U945" s="15"/>
      <c r="V945" s="15"/>
      <c r="W945" s="15"/>
    </row>
    <row r="946">
      <c r="A946" s="22"/>
      <c r="B946" s="11"/>
      <c r="C946" s="20"/>
      <c r="D946" s="20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5"/>
      <c r="U946" s="15"/>
      <c r="V946" s="15"/>
      <c r="W946" s="15"/>
    </row>
    <row r="947">
      <c r="A947" s="22"/>
      <c r="B947" s="11"/>
      <c r="C947" s="20"/>
      <c r="D947" s="20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5"/>
      <c r="U947" s="15"/>
      <c r="V947" s="15"/>
      <c r="W947" s="15"/>
    </row>
    <row r="948">
      <c r="A948" s="22"/>
      <c r="B948" s="11"/>
      <c r="C948" s="20"/>
      <c r="D948" s="20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5"/>
      <c r="U948" s="15"/>
      <c r="V948" s="15"/>
      <c r="W948" s="15"/>
    </row>
    <row r="949">
      <c r="A949" s="22"/>
      <c r="B949" s="11"/>
      <c r="C949" s="20"/>
      <c r="D949" s="20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5"/>
      <c r="U949" s="15"/>
      <c r="V949" s="15"/>
      <c r="W949" s="15"/>
    </row>
    <row r="950">
      <c r="A950" s="22"/>
      <c r="B950" s="11"/>
      <c r="C950" s="20"/>
      <c r="D950" s="20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5"/>
      <c r="U950" s="15"/>
      <c r="V950" s="15"/>
      <c r="W950" s="15"/>
    </row>
    <row r="951">
      <c r="A951" s="22"/>
      <c r="B951" s="11"/>
      <c r="C951" s="20"/>
      <c r="D951" s="20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5"/>
      <c r="U951" s="15"/>
      <c r="V951" s="15"/>
      <c r="W951" s="15"/>
    </row>
    <row r="952">
      <c r="A952" s="22"/>
      <c r="B952" s="11"/>
      <c r="C952" s="20"/>
      <c r="D952" s="20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5"/>
      <c r="U952" s="15"/>
      <c r="V952" s="15"/>
      <c r="W952" s="15"/>
    </row>
    <row r="953">
      <c r="A953" s="22"/>
      <c r="B953" s="11"/>
      <c r="C953" s="20"/>
      <c r="D953" s="20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5"/>
      <c r="U953" s="15"/>
      <c r="V953" s="15"/>
      <c r="W953" s="15"/>
    </row>
    <row r="954">
      <c r="A954" s="22"/>
      <c r="B954" s="11"/>
      <c r="C954" s="20"/>
      <c r="D954" s="20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5"/>
      <c r="U954" s="15"/>
      <c r="V954" s="15"/>
      <c r="W954" s="15"/>
    </row>
    <row r="955">
      <c r="A955" s="22"/>
      <c r="B955" s="11"/>
      <c r="C955" s="20"/>
      <c r="D955" s="20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5"/>
      <c r="U955" s="15"/>
      <c r="V955" s="15"/>
      <c r="W955" s="15"/>
    </row>
    <row r="956">
      <c r="A956" s="22"/>
      <c r="B956" s="11"/>
      <c r="C956" s="20"/>
      <c r="D956" s="20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5"/>
      <c r="U956" s="15"/>
      <c r="V956" s="15"/>
      <c r="W956" s="15"/>
    </row>
    <row r="957">
      <c r="A957" s="22"/>
      <c r="B957" s="11"/>
      <c r="C957" s="20"/>
      <c r="D957" s="20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5"/>
      <c r="U957" s="15"/>
      <c r="V957" s="15"/>
      <c r="W957" s="15"/>
    </row>
    <row r="958">
      <c r="A958" s="22"/>
      <c r="B958" s="11"/>
      <c r="C958" s="20"/>
      <c r="D958" s="20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5"/>
      <c r="U958" s="15"/>
      <c r="V958" s="15"/>
      <c r="W958" s="15"/>
    </row>
    <row r="959">
      <c r="A959" s="22"/>
      <c r="B959" s="11"/>
      <c r="C959" s="20"/>
      <c r="D959" s="20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5"/>
      <c r="U959" s="15"/>
      <c r="V959" s="15"/>
      <c r="W959" s="15"/>
    </row>
    <row r="960">
      <c r="A960" s="22"/>
      <c r="B960" s="11"/>
      <c r="C960" s="20"/>
      <c r="D960" s="20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5"/>
      <c r="U960" s="15"/>
      <c r="V960" s="15"/>
      <c r="W960" s="15"/>
    </row>
    <row r="961">
      <c r="A961" s="22"/>
      <c r="B961" s="11"/>
      <c r="C961" s="20"/>
      <c r="D961" s="20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5"/>
      <c r="U961" s="15"/>
      <c r="V961" s="15"/>
      <c r="W961" s="15"/>
    </row>
    <row r="962">
      <c r="A962" s="22"/>
      <c r="B962" s="11"/>
      <c r="C962" s="20"/>
      <c r="D962" s="20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5"/>
      <c r="U962" s="15"/>
      <c r="V962" s="15"/>
      <c r="W962" s="15"/>
    </row>
    <row r="963">
      <c r="A963" s="54"/>
      <c r="B963" s="11"/>
      <c r="C963" s="20"/>
      <c r="D963" s="20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5"/>
      <c r="U963" s="15"/>
      <c r="V963" s="15"/>
      <c r="W963" s="15"/>
    </row>
    <row r="964">
      <c r="A964" s="54"/>
      <c r="B964" s="11"/>
      <c r="C964" s="20"/>
      <c r="D964" s="20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5"/>
      <c r="U964" s="15"/>
      <c r="V964" s="15"/>
      <c r="W964" s="15"/>
    </row>
    <row r="965">
      <c r="A965" s="54"/>
      <c r="B965" s="11"/>
      <c r="C965" s="20"/>
      <c r="D965" s="20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5"/>
      <c r="U965" s="15"/>
      <c r="V965" s="15"/>
      <c r="W965" s="15"/>
    </row>
    <row r="966">
      <c r="A966" s="54"/>
      <c r="B966" s="11"/>
      <c r="C966" s="20"/>
      <c r="D966" s="20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5"/>
      <c r="U966" s="15"/>
      <c r="V966" s="15"/>
      <c r="W966" s="15"/>
    </row>
    <row r="967">
      <c r="A967" s="54"/>
      <c r="B967" s="11"/>
      <c r="C967" s="20"/>
      <c r="D967" s="20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5"/>
      <c r="U967" s="15"/>
      <c r="V967" s="15"/>
      <c r="W967" s="15"/>
    </row>
    <row r="968">
      <c r="A968" s="54"/>
      <c r="B968" s="11"/>
      <c r="C968" s="20"/>
      <c r="D968" s="20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5"/>
      <c r="U968" s="15"/>
      <c r="V968" s="15"/>
      <c r="W968" s="15"/>
    </row>
    <row r="969">
      <c r="A969" s="54"/>
      <c r="B969" s="11"/>
      <c r="C969" s="20"/>
      <c r="D969" s="20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5"/>
      <c r="U969" s="15"/>
      <c r="V969" s="15"/>
      <c r="W969" s="15"/>
    </row>
    <row r="970">
      <c r="A970" s="54"/>
      <c r="B970" s="11"/>
      <c r="C970" s="20"/>
      <c r="D970" s="20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5"/>
      <c r="U970" s="15"/>
      <c r="V970" s="15"/>
      <c r="W970" s="15"/>
    </row>
    <row r="971">
      <c r="A971" s="54"/>
      <c r="B971" s="11"/>
      <c r="C971" s="20"/>
      <c r="D971" s="20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5"/>
      <c r="U971" s="15"/>
      <c r="V971" s="15"/>
      <c r="W971" s="15"/>
    </row>
    <row r="972">
      <c r="A972" s="54"/>
      <c r="B972" s="11"/>
      <c r="C972" s="20"/>
      <c r="D972" s="20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5"/>
      <c r="U972" s="15"/>
      <c r="V972" s="15"/>
      <c r="W972" s="15"/>
    </row>
    <row r="973">
      <c r="A973" s="54"/>
      <c r="B973" s="11"/>
      <c r="C973" s="20"/>
      <c r="D973" s="20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5"/>
      <c r="U973" s="15"/>
      <c r="V973" s="15"/>
      <c r="W973" s="15"/>
    </row>
    <row r="974">
      <c r="A974" s="54"/>
      <c r="B974" s="11"/>
      <c r="C974" s="20"/>
      <c r="D974" s="20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5"/>
      <c r="U974" s="15"/>
      <c r="V974" s="15"/>
      <c r="W974" s="15"/>
    </row>
    <row r="975">
      <c r="A975" s="54"/>
      <c r="B975" s="11"/>
      <c r="C975" s="20"/>
      <c r="D975" s="20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5"/>
      <c r="U975" s="15"/>
      <c r="V975" s="15"/>
      <c r="W975" s="15"/>
    </row>
    <row r="976">
      <c r="A976" s="54"/>
      <c r="B976" s="11"/>
      <c r="C976" s="20"/>
      <c r="D976" s="20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5"/>
      <c r="U976" s="15"/>
      <c r="V976" s="15"/>
      <c r="W976" s="15"/>
    </row>
    <row r="977">
      <c r="A977" s="54"/>
      <c r="B977" s="11"/>
      <c r="C977" s="20"/>
      <c r="D977" s="20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5"/>
      <c r="U977" s="15"/>
      <c r="V977" s="15"/>
      <c r="W977" s="15"/>
    </row>
    <row r="978">
      <c r="A978" s="54"/>
      <c r="B978" s="11"/>
      <c r="C978" s="20"/>
      <c r="D978" s="20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5"/>
      <c r="U978" s="15"/>
      <c r="V978" s="15"/>
      <c r="W978" s="15"/>
    </row>
    <row r="979">
      <c r="A979" s="54"/>
      <c r="B979" s="11"/>
      <c r="C979" s="20"/>
      <c r="D979" s="20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5"/>
      <c r="U979" s="15"/>
      <c r="V979" s="15"/>
      <c r="W979" s="15"/>
    </row>
    <row r="980">
      <c r="A980" s="54"/>
      <c r="B980" s="11"/>
      <c r="C980" s="20"/>
      <c r="D980" s="20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5"/>
      <c r="U980" s="15"/>
      <c r="V980" s="15"/>
      <c r="W980" s="15"/>
    </row>
    <row r="981">
      <c r="A981" s="22"/>
      <c r="B981" s="11"/>
      <c r="C981" s="20"/>
      <c r="D981" s="20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5"/>
      <c r="U981" s="15"/>
      <c r="V981" s="15"/>
      <c r="W981" s="15"/>
    </row>
    <row r="982">
      <c r="A982" s="22"/>
      <c r="B982" s="11"/>
      <c r="C982" s="20"/>
      <c r="D982" s="20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5"/>
      <c r="U982" s="15"/>
      <c r="V982" s="15"/>
      <c r="W982" s="15"/>
    </row>
    <row r="983">
      <c r="A983" s="22"/>
      <c r="B983" s="11"/>
      <c r="C983" s="20"/>
      <c r="D983" s="20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5"/>
      <c r="U983" s="15"/>
      <c r="V983" s="15"/>
      <c r="W983" s="15"/>
    </row>
    <row r="984">
      <c r="A984" s="22"/>
      <c r="B984" s="11"/>
      <c r="C984" s="20"/>
      <c r="D984" s="20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5"/>
      <c r="U984" s="15"/>
      <c r="V984" s="15"/>
      <c r="W984" s="15"/>
    </row>
    <row r="985">
      <c r="A985" s="22"/>
      <c r="B985" s="11"/>
      <c r="C985" s="20"/>
      <c r="D985" s="20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5"/>
      <c r="U985" s="15"/>
      <c r="V985" s="15"/>
      <c r="W985" s="15"/>
    </row>
    <row r="986">
      <c r="A986" s="22"/>
      <c r="B986" s="11"/>
      <c r="C986" s="20"/>
      <c r="D986" s="20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5"/>
      <c r="U986" s="15"/>
      <c r="V986" s="15"/>
      <c r="W986" s="15"/>
    </row>
    <row r="987">
      <c r="A987" s="22"/>
      <c r="B987" s="11"/>
      <c r="C987" s="20"/>
      <c r="D987" s="20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5"/>
      <c r="U987" s="15"/>
      <c r="V987" s="15"/>
      <c r="W987" s="15"/>
    </row>
    <row r="988">
      <c r="A988" s="22"/>
      <c r="B988" s="11"/>
      <c r="C988" s="20"/>
      <c r="D988" s="20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5"/>
      <c r="U988" s="15"/>
      <c r="V988" s="15"/>
      <c r="W988" s="15"/>
    </row>
    <row r="989">
      <c r="A989" s="22"/>
      <c r="B989" s="11"/>
      <c r="C989" s="20"/>
      <c r="D989" s="20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5"/>
      <c r="U989" s="15"/>
      <c r="V989" s="15"/>
      <c r="W989" s="15"/>
    </row>
    <row r="990">
      <c r="A990" s="22"/>
      <c r="B990" s="11"/>
      <c r="C990" s="20"/>
      <c r="D990" s="20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5"/>
      <c r="U990" s="15"/>
      <c r="V990" s="15"/>
      <c r="W990" s="15"/>
    </row>
    <row r="991">
      <c r="A991" s="22"/>
      <c r="B991" s="11"/>
      <c r="C991" s="20"/>
      <c r="D991" s="20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5"/>
      <c r="U991" s="15"/>
      <c r="V991" s="15"/>
      <c r="W991" s="15"/>
    </row>
    <row r="992">
      <c r="A992" s="22"/>
      <c r="B992" s="11"/>
      <c r="C992" s="20"/>
      <c r="D992" s="20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5"/>
      <c r="U992" s="15"/>
      <c r="V992" s="15"/>
      <c r="W992" s="15"/>
    </row>
    <row r="993">
      <c r="A993" s="22"/>
      <c r="B993" s="11"/>
      <c r="C993" s="20"/>
      <c r="D993" s="20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5"/>
      <c r="U993" s="15"/>
      <c r="V993" s="15"/>
      <c r="W993" s="15"/>
    </row>
    <row r="994">
      <c r="A994" s="22"/>
      <c r="B994" s="11"/>
      <c r="C994" s="20"/>
      <c r="D994" s="20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5"/>
      <c r="U994" s="15"/>
      <c r="V994" s="15"/>
      <c r="W994" s="15"/>
    </row>
    <row r="995">
      <c r="A995" s="22"/>
      <c r="B995" s="11"/>
      <c r="C995" s="20"/>
      <c r="D995" s="20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5"/>
      <c r="U995" s="15"/>
      <c r="V995" s="15"/>
      <c r="W995" s="15"/>
    </row>
    <row r="996">
      <c r="A996" s="22"/>
      <c r="B996" s="11"/>
      <c r="C996" s="20"/>
      <c r="D996" s="20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5"/>
      <c r="U996" s="15"/>
      <c r="V996" s="15"/>
      <c r="W996" s="15"/>
    </row>
    <row r="997">
      <c r="A997" s="22"/>
      <c r="B997" s="11"/>
      <c r="C997" s="20"/>
      <c r="D997" s="20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5"/>
      <c r="U997" s="15"/>
      <c r="V997" s="15"/>
      <c r="W997" s="15"/>
    </row>
    <row r="998">
      <c r="A998" s="22"/>
      <c r="B998" s="11"/>
      <c r="C998" s="20"/>
      <c r="D998" s="20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5"/>
      <c r="U998" s="15"/>
      <c r="V998" s="15"/>
      <c r="W998" s="15"/>
    </row>
    <row r="999">
      <c r="A999" s="22"/>
      <c r="B999" s="11"/>
      <c r="C999" s="20"/>
      <c r="D999" s="20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5"/>
      <c r="U999" s="15"/>
      <c r="V999" s="15"/>
      <c r="W999" s="15"/>
    </row>
    <row r="1000">
      <c r="A1000" s="22"/>
      <c r="B1000" s="11"/>
      <c r="C1000" s="20"/>
      <c r="D1000" s="20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5"/>
      <c r="U1000" s="15"/>
      <c r="V1000" s="15"/>
      <c r="W1000" s="15"/>
    </row>
    <row r="1001">
      <c r="A1001" s="22"/>
      <c r="B1001" s="11"/>
      <c r="C1001" s="20"/>
      <c r="D1001" s="20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5"/>
      <c r="U1001" s="15"/>
      <c r="V1001" s="15"/>
      <c r="W1001" s="15"/>
    </row>
    <row r="1002">
      <c r="A1002" s="22"/>
      <c r="B1002" s="11"/>
      <c r="C1002" s="20"/>
      <c r="D1002" s="20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5"/>
      <c r="U1002" s="15"/>
      <c r="V1002" s="15"/>
      <c r="W1002" s="15"/>
    </row>
    <row r="1003">
      <c r="A1003" s="22"/>
      <c r="B1003" s="11"/>
      <c r="C1003" s="20"/>
      <c r="D1003" s="20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5"/>
      <c r="U1003" s="15"/>
      <c r="V1003" s="15"/>
      <c r="W1003" s="15"/>
    </row>
    <row r="1004">
      <c r="A1004" s="22"/>
      <c r="B1004" s="11"/>
      <c r="C1004" s="20"/>
      <c r="D1004" s="20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5"/>
      <c r="U1004" s="15"/>
      <c r="V1004" s="15"/>
      <c r="W1004" s="15"/>
    </row>
    <row r="1005">
      <c r="A1005" s="22"/>
      <c r="B1005" s="11"/>
      <c r="C1005" s="20"/>
      <c r="D1005" s="20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5"/>
      <c r="U1005" s="15"/>
      <c r="V1005" s="15"/>
      <c r="W1005" s="15"/>
    </row>
    <row r="1006">
      <c r="A1006" s="22"/>
      <c r="B1006" s="11"/>
      <c r="C1006" s="20"/>
      <c r="D1006" s="20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5"/>
      <c r="U1006" s="15"/>
      <c r="V1006" s="15"/>
      <c r="W1006" s="15"/>
    </row>
    <row r="1007">
      <c r="A1007" s="22"/>
      <c r="B1007" s="11"/>
      <c r="C1007" s="20"/>
      <c r="D1007" s="20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5"/>
      <c r="U1007" s="15"/>
      <c r="V1007" s="15"/>
      <c r="W1007" s="15"/>
    </row>
    <row r="1008">
      <c r="A1008" s="22"/>
      <c r="B1008" s="11"/>
      <c r="C1008" s="20"/>
      <c r="D1008" s="20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5"/>
      <c r="U1008" s="15"/>
      <c r="V1008" s="15"/>
      <c r="W1008" s="15"/>
    </row>
    <row r="1009">
      <c r="A1009" s="22"/>
      <c r="B1009" s="11"/>
      <c r="C1009" s="20"/>
      <c r="D1009" s="20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5"/>
      <c r="U1009" s="15"/>
      <c r="V1009" s="15"/>
      <c r="W1009" s="15"/>
    </row>
    <row r="1010">
      <c r="A1010" s="22"/>
      <c r="B1010" s="11"/>
      <c r="C1010" s="20"/>
      <c r="D1010" s="20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5"/>
      <c r="U1010" s="15"/>
      <c r="V1010" s="15"/>
      <c r="W1010" s="15"/>
    </row>
    <row r="1011">
      <c r="A1011" s="22"/>
      <c r="B1011" s="11"/>
      <c r="C1011" s="20"/>
      <c r="D1011" s="20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5"/>
      <c r="U1011" s="15"/>
      <c r="V1011" s="15"/>
      <c r="W1011" s="15"/>
    </row>
    <row r="1012">
      <c r="A1012" s="22"/>
      <c r="B1012" s="11"/>
      <c r="C1012" s="20"/>
      <c r="D1012" s="20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5"/>
      <c r="U1012" s="15"/>
      <c r="V1012" s="15"/>
      <c r="W1012" s="15"/>
    </row>
    <row r="1013">
      <c r="A1013" s="22"/>
      <c r="B1013" s="11"/>
      <c r="C1013" s="20"/>
      <c r="D1013" s="20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5"/>
      <c r="U1013" s="15"/>
      <c r="V1013" s="15"/>
      <c r="W1013" s="15"/>
    </row>
    <row r="1014">
      <c r="A1014" s="22"/>
      <c r="B1014" s="11"/>
      <c r="C1014" s="20"/>
      <c r="D1014" s="20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5"/>
      <c r="U1014" s="15"/>
      <c r="V1014" s="15"/>
      <c r="W1014" s="15"/>
    </row>
    <row r="1015">
      <c r="A1015" s="22"/>
      <c r="B1015" s="11"/>
      <c r="C1015" s="20"/>
      <c r="D1015" s="20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5"/>
      <c r="U1015" s="15"/>
      <c r="V1015" s="15"/>
      <c r="W1015" s="15"/>
    </row>
    <row r="1016">
      <c r="A1016" s="22"/>
      <c r="B1016" s="11"/>
      <c r="C1016" s="20"/>
      <c r="D1016" s="20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5"/>
      <c r="U1016" s="15"/>
      <c r="V1016" s="15"/>
      <c r="W1016" s="15"/>
    </row>
    <row r="1017">
      <c r="A1017" s="22"/>
      <c r="B1017" s="11"/>
      <c r="C1017" s="20"/>
      <c r="D1017" s="20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5"/>
      <c r="U1017" s="15"/>
      <c r="V1017" s="15"/>
      <c r="W1017" s="15"/>
    </row>
    <row r="1018">
      <c r="A1018" s="22"/>
      <c r="B1018" s="11"/>
      <c r="C1018" s="20"/>
      <c r="D1018" s="20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5"/>
      <c r="U1018" s="15"/>
      <c r="V1018" s="15"/>
      <c r="W1018" s="15"/>
    </row>
    <row r="1019">
      <c r="A1019" s="22"/>
      <c r="B1019" s="11"/>
      <c r="C1019" s="20"/>
      <c r="D1019" s="20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5"/>
      <c r="U1019" s="15"/>
      <c r="V1019" s="15"/>
      <c r="W1019" s="15"/>
    </row>
    <row r="1020">
      <c r="A1020" s="22"/>
      <c r="B1020" s="11"/>
      <c r="C1020" s="20"/>
      <c r="D1020" s="20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5"/>
      <c r="U1020" s="15"/>
      <c r="V1020" s="15"/>
      <c r="W1020" s="15"/>
    </row>
    <row r="1021">
      <c r="A1021" s="22"/>
      <c r="B1021" s="11"/>
      <c r="C1021" s="20"/>
      <c r="D1021" s="20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5"/>
      <c r="U1021" s="15"/>
      <c r="V1021" s="15"/>
      <c r="W1021" s="15"/>
    </row>
    <row r="1022">
      <c r="A1022" s="22"/>
      <c r="B1022" s="11"/>
      <c r="C1022" s="20"/>
      <c r="D1022" s="20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5"/>
      <c r="U1022" s="15"/>
      <c r="V1022" s="15"/>
      <c r="W1022" s="15"/>
    </row>
    <row r="1023">
      <c r="A1023" s="22"/>
      <c r="B1023" s="11"/>
      <c r="C1023" s="20"/>
      <c r="D1023" s="20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5"/>
      <c r="U1023" s="15"/>
      <c r="V1023" s="15"/>
      <c r="W1023" s="15"/>
    </row>
    <row r="1024">
      <c r="A1024" s="22"/>
      <c r="B1024" s="11"/>
      <c r="C1024" s="20"/>
      <c r="D1024" s="20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5"/>
      <c r="U1024" s="15"/>
      <c r="V1024" s="15"/>
      <c r="W1024" s="15"/>
    </row>
    <row r="1025">
      <c r="A1025" s="22"/>
      <c r="B1025" s="11"/>
      <c r="C1025" s="20"/>
      <c r="D1025" s="20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5"/>
      <c r="U1025" s="15"/>
      <c r="V1025" s="15"/>
      <c r="W1025" s="15"/>
    </row>
    <row r="1026">
      <c r="A1026" s="22"/>
      <c r="B1026" s="11"/>
      <c r="C1026" s="20"/>
      <c r="D1026" s="20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5"/>
      <c r="U1026" s="15"/>
      <c r="V1026" s="15"/>
      <c r="W1026" s="15"/>
    </row>
    <row r="1027">
      <c r="A1027" s="22"/>
      <c r="B1027" s="11"/>
      <c r="C1027" s="20"/>
      <c r="D1027" s="20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5"/>
      <c r="U1027" s="15"/>
      <c r="V1027" s="15"/>
      <c r="W1027" s="15"/>
    </row>
    <row r="1028">
      <c r="A1028" s="22"/>
      <c r="B1028" s="11"/>
      <c r="C1028" s="20"/>
      <c r="D1028" s="20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5"/>
      <c r="U1028" s="15"/>
      <c r="V1028" s="15"/>
      <c r="W1028" s="15"/>
    </row>
    <row r="1029">
      <c r="A1029" s="22"/>
      <c r="B1029" s="11"/>
      <c r="C1029" s="20"/>
      <c r="D1029" s="20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5"/>
      <c r="U1029" s="15"/>
      <c r="V1029" s="15"/>
      <c r="W1029" s="15"/>
    </row>
    <row r="1030">
      <c r="A1030" s="22"/>
      <c r="B1030" s="11"/>
      <c r="C1030" s="20"/>
      <c r="D1030" s="20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5"/>
      <c r="U1030" s="15"/>
      <c r="V1030" s="15"/>
      <c r="W1030" s="15"/>
    </row>
    <row r="1031">
      <c r="A1031" s="22"/>
      <c r="B1031" s="11"/>
      <c r="C1031" s="20"/>
      <c r="D1031" s="20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5"/>
      <c r="U1031" s="15"/>
      <c r="V1031" s="15"/>
      <c r="W1031" s="15"/>
    </row>
    <row r="1032">
      <c r="A1032" s="22"/>
      <c r="B1032" s="11"/>
      <c r="C1032" s="20"/>
      <c r="D1032" s="20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5"/>
      <c r="U1032" s="15"/>
      <c r="V1032" s="15"/>
      <c r="W1032" s="15"/>
    </row>
    <row r="1033">
      <c r="A1033" s="22"/>
      <c r="B1033" s="11"/>
      <c r="C1033" s="20"/>
      <c r="D1033" s="20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5"/>
      <c r="U1033" s="15"/>
      <c r="V1033" s="15"/>
      <c r="W1033" s="15"/>
    </row>
    <row r="1034">
      <c r="A1034" s="22"/>
      <c r="B1034" s="11"/>
      <c r="C1034" s="20"/>
      <c r="D1034" s="20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5"/>
      <c r="U1034" s="15"/>
      <c r="V1034" s="15"/>
      <c r="W1034" s="15"/>
    </row>
    <row r="1035">
      <c r="A1035" s="22"/>
      <c r="B1035" s="11"/>
      <c r="C1035" s="20"/>
      <c r="D1035" s="20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5"/>
      <c r="U1035" s="15"/>
      <c r="V1035" s="15"/>
      <c r="W1035" s="15"/>
    </row>
    <row r="1036">
      <c r="A1036" s="22"/>
      <c r="B1036" s="11"/>
      <c r="C1036" s="20"/>
      <c r="D1036" s="20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5"/>
      <c r="U1036" s="15"/>
      <c r="V1036" s="15"/>
      <c r="W1036" s="15"/>
    </row>
    <row r="1037">
      <c r="A1037" s="22"/>
      <c r="B1037" s="11"/>
      <c r="C1037" s="20"/>
      <c r="D1037" s="20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5"/>
      <c r="U1037" s="15"/>
      <c r="V1037" s="15"/>
      <c r="W1037" s="15"/>
    </row>
    <row r="1038">
      <c r="A1038" s="22"/>
      <c r="B1038" s="11"/>
      <c r="C1038" s="20"/>
      <c r="D1038" s="20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5"/>
      <c r="U1038" s="15"/>
      <c r="V1038" s="15"/>
      <c r="W1038" s="15"/>
    </row>
    <row r="1039">
      <c r="A1039" s="22"/>
      <c r="B1039" s="11"/>
      <c r="C1039" s="20"/>
      <c r="D1039" s="20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5"/>
      <c r="U1039" s="15"/>
      <c r="V1039" s="15"/>
      <c r="W1039" s="15"/>
    </row>
    <row r="1040">
      <c r="A1040" s="22"/>
      <c r="B1040" s="11"/>
      <c r="C1040" s="20"/>
      <c r="D1040" s="20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5"/>
      <c r="U1040" s="15"/>
      <c r="V1040" s="15"/>
      <c r="W1040" s="15"/>
    </row>
    <row r="1041">
      <c r="A1041" s="22"/>
      <c r="B1041" s="11"/>
      <c r="C1041" s="20"/>
      <c r="D1041" s="20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5"/>
      <c r="U1041" s="15"/>
      <c r="V1041" s="15"/>
      <c r="W1041" s="15"/>
    </row>
    <row r="1042">
      <c r="A1042" s="22"/>
      <c r="B1042" s="11"/>
      <c r="C1042" s="20"/>
      <c r="D1042" s="20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5"/>
      <c r="U1042" s="15"/>
      <c r="V1042" s="15"/>
      <c r="W1042" s="15"/>
    </row>
    <row r="1043">
      <c r="A1043" s="22"/>
      <c r="B1043" s="11"/>
      <c r="C1043" s="20"/>
      <c r="D1043" s="20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5"/>
      <c r="U1043" s="15"/>
      <c r="V1043" s="15"/>
      <c r="W1043" s="15"/>
    </row>
    <row r="1044">
      <c r="A1044" s="22"/>
      <c r="B1044" s="11"/>
      <c r="C1044" s="20"/>
      <c r="D1044" s="20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5"/>
      <c r="U1044" s="15"/>
      <c r="V1044" s="15"/>
      <c r="W1044" s="15"/>
    </row>
    <row r="1045">
      <c r="A1045" s="22"/>
      <c r="B1045" s="11"/>
      <c r="C1045" s="20"/>
      <c r="D1045" s="20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5"/>
      <c r="U1045" s="15"/>
      <c r="V1045" s="15"/>
      <c r="W1045" s="15"/>
    </row>
    <row r="1046">
      <c r="A1046" s="22"/>
      <c r="B1046" s="11"/>
      <c r="C1046" s="20"/>
      <c r="D1046" s="20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5"/>
      <c r="U1046" s="15"/>
      <c r="V1046" s="15"/>
      <c r="W1046" s="15"/>
    </row>
    <row r="1047">
      <c r="A1047" s="22"/>
      <c r="B1047" s="11"/>
      <c r="C1047" s="20"/>
      <c r="D1047" s="20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5"/>
      <c r="U1047" s="15"/>
      <c r="V1047" s="15"/>
      <c r="W1047" s="15"/>
    </row>
    <row r="1048">
      <c r="A1048" s="22"/>
      <c r="B1048" s="11"/>
      <c r="C1048" s="20"/>
      <c r="D1048" s="20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5"/>
      <c r="U1048" s="15"/>
      <c r="V1048" s="15"/>
      <c r="W1048" s="15"/>
    </row>
    <row r="1049">
      <c r="A1049" s="22"/>
      <c r="B1049" s="11"/>
      <c r="C1049" s="20"/>
      <c r="D1049" s="20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5"/>
      <c r="U1049" s="15"/>
      <c r="V1049" s="15"/>
      <c r="W1049" s="15"/>
    </row>
    <row r="1050">
      <c r="A1050" s="22"/>
      <c r="B1050" s="11"/>
      <c r="C1050" s="20"/>
      <c r="D1050" s="20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5"/>
      <c r="U1050" s="15"/>
      <c r="V1050" s="15"/>
      <c r="W1050" s="15"/>
    </row>
    <row r="1051">
      <c r="A1051" s="22"/>
      <c r="B1051" s="11"/>
      <c r="C1051" s="20"/>
      <c r="D1051" s="20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5"/>
      <c r="U1051" s="15"/>
      <c r="V1051" s="15"/>
      <c r="W1051" s="15"/>
    </row>
    <row r="1052">
      <c r="A1052" s="22"/>
      <c r="B1052" s="11"/>
      <c r="C1052" s="20"/>
      <c r="D1052" s="20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5"/>
      <c r="U1052" s="15"/>
      <c r="V1052" s="15"/>
      <c r="W1052" s="15"/>
    </row>
    <row r="1053">
      <c r="A1053" s="22"/>
      <c r="B1053" s="11"/>
      <c r="C1053" s="20"/>
      <c r="D1053" s="20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5"/>
      <c r="U1053" s="15"/>
      <c r="V1053" s="15"/>
      <c r="W1053" s="15"/>
    </row>
    <row r="1054">
      <c r="A1054" s="22"/>
      <c r="B1054" s="11"/>
      <c r="C1054" s="20"/>
      <c r="D1054" s="20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5"/>
      <c r="U1054" s="15"/>
      <c r="V1054" s="15"/>
      <c r="W1054" s="15"/>
    </row>
    <row r="1055">
      <c r="A1055" s="22"/>
      <c r="B1055" s="11"/>
      <c r="C1055" s="20"/>
      <c r="D1055" s="20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5"/>
      <c r="U1055" s="15"/>
      <c r="V1055" s="15"/>
      <c r="W1055" s="15"/>
    </row>
    <row r="1056">
      <c r="A1056" s="22"/>
      <c r="B1056" s="11"/>
      <c r="C1056" s="20"/>
      <c r="D1056" s="20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5"/>
      <c r="U1056" s="15"/>
      <c r="V1056" s="15"/>
      <c r="W1056" s="15"/>
    </row>
    <row r="1057">
      <c r="A1057" s="22"/>
      <c r="B1057" s="11"/>
      <c r="C1057" s="20"/>
      <c r="D1057" s="20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5"/>
      <c r="U1057" s="15"/>
      <c r="V1057" s="15"/>
      <c r="W1057" s="15"/>
    </row>
    <row r="1058">
      <c r="A1058" s="22"/>
      <c r="B1058" s="11"/>
      <c r="C1058" s="20"/>
      <c r="D1058" s="20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5"/>
      <c r="U1058" s="15"/>
      <c r="V1058" s="15"/>
      <c r="W1058" s="15"/>
    </row>
    <row r="1059">
      <c r="A1059" s="22"/>
      <c r="B1059" s="11"/>
      <c r="C1059" s="20"/>
      <c r="D1059" s="20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5"/>
      <c r="U1059" s="15"/>
      <c r="V1059" s="15"/>
      <c r="W1059" s="15"/>
    </row>
    <row r="1060">
      <c r="A1060" s="22"/>
      <c r="B1060" s="11"/>
      <c r="C1060" s="20"/>
      <c r="D1060" s="20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5"/>
      <c r="U1060" s="15"/>
      <c r="V1060" s="15"/>
      <c r="W1060" s="15"/>
    </row>
    <row r="1061">
      <c r="A1061" s="22"/>
      <c r="B1061" s="11"/>
      <c r="C1061" s="20"/>
      <c r="D1061" s="20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5"/>
      <c r="U1061" s="15"/>
      <c r="V1061" s="15"/>
      <c r="W1061" s="15"/>
    </row>
    <row r="1062">
      <c r="A1062" s="22"/>
      <c r="B1062" s="11"/>
      <c r="C1062" s="20"/>
      <c r="D1062" s="20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5"/>
      <c r="U1062" s="15"/>
      <c r="V1062" s="15"/>
      <c r="W1062" s="15"/>
    </row>
    <row r="1063">
      <c r="A1063" s="22"/>
      <c r="B1063" s="11"/>
      <c r="C1063" s="20"/>
      <c r="D1063" s="20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5"/>
      <c r="U1063" s="15"/>
      <c r="V1063" s="15"/>
      <c r="W1063" s="15"/>
    </row>
    <row r="1064">
      <c r="A1064" s="22"/>
      <c r="B1064" s="11"/>
      <c r="C1064" s="20"/>
      <c r="D1064" s="20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5"/>
      <c r="U1064" s="15"/>
      <c r="V1064" s="15"/>
      <c r="W1064" s="15"/>
    </row>
    <row r="1065">
      <c r="A1065" s="22"/>
      <c r="B1065" s="11"/>
      <c r="C1065" s="20"/>
      <c r="D1065" s="20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5"/>
      <c r="U1065" s="15"/>
      <c r="V1065" s="15"/>
      <c r="W1065" s="15"/>
    </row>
    <row r="1066">
      <c r="A1066" s="22"/>
      <c r="B1066" s="11"/>
      <c r="C1066" s="20"/>
      <c r="D1066" s="20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5"/>
      <c r="U1066" s="15"/>
      <c r="V1066" s="15"/>
      <c r="W1066" s="15"/>
    </row>
    <row r="1067">
      <c r="A1067" s="22"/>
      <c r="B1067" s="11"/>
      <c r="C1067" s="20"/>
      <c r="D1067" s="20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5"/>
      <c r="U1067" s="15"/>
      <c r="V1067" s="15"/>
      <c r="W1067" s="15"/>
    </row>
    <row r="1068">
      <c r="A1068" s="22"/>
      <c r="B1068" s="11"/>
      <c r="C1068" s="20"/>
      <c r="D1068" s="20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5"/>
      <c r="U1068" s="15"/>
      <c r="V1068" s="15"/>
      <c r="W1068" s="15"/>
    </row>
    <row r="1069">
      <c r="A1069" s="22"/>
      <c r="B1069" s="11"/>
      <c r="C1069" s="20"/>
      <c r="D1069" s="20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5"/>
      <c r="U1069" s="15"/>
      <c r="V1069" s="15"/>
      <c r="W1069" s="15"/>
    </row>
    <row r="1070">
      <c r="A1070" s="22"/>
      <c r="B1070" s="11"/>
      <c r="C1070" s="20"/>
      <c r="D1070" s="20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5"/>
      <c r="U1070" s="15"/>
      <c r="V1070" s="15"/>
      <c r="W1070" s="15"/>
    </row>
    <row r="1071">
      <c r="A1071" s="22"/>
      <c r="B1071" s="11"/>
      <c r="C1071" s="20"/>
      <c r="D1071" s="20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5"/>
      <c r="U1071" s="15"/>
      <c r="V1071" s="15"/>
      <c r="W1071" s="15"/>
    </row>
    <row r="1072">
      <c r="A1072" s="22"/>
      <c r="B1072" s="11"/>
      <c r="C1072" s="20"/>
      <c r="D1072" s="20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5"/>
      <c r="U1072" s="15"/>
      <c r="V1072" s="15"/>
      <c r="W1072" s="15"/>
    </row>
    <row r="1073">
      <c r="A1073" s="22"/>
      <c r="B1073" s="11"/>
      <c r="C1073" s="20"/>
      <c r="D1073" s="20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5"/>
      <c r="U1073" s="15"/>
      <c r="V1073" s="15"/>
      <c r="W1073" s="15"/>
    </row>
    <row r="1074">
      <c r="A1074" s="22"/>
      <c r="B1074" s="11"/>
      <c r="C1074" s="20"/>
      <c r="D1074" s="20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5"/>
      <c r="U1074" s="15"/>
      <c r="V1074" s="15"/>
      <c r="W1074" s="15"/>
    </row>
    <row r="1075">
      <c r="A1075" s="22"/>
      <c r="B1075" s="11"/>
      <c r="C1075" s="20"/>
      <c r="D1075" s="20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5"/>
      <c r="U1075" s="15"/>
      <c r="V1075" s="15"/>
      <c r="W1075" s="15"/>
    </row>
    <row r="1076">
      <c r="A1076" s="22"/>
      <c r="B1076" s="11"/>
      <c r="C1076" s="20"/>
      <c r="D1076" s="20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5"/>
      <c r="U1076" s="15"/>
      <c r="V1076" s="15"/>
      <c r="W1076" s="15"/>
    </row>
    <row r="1077">
      <c r="A1077" s="22"/>
      <c r="B1077" s="11"/>
      <c r="C1077" s="20"/>
      <c r="D1077" s="20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5"/>
      <c r="U1077" s="15"/>
      <c r="V1077" s="15"/>
      <c r="W1077" s="15"/>
    </row>
    <row r="1078">
      <c r="A1078" s="22"/>
      <c r="B1078" s="11"/>
      <c r="C1078" s="20"/>
      <c r="D1078" s="20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5"/>
      <c r="U1078" s="15"/>
      <c r="V1078" s="15"/>
      <c r="W1078" s="15"/>
    </row>
    <row r="1079">
      <c r="A1079" s="22"/>
      <c r="B1079" s="11"/>
      <c r="C1079" s="20"/>
      <c r="D1079" s="20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5"/>
      <c r="U1079" s="15"/>
      <c r="V1079" s="15"/>
      <c r="W1079" s="15"/>
    </row>
    <row r="1080">
      <c r="A1080" s="22"/>
      <c r="B1080" s="11"/>
      <c r="C1080" s="20"/>
      <c r="D1080" s="20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5"/>
      <c r="U1080" s="15"/>
      <c r="V1080" s="15"/>
      <c r="W1080" s="15"/>
    </row>
    <row r="1081">
      <c r="A1081" s="22"/>
      <c r="B1081" s="11"/>
      <c r="C1081" s="20"/>
      <c r="D1081" s="20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5"/>
      <c r="U1081" s="15"/>
      <c r="V1081" s="15"/>
      <c r="W1081" s="15"/>
    </row>
    <row r="1082">
      <c r="A1082" s="22"/>
      <c r="B1082" s="11"/>
      <c r="C1082" s="20"/>
      <c r="D1082" s="20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5"/>
      <c r="U1082" s="15"/>
      <c r="V1082" s="15"/>
      <c r="W1082" s="15"/>
    </row>
    <row r="1083">
      <c r="A1083" s="22"/>
      <c r="B1083" s="11"/>
      <c r="C1083" s="20"/>
      <c r="D1083" s="20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5"/>
      <c r="U1083" s="15"/>
      <c r="V1083" s="15"/>
      <c r="W1083" s="15"/>
    </row>
    <row r="1084">
      <c r="A1084" s="22"/>
      <c r="B1084" s="11"/>
      <c r="C1084" s="20"/>
      <c r="D1084" s="20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5"/>
      <c r="U1084" s="15"/>
      <c r="V1084" s="15"/>
      <c r="W1084" s="15"/>
    </row>
    <row r="1085">
      <c r="A1085" s="22"/>
      <c r="B1085" s="11"/>
      <c r="C1085" s="20"/>
      <c r="D1085" s="20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5"/>
      <c r="U1085" s="15"/>
      <c r="V1085" s="15"/>
      <c r="W1085" s="15"/>
    </row>
    <row r="1086">
      <c r="A1086" s="22"/>
      <c r="B1086" s="11"/>
      <c r="C1086" s="20"/>
      <c r="D1086" s="20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5"/>
      <c r="U1086" s="15"/>
      <c r="V1086" s="15"/>
      <c r="W1086" s="15"/>
    </row>
    <row r="1087">
      <c r="A1087" s="22"/>
      <c r="B1087" s="11"/>
      <c r="C1087" s="20"/>
      <c r="D1087" s="20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5"/>
      <c r="U1087" s="15"/>
      <c r="V1087" s="15"/>
      <c r="W1087" s="15"/>
    </row>
    <row r="1088">
      <c r="A1088" s="22"/>
      <c r="B1088" s="11"/>
      <c r="C1088" s="20"/>
      <c r="D1088" s="20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5"/>
      <c r="U1088" s="15"/>
      <c r="V1088" s="15"/>
      <c r="W1088" s="15"/>
    </row>
    <row r="1089">
      <c r="A1089" s="22"/>
      <c r="B1089" s="11"/>
      <c r="C1089" s="20"/>
      <c r="D1089" s="20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5"/>
      <c r="U1089" s="15"/>
      <c r="V1089" s="15"/>
      <c r="W1089" s="15"/>
    </row>
    <row r="1090">
      <c r="A1090" s="22"/>
      <c r="B1090" s="11"/>
      <c r="C1090" s="20"/>
      <c r="D1090" s="20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5"/>
      <c r="U1090" s="15"/>
      <c r="V1090" s="15"/>
      <c r="W1090" s="15"/>
    </row>
    <row r="1091">
      <c r="A1091" s="22"/>
      <c r="B1091" s="11"/>
      <c r="C1091" s="20"/>
      <c r="D1091" s="20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5"/>
      <c r="U1091" s="15"/>
      <c r="V1091" s="15"/>
      <c r="W1091" s="15"/>
    </row>
    <row r="1092">
      <c r="A1092" s="22"/>
      <c r="B1092" s="11"/>
      <c r="C1092" s="20"/>
      <c r="D1092" s="20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5"/>
      <c r="U1092" s="15"/>
      <c r="V1092" s="15"/>
      <c r="W1092" s="15"/>
    </row>
    <row r="1093">
      <c r="A1093" s="22"/>
      <c r="B1093" s="11"/>
      <c r="C1093" s="20"/>
      <c r="D1093" s="20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5"/>
      <c r="U1093" s="15"/>
      <c r="V1093" s="15"/>
      <c r="W1093" s="15"/>
    </row>
    <row r="1094">
      <c r="A1094" s="22"/>
      <c r="B1094" s="11"/>
      <c r="C1094" s="20"/>
      <c r="D1094" s="20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5"/>
      <c r="U1094" s="15"/>
      <c r="V1094" s="15"/>
      <c r="W1094" s="15"/>
    </row>
    <row r="1095">
      <c r="A1095" s="22"/>
      <c r="B1095" s="11"/>
      <c r="C1095" s="20"/>
      <c r="D1095" s="20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5"/>
      <c r="U1095" s="15"/>
      <c r="V1095" s="15"/>
      <c r="W1095" s="15"/>
    </row>
    <row r="1096">
      <c r="A1096" s="22"/>
      <c r="B1096" s="11"/>
      <c r="C1096" s="20"/>
      <c r="D1096" s="20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5"/>
      <c r="U1096" s="15"/>
      <c r="V1096" s="15"/>
      <c r="W1096" s="15"/>
    </row>
    <row r="1097">
      <c r="A1097" s="22"/>
      <c r="B1097" s="11"/>
      <c r="C1097" s="20"/>
      <c r="D1097" s="20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5"/>
      <c r="U1097" s="15"/>
      <c r="V1097" s="15"/>
      <c r="W1097" s="15"/>
    </row>
    <row r="1098">
      <c r="A1098" s="22"/>
      <c r="B1098" s="11"/>
      <c r="C1098" s="20"/>
      <c r="D1098" s="20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5"/>
      <c r="U1098" s="15"/>
      <c r="V1098" s="15"/>
      <c r="W1098" s="15"/>
    </row>
    <row r="1099">
      <c r="A1099" s="22"/>
      <c r="B1099" s="11"/>
      <c r="C1099" s="20"/>
      <c r="D1099" s="20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5"/>
      <c r="U1099" s="15"/>
      <c r="V1099" s="15"/>
      <c r="W1099" s="15"/>
    </row>
    <row r="1100">
      <c r="A1100" s="22"/>
      <c r="B1100" s="11"/>
      <c r="C1100" s="20"/>
      <c r="D1100" s="20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5"/>
      <c r="U1100" s="15"/>
      <c r="V1100" s="15"/>
      <c r="W1100" s="15"/>
    </row>
    <row r="1101">
      <c r="A1101" s="22"/>
      <c r="B1101" s="11"/>
      <c r="C1101" s="20"/>
      <c r="D1101" s="20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5"/>
      <c r="U1101" s="15"/>
      <c r="V1101" s="15"/>
      <c r="W1101" s="15"/>
    </row>
    <row r="1102">
      <c r="A1102" s="22"/>
      <c r="B1102" s="11"/>
      <c r="C1102" s="20"/>
      <c r="D1102" s="20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5"/>
      <c r="U1102" s="15"/>
      <c r="V1102" s="15"/>
      <c r="W1102" s="15"/>
    </row>
    <row r="1103">
      <c r="A1103" s="22"/>
      <c r="B1103" s="11"/>
      <c r="C1103" s="20"/>
      <c r="D1103" s="20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5"/>
      <c r="U1103" s="15"/>
      <c r="V1103" s="15"/>
      <c r="W1103" s="15"/>
    </row>
    <row r="1104">
      <c r="A1104" s="22"/>
      <c r="B1104" s="11"/>
      <c r="C1104" s="20"/>
      <c r="D1104" s="20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5"/>
      <c r="U1104" s="15"/>
      <c r="V1104" s="15"/>
      <c r="W1104" s="15"/>
    </row>
    <row r="1105">
      <c r="A1105" s="22"/>
      <c r="B1105" s="11"/>
      <c r="C1105" s="20"/>
      <c r="D1105" s="20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5"/>
      <c r="U1105" s="15"/>
      <c r="V1105" s="15"/>
      <c r="W1105" s="15"/>
    </row>
    <row r="1106">
      <c r="A1106" s="22"/>
      <c r="B1106" s="11"/>
      <c r="C1106" s="20"/>
      <c r="D1106" s="20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5"/>
      <c r="U1106" s="15"/>
      <c r="V1106" s="15"/>
      <c r="W1106" s="15"/>
    </row>
    <row r="1107">
      <c r="A1107" s="22"/>
      <c r="B1107" s="11"/>
      <c r="C1107" s="20"/>
      <c r="D1107" s="20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5"/>
      <c r="U1107" s="15"/>
      <c r="V1107" s="15"/>
      <c r="W1107" s="15"/>
    </row>
    <row r="1108">
      <c r="A1108" s="22"/>
      <c r="B1108" s="11"/>
      <c r="C1108" s="20"/>
      <c r="D1108" s="20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5"/>
      <c r="U1108" s="15"/>
      <c r="V1108" s="15"/>
      <c r="W1108" s="15"/>
    </row>
    <row r="1109">
      <c r="A1109" s="22"/>
      <c r="B1109" s="11"/>
      <c r="C1109" s="20"/>
      <c r="D1109" s="20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5"/>
      <c r="U1109" s="15"/>
      <c r="V1109" s="15"/>
      <c r="W1109" s="15"/>
    </row>
    <row r="1110">
      <c r="A1110" s="22"/>
      <c r="B1110" s="11"/>
      <c r="C1110" s="20"/>
      <c r="D1110" s="20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5"/>
      <c r="U1110" s="15"/>
      <c r="V1110" s="15"/>
      <c r="W1110" s="15"/>
    </row>
    <row r="1111">
      <c r="A1111" s="22"/>
      <c r="B1111" s="11"/>
      <c r="C1111" s="20"/>
      <c r="D1111" s="20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5"/>
      <c r="U1111" s="15"/>
      <c r="V1111" s="15"/>
      <c r="W1111" s="15"/>
    </row>
    <row r="1112">
      <c r="A1112" s="22"/>
      <c r="B1112" s="11"/>
      <c r="C1112" s="20"/>
      <c r="D1112" s="20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5"/>
      <c r="U1112" s="15"/>
      <c r="V1112" s="15"/>
      <c r="W1112" s="15"/>
    </row>
    <row r="1113">
      <c r="A1113" s="22"/>
      <c r="B1113" s="11"/>
      <c r="C1113" s="20"/>
      <c r="D1113" s="20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5"/>
      <c r="U1113" s="15"/>
      <c r="V1113" s="15"/>
      <c r="W1113" s="15"/>
    </row>
    <row r="1114">
      <c r="A1114" s="22"/>
      <c r="B1114" s="11"/>
      <c r="C1114" s="20"/>
      <c r="D1114" s="20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5"/>
      <c r="U1114" s="15"/>
      <c r="V1114" s="15"/>
      <c r="W1114" s="15"/>
    </row>
    <row r="1115">
      <c r="A1115" s="22"/>
      <c r="B1115" s="11"/>
      <c r="C1115" s="20"/>
      <c r="D1115" s="20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5"/>
      <c r="U1115" s="15"/>
      <c r="V1115" s="15"/>
      <c r="W1115" s="15"/>
    </row>
    <row r="1116">
      <c r="A1116" s="22"/>
      <c r="B1116" s="11"/>
      <c r="C1116" s="20"/>
      <c r="D1116" s="20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5"/>
      <c r="U1116" s="15"/>
      <c r="V1116" s="15"/>
      <c r="W1116" s="15"/>
    </row>
    <row r="1117">
      <c r="A1117" s="22"/>
      <c r="B1117" s="11"/>
      <c r="C1117" s="20"/>
      <c r="D1117" s="20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5"/>
      <c r="U1117" s="15"/>
      <c r="V1117" s="15"/>
      <c r="W1117" s="15"/>
    </row>
    <row r="1118">
      <c r="A1118" s="22"/>
      <c r="B1118" s="11"/>
      <c r="C1118" s="20"/>
      <c r="D1118" s="20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5"/>
      <c r="U1118" s="15"/>
      <c r="V1118" s="15"/>
      <c r="W1118" s="15"/>
    </row>
    <row r="1119">
      <c r="A1119" s="22"/>
      <c r="B1119" s="11"/>
      <c r="C1119" s="20"/>
      <c r="D1119" s="20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5"/>
      <c r="U1119" s="15"/>
      <c r="V1119" s="15"/>
      <c r="W1119" s="15"/>
    </row>
    <row r="1120">
      <c r="A1120" s="22"/>
      <c r="B1120" s="11"/>
      <c r="C1120" s="20"/>
      <c r="D1120" s="20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5"/>
      <c r="U1120" s="15"/>
      <c r="V1120" s="15"/>
      <c r="W1120" s="15"/>
    </row>
    <row r="1121">
      <c r="A1121" s="22"/>
      <c r="B1121" s="11"/>
      <c r="C1121" s="20"/>
      <c r="D1121" s="20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5"/>
      <c r="U1121" s="15"/>
      <c r="V1121" s="15"/>
      <c r="W1121" s="15"/>
    </row>
    <row r="1122">
      <c r="A1122" s="22"/>
      <c r="B1122" s="11"/>
      <c r="C1122" s="20"/>
      <c r="D1122" s="20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5"/>
      <c r="U1122" s="15"/>
      <c r="V1122" s="15"/>
      <c r="W1122" s="15"/>
    </row>
    <row r="1123">
      <c r="A1123" s="22"/>
      <c r="B1123" s="11"/>
      <c r="C1123" s="20"/>
      <c r="D1123" s="20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5"/>
      <c r="U1123" s="15"/>
      <c r="V1123" s="15"/>
      <c r="W1123" s="15"/>
    </row>
    <row r="1124">
      <c r="A1124" s="22"/>
      <c r="B1124" s="11"/>
      <c r="C1124" s="20"/>
      <c r="D1124" s="20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5"/>
      <c r="U1124" s="15"/>
      <c r="V1124" s="15"/>
      <c r="W1124" s="15"/>
    </row>
    <row r="1125">
      <c r="A1125" s="22"/>
      <c r="B1125" s="11"/>
      <c r="C1125" s="20"/>
      <c r="D1125" s="20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5"/>
      <c r="U1125" s="15"/>
      <c r="V1125" s="15"/>
      <c r="W1125" s="15"/>
    </row>
    <row r="1126">
      <c r="A1126" s="22"/>
      <c r="B1126" s="11"/>
      <c r="C1126" s="20"/>
      <c r="D1126" s="20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5"/>
      <c r="U1126" s="15"/>
      <c r="V1126" s="15"/>
      <c r="W1126" s="15"/>
    </row>
    <row r="1127">
      <c r="A1127" s="22"/>
      <c r="B1127" s="11"/>
      <c r="C1127" s="20"/>
      <c r="D1127" s="20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5"/>
      <c r="U1127" s="15"/>
      <c r="V1127" s="15"/>
      <c r="W1127" s="15"/>
    </row>
    <row r="1128">
      <c r="A1128" s="22"/>
      <c r="B1128" s="11"/>
      <c r="C1128" s="20"/>
      <c r="D1128" s="20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5"/>
      <c r="U1128" s="15"/>
      <c r="V1128" s="15"/>
      <c r="W1128" s="15"/>
    </row>
    <row r="1129">
      <c r="A1129" s="22"/>
      <c r="B1129" s="11"/>
      <c r="C1129" s="20"/>
      <c r="D1129" s="20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5"/>
      <c r="U1129" s="15"/>
      <c r="V1129" s="15"/>
      <c r="W1129" s="15"/>
    </row>
    <row r="1130">
      <c r="A1130" s="22"/>
      <c r="B1130" s="11"/>
      <c r="C1130" s="20"/>
      <c r="D1130" s="20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5"/>
      <c r="U1130" s="15"/>
      <c r="V1130" s="15"/>
      <c r="W1130" s="15"/>
    </row>
    <row r="1131">
      <c r="A1131" s="22"/>
      <c r="B1131" s="11"/>
      <c r="C1131" s="20"/>
      <c r="D1131" s="20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5"/>
      <c r="U1131" s="15"/>
      <c r="V1131" s="15"/>
      <c r="W1131" s="15"/>
    </row>
    <row r="1132">
      <c r="A1132" s="22"/>
      <c r="B1132" s="11"/>
      <c r="C1132" s="20"/>
      <c r="D1132" s="20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5"/>
      <c r="U1132" s="15"/>
      <c r="V1132" s="15"/>
      <c r="W1132" s="15"/>
    </row>
    <row r="1133">
      <c r="A1133" s="22"/>
      <c r="B1133" s="11"/>
      <c r="C1133" s="20"/>
      <c r="D1133" s="20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5"/>
      <c r="U1133" s="15"/>
      <c r="V1133" s="15"/>
      <c r="W1133" s="15"/>
    </row>
    <row r="1134">
      <c r="A1134" s="22"/>
      <c r="B1134" s="11"/>
      <c r="C1134" s="20"/>
      <c r="D1134" s="20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5"/>
      <c r="U1134" s="15"/>
      <c r="V1134" s="15"/>
      <c r="W1134" s="15"/>
    </row>
    <row r="1135">
      <c r="A1135" s="22"/>
      <c r="B1135" s="11"/>
      <c r="C1135" s="20"/>
      <c r="D1135" s="20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5"/>
      <c r="U1135" s="15"/>
      <c r="V1135" s="15"/>
      <c r="W1135" s="15"/>
    </row>
    <row r="1136">
      <c r="A1136" s="22"/>
      <c r="B1136" s="11"/>
      <c r="C1136" s="20"/>
      <c r="D1136" s="20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5"/>
      <c r="U1136" s="15"/>
      <c r="V1136" s="15"/>
      <c r="W1136" s="15"/>
    </row>
    <row r="1137">
      <c r="A1137" s="22"/>
      <c r="B1137" s="11"/>
      <c r="C1137" s="20"/>
      <c r="D1137" s="20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5"/>
      <c r="U1137" s="15"/>
      <c r="V1137" s="15"/>
      <c r="W1137" s="15"/>
    </row>
    <row r="1138">
      <c r="A1138" s="22"/>
      <c r="B1138" s="11"/>
      <c r="C1138" s="20"/>
      <c r="D1138" s="20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5"/>
      <c r="U1138" s="15"/>
      <c r="V1138" s="15"/>
      <c r="W1138" s="15"/>
    </row>
    <row r="1139">
      <c r="A1139" s="22"/>
      <c r="B1139" s="11"/>
      <c r="C1139" s="20"/>
      <c r="D1139" s="20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5"/>
      <c r="U1139" s="15"/>
      <c r="V1139" s="15"/>
      <c r="W1139" s="15"/>
    </row>
    <row r="1140">
      <c r="A1140" s="22"/>
      <c r="B1140" s="11"/>
      <c r="C1140" s="20"/>
      <c r="D1140" s="20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5"/>
      <c r="U1140" s="15"/>
      <c r="V1140" s="15"/>
      <c r="W1140" s="15"/>
    </row>
    <row r="1141">
      <c r="A1141" s="22"/>
      <c r="B1141" s="11"/>
      <c r="C1141" s="20"/>
      <c r="D1141" s="20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5"/>
      <c r="U1141" s="15"/>
      <c r="V1141" s="15"/>
      <c r="W1141" s="15"/>
    </row>
    <row r="1142">
      <c r="A1142" s="22"/>
      <c r="B1142" s="11"/>
      <c r="C1142" s="20"/>
      <c r="D1142" s="20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5"/>
      <c r="U1142" s="15"/>
      <c r="V1142" s="15"/>
      <c r="W1142" s="15"/>
    </row>
    <row r="1143">
      <c r="A1143" s="22"/>
      <c r="B1143" s="11"/>
      <c r="C1143" s="20"/>
      <c r="D1143" s="20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5"/>
      <c r="U1143" s="15"/>
      <c r="V1143" s="15"/>
      <c r="W1143" s="15"/>
    </row>
    <row r="1144">
      <c r="A1144" s="22"/>
      <c r="B1144" s="11"/>
      <c r="C1144" s="20"/>
      <c r="D1144" s="20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5"/>
      <c r="U1144" s="15"/>
      <c r="V1144" s="15"/>
      <c r="W1144" s="15"/>
    </row>
    <row r="1145">
      <c r="A1145" s="22"/>
      <c r="B1145" s="11"/>
      <c r="C1145" s="20"/>
      <c r="D1145" s="20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5"/>
      <c r="U1145" s="15"/>
      <c r="V1145" s="15"/>
      <c r="W1145" s="15"/>
    </row>
    <row r="1146">
      <c r="A1146" s="22"/>
      <c r="B1146" s="11"/>
      <c r="C1146" s="20"/>
      <c r="D1146" s="20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5"/>
      <c r="U1146" s="15"/>
      <c r="V1146" s="15"/>
      <c r="W1146" s="15"/>
    </row>
    <row r="1147">
      <c r="A1147" s="22"/>
      <c r="B1147" s="11"/>
      <c r="C1147" s="20"/>
      <c r="D1147" s="20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5"/>
      <c r="U1147" s="15"/>
      <c r="V1147" s="15"/>
      <c r="W1147" s="15"/>
    </row>
    <row r="1148">
      <c r="A1148" s="22"/>
      <c r="B1148" s="11"/>
      <c r="C1148" s="20"/>
      <c r="D1148" s="20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5"/>
      <c r="U1148" s="15"/>
      <c r="V1148" s="15"/>
      <c r="W1148" s="15"/>
    </row>
    <row r="1149">
      <c r="A1149" s="22"/>
      <c r="B1149" s="11"/>
      <c r="C1149" s="20"/>
      <c r="D1149" s="20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5"/>
      <c r="U1149" s="15"/>
      <c r="V1149" s="15"/>
      <c r="W1149" s="15"/>
    </row>
    <row r="1150">
      <c r="A1150" s="22"/>
      <c r="B1150" s="11"/>
      <c r="C1150" s="20"/>
      <c r="D1150" s="20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5"/>
      <c r="U1150" s="15"/>
      <c r="V1150" s="15"/>
      <c r="W1150" s="15"/>
    </row>
    <row r="1151">
      <c r="A1151" s="22"/>
      <c r="B1151" s="11"/>
      <c r="C1151" s="20"/>
      <c r="D1151" s="20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5"/>
      <c r="U1151" s="15"/>
      <c r="V1151" s="15"/>
      <c r="W1151" s="15"/>
    </row>
    <row r="1152">
      <c r="A1152" s="22"/>
      <c r="B1152" s="11"/>
      <c r="C1152" s="20"/>
      <c r="D1152" s="20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5"/>
      <c r="U1152" s="15"/>
      <c r="V1152" s="15"/>
      <c r="W1152" s="15"/>
    </row>
    <row r="1153">
      <c r="A1153" s="22"/>
      <c r="B1153" s="11"/>
      <c r="C1153" s="20"/>
      <c r="D1153" s="20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5"/>
      <c r="U1153" s="15"/>
      <c r="V1153" s="15"/>
      <c r="W1153" s="15"/>
    </row>
    <row r="1154">
      <c r="A1154" s="22"/>
      <c r="B1154" s="11"/>
      <c r="C1154" s="20"/>
      <c r="D1154" s="20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5"/>
      <c r="U1154" s="15"/>
      <c r="V1154" s="15"/>
      <c r="W1154" s="15"/>
    </row>
    <row r="1155">
      <c r="A1155" s="22"/>
      <c r="B1155" s="11"/>
      <c r="C1155" s="20"/>
      <c r="D1155" s="20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5"/>
      <c r="U1155" s="15"/>
      <c r="V1155" s="15"/>
      <c r="W1155" s="15"/>
    </row>
    <row r="1156">
      <c r="A1156" s="22"/>
      <c r="B1156" s="11"/>
      <c r="C1156" s="20"/>
      <c r="D1156" s="20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5"/>
      <c r="U1156" s="15"/>
      <c r="V1156" s="15"/>
      <c r="W1156" s="15"/>
    </row>
    <row r="1157">
      <c r="A1157" s="22"/>
      <c r="B1157" s="11"/>
      <c r="C1157" s="20"/>
      <c r="D1157" s="20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5"/>
      <c r="U1157" s="15"/>
      <c r="V1157" s="15"/>
      <c r="W1157" s="15"/>
    </row>
    <row r="1158">
      <c r="A1158" s="22"/>
      <c r="B1158" s="11"/>
      <c r="C1158" s="20"/>
      <c r="D1158" s="20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5"/>
      <c r="U1158" s="15"/>
      <c r="V1158" s="15"/>
      <c r="W1158" s="15"/>
    </row>
    <row r="1159">
      <c r="A1159" s="22"/>
      <c r="B1159" s="11"/>
      <c r="C1159" s="20"/>
      <c r="D1159" s="20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5"/>
      <c r="U1159" s="15"/>
      <c r="V1159" s="15"/>
      <c r="W1159" s="15"/>
    </row>
    <row r="1160">
      <c r="A1160" s="22"/>
      <c r="B1160" s="11"/>
      <c r="C1160" s="20"/>
      <c r="D1160" s="20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5"/>
      <c r="U1160" s="15"/>
      <c r="V1160" s="15"/>
      <c r="W1160" s="15"/>
    </row>
    <row r="1161">
      <c r="A1161" s="22"/>
      <c r="B1161" s="11"/>
      <c r="C1161" s="20"/>
      <c r="D1161" s="20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5"/>
      <c r="U1161" s="15"/>
      <c r="V1161" s="15"/>
      <c r="W1161" s="15"/>
    </row>
    <row r="1162">
      <c r="A1162" s="22"/>
      <c r="B1162" s="11"/>
      <c r="C1162" s="20"/>
      <c r="D1162" s="20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5"/>
      <c r="U1162" s="15"/>
      <c r="V1162" s="15"/>
      <c r="W1162" s="15"/>
    </row>
    <row r="1163">
      <c r="A1163" s="22"/>
      <c r="B1163" s="11"/>
      <c r="C1163" s="20"/>
      <c r="D1163" s="20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5"/>
      <c r="U1163" s="15"/>
      <c r="V1163" s="15"/>
      <c r="W1163" s="15"/>
    </row>
    <row r="1164">
      <c r="A1164" s="22"/>
      <c r="B1164" s="11"/>
      <c r="C1164" s="20"/>
      <c r="D1164" s="20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5"/>
      <c r="U1164" s="15"/>
      <c r="V1164" s="15"/>
      <c r="W1164" s="15"/>
    </row>
    <row r="1165">
      <c r="A1165" s="22"/>
      <c r="B1165" s="11"/>
      <c r="C1165" s="20"/>
      <c r="D1165" s="20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5"/>
      <c r="U1165" s="15"/>
      <c r="V1165" s="15"/>
      <c r="W1165" s="15"/>
    </row>
    <row r="1166">
      <c r="A1166" s="22"/>
      <c r="B1166" s="11"/>
      <c r="C1166" s="20"/>
      <c r="D1166" s="20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5"/>
      <c r="U1166" s="15"/>
      <c r="V1166" s="15"/>
      <c r="W1166" s="15"/>
    </row>
    <row r="1167">
      <c r="A1167" s="22"/>
      <c r="B1167" s="11"/>
      <c r="C1167" s="20"/>
      <c r="D1167" s="20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5"/>
      <c r="U1167" s="15"/>
      <c r="V1167" s="15"/>
      <c r="W1167" s="15"/>
    </row>
    <row r="1168">
      <c r="A1168" s="22"/>
      <c r="B1168" s="11"/>
      <c r="C1168" s="20"/>
      <c r="D1168" s="20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5"/>
      <c r="U1168" s="15"/>
      <c r="V1168" s="15"/>
      <c r="W1168" s="15"/>
    </row>
    <row r="1169">
      <c r="A1169" s="22"/>
      <c r="B1169" s="11"/>
      <c r="C1169" s="20"/>
      <c r="D1169" s="20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5"/>
      <c r="U1169" s="15"/>
      <c r="V1169" s="15"/>
      <c r="W1169" s="15"/>
    </row>
    <row r="1170">
      <c r="A1170" s="22"/>
      <c r="B1170" s="11"/>
      <c r="C1170" s="20"/>
      <c r="D1170" s="20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5"/>
      <c r="U1170" s="15"/>
      <c r="V1170" s="15"/>
      <c r="W1170" s="15"/>
    </row>
    <row r="1171">
      <c r="A1171" s="22"/>
      <c r="B1171" s="11"/>
      <c r="C1171" s="20"/>
      <c r="D1171" s="20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5"/>
      <c r="U1171" s="15"/>
      <c r="V1171" s="15"/>
      <c r="W1171" s="15"/>
    </row>
    <row r="1172">
      <c r="A1172" s="22"/>
      <c r="B1172" s="11"/>
      <c r="C1172" s="20"/>
      <c r="D1172" s="20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5"/>
      <c r="U1172" s="15"/>
      <c r="V1172" s="15"/>
      <c r="W1172" s="15"/>
    </row>
    <row r="1173">
      <c r="A1173" s="22"/>
      <c r="B1173" s="11"/>
      <c r="C1173" s="20"/>
      <c r="D1173" s="20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5"/>
      <c r="U1173" s="15"/>
      <c r="V1173" s="15"/>
      <c r="W1173" s="15"/>
    </row>
    <row r="1174">
      <c r="A1174" s="22"/>
      <c r="B1174" s="11"/>
      <c r="C1174" s="20"/>
      <c r="D1174" s="20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5"/>
      <c r="U1174" s="15"/>
      <c r="V1174" s="15"/>
      <c r="W1174" s="15"/>
    </row>
    <row r="1175">
      <c r="A1175" s="22"/>
      <c r="B1175" s="11"/>
      <c r="C1175" s="20"/>
      <c r="D1175" s="20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5"/>
      <c r="U1175" s="15"/>
      <c r="V1175" s="15"/>
      <c r="W1175" s="15"/>
    </row>
    <row r="1176">
      <c r="A1176" s="22"/>
      <c r="B1176" s="11"/>
      <c r="C1176" s="20"/>
      <c r="D1176" s="20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5"/>
      <c r="U1176" s="15"/>
      <c r="V1176" s="15"/>
      <c r="W1176" s="15"/>
    </row>
    <row r="1177">
      <c r="A1177" s="22"/>
      <c r="B1177" s="11"/>
      <c r="C1177" s="20"/>
      <c r="D1177" s="20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5"/>
      <c r="U1177" s="15"/>
      <c r="V1177" s="15"/>
      <c r="W1177" s="15"/>
    </row>
    <row r="1178">
      <c r="A1178" s="22"/>
      <c r="B1178" s="11"/>
      <c r="C1178" s="20"/>
      <c r="D1178" s="20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5"/>
      <c r="U1178" s="15"/>
      <c r="V1178" s="15"/>
      <c r="W1178" s="15"/>
    </row>
    <row r="1179">
      <c r="A1179" s="22"/>
      <c r="B1179" s="11"/>
      <c r="C1179" s="20"/>
      <c r="D1179" s="20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5"/>
      <c r="U1179" s="15"/>
      <c r="V1179" s="15"/>
      <c r="W1179" s="15"/>
    </row>
    <row r="1180">
      <c r="A1180" s="22"/>
      <c r="B1180" s="11"/>
      <c r="C1180" s="20"/>
      <c r="D1180" s="20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5"/>
      <c r="U1180" s="15"/>
      <c r="V1180" s="15"/>
      <c r="W1180" s="15"/>
    </row>
    <row r="1181">
      <c r="A1181" s="22"/>
      <c r="B1181" s="11"/>
      <c r="C1181" s="20"/>
      <c r="D1181" s="20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5"/>
      <c r="U1181" s="15"/>
      <c r="V1181" s="15"/>
      <c r="W1181" s="15"/>
    </row>
    <row r="1182">
      <c r="A1182" s="22"/>
      <c r="B1182" s="11"/>
      <c r="C1182" s="20"/>
      <c r="D1182" s="20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5"/>
      <c r="U1182" s="15"/>
      <c r="V1182" s="15"/>
      <c r="W1182" s="15"/>
    </row>
    <row r="1183">
      <c r="A1183" s="22"/>
      <c r="B1183" s="11"/>
      <c r="C1183" s="20"/>
      <c r="D1183" s="20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5"/>
      <c r="U1183" s="15"/>
      <c r="V1183" s="15"/>
      <c r="W1183" s="15"/>
    </row>
    <row r="1184">
      <c r="A1184" s="22"/>
      <c r="B1184" s="11"/>
      <c r="C1184" s="20"/>
      <c r="D1184" s="20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5"/>
      <c r="U1184" s="15"/>
      <c r="V1184" s="15"/>
      <c r="W1184" s="15"/>
    </row>
    <row r="1185">
      <c r="A1185" s="22"/>
      <c r="B1185" s="11"/>
      <c r="C1185" s="20"/>
      <c r="D1185" s="20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5"/>
      <c r="U1185" s="15"/>
      <c r="V1185" s="15"/>
      <c r="W1185" s="15"/>
    </row>
    <row r="1186">
      <c r="A1186" s="22"/>
      <c r="B1186" s="11"/>
      <c r="C1186" s="20"/>
      <c r="D1186" s="20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5"/>
      <c r="U1186" s="15"/>
      <c r="V1186" s="15"/>
      <c r="W1186" s="15"/>
    </row>
    <row r="1187">
      <c r="A1187" s="22"/>
      <c r="B1187" s="11"/>
      <c r="C1187" s="20"/>
      <c r="D1187" s="20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5"/>
      <c r="U1187" s="15"/>
      <c r="V1187" s="15"/>
      <c r="W1187" s="15"/>
    </row>
    <row r="1188">
      <c r="A1188" s="22"/>
      <c r="B1188" s="11"/>
      <c r="C1188" s="20"/>
      <c r="D1188" s="20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5"/>
      <c r="U1188" s="15"/>
      <c r="V1188" s="15"/>
      <c r="W1188" s="15"/>
    </row>
    <row r="1189">
      <c r="A1189" s="22"/>
      <c r="B1189" s="11"/>
      <c r="C1189" s="20"/>
      <c r="D1189" s="20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5"/>
      <c r="U1189" s="15"/>
      <c r="V1189" s="15"/>
      <c r="W1189" s="15"/>
    </row>
    <row r="1190">
      <c r="A1190" s="22"/>
      <c r="B1190" s="11"/>
      <c r="C1190" s="20"/>
      <c r="D1190" s="20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5"/>
      <c r="U1190" s="15"/>
      <c r="V1190" s="15"/>
      <c r="W1190" s="15"/>
    </row>
    <row r="1191">
      <c r="A1191" s="22"/>
      <c r="B1191" s="11"/>
      <c r="C1191" s="20"/>
      <c r="D1191" s="20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5"/>
      <c r="U1191" s="15"/>
      <c r="V1191" s="15"/>
      <c r="W1191" s="15"/>
    </row>
    <row r="1192">
      <c r="A1192" s="22"/>
      <c r="B1192" s="11"/>
      <c r="C1192" s="20"/>
      <c r="D1192" s="20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5"/>
      <c r="U1192" s="15"/>
      <c r="V1192" s="15"/>
      <c r="W1192" s="15"/>
    </row>
    <row r="1193">
      <c r="A1193" s="22"/>
      <c r="B1193" s="11"/>
      <c r="C1193" s="20"/>
      <c r="D1193" s="20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5"/>
      <c r="U1193" s="15"/>
      <c r="V1193" s="15"/>
      <c r="W1193" s="15"/>
    </row>
    <row r="1194">
      <c r="A1194" s="22"/>
      <c r="B1194" s="11"/>
      <c r="C1194" s="20"/>
      <c r="D1194" s="20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5"/>
      <c r="U1194" s="15"/>
      <c r="V1194" s="15"/>
      <c r="W1194" s="15"/>
    </row>
    <row r="1195">
      <c r="A1195" s="22"/>
      <c r="B1195" s="11"/>
      <c r="C1195" s="20"/>
      <c r="D1195" s="20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5"/>
      <c r="U1195" s="15"/>
      <c r="V1195" s="15"/>
      <c r="W1195" s="15"/>
    </row>
    <row r="1196">
      <c r="A1196" s="22"/>
      <c r="B1196" s="11"/>
      <c r="C1196" s="20"/>
      <c r="D1196" s="20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5"/>
      <c r="U1196" s="15"/>
      <c r="V1196" s="15"/>
      <c r="W1196" s="15"/>
    </row>
    <row r="1197">
      <c r="A1197" s="22"/>
      <c r="B1197" s="11"/>
      <c r="C1197" s="20"/>
      <c r="D1197" s="20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5"/>
      <c r="U1197" s="15"/>
      <c r="V1197" s="15"/>
      <c r="W1197" s="15"/>
    </row>
    <row r="1198">
      <c r="A1198" s="22"/>
      <c r="B1198" s="11"/>
      <c r="C1198" s="20"/>
      <c r="D1198" s="20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5"/>
      <c r="U1198" s="15"/>
      <c r="V1198" s="15"/>
      <c r="W1198" s="15"/>
    </row>
    <row r="1199">
      <c r="A1199" s="22"/>
      <c r="B1199" s="11"/>
      <c r="C1199" s="20"/>
      <c r="D1199" s="20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5"/>
      <c r="U1199" s="15"/>
      <c r="V1199" s="15"/>
      <c r="W1199" s="15"/>
    </row>
    <row r="1200">
      <c r="A1200" s="22"/>
      <c r="B1200" s="11"/>
      <c r="C1200" s="20"/>
      <c r="D1200" s="20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5"/>
      <c r="U1200" s="15"/>
      <c r="V1200" s="15"/>
      <c r="W1200" s="15"/>
    </row>
    <row r="1201">
      <c r="A1201" s="22"/>
      <c r="B1201" s="11"/>
      <c r="C1201" s="20"/>
      <c r="D1201" s="20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5"/>
      <c r="U1201" s="15"/>
      <c r="V1201" s="15"/>
      <c r="W1201" s="15"/>
    </row>
    <row r="1202">
      <c r="A1202" s="22"/>
      <c r="B1202" s="11"/>
      <c r="C1202" s="20"/>
      <c r="D1202" s="20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5"/>
      <c r="U1202" s="15"/>
      <c r="V1202" s="15"/>
      <c r="W1202" s="15"/>
    </row>
    <row r="1203">
      <c r="A1203" s="22"/>
      <c r="B1203" s="11"/>
      <c r="C1203" s="20"/>
      <c r="D1203" s="20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5"/>
      <c r="U1203" s="15"/>
      <c r="V1203" s="15"/>
      <c r="W1203" s="15"/>
    </row>
    <row r="1204">
      <c r="A1204" s="22"/>
      <c r="B1204" s="11"/>
      <c r="C1204" s="20"/>
      <c r="D1204" s="20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5"/>
      <c r="U1204" s="15"/>
      <c r="V1204" s="15"/>
      <c r="W1204" s="15"/>
    </row>
    <row r="1205">
      <c r="A1205" s="22"/>
      <c r="B1205" s="11"/>
      <c r="C1205" s="20"/>
      <c r="D1205" s="20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5"/>
      <c r="U1205" s="15"/>
      <c r="V1205" s="15"/>
      <c r="W1205" s="15"/>
    </row>
    <row r="1206">
      <c r="A1206" s="22"/>
      <c r="B1206" s="11"/>
      <c r="C1206" s="20"/>
      <c r="D1206" s="20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5"/>
      <c r="U1206" s="15"/>
      <c r="V1206" s="15"/>
      <c r="W1206" s="15"/>
    </row>
    <row r="1207">
      <c r="A1207" s="22"/>
      <c r="B1207" s="11"/>
      <c r="C1207" s="20"/>
      <c r="D1207" s="20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5"/>
      <c r="U1207" s="15"/>
      <c r="V1207" s="15"/>
      <c r="W1207" s="15"/>
    </row>
    <row r="1208">
      <c r="A1208" s="22"/>
      <c r="B1208" s="11"/>
      <c r="C1208" s="20"/>
      <c r="D1208" s="20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5"/>
      <c r="U1208" s="15"/>
      <c r="V1208" s="15"/>
      <c r="W1208" s="15"/>
    </row>
    <row r="1209">
      <c r="A1209" s="22"/>
      <c r="B1209" s="11"/>
      <c r="C1209" s="20"/>
      <c r="D1209" s="20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5"/>
      <c r="U1209" s="15"/>
      <c r="V1209" s="15"/>
      <c r="W1209" s="15"/>
    </row>
    <row r="1210">
      <c r="A1210" s="22"/>
      <c r="B1210" s="11"/>
      <c r="C1210" s="20"/>
      <c r="D1210" s="20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5"/>
      <c r="U1210" s="15"/>
      <c r="V1210" s="15"/>
      <c r="W1210" s="15"/>
    </row>
    <row r="1211">
      <c r="A1211" s="22"/>
      <c r="B1211" s="11"/>
      <c r="C1211" s="20"/>
      <c r="D1211" s="20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5"/>
      <c r="U1211" s="15"/>
      <c r="V1211" s="15"/>
      <c r="W1211" s="15"/>
    </row>
    <row r="1212">
      <c r="A1212" s="22"/>
      <c r="B1212" s="11"/>
      <c r="C1212" s="20"/>
      <c r="D1212" s="20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5"/>
      <c r="U1212" s="15"/>
      <c r="V1212" s="15"/>
      <c r="W1212" s="15"/>
    </row>
    <row r="1213">
      <c r="A1213" s="22"/>
      <c r="B1213" s="11"/>
      <c r="C1213" s="20"/>
      <c r="D1213" s="20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5"/>
      <c r="U1213" s="15"/>
      <c r="V1213" s="15"/>
      <c r="W1213" s="15"/>
    </row>
    <row r="1214">
      <c r="A1214" s="22"/>
      <c r="B1214" s="11"/>
      <c r="C1214" s="20"/>
      <c r="D1214" s="20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5"/>
      <c r="U1214" s="15"/>
      <c r="V1214" s="15"/>
      <c r="W1214" s="15"/>
    </row>
    <row r="1215">
      <c r="A1215" s="22"/>
      <c r="B1215" s="11"/>
      <c r="C1215" s="20"/>
      <c r="D1215" s="20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5"/>
      <c r="U1215" s="15"/>
      <c r="V1215" s="15"/>
      <c r="W1215" s="15"/>
    </row>
    <row r="1216">
      <c r="A1216" s="22"/>
      <c r="B1216" s="11"/>
      <c r="C1216" s="20"/>
      <c r="D1216" s="20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5"/>
      <c r="U1216" s="15"/>
      <c r="V1216" s="15"/>
      <c r="W1216" s="15"/>
    </row>
    <row r="1217">
      <c r="A1217" s="22"/>
      <c r="B1217" s="11"/>
      <c r="C1217" s="20"/>
      <c r="D1217" s="20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5"/>
      <c r="U1217" s="15"/>
      <c r="V1217" s="15"/>
      <c r="W1217" s="15"/>
    </row>
    <row r="1218">
      <c r="A1218" s="22"/>
      <c r="B1218" s="11"/>
      <c r="C1218" s="20"/>
      <c r="D1218" s="20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5"/>
      <c r="U1218" s="15"/>
      <c r="V1218" s="15"/>
      <c r="W1218" s="15"/>
    </row>
    <row r="1219">
      <c r="A1219" s="22"/>
      <c r="B1219" s="11"/>
      <c r="C1219" s="20"/>
      <c r="D1219" s="20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5"/>
      <c r="U1219" s="15"/>
      <c r="V1219" s="15"/>
      <c r="W1219" s="15"/>
    </row>
    <row r="1220">
      <c r="A1220" s="22"/>
      <c r="B1220" s="11"/>
      <c r="C1220" s="20"/>
      <c r="D1220" s="20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5"/>
      <c r="U1220" s="15"/>
      <c r="V1220" s="15"/>
      <c r="W1220" s="15"/>
    </row>
    <row r="1221">
      <c r="A1221" s="22"/>
      <c r="B1221" s="11"/>
      <c r="C1221" s="20"/>
      <c r="D1221" s="20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5"/>
      <c r="U1221" s="15"/>
      <c r="V1221" s="15"/>
      <c r="W1221" s="15"/>
    </row>
    <row r="1222">
      <c r="A1222" s="22"/>
      <c r="B1222" s="11"/>
      <c r="C1222" s="20"/>
      <c r="D1222" s="20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5"/>
      <c r="U1222" s="15"/>
      <c r="V1222" s="15"/>
      <c r="W1222" s="15"/>
    </row>
    <row r="1223">
      <c r="A1223" s="22"/>
      <c r="B1223" s="11"/>
      <c r="C1223" s="20"/>
      <c r="D1223" s="20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5"/>
      <c r="U1223" s="15"/>
      <c r="V1223" s="15"/>
      <c r="W1223" s="15"/>
    </row>
    <row r="1224">
      <c r="A1224" s="22"/>
      <c r="B1224" s="11"/>
      <c r="C1224" s="20"/>
      <c r="D1224" s="20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5"/>
      <c r="U1224" s="15"/>
      <c r="V1224" s="15"/>
      <c r="W1224" s="15"/>
    </row>
    <row r="1225">
      <c r="A1225" s="22"/>
      <c r="B1225" s="11"/>
      <c r="C1225" s="20"/>
      <c r="D1225" s="20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5"/>
      <c r="U1225" s="15"/>
      <c r="V1225" s="15"/>
      <c r="W1225" s="15"/>
    </row>
    <row r="1226">
      <c r="A1226" s="22"/>
      <c r="B1226" s="11"/>
      <c r="C1226" s="20"/>
      <c r="D1226" s="20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5"/>
      <c r="U1226" s="15"/>
      <c r="V1226" s="15"/>
      <c r="W1226" s="15"/>
    </row>
    <row r="1227">
      <c r="A1227" s="22"/>
      <c r="B1227" s="11"/>
      <c r="C1227" s="20"/>
      <c r="D1227" s="20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5"/>
      <c r="U1227" s="15"/>
      <c r="V1227" s="15"/>
      <c r="W1227" s="15"/>
    </row>
    <row r="1228">
      <c r="A1228" s="22"/>
      <c r="B1228" s="11"/>
      <c r="C1228" s="20"/>
      <c r="D1228" s="20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5"/>
      <c r="U1228" s="15"/>
      <c r="V1228" s="15"/>
      <c r="W1228" s="15"/>
    </row>
    <row r="1229">
      <c r="A1229" s="22"/>
      <c r="B1229" s="11"/>
      <c r="C1229" s="20"/>
      <c r="D1229" s="20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5"/>
      <c r="U1229" s="15"/>
      <c r="V1229" s="15"/>
      <c r="W1229" s="15"/>
    </row>
    <row r="1230">
      <c r="A1230" s="22"/>
      <c r="B1230" s="11"/>
      <c r="C1230" s="20"/>
      <c r="D1230" s="20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5"/>
      <c r="U1230" s="15"/>
      <c r="V1230" s="15"/>
      <c r="W1230" s="15"/>
    </row>
    <row r="1231">
      <c r="A1231" s="22"/>
      <c r="B1231" s="11"/>
      <c r="C1231" s="20"/>
      <c r="D1231" s="20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5"/>
      <c r="U1231" s="15"/>
      <c r="V1231" s="15"/>
      <c r="W1231" s="15"/>
    </row>
    <row r="1232">
      <c r="A1232" s="22"/>
      <c r="B1232" s="11"/>
      <c r="C1232" s="20"/>
      <c r="D1232" s="20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5"/>
      <c r="U1232" s="15"/>
      <c r="V1232" s="15"/>
      <c r="W1232" s="15"/>
    </row>
    <row r="1233">
      <c r="A1233" s="22"/>
      <c r="B1233" s="11"/>
      <c r="C1233" s="20"/>
      <c r="D1233" s="20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5"/>
      <c r="U1233" s="15"/>
      <c r="V1233" s="15"/>
      <c r="W1233" s="15"/>
    </row>
    <row r="1234">
      <c r="A1234" s="22"/>
      <c r="B1234" s="11"/>
      <c r="C1234" s="20"/>
      <c r="D1234" s="20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5"/>
      <c r="U1234" s="15"/>
      <c r="V1234" s="15"/>
      <c r="W1234" s="15"/>
    </row>
    <row r="1235">
      <c r="A1235" s="22"/>
      <c r="B1235" s="11"/>
      <c r="C1235" s="20"/>
      <c r="D1235" s="20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5"/>
      <c r="U1235" s="15"/>
      <c r="V1235" s="15"/>
      <c r="W1235" s="15"/>
    </row>
    <row r="1236">
      <c r="A1236" s="22"/>
      <c r="B1236" s="11"/>
      <c r="C1236" s="20"/>
      <c r="D1236" s="20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5"/>
      <c r="U1236" s="15"/>
      <c r="V1236" s="15"/>
      <c r="W1236" s="15"/>
    </row>
    <row r="1237">
      <c r="A1237" s="22"/>
      <c r="B1237" s="11"/>
      <c r="C1237" s="20"/>
      <c r="D1237" s="20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5"/>
      <c r="U1237" s="15"/>
      <c r="V1237" s="15"/>
      <c r="W1237" s="15"/>
    </row>
    <row r="1238">
      <c r="A1238" s="22"/>
      <c r="B1238" s="11"/>
      <c r="C1238" s="20"/>
      <c r="D1238" s="20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5"/>
      <c r="U1238" s="15"/>
      <c r="V1238" s="15"/>
      <c r="W1238" s="15"/>
    </row>
    <row r="1239">
      <c r="A1239" s="22"/>
      <c r="B1239" s="11"/>
      <c r="C1239" s="20"/>
      <c r="D1239" s="20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5"/>
      <c r="U1239" s="15"/>
      <c r="V1239" s="15"/>
      <c r="W1239" s="15"/>
    </row>
    <row r="1240">
      <c r="A1240" s="22"/>
      <c r="B1240" s="11"/>
      <c r="C1240" s="20"/>
      <c r="D1240" s="20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5"/>
      <c r="U1240" s="15"/>
      <c r="V1240" s="15"/>
      <c r="W1240" s="15"/>
    </row>
    <row r="1241">
      <c r="A1241" s="22"/>
      <c r="B1241" s="11"/>
      <c r="C1241" s="20"/>
      <c r="D1241" s="20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5"/>
      <c r="U1241" s="15"/>
      <c r="V1241" s="15"/>
      <c r="W1241" s="15"/>
    </row>
    <row r="1242">
      <c r="A1242" s="22"/>
      <c r="B1242" s="11"/>
      <c r="C1242" s="20"/>
      <c r="D1242" s="20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5"/>
      <c r="U1242" s="15"/>
      <c r="V1242" s="15"/>
      <c r="W1242" s="15"/>
    </row>
    <row r="1243">
      <c r="A1243" s="22"/>
      <c r="B1243" s="11"/>
      <c r="C1243" s="20"/>
      <c r="D1243" s="20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5"/>
      <c r="U1243" s="15"/>
      <c r="V1243" s="15"/>
      <c r="W1243" s="15"/>
    </row>
    <row r="1244">
      <c r="A1244" s="22"/>
      <c r="B1244" s="11"/>
      <c r="C1244" s="20"/>
      <c r="D1244" s="20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5"/>
      <c r="U1244" s="15"/>
      <c r="V1244" s="15"/>
      <c r="W1244" s="15"/>
    </row>
    <row r="1245">
      <c r="A1245" s="22"/>
      <c r="B1245" s="11"/>
      <c r="C1245" s="20"/>
      <c r="D1245" s="20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5"/>
      <c r="U1245" s="15"/>
      <c r="V1245" s="15"/>
      <c r="W1245" s="15"/>
    </row>
    <row r="1246">
      <c r="A1246" s="22"/>
      <c r="B1246" s="11"/>
      <c r="C1246" s="20"/>
      <c r="D1246" s="20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5"/>
      <c r="U1246" s="15"/>
      <c r="V1246" s="15"/>
      <c r="W1246" s="15"/>
    </row>
    <row r="1247">
      <c r="A1247" s="22"/>
      <c r="B1247" s="11"/>
      <c r="C1247" s="20"/>
      <c r="D1247" s="20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5"/>
      <c r="U1247" s="15"/>
      <c r="V1247" s="15"/>
      <c r="W1247" s="15"/>
    </row>
    <row r="1248">
      <c r="A1248" s="22"/>
      <c r="B1248" s="11"/>
      <c r="C1248" s="20"/>
      <c r="D1248" s="20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5"/>
      <c r="U1248" s="15"/>
      <c r="V1248" s="15"/>
      <c r="W1248" s="15"/>
    </row>
    <row r="1249">
      <c r="A1249" s="22"/>
      <c r="B1249" s="11"/>
      <c r="C1249" s="20"/>
      <c r="D1249" s="20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5"/>
      <c r="U1249" s="15"/>
      <c r="V1249" s="15"/>
      <c r="W1249" s="15"/>
    </row>
    <row r="1250">
      <c r="A1250" s="22"/>
      <c r="B1250" s="11"/>
      <c r="C1250" s="20"/>
      <c r="D1250" s="20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5"/>
      <c r="U1250" s="15"/>
      <c r="V1250" s="15"/>
      <c r="W1250" s="15"/>
    </row>
    <row r="1251">
      <c r="A1251" s="22"/>
      <c r="B1251" s="11"/>
      <c r="C1251" s="20"/>
      <c r="D1251" s="20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5"/>
      <c r="U1251" s="15"/>
      <c r="V1251" s="15"/>
      <c r="W1251" s="15"/>
    </row>
    <row r="1252">
      <c r="A1252" s="22"/>
      <c r="B1252" s="11"/>
      <c r="C1252" s="20"/>
      <c r="D1252" s="20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5"/>
      <c r="U1252" s="15"/>
      <c r="V1252" s="15"/>
      <c r="W1252" s="15"/>
    </row>
    <row r="1253">
      <c r="A1253" s="22"/>
      <c r="B1253" s="11"/>
      <c r="C1253" s="20"/>
      <c r="D1253" s="20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5"/>
      <c r="U1253" s="15"/>
      <c r="V1253" s="15"/>
      <c r="W1253" s="15"/>
    </row>
    <row r="1254">
      <c r="A1254" s="22"/>
      <c r="B1254" s="11"/>
      <c r="C1254" s="20"/>
      <c r="D1254" s="20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5"/>
      <c r="U1254" s="15"/>
      <c r="V1254" s="15"/>
      <c r="W1254" s="15"/>
    </row>
    <row r="1255">
      <c r="A1255" s="22"/>
      <c r="B1255" s="11"/>
      <c r="C1255" s="20"/>
      <c r="D1255" s="20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5"/>
      <c r="U1255" s="15"/>
      <c r="V1255" s="15"/>
      <c r="W1255" s="15"/>
    </row>
    <row r="1256">
      <c r="A1256" s="22"/>
      <c r="B1256" s="11"/>
      <c r="C1256" s="20"/>
      <c r="D1256" s="20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5"/>
      <c r="U1256" s="15"/>
      <c r="V1256" s="15"/>
      <c r="W1256" s="15"/>
    </row>
    <row r="1257">
      <c r="A1257" s="22"/>
      <c r="B1257" s="11"/>
      <c r="C1257" s="20"/>
      <c r="D1257" s="20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5"/>
      <c r="U1257" s="15"/>
      <c r="V1257" s="15"/>
      <c r="W1257" s="15"/>
    </row>
    <row r="1258">
      <c r="A1258" s="22"/>
      <c r="B1258" s="11"/>
      <c r="C1258" s="20"/>
      <c r="D1258" s="20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5"/>
      <c r="U1258" s="15"/>
      <c r="V1258" s="15"/>
      <c r="W1258" s="15"/>
    </row>
    <row r="1259">
      <c r="A1259" s="22"/>
      <c r="B1259" s="11"/>
      <c r="C1259" s="20"/>
      <c r="D1259" s="20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5"/>
      <c r="U1259" s="15"/>
      <c r="V1259" s="15"/>
      <c r="W1259" s="15"/>
    </row>
    <row r="1260">
      <c r="A1260" s="22"/>
      <c r="B1260" s="11"/>
      <c r="C1260" s="20"/>
      <c r="D1260" s="20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5"/>
      <c r="U1260" s="15"/>
      <c r="V1260" s="15"/>
      <c r="W1260" s="15"/>
    </row>
    <row r="1261">
      <c r="A1261" s="22"/>
      <c r="B1261" s="11"/>
      <c r="C1261" s="20"/>
      <c r="D1261" s="20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5"/>
      <c r="U1261" s="15"/>
      <c r="V1261" s="15"/>
      <c r="W1261" s="15"/>
    </row>
    <row r="1262">
      <c r="A1262" s="22"/>
      <c r="B1262" s="11"/>
      <c r="C1262" s="20"/>
      <c r="D1262" s="20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5"/>
      <c r="U1262" s="15"/>
      <c r="V1262" s="15"/>
      <c r="W1262" s="15"/>
    </row>
    <row r="1263">
      <c r="A1263" s="22"/>
      <c r="B1263" s="11"/>
      <c r="C1263" s="20"/>
      <c r="D1263" s="20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5"/>
      <c r="U1263" s="15"/>
      <c r="V1263" s="15"/>
      <c r="W1263" s="15"/>
    </row>
    <row r="1264">
      <c r="A1264" s="22"/>
      <c r="B1264" s="11"/>
      <c r="C1264" s="20"/>
      <c r="D1264" s="20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5"/>
      <c r="U1264" s="15"/>
      <c r="V1264" s="15"/>
      <c r="W1264" s="15"/>
    </row>
    <row r="1265">
      <c r="A1265" s="22"/>
      <c r="B1265" s="11"/>
      <c r="C1265" s="20"/>
      <c r="D1265" s="20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5"/>
      <c r="U1265" s="15"/>
      <c r="V1265" s="15"/>
      <c r="W1265" s="15"/>
    </row>
    <row r="1266">
      <c r="A1266" s="22"/>
      <c r="B1266" s="11"/>
      <c r="C1266" s="20"/>
      <c r="D1266" s="20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5"/>
      <c r="U1266" s="15"/>
      <c r="V1266" s="15"/>
      <c r="W1266" s="15"/>
    </row>
    <row r="1267">
      <c r="A1267" s="22"/>
      <c r="B1267" s="11"/>
      <c r="C1267" s="20"/>
      <c r="D1267" s="20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5"/>
      <c r="U1267" s="15"/>
      <c r="V1267" s="15"/>
      <c r="W1267" s="15"/>
    </row>
    <row r="1268">
      <c r="A1268" s="22"/>
      <c r="B1268" s="11"/>
      <c r="C1268" s="20"/>
      <c r="D1268" s="20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5"/>
      <c r="U1268" s="15"/>
      <c r="V1268" s="15"/>
      <c r="W1268" s="15"/>
    </row>
    <row r="1269">
      <c r="A1269" s="22"/>
      <c r="B1269" s="11"/>
      <c r="C1269" s="20"/>
      <c r="D1269" s="20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5"/>
      <c r="U1269" s="15"/>
      <c r="V1269" s="15"/>
      <c r="W1269" s="15"/>
    </row>
    <row r="1270">
      <c r="A1270" s="22"/>
      <c r="B1270" s="11"/>
      <c r="C1270" s="20"/>
      <c r="D1270" s="20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5"/>
      <c r="U1270" s="15"/>
      <c r="V1270" s="15"/>
      <c r="W1270" s="15"/>
    </row>
    <row r="1271">
      <c r="A1271" s="22"/>
      <c r="B1271" s="11"/>
      <c r="C1271" s="20"/>
      <c r="D1271" s="20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5"/>
      <c r="U1271" s="15"/>
      <c r="V1271" s="15"/>
      <c r="W1271" s="15"/>
    </row>
    <row r="1272">
      <c r="A1272" s="22"/>
      <c r="B1272" s="11"/>
      <c r="C1272" s="20"/>
      <c r="D1272" s="20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5"/>
      <c r="U1272" s="15"/>
      <c r="V1272" s="15"/>
      <c r="W1272" s="15"/>
    </row>
    <row r="1273">
      <c r="A1273" s="22"/>
      <c r="B1273" s="11"/>
      <c r="C1273" s="20"/>
      <c r="D1273" s="20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5"/>
      <c r="U1273" s="15"/>
      <c r="V1273" s="15"/>
      <c r="W1273" s="15"/>
    </row>
    <row r="1274">
      <c r="A1274" s="22"/>
      <c r="B1274" s="11"/>
      <c r="C1274" s="20"/>
      <c r="D1274" s="20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5"/>
      <c r="U1274" s="15"/>
      <c r="V1274" s="15"/>
      <c r="W1274" s="15"/>
    </row>
    <row r="1275">
      <c r="A1275" s="22"/>
      <c r="B1275" s="11"/>
      <c r="C1275" s="20"/>
      <c r="D1275" s="20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5"/>
      <c r="U1275" s="15"/>
      <c r="V1275" s="15"/>
      <c r="W1275" s="15"/>
    </row>
    <row r="1276">
      <c r="A1276" s="22"/>
      <c r="B1276" s="11"/>
      <c r="C1276" s="20"/>
      <c r="D1276" s="20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5"/>
      <c r="U1276" s="15"/>
      <c r="V1276" s="15"/>
      <c r="W1276" s="15"/>
    </row>
    <row r="1277">
      <c r="A1277" s="22"/>
      <c r="B1277" s="11"/>
      <c r="C1277" s="20"/>
      <c r="D1277" s="20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5"/>
      <c r="U1277" s="15"/>
      <c r="V1277" s="15"/>
      <c r="W1277" s="15"/>
    </row>
    <row r="1278">
      <c r="A1278" s="22"/>
      <c r="B1278" s="11"/>
      <c r="C1278" s="20"/>
      <c r="D1278" s="20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5"/>
      <c r="U1278" s="15"/>
      <c r="V1278" s="15"/>
      <c r="W1278" s="15"/>
    </row>
    <row r="1279">
      <c r="A1279" s="22"/>
      <c r="B1279" s="11"/>
      <c r="C1279" s="20"/>
      <c r="D1279" s="20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5"/>
      <c r="U1279" s="15"/>
      <c r="V1279" s="15"/>
      <c r="W1279" s="15"/>
    </row>
    <row r="1280">
      <c r="A1280" s="22"/>
      <c r="B1280" s="11"/>
      <c r="C1280" s="20"/>
      <c r="D1280" s="20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5"/>
      <c r="U1280" s="15"/>
      <c r="V1280" s="15"/>
      <c r="W1280" s="15"/>
    </row>
    <row r="1281">
      <c r="A1281" s="22"/>
      <c r="B1281" s="11"/>
      <c r="C1281" s="20"/>
      <c r="D1281" s="20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5"/>
      <c r="U1281" s="15"/>
      <c r="V1281" s="15"/>
      <c r="W1281" s="15"/>
    </row>
    <row r="1282">
      <c r="A1282" s="22"/>
      <c r="B1282" s="11"/>
      <c r="C1282" s="20"/>
      <c r="D1282" s="20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5"/>
      <c r="U1282" s="15"/>
      <c r="V1282" s="15"/>
      <c r="W1282" s="15"/>
    </row>
    <row r="1283">
      <c r="A1283" s="22"/>
      <c r="B1283" s="11"/>
      <c r="C1283" s="20"/>
      <c r="D1283" s="20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5"/>
      <c r="U1283" s="15"/>
      <c r="V1283" s="15"/>
      <c r="W1283" s="15"/>
    </row>
    <row r="1284">
      <c r="A1284" s="22"/>
      <c r="B1284" s="11"/>
      <c r="C1284" s="20"/>
      <c r="D1284" s="20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5"/>
      <c r="U1284" s="15"/>
      <c r="V1284" s="15"/>
      <c r="W1284" s="15"/>
    </row>
    <row r="1285">
      <c r="A1285" s="22"/>
      <c r="B1285" s="11"/>
      <c r="C1285" s="20"/>
      <c r="D1285" s="20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5"/>
      <c r="U1285" s="15"/>
      <c r="V1285" s="15"/>
      <c r="W1285" s="15"/>
    </row>
    <row r="1286">
      <c r="A1286" s="22"/>
      <c r="B1286" s="11"/>
      <c r="C1286" s="20"/>
      <c r="D1286" s="20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5"/>
      <c r="U1286" s="15"/>
      <c r="V1286" s="15"/>
      <c r="W1286" s="15"/>
    </row>
    <row r="1287">
      <c r="A1287" s="22"/>
      <c r="B1287" s="11"/>
      <c r="C1287" s="20"/>
      <c r="D1287" s="20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5"/>
      <c r="U1287" s="15"/>
      <c r="V1287" s="15"/>
      <c r="W1287" s="15"/>
    </row>
    <row r="1288">
      <c r="A1288" s="22"/>
      <c r="B1288" s="11"/>
      <c r="C1288" s="20"/>
      <c r="D1288" s="20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5"/>
      <c r="U1288" s="15"/>
      <c r="V1288" s="15"/>
      <c r="W1288" s="15"/>
    </row>
    <row r="1289">
      <c r="A1289" s="22"/>
      <c r="B1289" s="11"/>
      <c r="C1289" s="20"/>
      <c r="D1289" s="20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5"/>
      <c r="U1289" s="15"/>
      <c r="V1289" s="15"/>
      <c r="W1289" s="15"/>
    </row>
    <row r="1290">
      <c r="A1290" s="22"/>
      <c r="B1290" s="11"/>
      <c r="C1290" s="20"/>
      <c r="D1290" s="20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5"/>
      <c r="U1290" s="15"/>
      <c r="V1290" s="15"/>
      <c r="W1290" s="15"/>
    </row>
    <row r="1291">
      <c r="A1291" s="22"/>
      <c r="B1291" s="11"/>
      <c r="C1291" s="20"/>
      <c r="D1291" s="20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5"/>
      <c r="U1291" s="15"/>
      <c r="V1291" s="15"/>
      <c r="W1291" s="15"/>
    </row>
    <row r="1292">
      <c r="A1292" s="22"/>
      <c r="B1292" s="11"/>
      <c r="C1292" s="20"/>
      <c r="D1292" s="20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5"/>
      <c r="U1292" s="15"/>
      <c r="V1292" s="15"/>
      <c r="W1292" s="15"/>
    </row>
    <row r="1293">
      <c r="A1293" s="22"/>
      <c r="B1293" s="11"/>
      <c r="C1293" s="20"/>
      <c r="D1293" s="20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5"/>
      <c r="U1293" s="15"/>
      <c r="V1293" s="15"/>
      <c r="W1293" s="15"/>
    </row>
    <row r="1294">
      <c r="A1294" s="22"/>
      <c r="B1294" s="11"/>
      <c r="C1294" s="20"/>
      <c r="D1294" s="20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5"/>
      <c r="U1294" s="15"/>
      <c r="V1294" s="15"/>
      <c r="W1294" s="15"/>
    </row>
    <row r="1295">
      <c r="A1295" s="22"/>
      <c r="B1295" s="11"/>
      <c r="C1295" s="20"/>
      <c r="D1295" s="20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5"/>
      <c r="U1295" s="15"/>
      <c r="V1295" s="15"/>
      <c r="W1295" s="15"/>
    </row>
    <row r="1296">
      <c r="A1296" s="22"/>
      <c r="B1296" s="11"/>
      <c r="C1296" s="20"/>
      <c r="D1296" s="20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5"/>
      <c r="U1296" s="15"/>
      <c r="V1296" s="15"/>
      <c r="W1296" s="15"/>
    </row>
    <row r="1297">
      <c r="A1297" s="22"/>
      <c r="B1297" s="11"/>
      <c r="C1297" s="20"/>
      <c r="D1297" s="20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5"/>
      <c r="U1297" s="15"/>
      <c r="V1297" s="15"/>
      <c r="W1297" s="15"/>
    </row>
    <row r="1298">
      <c r="A1298" s="22"/>
      <c r="B1298" s="11"/>
      <c r="C1298" s="20"/>
      <c r="D1298" s="20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5"/>
      <c r="U1298" s="15"/>
      <c r="V1298" s="15"/>
      <c r="W1298" s="15"/>
    </row>
    <row r="1299">
      <c r="A1299" s="22"/>
      <c r="B1299" s="11"/>
      <c r="C1299" s="20"/>
      <c r="D1299" s="20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5"/>
      <c r="U1299" s="15"/>
      <c r="V1299" s="15"/>
      <c r="W1299" s="15"/>
    </row>
    <row r="1300">
      <c r="A1300" s="22"/>
      <c r="B1300" s="11"/>
      <c r="C1300" s="20"/>
      <c r="D1300" s="20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5"/>
      <c r="U1300" s="15"/>
      <c r="V1300" s="15"/>
      <c r="W1300" s="15"/>
    </row>
    <row r="1301">
      <c r="A1301" s="22"/>
      <c r="B1301" s="11"/>
      <c r="C1301" s="20"/>
      <c r="D1301" s="20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5"/>
      <c r="U1301" s="15"/>
      <c r="V1301" s="15"/>
      <c r="W1301" s="15"/>
    </row>
    <row r="1302">
      <c r="A1302" s="22"/>
      <c r="B1302" s="11"/>
      <c r="C1302" s="20"/>
      <c r="D1302" s="20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5"/>
      <c r="U1302" s="15"/>
      <c r="V1302" s="15"/>
      <c r="W1302" s="15"/>
    </row>
    <row r="1303">
      <c r="A1303" s="22"/>
      <c r="B1303" s="11"/>
      <c r="C1303" s="20"/>
      <c r="D1303" s="20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5"/>
      <c r="U1303" s="15"/>
      <c r="V1303" s="15"/>
      <c r="W1303" s="15"/>
    </row>
    <row r="1304">
      <c r="A1304" s="22"/>
      <c r="B1304" s="11"/>
      <c r="C1304" s="20"/>
      <c r="D1304" s="20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5"/>
      <c r="U1304" s="15"/>
      <c r="V1304" s="15"/>
      <c r="W1304" s="15"/>
    </row>
    <row r="1305">
      <c r="A1305" s="22"/>
      <c r="B1305" s="11"/>
      <c r="C1305" s="20"/>
      <c r="D1305" s="20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5"/>
      <c r="U1305" s="15"/>
      <c r="V1305" s="15"/>
      <c r="W1305" s="15"/>
    </row>
    <row r="1306">
      <c r="A1306" s="22"/>
      <c r="B1306" s="11"/>
      <c r="C1306" s="20"/>
      <c r="D1306" s="20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5"/>
      <c r="U1306" s="15"/>
      <c r="V1306" s="15"/>
      <c r="W1306" s="15"/>
    </row>
    <row r="1307">
      <c r="A1307" s="22"/>
      <c r="B1307" s="11"/>
      <c r="C1307" s="20"/>
      <c r="D1307" s="20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5"/>
      <c r="U1307" s="15"/>
      <c r="V1307" s="15"/>
      <c r="W1307" s="15"/>
    </row>
    <row r="1308">
      <c r="A1308" s="22"/>
      <c r="B1308" s="11"/>
      <c r="C1308" s="20"/>
      <c r="D1308" s="20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5"/>
      <c r="U1308" s="15"/>
      <c r="V1308" s="15"/>
      <c r="W1308" s="15"/>
    </row>
    <row r="1309">
      <c r="A1309" s="22"/>
      <c r="B1309" s="11"/>
      <c r="C1309" s="20"/>
      <c r="D1309" s="20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5"/>
      <c r="U1309" s="15"/>
      <c r="V1309" s="15"/>
      <c r="W1309" s="15"/>
    </row>
    <row r="1310">
      <c r="A1310" s="22"/>
      <c r="B1310" s="11"/>
      <c r="C1310" s="20"/>
      <c r="D1310" s="20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5"/>
      <c r="U1310" s="15"/>
      <c r="V1310" s="15"/>
      <c r="W1310" s="15"/>
    </row>
    <row r="1311">
      <c r="A1311" s="22"/>
      <c r="B1311" s="11"/>
      <c r="C1311" s="20"/>
      <c r="D1311" s="20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5"/>
      <c r="U1311" s="15"/>
      <c r="V1311" s="15"/>
      <c r="W1311" s="15"/>
    </row>
    <row r="1312">
      <c r="A1312" s="22"/>
      <c r="B1312" s="11"/>
      <c r="C1312" s="20"/>
      <c r="D1312" s="20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5"/>
      <c r="U1312" s="15"/>
      <c r="V1312" s="15"/>
      <c r="W1312" s="15"/>
    </row>
    <row r="1313">
      <c r="A1313" s="22"/>
      <c r="B1313" s="11"/>
      <c r="C1313" s="20"/>
      <c r="D1313" s="20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5"/>
      <c r="U1313" s="15"/>
      <c r="V1313" s="15"/>
      <c r="W1313" s="15"/>
    </row>
    <row r="1314">
      <c r="A1314" s="22"/>
      <c r="B1314" s="11"/>
      <c r="C1314" s="20"/>
      <c r="D1314" s="20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5"/>
      <c r="U1314" s="15"/>
      <c r="V1314" s="15"/>
      <c r="W1314" s="15"/>
    </row>
    <row r="1315">
      <c r="A1315" s="22"/>
      <c r="B1315" s="11"/>
      <c r="C1315" s="20"/>
      <c r="D1315" s="20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5"/>
      <c r="U1315" s="15"/>
      <c r="V1315" s="15"/>
      <c r="W1315" s="15"/>
    </row>
    <row r="1316">
      <c r="A1316" s="22"/>
      <c r="B1316" s="11"/>
      <c r="C1316" s="20"/>
      <c r="D1316" s="20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5"/>
      <c r="U1316" s="15"/>
      <c r="V1316" s="15"/>
      <c r="W1316" s="15"/>
    </row>
    <row r="1317">
      <c r="A1317" s="22"/>
      <c r="B1317" s="11"/>
      <c r="C1317" s="20"/>
      <c r="D1317" s="20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5"/>
      <c r="U1317" s="15"/>
      <c r="V1317" s="15"/>
      <c r="W1317" s="15"/>
    </row>
    <row r="1318">
      <c r="A1318" s="22"/>
      <c r="B1318" s="11"/>
      <c r="C1318" s="20"/>
      <c r="D1318" s="20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5"/>
      <c r="U1318" s="15"/>
      <c r="V1318" s="15"/>
      <c r="W1318" s="15"/>
    </row>
    <row r="1319">
      <c r="A1319" s="22"/>
      <c r="B1319" s="11"/>
      <c r="C1319" s="20"/>
      <c r="D1319" s="20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5"/>
      <c r="U1319" s="15"/>
      <c r="V1319" s="15"/>
      <c r="W1319" s="15"/>
    </row>
    <row r="1320">
      <c r="A1320" s="22"/>
      <c r="B1320" s="11"/>
      <c r="C1320" s="20"/>
      <c r="D1320" s="20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5"/>
      <c r="U1320" s="15"/>
      <c r="V1320" s="15"/>
      <c r="W1320" s="15"/>
    </row>
    <row r="1321">
      <c r="A1321" s="22"/>
      <c r="B1321" s="11"/>
      <c r="C1321" s="20"/>
      <c r="D1321" s="20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5"/>
      <c r="U1321" s="15"/>
      <c r="V1321" s="15"/>
      <c r="W1321" s="15"/>
    </row>
    <row r="1322">
      <c r="A1322" s="22"/>
      <c r="B1322" s="11"/>
      <c r="C1322" s="20"/>
      <c r="D1322" s="20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5"/>
      <c r="U1322" s="15"/>
      <c r="V1322" s="15"/>
      <c r="W1322" s="15"/>
    </row>
    <row r="1323">
      <c r="A1323" s="22"/>
      <c r="B1323" s="11"/>
      <c r="C1323" s="20"/>
      <c r="D1323" s="20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5"/>
      <c r="U1323" s="15"/>
      <c r="V1323" s="15"/>
      <c r="W1323" s="15"/>
    </row>
    <row r="1324">
      <c r="A1324" s="22"/>
      <c r="B1324" s="11"/>
      <c r="C1324" s="20"/>
      <c r="D1324" s="20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5"/>
      <c r="U1324" s="15"/>
      <c r="V1324" s="15"/>
      <c r="W1324" s="15"/>
    </row>
    <row r="1325">
      <c r="A1325" s="22"/>
      <c r="B1325" s="11"/>
      <c r="C1325" s="20"/>
      <c r="D1325" s="20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5"/>
      <c r="U1325" s="15"/>
      <c r="V1325" s="15"/>
      <c r="W1325" s="15"/>
    </row>
    <row r="1326">
      <c r="A1326" s="22"/>
      <c r="B1326" s="11"/>
      <c r="C1326" s="20"/>
      <c r="D1326" s="20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5"/>
      <c r="U1326" s="15"/>
      <c r="V1326" s="15"/>
      <c r="W1326" s="15"/>
    </row>
    <row r="1327">
      <c r="A1327" s="22"/>
      <c r="B1327" s="11"/>
      <c r="C1327" s="20"/>
      <c r="D1327" s="20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5"/>
      <c r="U1327" s="15"/>
      <c r="V1327" s="15"/>
      <c r="W1327" s="15"/>
    </row>
    <row r="1328">
      <c r="A1328" s="22"/>
      <c r="B1328" s="11"/>
      <c r="C1328" s="20"/>
      <c r="D1328" s="20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5"/>
      <c r="U1328" s="15"/>
      <c r="V1328" s="15"/>
      <c r="W1328" s="15"/>
    </row>
    <row r="1329">
      <c r="A1329" s="22"/>
      <c r="B1329" s="11"/>
      <c r="C1329" s="20"/>
      <c r="D1329" s="20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5"/>
      <c r="U1329" s="15"/>
      <c r="V1329" s="15"/>
      <c r="W1329" s="15"/>
    </row>
    <row r="1330">
      <c r="A1330" s="22"/>
      <c r="B1330" s="11"/>
      <c r="C1330" s="20"/>
      <c r="D1330" s="20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5"/>
      <c r="U1330" s="15"/>
      <c r="V1330" s="15"/>
      <c r="W1330" s="15"/>
    </row>
    <row r="1331">
      <c r="A1331" s="22"/>
      <c r="B1331" s="11"/>
      <c r="C1331" s="20"/>
      <c r="D1331" s="20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5"/>
      <c r="U1331" s="15"/>
      <c r="V1331" s="15"/>
      <c r="W1331" s="15"/>
    </row>
    <row r="1332">
      <c r="A1332" s="22"/>
      <c r="B1332" s="11"/>
      <c r="C1332" s="20"/>
      <c r="D1332" s="20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5"/>
      <c r="U1332" s="15"/>
      <c r="V1332" s="15"/>
      <c r="W1332" s="15"/>
    </row>
    <row r="1333">
      <c r="A1333" s="22"/>
      <c r="B1333" s="11"/>
      <c r="C1333" s="20"/>
      <c r="D1333" s="20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5"/>
      <c r="U1333" s="15"/>
      <c r="V1333" s="15"/>
      <c r="W1333" s="15"/>
    </row>
    <row r="1334">
      <c r="A1334" s="22"/>
      <c r="B1334" s="11"/>
      <c r="C1334" s="20"/>
      <c r="D1334" s="20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5"/>
      <c r="U1334" s="15"/>
      <c r="V1334" s="15"/>
      <c r="W1334" s="15"/>
    </row>
    <row r="1335">
      <c r="A1335" s="22"/>
      <c r="B1335" s="11"/>
      <c r="C1335" s="20"/>
      <c r="D1335" s="20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5"/>
      <c r="U1335" s="15"/>
      <c r="V1335" s="15"/>
      <c r="W1335" s="15"/>
    </row>
    <row r="1336">
      <c r="A1336" s="22"/>
      <c r="B1336" s="11"/>
      <c r="C1336" s="20"/>
      <c r="D1336" s="20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5"/>
      <c r="U1336" s="15"/>
      <c r="V1336" s="15"/>
      <c r="W1336" s="15"/>
    </row>
    <row r="1337">
      <c r="A1337" s="22"/>
      <c r="B1337" s="11"/>
      <c r="C1337" s="20"/>
      <c r="D1337" s="20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5"/>
      <c r="U1337" s="15"/>
      <c r="V1337" s="15"/>
      <c r="W1337" s="15"/>
    </row>
    <row r="1338">
      <c r="A1338" s="22"/>
      <c r="B1338" s="11"/>
      <c r="C1338" s="20"/>
      <c r="D1338" s="20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5"/>
      <c r="U1338" s="15"/>
      <c r="V1338" s="15"/>
      <c r="W1338" s="15"/>
    </row>
    <row r="1339">
      <c r="A1339" s="22"/>
      <c r="B1339" s="11"/>
      <c r="C1339" s="20"/>
      <c r="D1339" s="20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5"/>
      <c r="U1339" s="15"/>
      <c r="V1339" s="15"/>
      <c r="W1339" s="15"/>
    </row>
    <row r="1340">
      <c r="A1340" s="22"/>
      <c r="B1340" s="11"/>
      <c r="C1340" s="20"/>
      <c r="D1340" s="20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5"/>
      <c r="U1340" s="15"/>
      <c r="V1340" s="15"/>
      <c r="W1340" s="15"/>
    </row>
    <row r="1341">
      <c r="A1341" s="22"/>
      <c r="B1341" s="11"/>
      <c r="C1341" s="20"/>
      <c r="D1341" s="20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5"/>
      <c r="U1341" s="15"/>
      <c r="V1341" s="15"/>
      <c r="W1341" s="15"/>
    </row>
    <row r="1342">
      <c r="A1342" s="22"/>
      <c r="B1342" s="11"/>
      <c r="C1342" s="20"/>
      <c r="D1342" s="20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5"/>
      <c r="U1342" s="15"/>
      <c r="V1342" s="15"/>
      <c r="W1342" s="15"/>
    </row>
    <row r="1343">
      <c r="A1343" s="22"/>
      <c r="B1343" s="11"/>
      <c r="C1343" s="20"/>
      <c r="D1343" s="20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5"/>
      <c r="U1343" s="15"/>
      <c r="V1343" s="15"/>
      <c r="W1343" s="15"/>
    </row>
    <row r="1344">
      <c r="A1344" s="22"/>
      <c r="B1344" s="11"/>
      <c r="C1344" s="20"/>
      <c r="D1344" s="20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5"/>
      <c r="U1344" s="15"/>
      <c r="V1344" s="15"/>
      <c r="W1344" s="15"/>
    </row>
    <row r="1345">
      <c r="A1345" s="22"/>
      <c r="B1345" s="11"/>
      <c r="C1345" s="20"/>
      <c r="D1345" s="20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5"/>
      <c r="U1345" s="15"/>
      <c r="V1345" s="15"/>
      <c r="W1345" s="15"/>
    </row>
    <row r="1346">
      <c r="A1346" s="22"/>
      <c r="B1346" s="11"/>
      <c r="C1346" s="20"/>
      <c r="D1346" s="20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5"/>
      <c r="U1346" s="15"/>
      <c r="V1346" s="15"/>
      <c r="W1346" s="15"/>
    </row>
    <row r="1347">
      <c r="A1347" s="22"/>
      <c r="B1347" s="11"/>
      <c r="C1347" s="20"/>
      <c r="D1347" s="20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5"/>
      <c r="U1347" s="15"/>
      <c r="V1347" s="15"/>
      <c r="W1347" s="15"/>
    </row>
    <row r="1348">
      <c r="A1348" s="22"/>
      <c r="B1348" s="11"/>
      <c r="C1348" s="20"/>
      <c r="D1348" s="20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5"/>
      <c r="U1348" s="15"/>
      <c r="V1348" s="15"/>
      <c r="W1348" s="15"/>
    </row>
    <row r="1349">
      <c r="A1349" s="22"/>
      <c r="B1349" s="11"/>
      <c r="C1349" s="20"/>
      <c r="D1349" s="20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5"/>
      <c r="U1349" s="15"/>
      <c r="V1349" s="15"/>
      <c r="W1349" s="15"/>
    </row>
    <row r="1350">
      <c r="A1350" s="22"/>
      <c r="B1350" s="11"/>
      <c r="C1350" s="20"/>
      <c r="D1350" s="20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5"/>
      <c r="U1350" s="15"/>
      <c r="V1350" s="15"/>
      <c r="W1350" s="15"/>
    </row>
    <row r="1351">
      <c r="A1351" s="22"/>
      <c r="B1351" s="11"/>
      <c r="C1351" s="20"/>
      <c r="D1351" s="20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5"/>
      <c r="U1351" s="15"/>
      <c r="V1351" s="15"/>
      <c r="W1351" s="15"/>
    </row>
    <row r="1352">
      <c r="A1352" s="22"/>
      <c r="B1352" s="11"/>
      <c r="C1352" s="20"/>
      <c r="D1352" s="20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5"/>
      <c r="U1352" s="15"/>
      <c r="V1352" s="15"/>
      <c r="W1352" s="15"/>
    </row>
    <row r="1353">
      <c r="A1353" s="22"/>
      <c r="B1353" s="11"/>
      <c r="C1353" s="20"/>
      <c r="D1353" s="20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5"/>
      <c r="U1353" s="15"/>
      <c r="V1353" s="15"/>
      <c r="W1353" s="15"/>
    </row>
    <row r="1354">
      <c r="A1354" s="22"/>
      <c r="B1354" s="11"/>
      <c r="C1354" s="20"/>
      <c r="D1354" s="20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5"/>
      <c r="U1354" s="15"/>
      <c r="V1354" s="15"/>
      <c r="W1354" s="15"/>
    </row>
    <row r="1355">
      <c r="A1355" s="22"/>
      <c r="B1355" s="11"/>
      <c r="C1355" s="20"/>
      <c r="D1355" s="20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5"/>
      <c r="U1355" s="15"/>
      <c r="V1355" s="15"/>
      <c r="W1355" s="15"/>
    </row>
    <row r="1356">
      <c r="A1356" s="22"/>
      <c r="B1356" s="11"/>
      <c r="C1356" s="20"/>
      <c r="D1356" s="20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5"/>
      <c r="U1356" s="15"/>
      <c r="V1356" s="15"/>
      <c r="W1356" s="15"/>
    </row>
    <row r="1357">
      <c r="A1357" s="22"/>
      <c r="B1357" s="11"/>
      <c r="C1357" s="20"/>
      <c r="D1357" s="20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5"/>
      <c r="U1357" s="15"/>
      <c r="V1357" s="15"/>
      <c r="W1357" s="15"/>
    </row>
    <row r="1358">
      <c r="A1358" s="22"/>
      <c r="B1358" s="11"/>
      <c r="C1358" s="20"/>
      <c r="D1358" s="20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5"/>
      <c r="U1358" s="15"/>
      <c r="V1358" s="15"/>
      <c r="W1358" s="15"/>
    </row>
    <row r="1359">
      <c r="A1359" s="22"/>
      <c r="B1359" s="11"/>
      <c r="C1359" s="20"/>
      <c r="D1359" s="20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5"/>
      <c r="U1359" s="15"/>
      <c r="V1359" s="15"/>
      <c r="W1359" s="15"/>
    </row>
    <row r="1360">
      <c r="A1360" s="22"/>
      <c r="B1360" s="11"/>
      <c r="C1360" s="20"/>
      <c r="D1360" s="20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5"/>
      <c r="U1360" s="15"/>
      <c r="V1360" s="15"/>
      <c r="W1360" s="15"/>
    </row>
    <row r="1361">
      <c r="A1361" s="22"/>
      <c r="B1361" s="11"/>
      <c r="C1361" s="20"/>
      <c r="D1361" s="20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5"/>
      <c r="U1361" s="15"/>
      <c r="V1361" s="15"/>
      <c r="W1361" s="15"/>
    </row>
    <row r="1362">
      <c r="A1362" s="22"/>
      <c r="B1362" s="11"/>
      <c r="C1362" s="20"/>
      <c r="D1362" s="20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5"/>
      <c r="U1362" s="15"/>
      <c r="V1362" s="15"/>
      <c r="W1362" s="15"/>
    </row>
    <row r="1363">
      <c r="A1363" s="22"/>
      <c r="B1363" s="11"/>
      <c r="C1363" s="20"/>
      <c r="D1363" s="20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5"/>
      <c r="U1363" s="15"/>
      <c r="V1363" s="15"/>
      <c r="W1363" s="15"/>
    </row>
    <row r="1364">
      <c r="A1364" s="22"/>
      <c r="B1364" s="11"/>
      <c r="C1364" s="20"/>
      <c r="D1364" s="20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5"/>
      <c r="U1364" s="15"/>
      <c r="V1364" s="15"/>
      <c r="W1364" s="15"/>
    </row>
    <row r="1365">
      <c r="A1365" s="22"/>
      <c r="B1365" s="11"/>
      <c r="C1365" s="20"/>
      <c r="D1365" s="20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5"/>
      <c r="U1365" s="15"/>
      <c r="V1365" s="15"/>
      <c r="W1365" s="15"/>
    </row>
    <row r="1366">
      <c r="A1366" s="22"/>
      <c r="B1366" s="11"/>
      <c r="C1366" s="20"/>
      <c r="D1366" s="20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5"/>
      <c r="U1366" s="15"/>
      <c r="V1366" s="15"/>
      <c r="W1366" s="15"/>
    </row>
    <row r="1367">
      <c r="A1367" s="22"/>
      <c r="B1367" s="11"/>
      <c r="C1367" s="20"/>
      <c r="D1367" s="20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5"/>
      <c r="U1367" s="15"/>
      <c r="V1367" s="15"/>
      <c r="W1367" s="15"/>
    </row>
    <row r="1368">
      <c r="A1368" s="22"/>
      <c r="B1368" s="11"/>
      <c r="C1368" s="20"/>
      <c r="D1368" s="20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5"/>
      <c r="U1368" s="15"/>
      <c r="V1368" s="15"/>
      <c r="W1368" s="15"/>
    </row>
    <row r="1369">
      <c r="A1369" s="22"/>
      <c r="B1369" s="11"/>
      <c r="C1369" s="20"/>
      <c r="D1369" s="20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5"/>
      <c r="U1369" s="15"/>
      <c r="V1369" s="15"/>
      <c r="W1369" s="15"/>
    </row>
    <row r="1370">
      <c r="A1370" s="22"/>
      <c r="B1370" s="11"/>
      <c r="C1370" s="20"/>
      <c r="D1370" s="20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5"/>
      <c r="U1370" s="15"/>
      <c r="V1370" s="15"/>
      <c r="W1370" s="15"/>
    </row>
    <row r="1371">
      <c r="A1371" s="22"/>
      <c r="B1371" s="11"/>
      <c r="C1371" s="20"/>
      <c r="D1371" s="20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5"/>
      <c r="U1371" s="15"/>
      <c r="V1371" s="15"/>
      <c r="W1371" s="15"/>
    </row>
    <row r="1372">
      <c r="A1372" s="22"/>
      <c r="B1372" s="11"/>
      <c r="C1372" s="20"/>
      <c r="D1372" s="20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5"/>
      <c r="U1372" s="15"/>
      <c r="V1372" s="15"/>
      <c r="W1372" s="15"/>
    </row>
    <row r="1373">
      <c r="A1373" s="22"/>
      <c r="B1373" s="11"/>
      <c r="C1373" s="20"/>
      <c r="D1373" s="20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5"/>
      <c r="U1373" s="15"/>
      <c r="V1373" s="15"/>
      <c r="W1373" s="15"/>
    </row>
    <row r="1374">
      <c r="A1374" s="22"/>
      <c r="B1374" s="11"/>
      <c r="C1374" s="20"/>
      <c r="D1374" s="20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5"/>
      <c r="U1374" s="15"/>
      <c r="V1374" s="15"/>
      <c r="W1374" s="15"/>
    </row>
    <row r="1375">
      <c r="A1375" s="22"/>
      <c r="B1375" s="11"/>
      <c r="C1375" s="20"/>
      <c r="D1375" s="20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5"/>
      <c r="U1375" s="15"/>
      <c r="V1375" s="15"/>
      <c r="W1375" s="15"/>
    </row>
    <row r="1376">
      <c r="A1376" s="22"/>
      <c r="B1376" s="11"/>
      <c r="C1376" s="20"/>
      <c r="D1376" s="20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5"/>
      <c r="U1376" s="15"/>
      <c r="V1376" s="15"/>
      <c r="W1376" s="15"/>
    </row>
    <row r="1377">
      <c r="A1377" s="22"/>
      <c r="B1377" s="11"/>
      <c r="C1377" s="20"/>
      <c r="D1377" s="20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5"/>
      <c r="U1377" s="15"/>
      <c r="V1377" s="15"/>
      <c r="W1377" s="15"/>
    </row>
    <row r="1378">
      <c r="A1378" s="22"/>
      <c r="B1378" s="11"/>
      <c r="C1378" s="20"/>
      <c r="D1378" s="20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5"/>
      <c r="U1378" s="15"/>
      <c r="V1378" s="15"/>
      <c r="W1378" s="15"/>
    </row>
    <row r="1379">
      <c r="A1379" s="22"/>
      <c r="B1379" s="11"/>
      <c r="C1379" s="20"/>
      <c r="D1379" s="20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5"/>
      <c r="U1379" s="15"/>
      <c r="V1379" s="15"/>
      <c r="W1379" s="15"/>
    </row>
    <row r="1380">
      <c r="A1380" s="22"/>
      <c r="B1380" s="11"/>
      <c r="C1380" s="20"/>
      <c r="D1380" s="20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5"/>
      <c r="U1380" s="15"/>
      <c r="V1380" s="15"/>
      <c r="W1380" s="15"/>
    </row>
    <row r="1381">
      <c r="A1381" s="22"/>
      <c r="B1381" s="11"/>
      <c r="C1381" s="20"/>
      <c r="D1381" s="20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5"/>
      <c r="U1381" s="15"/>
      <c r="V1381" s="15"/>
      <c r="W1381" s="15"/>
    </row>
    <row r="1382">
      <c r="A1382" s="22"/>
      <c r="B1382" s="11"/>
      <c r="C1382" s="20"/>
      <c r="D1382" s="20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5"/>
      <c r="U1382" s="15"/>
      <c r="V1382" s="15"/>
      <c r="W1382" s="15"/>
    </row>
    <row r="1383">
      <c r="A1383" s="22"/>
      <c r="B1383" s="11"/>
      <c r="C1383" s="20"/>
      <c r="D1383" s="20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5"/>
      <c r="U1383" s="15"/>
      <c r="V1383" s="15"/>
      <c r="W1383" s="15"/>
    </row>
    <row r="1384">
      <c r="A1384" s="22"/>
      <c r="B1384" s="11"/>
      <c r="C1384" s="20"/>
      <c r="D1384" s="20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5"/>
      <c r="U1384" s="15"/>
      <c r="V1384" s="15"/>
      <c r="W1384" s="15"/>
    </row>
    <row r="1385">
      <c r="A1385" s="22"/>
      <c r="B1385" s="11"/>
      <c r="C1385" s="20"/>
      <c r="D1385" s="20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5"/>
      <c r="U1385" s="15"/>
      <c r="V1385" s="15"/>
      <c r="W1385" s="15"/>
    </row>
    <row r="1386">
      <c r="A1386" s="22"/>
      <c r="B1386" s="11"/>
      <c r="C1386" s="20"/>
      <c r="D1386" s="20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5"/>
      <c r="U1386" s="15"/>
      <c r="V1386" s="15"/>
      <c r="W1386" s="15"/>
    </row>
    <row r="1387">
      <c r="A1387" s="22"/>
      <c r="B1387" s="11"/>
      <c r="C1387" s="20"/>
      <c r="D1387" s="20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5"/>
      <c r="U1387" s="15"/>
      <c r="V1387" s="15"/>
      <c r="W1387" s="15"/>
    </row>
    <row r="1388">
      <c r="A1388" s="22"/>
      <c r="B1388" s="11"/>
      <c r="C1388" s="20"/>
      <c r="D1388" s="20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5"/>
      <c r="U1388" s="15"/>
      <c r="V1388" s="15"/>
      <c r="W1388" s="15"/>
    </row>
    <row r="1389">
      <c r="A1389" s="22"/>
      <c r="B1389" s="11"/>
      <c r="C1389" s="20"/>
      <c r="D1389" s="20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5"/>
      <c r="U1389" s="15"/>
      <c r="V1389" s="15"/>
      <c r="W1389" s="15"/>
    </row>
    <row r="1390">
      <c r="A1390" s="22"/>
      <c r="B1390" s="11"/>
      <c r="C1390" s="20"/>
      <c r="D1390" s="20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5"/>
      <c r="U1390" s="15"/>
      <c r="V1390" s="15"/>
      <c r="W1390" s="15"/>
    </row>
    <row r="1391">
      <c r="A1391" s="22"/>
      <c r="B1391" s="11"/>
      <c r="C1391" s="20"/>
      <c r="D1391" s="20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5"/>
      <c r="U1391" s="15"/>
      <c r="V1391" s="15"/>
      <c r="W1391" s="15"/>
    </row>
    <row r="1392">
      <c r="A1392" s="22"/>
      <c r="B1392" s="11"/>
      <c r="C1392" s="20"/>
      <c r="D1392" s="20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5"/>
      <c r="U1392" s="15"/>
      <c r="V1392" s="15"/>
      <c r="W1392" s="15"/>
    </row>
    <row r="1393">
      <c r="A1393" s="22"/>
      <c r="B1393" s="11"/>
      <c r="C1393" s="20"/>
      <c r="D1393" s="20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5"/>
      <c r="U1393" s="15"/>
      <c r="V1393" s="15"/>
      <c r="W1393" s="15"/>
    </row>
    <row r="1394">
      <c r="A1394" s="22"/>
      <c r="B1394" s="11"/>
      <c r="C1394" s="20"/>
      <c r="D1394" s="20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5"/>
      <c r="U1394" s="15"/>
      <c r="V1394" s="15"/>
      <c r="W1394" s="15"/>
    </row>
    <row r="1395">
      <c r="A1395" s="22"/>
      <c r="B1395" s="11"/>
      <c r="C1395" s="20"/>
      <c r="D1395" s="20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5"/>
      <c r="U1395" s="15"/>
      <c r="V1395" s="15"/>
      <c r="W1395" s="15"/>
    </row>
    <row r="1396">
      <c r="A1396" s="22"/>
      <c r="B1396" s="11"/>
      <c r="C1396" s="20"/>
      <c r="D1396" s="20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5"/>
      <c r="U1396" s="15"/>
      <c r="V1396" s="15"/>
      <c r="W1396" s="15"/>
    </row>
    <row r="1397">
      <c r="A1397" s="22"/>
      <c r="B1397" s="11"/>
      <c r="C1397" s="20"/>
      <c r="D1397" s="20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5"/>
      <c r="U1397" s="15"/>
      <c r="V1397" s="15"/>
      <c r="W1397" s="15"/>
    </row>
    <row r="1398">
      <c r="A1398" s="22"/>
      <c r="B1398" s="11"/>
      <c r="C1398" s="20"/>
      <c r="D1398" s="20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5"/>
      <c r="U1398" s="15"/>
      <c r="V1398" s="15"/>
      <c r="W1398" s="15"/>
    </row>
    <row r="1399">
      <c r="A1399" s="22"/>
      <c r="B1399" s="11"/>
      <c r="C1399" s="20"/>
      <c r="D1399" s="20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5"/>
      <c r="U1399" s="15"/>
      <c r="V1399" s="15"/>
      <c r="W1399" s="15"/>
    </row>
    <row r="1400">
      <c r="A1400" s="22"/>
      <c r="B1400" s="11"/>
      <c r="C1400" s="20"/>
      <c r="D1400" s="20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5"/>
      <c r="U1400" s="15"/>
      <c r="V1400" s="15"/>
      <c r="W1400" s="15"/>
    </row>
    <row r="1401">
      <c r="A1401" s="22"/>
      <c r="B1401" s="11"/>
      <c r="C1401" s="20"/>
      <c r="D1401" s="20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5"/>
      <c r="U1401" s="15"/>
      <c r="V1401" s="15"/>
      <c r="W1401" s="15"/>
    </row>
    <row r="1402">
      <c r="A1402" s="22"/>
      <c r="B1402" s="11"/>
      <c r="C1402" s="20"/>
      <c r="D1402" s="20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5"/>
      <c r="U1402" s="15"/>
      <c r="V1402" s="15"/>
      <c r="W1402" s="15"/>
    </row>
    <row r="1403">
      <c r="A1403" s="22"/>
      <c r="B1403" s="11"/>
      <c r="C1403" s="20"/>
      <c r="D1403" s="20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5"/>
      <c r="U1403" s="15"/>
      <c r="V1403" s="15"/>
      <c r="W1403" s="15"/>
    </row>
    <row r="1404">
      <c r="A1404" s="22"/>
      <c r="B1404" s="11"/>
      <c r="C1404" s="20"/>
      <c r="D1404" s="20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5"/>
      <c r="U1404" s="15"/>
      <c r="V1404" s="15"/>
      <c r="W1404" s="15"/>
    </row>
    <row r="1405">
      <c r="A1405" s="22"/>
      <c r="B1405" s="11"/>
      <c r="C1405" s="20"/>
      <c r="D1405" s="20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5"/>
      <c r="U1405" s="15"/>
      <c r="V1405" s="15"/>
      <c r="W1405" s="15"/>
    </row>
    <row r="1406">
      <c r="A1406" s="22"/>
      <c r="B1406" s="11"/>
      <c r="C1406" s="20"/>
      <c r="D1406" s="20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5"/>
      <c r="U1406" s="15"/>
      <c r="V1406" s="15"/>
      <c r="W1406" s="15"/>
    </row>
    <row r="1407">
      <c r="A1407" s="22"/>
      <c r="B1407" s="11"/>
      <c r="C1407" s="20"/>
      <c r="D1407" s="20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5"/>
      <c r="U1407" s="15"/>
      <c r="V1407" s="15"/>
      <c r="W1407" s="15"/>
    </row>
    <row r="1408">
      <c r="A1408" s="22"/>
      <c r="B1408" s="11"/>
      <c r="C1408" s="20"/>
      <c r="D1408" s="20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5"/>
      <c r="U1408" s="15"/>
      <c r="V1408" s="15"/>
      <c r="W1408" s="15"/>
    </row>
    <row r="1409">
      <c r="A1409" s="22"/>
      <c r="B1409" s="11"/>
      <c r="C1409" s="20"/>
      <c r="D1409" s="20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5"/>
      <c r="U1409" s="15"/>
      <c r="V1409" s="15"/>
      <c r="W1409" s="15"/>
    </row>
    <row r="1410">
      <c r="A1410" s="22"/>
      <c r="B1410" s="11"/>
      <c r="C1410" s="20"/>
      <c r="D1410" s="20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5"/>
      <c r="U1410" s="15"/>
      <c r="V1410" s="15"/>
      <c r="W1410" s="15"/>
    </row>
    <row r="1411">
      <c r="A1411" s="22"/>
      <c r="B1411" s="11"/>
      <c r="C1411" s="20"/>
      <c r="D1411" s="20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5"/>
      <c r="U1411" s="15"/>
      <c r="V1411" s="15"/>
      <c r="W1411" s="15"/>
    </row>
    <row r="1412">
      <c r="A1412" s="22"/>
      <c r="B1412" s="11"/>
      <c r="C1412" s="20"/>
      <c r="D1412" s="20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5"/>
      <c r="U1412" s="15"/>
      <c r="V1412" s="15"/>
      <c r="W1412" s="15"/>
    </row>
    <row r="1413">
      <c r="A1413" s="22"/>
      <c r="B1413" s="11"/>
      <c r="C1413" s="20"/>
      <c r="D1413" s="20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5"/>
      <c r="U1413" s="15"/>
      <c r="V1413" s="15"/>
      <c r="W1413" s="15"/>
    </row>
    <row r="1414">
      <c r="A1414" s="22"/>
      <c r="B1414" s="11"/>
      <c r="C1414" s="20"/>
      <c r="D1414" s="20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5"/>
      <c r="U1414" s="15"/>
      <c r="V1414" s="15"/>
      <c r="W1414" s="15"/>
    </row>
    <row r="1415">
      <c r="A1415" s="22"/>
      <c r="B1415" s="11"/>
      <c r="C1415" s="20"/>
      <c r="D1415" s="20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5"/>
      <c r="U1415" s="15"/>
      <c r="V1415" s="15"/>
      <c r="W1415" s="15"/>
    </row>
    <row r="1416">
      <c r="A1416" s="22"/>
      <c r="B1416" s="11"/>
      <c r="C1416" s="20"/>
      <c r="D1416" s="20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5"/>
      <c r="U1416" s="15"/>
      <c r="V1416" s="15"/>
      <c r="W1416" s="15"/>
    </row>
    <row r="1417">
      <c r="A1417" s="22"/>
      <c r="B1417" s="11"/>
      <c r="C1417" s="20"/>
      <c r="D1417" s="20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5"/>
      <c r="U1417" s="15"/>
      <c r="V1417" s="15"/>
      <c r="W1417" s="15"/>
    </row>
    <row r="1418">
      <c r="A1418" s="22"/>
      <c r="B1418" s="11"/>
      <c r="C1418" s="20"/>
      <c r="D1418" s="20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5"/>
      <c r="U1418" s="15"/>
      <c r="V1418" s="15"/>
      <c r="W1418" s="15"/>
    </row>
    <row r="1419">
      <c r="A1419" s="22"/>
      <c r="B1419" s="11"/>
      <c r="C1419" s="20"/>
      <c r="D1419" s="20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5"/>
      <c r="U1419" s="15"/>
      <c r="V1419" s="15"/>
      <c r="W1419" s="15"/>
    </row>
    <row r="1420">
      <c r="A1420" s="22"/>
      <c r="B1420" s="11"/>
      <c r="C1420" s="20"/>
      <c r="D1420" s="20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5"/>
      <c r="U1420" s="15"/>
      <c r="V1420" s="15"/>
      <c r="W1420" s="15"/>
    </row>
    <row r="1421">
      <c r="A1421" s="22"/>
      <c r="B1421" s="11"/>
      <c r="C1421" s="20"/>
      <c r="D1421" s="20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5"/>
      <c r="U1421" s="15"/>
      <c r="V1421" s="15"/>
      <c r="W1421" s="15"/>
    </row>
    <row r="1422">
      <c r="A1422" s="22"/>
      <c r="B1422" s="11"/>
      <c r="C1422" s="20"/>
      <c r="D1422" s="20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5"/>
      <c r="U1422" s="15"/>
      <c r="V1422" s="15"/>
      <c r="W1422" s="15"/>
    </row>
    <row r="1423">
      <c r="A1423" s="22"/>
      <c r="B1423" s="11"/>
      <c r="C1423" s="20"/>
      <c r="D1423" s="20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5"/>
      <c r="U1423" s="15"/>
      <c r="V1423" s="15"/>
      <c r="W1423" s="15"/>
    </row>
    <row r="1424">
      <c r="A1424" s="22"/>
      <c r="B1424" s="11"/>
      <c r="C1424" s="20"/>
      <c r="D1424" s="20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5"/>
      <c r="U1424" s="15"/>
      <c r="V1424" s="15"/>
      <c r="W1424" s="15"/>
    </row>
    <row r="1425">
      <c r="A1425" s="22"/>
      <c r="B1425" s="11"/>
      <c r="C1425" s="20"/>
      <c r="D1425" s="20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5"/>
      <c r="U1425" s="15"/>
      <c r="V1425" s="15"/>
      <c r="W1425" s="15"/>
    </row>
    <row r="1426">
      <c r="A1426" s="22"/>
      <c r="B1426" s="11"/>
      <c r="C1426" s="20"/>
      <c r="D1426" s="20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5"/>
      <c r="U1426" s="15"/>
      <c r="V1426" s="15"/>
      <c r="W1426" s="15"/>
    </row>
    <row r="1427">
      <c r="A1427" s="22"/>
      <c r="B1427" s="11"/>
      <c r="C1427" s="20"/>
      <c r="D1427" s="20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5"/>
      <c r="U1427" s="15"/>
      <c r="V1427" s="15"/>
      <c r="W1427" s="15"/>
    </row>
    <row r="1428">
      <c r="A1428" s="22"/>
      <c r="B1428" s="11"/>
      <c r="C1428" s="20"/>
      <c r="D1428" s="20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5"/>
      <c r="U1428" s="15"/>
      <c r="V1428" s="15"/>
      <c r="W1428" s="15"/>
    </row>
    <row r="1429">
      <c r="A1429" s="22"/>
      <c r="B1429" s="11"/>
      <c r="C1429" s="20"/>
      <c r="D1429" s="20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5"/>
      <c r="U1429" s="15"/>
      <c r="V1429" s="15"/>
      <c r="W1429" s="15"/>
    </row>
    <row r="1430">
      <c r="A1430" s="22"/>
      <c r="B1430" s="11"/>
      <c r="C1430" s="20"/>
      <c r="D1430" s="20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5"/>
      <c r="U1430" s="15"/>
      <c r="V1430" s="15"/>
      <c r="W1430" s="15"/>
    </row>
    <row r="1431">
      <c r="A1431" s="22"/>
      <c r="B1431" s="11"/>
      <c r="C1431" s="20"/>
      <c r="D1431" s="20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5"/>
      <c r="U1431" s="15"/>
      <c r="V1431" s="15"/>
      <c r="W1431" s="15"/>
    </row>
    <row r="1432">
      <c r="A1432" s="22"/>
      <c r="B1432" s="11"/>
      <c r="C1432" s="20"/>
      <c r="D1432" s="20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5"/>
      <c r="U1432" s="15"/>
      <c r="V1432" s="15"/>
      <c r="W1432" s="15"/>
    </row>
    <row r="1433">
      <c r="A1433" s="22"/>
      <c r="B1433" s="11"/>
      <c r="C1433" s="20"/>
      <c r="D1433" s="20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5"/>
      <c r="U1433" s="15"/>
      <c r="V1433" s="15"/>
      <c r="W1433" s="15"/>
    </row>
    <row r="1434">
      <c r="A1434" s="22"/>
      <c r="B1434" s="11"/>
      <c r="C1434" s="20"/>
      <c r="D1434" s="20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5"/>
      <c r="U1434" s="15"/>
      <c r="V1434" s="15"/>
      <c r="W1434" s="15"/>
    </row>
    <row r="1435">
      <c r="A1435" s="22"/>
      <c r="B1435" s="11"/>
      <c r="C1435" s="20"/>
      <c r="D1435" s="20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5"/>
      <c r="U1435" s="15"/>
      <c r="V1435" s="15"/>
      <c r="W1435" s="15"/>
    </row>
    <row r="1436">
      <c r="A1436" s="22"/>
      <c r="B1436" s="11"/>
      <c r="C1436" s="20"/>
      <c r="D1436" s="20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5"/>
      <c r="U1436" s="15"/>
      <c r="V1436" s="15"/>
      <c r="W1436" s="15"/>
    </row>
    <row r="1437">
      <c r="A1437" s="22"/>
      <c r="B1437" s="11"/>
      <c r="C1437" s="20"/>
      <c r="D1437" s="20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5"/>
      <c r="U1437" s="15"/>
      <c r="V1437" s="15"/>
      <c r="W1437" s="15"/>
    </row>
    <row r="1438">
      <c r="A1438" s="22"/>
      <c r="B1438" s="11"/>
      <c r="C1438" s="20"/>
      <c r="D1438" s="20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5"/>
      <c r="U1438" s="15"/>
      <c r="V1438" s="15"/>
      <c r="W1438" s="15"/>
    </row>
    <row r="1439">
      <c r="A1439" s="22"/>
      <c r="B1439" s="11"/>
      <c r="C1439" s="20"/>
      <c r="D1439" s="20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5"/>
      <c r="U1439" s="15"/>
      <c r="V1439" s="15"/>
      <c r="W1439" s="15"/>
    </row>
    <row r="1440">
      <c r="A1440" s="22"/>
      <c r="B1440" s="11"/>
      <c r="C1440" s="20"/>
      <c r="D1440" s="20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5"/>
      <c r="U1440" s="15"/>
      <c r="V1440" s="15"/>
      <c r="W1440" s="15"/>
    </row>
    <row r="1441">
      <c r="A1441" s="22"/>
      <c r="B1441" s="11"/>
      <c r="C1441" s="20"/>
      <c r="D1441" s="20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5"/>
      <c r="U1441" s="15"/>
      <c r="V1441" s="15"/>
      <c r="W1441" s="15"/>
    </row>
    <row r="1442">
      <c r="A1442" s="22"/>
      <c r="B1442" s="11"/>
      <c r="C1442" s="20"/>
      <c r="D1442" s="20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5"/>
      <c r="U1442" s="15"/>
      <c r="V1442" s="15"/>
      <c r="W1442" s="15"/>
    </row>
    <row r="1443">
      <c r="A1443" s="22"/>
      <c r="B1443" s="11"/>
      <c r="C1443" s="20"/>
      <c r="D1443" s="20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5"/>
      <c r="U1443" s="15"/>
      <c r="V1443" s="15"/>
      <c r="W1443" s="15"/>
    </row>
    <row r="1444">
      <c r="A1444" s="22"/>
      <c r="B1444" s="11"/>
      <c r="C1444" s="20"/>
      <c r="D1444" s="20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5"/>
      <c r="U1444" s="15"/>
      <c r="V1444" s="15"/>
      <c r="W1444" s="15"/>
    </row>
    <row r="1445">
      <c r="A1445" s="22"/>
      <c r="B1445" s="11"/>
      <c r="C1445" s="20"/>
      <c r="D1445" s="20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5"/>
      <c r="U1445" s="15"/>
      <c r="V1445" s="15"/>
      <c r="W1445" s="15"/>
    </row>
    <row r="1446">
      <c r="A1446" s="22"/>
      <c r="B1446" s="11"/>
      <c r="C1446" s="20"/>
      <c r="D1446" s="20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5"/>
      <c r="U1446" s="15"/>
      <c r="V1446" s="15"/>
      <c r="W1446" s="15"/>
    </row>
    <row r="1447">
      <c r="A1447" s="22"/>
      <c r="B1447" s="11"/>
      <c r="C1447" s="20"/>
      <c r="D1447" s="20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5"/>
      <c r="U1447" s="15"/>
      <c r="V1447" s="15"/>
      <c r="W1447" s="15"/>
    </row>
    <row r="1448">
      <c r="A1448" s="22"/>
      <c r="B1448" s="11"/>
      <c r="C1448" s="20"/>
      <c r="D1448" s="20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5"/>
      <c r="U1448" s="15"/>
      <c r="V1448" s="15"/>
      <c r="W1448" s="15"/>
    </row>
    <row r="1449">
      <c r="A1449" s="22"/>
      <c r="B1449" s="11"/>
      <c r="C1449" s="20"/>
      <c r="D1449" s="20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5"/>
      <c r="U1449" s="15"/>
      <c r="V1449" s="15"/>
      <c r="W1449" s="15"/>
    </row>
    <row r="1450">
      <c r="A1450" s="22"/>
      <c r="B1450" s="11"/>
      <c r="C1450" s="20"/>
      <c r="D1450" s="20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5"/>
      <c r="U1450" s="15"/>
      <c r="V1450" s="15"/>
      <c r="W1450" s="15"/>
    </row>
    <row r="1451">
      <c r="A1451" s="22"/>
      <c r="B1451" s="11"/>
      <c r="C1451" s="20"/>
      <c r="D1451" s="20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5"/>
      <c r="U1451" s="15"/>
      <c r="V1451" s="15"/>
      <c r="W1451" s="15"/>
    </row>
    <row r="1452">
      <c r="A1452" s="22"/>
      <c r="B1452" s="11"/>
      <c r="C1452" s="20"/>
      <c r="D1452" s="20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5"/>
      <c r="U1452" s="15"/>
      <c r="V1452" s="15"/>
      <c r="W1452" s="15"/>
    </row>
    <row r="1453">
      <c r="A1453" s="22"/>
      <c r="B1453" s="11"/>
      <c r="C1453" s="20"/>
      <c r="D1453" s="20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5"/>
      <c r="U1453" s="15"/>
      <c r="V1453" s="15"/>
      <c r="W1453" s="15"/>
    </row>
    <row r="1454">
      <c r="A1454" s="22"/>
      <c r="B1454" s="11"/>
      <c r="C1454" s="20"/>
      <c r="D1454" s="20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5"/>
      <c r="U1454" s="15"/>
      <c r="V1454" s="15"/>
      <c r="W1454" s="15"/>
    </row>
    <row r="1455">
      <c r="A1455" s="22"/>
      <c r="B1455" s="11"/>
      <c r="C1455" s="20"/>
      <c r="D1455" s="20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5"/>
      <c r="U1455" s="15"/>
      <c r="V1455" s="15"/>
      <c r="W1455" s="15"/>
    </row>
    <row r="1456">
      <c r="A1456" s="22"/>
      <c r="B1456" s="11"/>
      <c r="C1456" s="20"/>
      <c r="D1456" s="20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5"/>
      <c r="U1456" s="15"/>
      <c r="V1456" s="15"/>
      <c r="W1456" s="15"/>
    </row>
    <row r="1457">
      <c r="A1457" s="22"/>
      <c r="B1457" s="11"/>
      <c r="C1457" s="20"/>
      <c r="D1457" s="20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5"/>
      <c r="U1457" s="15"/>
      <c r="V1457" s="15"/>
      <c r="W1457" s="15"/>
    </row>
    <row r="1458">
      <c r="A1458" s="22"/>
      <c r="B1458" s="11"/>
      <c r="C1458" s="20"/>
      <c r="D1458" s="20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5"/>
      <c r="U1458" s="15"/>
      <c r="V1458" s="15"/>
      <c r="W1458" s="15"/>
    </row>
    <row r="1459">
      <c r="A1459" s="22"/>
      <c r="B1459" s="11"/>
      <c r="C1459" s="20"/>
      <c r="D1459" s="20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5"/>
      <c r="U1459" s="15"/>
      <c r="V1459" s="15"/>
      <c r="W1459" s="15"/>
    </row>
    <row r="1460">
      <c r="A1460" s="22"/>
      <c r="B1460" s="11"/>
      <c r="C1460" s="20"/>
      <c r="D1460" s="20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5"/>
      <c r="U1460" s="15"/>
      <c r="V1460" s="15"/>
      <c r="W1460" s="15"/>
    </row>
    <row r="1461">
      <c r="A1461" s="22"/>
      <c r="B1461" s="11"/>
      <c r="C1461" s="20"/>
      <c r="D1461" s="20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5"/>
      <c r="U1461" s="15"/>
      <c r="V1461" s="15"/>
      <c r="W1461" s="15"/>
    </row>
    <row r="1462">
      <c r="A1462" s="22"/>
      <c r="B1462" s="11"/>
      <c r="C1462" s="20"/>
      <c r="D1462" s="20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5"/>
      <c r="U1462" s="15"/>
      <c r="V1462" s="15"/>
      <c r="W1462" s="15"/>
    </row>
    <row r="1463">
      <c r="A1463" s="22"/>
      <c r="B1463" s="11"/>
      <c r="C1463" s="20"/>
      <c r="D1463" s="20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5"/>
      <c r="U1463" s="15"/>
      <c r="V1463" s="15"/>
      <c r="W1463" s="15"/>
    </row>
    <row r="1464">
      <c r="A1464" s="22"/>
      <c r="B1464" s="11"/>
      <c r="C1464" s="20"/>
      <c r="D1464" s="20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5"/>
      <c r="U1464" s="15"/>
      <c r="V1464" s="15"/>
      <c r="W1464" s="15"/>
    </row>
    <row r="1465">
      <c r="A1465" s="22"/>
      <c r="B1465" s="11"/>
      <c r="C1465" s="20"/>
      <c r="D1465" s="20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5"/>
      <c r="U1465" s="15"/>
      <c r="V1465" s="15"/>
      <c r="W1465" s="15"/>
    </row>
    <row r="1466">
      <c r="A1466" s="22"/>
      <c r="B1466" s="11"/>
      <c r="C1466" s="20"/>
      <c r="D1466" s="20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5"/>
      <c r="U1466" s="15"/>
      <c r="V1466" s="15"/>
      <c r="W1466" s="15"/>
    </row>
    <row r="1467">
      <c r="A1467" s="22"/>
      <c r="B1467" s="11"/>
      <c r="C1467" s="20"/>
      <c r="D1467" s="20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5"/>
      <c r="U1467" s="15"/>
      <c r="V1467" s="15"/>
      <c r="W1467" s="15"/>
    </row>
    <row r="1468">
      <c r="A1468" s="22"/>
      <c r="B1468" s="11"/>
      <c r="C1468" s="20"/>
      <c r="D1468" s="20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5"/>
      <c r="U1468" s="15"/>
      <c r="V1468" s="15"/>
      <c r="W1468" s="15"/>
    </row>
    <row r="1469">
      <c r="A1469" s="22"/>
      <c r="B1469" s="11"/>
      <c r="C1469" s="20"/>
      <c r="D1469" s="20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5"/>
      <c r="U1469" s="15"/>
      <c r="V1469" s="15"/>
      <c r="W1469" s="15"/>
    </row>
    <row r="1470">
      <c r="A1470" s="22"/>
      <c r="B1470" s="11"/>
      <c r="C1470" s="20"/>
      <c r="D1470" s="20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5"/>
      <c r="U1470" s="15"/>
      <c r="V1470" s="15"/>
      <c r="W1470" s="15"/>
    </row>
    <row r="1471">
      <c r="A1471" s="22"/>
      <c r="B1471" s="11"/>
      <c r="C1471" s="20"/>
      <c r="D1471" s="20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5"/>
      <c r="U1471" s="15"/>
      <c r="V1471" s="15"/>
      <c r="W1471" s="15"/>
    </row>
    <row r="1472">
      <c r="A1472" s="22"/>
      <c r="B1472" s="11"/>
      <c r="C1472" s="20"/>
      <c r="D1472" s="20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5"/>
      <c r="U1472" s="15"/>
      <c r="V1472" s="15"/>
      <c r="W1472" s="15"/>
    </row>
    <row r="1473">
      <c r="A1473" s="22"/>
      <c r="B1473" s="11"/>
      <c r="C1473" s="20"/>
      <c r="D1473" s="20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5"/>
      <c r="U1473" s="15"/>
      <c r="V1473" s="15"/>
      <c r="W1473" s="15"/>
    </row>
    <row r="1474">
      <c r="A1474" s="22"/>
      <c r="B1474" s="11"/>
      <c r="C1474" s="20"/>
      <c r="D1474" s="20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5"/>
      <c r="U1474" s="15"/>
      <c r="V1474" s="15"/>
      <c r="W1474" s="15"/>
    </row>
    <row r="1475">
      <c r="A1475" s="22"/>
      <c r="B1475" s="11"/>
      <c r="C1475" s="20"/>
      <c r="D1475" s="20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5"/>
      <c r="U1475" s="15"/>
      <c r="V1475" s="15"/>
      <c r="W1475" s="15"/>
    </row>
    <row r="1476">
      <c r="A1476" s="22"/>
      <c r="B1476" s="11"/>
      <c r="C1476" s="20"/>
      <c r="D1476" s="20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5"/>
      <c r="U1476" s="15"/>
      <c r="V1476" s="15"/>
      <c r="W1476" s="15"/>
    </row>
    <row r="1477">
      <c r="A1477" s="22"/>
      <c r="B1477" s="11"/>
      <c r="C1477" s="20"/>
      <c r="D1477" s="20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5"/>
      <c r="U1477" s="15"/>
      <c r="V1477" s="15"/>
      <c r="W1477" s="15"/>
    </row>
    <row r="1478">
      <c r="A1478" s="22"/>
      <c r="B1478" s="11"/>
      <c r="C1478" s="20"/>
      <c r="D1478" s="20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5"/>
      <c r="U1478" s="15"/>
      <c r="V1478" s="15"/>
      <c r="W1478" s="15"/>
    </row>
    <row r="1479">
      <c r="A1479" s="22"/>
      <c r="B1479" s="11"/>
      <c r="C1479" s="20"/>
      <c r="D1479" s="20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5"/>
      <c r="U1479" s="15"/>
      <c r="V1479" s="15"/>
      <c r="W1479" s="15"/>
    </row>
    <row r="1480">
      <c r="A1480" s="22"/>
      <c r="B1480" s="11"/>
      <c r="C1480" s="20"/>
      <c r="D1480" s="20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5"/>
      <c r="U1480" s="15"/>
      <c r="V1480" s="15"/>
      <c r="W1480" s="15"/>
    </row>
    <row r="1481">
      <c r="A1481" s="22"/>
      <c r="B1481" s="11"/>
      <c r="C1481" s="20"/>
      <c r="D1481" s="20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5"/>
      <c r="U1481" s="15"/>
      <c r="V1481" s="15"/>
      <c r="W1481" s="15"/>
    </row>
    <row r="1482">
      <c r="A1482" s="22"/>
      <c r="B1482" s="11"/>
      <c r="C1482" s="20"/>
      <c r="D1482" s="20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5"/>
      <c r="U1482" s="15"/>
      <c r="V1482" s="15"/>
      <c r="W1482" s="15"/>
    </row>
    <row r="1483">
      <c r="A1483" s="22"/>
      <c r="B1483" s="11"/>
      <c r="C1483" s="20"/>
      <c r="D1483" s="20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5"/>
      <c r="U1483" s="15"/>
      <c r="V1483" s="15"/>
      <c r="W1483" s="15"/>
    </row>
    <row r="1484">
      <c r="A1484" s="22"/>
      <c r="B1484" s="11"/>
      <c r="C1484" s="20"/>
      <c r="D1484" s="20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5"/>
      <c r="U1484" s="15"/>
      <c r="V1484" s="15"/>
      <c r="W1484" s="15"/>
    </row>
    <row r="1485">
      <c r="A1485" s="22"/>
      <c r="B1485" s="11"/>
      <c r="C1485" s="20"/>
      <c r="D1485" s="20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5"/>
      <c r="U1485" s="15"/>
      <c r="V1485" s="15"/>
      <c r="W1485" s="15"/>
    </row>
    <row r="1486">
      <c r="A1486" s="22"/>
      <c r="B1486" s="11"/>
      <c r="C1486" s="20"/>
      <c r="D1486" s="20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5"/>
      <c r="U1486" s="15"/>
      <c r="V1486" s="15"/>
      <c r="W1486" s="15"/>
    </row>
    <row r="1487">
      <c r="A1487" s="22"/>
      <c r="B1487" s="11"/>
      <c r="C1487" s="20"/>
      <c r="D1487" s="20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5"/>
      <c r="U1487" s="15"/>
      <c r="V1487" s="15"/>
      <c r="W1487" s="15"/>
    </row>
    <row r="1488">
      <c r="A1488" s="22"/>
      <c r="B1488" s="11"/>
      <c r="C1488" s="20"/>
      <c r="D1488" s="20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5"/>
      <c r="U1488" s="15"/>
      <c r="V1488" s="15"/>
      <c r="W1488" s="15"/>
    </row>
    <row r="1489">
      <c r="A1489" s="22"/>
      <c r="B1489" s="11"/>
      <c r="C1489" s="20"/>
      <c r="D1489" s="20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5"/>
      <c r="U1489" s="15"/>
      <c r="V1489" s="15"/>
      <c r="W1489" s="15"/>
    </row>
    <row r="1490">
      <c r="A1490" s="22"/>
      <c r="B1490" s="11"/>
      <c r="C1490" s="20"/>
      <c r="D1490" s="20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5"/>
      <c r="U1490" s="15"/>
      <c r="V1490" s="15"/>
      <c r="W1490" s="15"/>
    </row>
    <row r="1491">
      <c r="A1491" s="22"/>
      <c r="B1491" s="11"/>
      <c r="C1491" s="20"/>
      <c r="D1491" s="20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5"/>
      <c r="U1491" s="15"/>
      <c r="V1491" s="15"/>
      <c r="W1491" s="15"/>
    </row>
    <row r="1492">
      <c r="A1492" s="22"/>
      <c r="B1492" s="11"/>
      <c r="C1492" s="20"/>
      <c r="D1492" s="20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5"/>
      <c r="U1492" s="15"/>
      <c r="V1492" s="15"/>
      <c r="W1492" s="15"/>
    </row>
    <row r="1493">
      <c r="A1493" s="22"/>
      <c r="B1493" s="11"/>
      <c r="C1493" s="20"/>
      <c r="D1493" s="20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5"/>
      <c r="U1493" s="15"/>
      <c r="V1493" s="15"/>
      <c r="W1493" s="15"/>
    </row>
    <row r="1494">
      <c r="A1494" s="22"/>
      <c r="B1494" s="11"/>
      <c r="C1494" s="20"/>
      <c r="D1494" s="20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5"/>
      <c r="U1494" s="15"/>
      <c r="V1494" s="15"/>
      <c r="W1494" s="15"/>
    </row>
    <row r="1495">
      <c r="A1495" s="22"/>
      <c r="B1495" s="11"/>
      <c r="C1495" s="20"/>
      <c r="D1495" s="20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5"/>
      <c r="U1495" s="15"/>
      <c r="V1495" s="15"/>
      <c r="W1495" s="15"/>
    </row>
    <row r="1496">
      <c r="A1496" s="22"/>
      <c r="B1496" s="11"/>
      <c r="C1496" s="20"/>
      <c r="D1496" s="20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5"/>
      <c r="U1496" s="15"/>
      <c r="V1496" s="15"/>
      <c r="W1496" s="15"/>
    </row>
    <row r="1497">
      <c r="A1497" s="22"/>
      <c r="B1497" s="11"/>
      <c r="C1497" s="20"/>
      <c r="D1497" s="20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5"/>
      <c r="U1497" s="15"/>
      <c r="V1497" s="15"/>
      <c r="W1497" s="15"/>
    </row>
    <row r="1498">
      <c r="A1498" s="22"/>
      <c r="B1498" s="11"/>
      <c r="C1498" s="20"/>
      <c r="D1498" s="20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5"/>
      <c r="U1498" s="15"/>
      <c r="V1498" s="15"/>
      <c r="W1498" s="15"/>
    </row>
    <row r="1499">
      <c r="A1499" s="22"/>
      <c r="B1499" s="11"/>
      <c r="C1499" s="20"/>
      <c r="D1499" s="20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5"/>
      <c r="U1499" s="15"/>
      <c r="V1499" s="15"/>
      <c r="W1499" s="15"/>
    </row>
    <row r="1500">
      <c r="A1500" s="22"/>
      <c r="B1500" s="11"/>
      <c r="C1500" s="20"/>
      <c r="D1500" s="20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5"/>
      <c r="U1500" s="15"/>
      <c r="V1500" s="15"/>
      <c r="W1500" s="15"/>
    </row>
    <row r="1501">
      <c r="A1501" s="22"/>
      <c r="B1501" s="11"/>
      <c r="C1501" s="20"/>
      <c r="D1501" s="20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5"/>
      <c r="U1501" s="15"/>
      <c r="V1501" s="15"/>
      <c r="W1501" s="15"/>
    </row>
    <row r="1502">
      <c r="A1502" s="22"/>
      <c r="B1502" s="11"/>
      <c r="C1502" s="20"/>
      <c r="D1502" s="20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5"/>
      <c r="U1502" s="15"/>
      <c r="V1502" s="15"/>
      <c r="W1502" s="15"/>
    </row>
    <row r="1503">
      <c r="A1503" s="22"/>
      <c r="B1503" s="11"/>
      <c r="C1503" s="20"/>
      <c r="D1503" s="20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5"/>
      <c r="U1503" s="15"/>
      <c r="V1503" s="15"/>
      <c r="W1503" s="15"/>
    </row>
    <row r="1504">
      <c r="A1504" s="22"/>
      <c r="B1504" s="11"/>
      <c r="C1504" s="20"/>
      <c r="D1504" s="20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5"/>
      <c r="U1504" s="15"/>
      <c r="V1504" s="15"/>
      <c r="W1504" s="15"/>
    </row>
    <row r="1505">
      <c r="A1505" s="22"/>
      <c r="B1505" s="11"/>
      <c r="C1505" s="20"/>
      <c r="D1505" s="20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5"/>
      <c r="U1505" s="15"/>
      <c r="V1505" s="15"/>
      <c r="W1505" s="15"/>
    </row>
    <row r="1506">
      <c r="A1506" s="22"/>
      <c r="B1506" s="11"/>
      <c r="C1506" s="20"/>
      <c r="D1506" s="20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5"/>
      <c r="U1506" s="15"/>
      <c r="V1506" s="15"/>
      <c r="W1506" s="15"/>
    </row>
    <row r="1507">
      <c r="A1507" s="22"/>
      <c r="B1507" s="11"/>
      <c r="C1507" s="20"/>
      <c r="D1507" s="20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5"/>
      <c r="U1507" s="15"/>
      <c r="V1507" s="15"/>
      <c r="W1507" s="15"/>
    </row>
    <row r="1508">
      <c r="A1508" s="22"/>
      <c r="B1508" s="11"/>
      <c r="C1508" s="20"/>
      <c r="D1508" s="20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5"/>
      <c r="U1508" s="15"/>
      <c r="V1508" s="15"/>
      <c r="W1508" s="15"/>
    </row>
    <row r="1509">
      <c r="A1509" s="22"/>
      <c r="B1509" s="11"/>
      <c r="C1509" s="20"/>
      <c r="D1509" s="20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5"/>
      <c r="U1509" s="15"/>
      <c r="V1509" s="15"/>
      <c r="W1509" s="15"/>
    </row>
    <row r="1510">
      <c r="A1510" s="22"/>
      <c r="B1510" s="11"/>
      <c r="C1510" s="20"/>
      <c r="D1510" s="20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5"/>
      <c r="U1510" s="15"/>
      <c r="V1510" s="15"/>
      <c r="W1510" s="15"/>
    </row>
    <row r="1511">
      <c r="A1511" s="22"/>
      <c r="B1511" s="11"/>
      <c r="C1511" s="20"/>
      <c r="D1511" s="20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5"/>
      <c r="U1511" s="15"/>
      <c r="V1511" s="15"/>
      <c r="W1511" s="15"/>
    </row>
    <row r="1512">
      <c r="A1512" s="22"/>
      <c r="B1512" s="11"/>
      <c r="C1512" s="20"/>
      <c r="D1512" s="20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5"/>
      <c r="U1512" s="15"/>
      <c r="V1512" s="15"/>
      <c r="W1512" s="15"/>
    </row>
    <row r="1513">
      <c r="A1513" s="22"/>
      <c r="B1513" s="11"/>
      <c r="C1513" s="20"/>
      <c r="D1513" s="20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5"/>
      <c r="U1513" s="15"/>
      <c r="V1513" s="15"/>
      <c r="W1513" s="15"/>
    </row>
    <row r="1514">
      <c r="A1514" s="22"/>
      <c r="B1514" s="11"/>
      <c r="C1514" s="20"/>
      <c r="D1514" s="20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5"/>
      <c r="U1514" s="15"/>
      <c r="V1514" s="15"/>
      <c r="W1514" s="15"/>
    </row>
    <row r="1515">
      <c r="A1515" s="22"/>
      <c r="B1515" s="11"/>
      <c r="C1515" s="20"/>
      <c r="D1515" s="20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5"/>
      <c r="U1515" s="15"/>
      <c r="V1515" s="15"/>
      <c r="W1515" s="15"/>
    </row>
    <row r="1516">
      <c r="A1516" s="22"/>
      <c r="B1516" s="11"/>
      <c r="C1516" s="20"/>
      <c r="D1516" s="20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5"/>
      <c r="U1516" s="15"/>
      <c r="V1516" s="15"/>
      <c r="W1516" s="15"/>
    </row>
    <row r="1517">
      <c r="A1517" s="22"/>
      <c r="B1517" s="11"/>
      <c r="C1517" s="20"/>
      <c r="D1517" s="20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5"/>
      <c r="U1517" s="15"/>
      <c r="V1517" s="15"/>
      <c r="W1517" s="15"/>
    </row>
    <row r="1518">
      <c r="A1518" s="22"/>
      <c r="B1518" s="11"/>
      <c r="C1518" s="20"/>
      <c r="D1518" s="20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5"/>
      <c r="U1518" s="15"/>
      <c r="V1518" s="15"/>
      <c r="W1518" s="15"/>
    </row>
    <row r="1519">
      <c r="A1519" s="22"/>
      <c r="B1519" s="11"/>
      <c r="C1519" s="20"/>
      <c r="D1519" s="20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5"/>
      <c r="U1519" s="15"/>
      <c r="V1519" s="15"/>
      <c r="W1519" s="15"/>
    </row>
    <row r="1520">
      <c r="A1520" s="22"/>
      <c r="B1520" s="11"/>
      <c r="C1520" s="20"/>
      <c r="D1520" s="20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5"/>
      <c r="U1520" s="15"/>
      <c r="V1520" s="15"/>
      <c r="W1520" s="15"/>
    </row>
    <row r="1521">
      <c r="A1521" s="22"/>
      <c r="B1521" s="11"/>
      <c r="C1521" s="20"/>
      <c r="D1521" s="20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5"/>
      <c r="U1521" s="15"/>
      <c r="V1521" s="15"/>
      <c r="W1521" s="15"/>
    </row>
    <row r="1522">
      <c r="A1522" s="22"/>
      <c r="B1522" s="11"/>
      <c r="C1522" s="20"/>
      <c r="D1522" s="20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5"/>
      <c r="U1522" s="15"/>
      <c r="V1522" s="15"/>
      <c r="W1522" s="15"/>
    </row>
    <row r="1523">
      <c r="A1523" s="22"/>
      <c r="B1523" s="11"/>
      <c r="C1523" s="20"/>
      <c r="D1523" s="20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5"/>
      <c r="U1523" s="15"/>
      <c r="V1523" s="15"/>
      <c r="W1523" s="15"/>
    </row>
    <row r="1524">
      <c r="A1524" s="22"/>
      <c r="B1524" s="11"/>
      <c r="C1524" s="20"/>
      <c r="D1524" s="20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5"/>
      <c r="U1524" s="15"/>
      <c r="V1524" s="15"/>
      <c r="W1524" s="15"/>
    </row>
    <row r="1525">
      <c r="A1525" s="22"/>
      <c r="B1525" s="11"/>
      <c r="C1525" s="20"/>
      <c r="D1525" s="20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5"/>
      <c r="U1525" s="15"/>
      <c r="V1525" s="15"/>
      <c r="W1525" s="15"/>
    </row>
    <row r="1526">
      <c r="A1526" s="22"/>
      <c r="B1526" s="11"/>
      <c r="C1526" s="20"/>
      <c r="D1526" s="20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5"/>
      <c r="U1526" s="15"/>
      <c r="V1526" s="15"/>
      <c r="W1526" s="15"/>
    </row>
    <row r="1527">
      <c r="A1527" s="22"/>
      <c r="B1527" s="11"/>
      <c r="C1527" s="20"/>
      <c r="D1527" s="20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5"/>
      <c r="U1527" s="15"/>
      <c r="V1527" s="15"/>
      <c r="W1527" s="15"/>
    </row>
    <row r="1528">
      <c r="A1528" s="22"/>
      <c r="B1528" s="11"/>
      <c r="C1528" s="20"/>
      <c r="D1528" s="20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5"/>
      <c r="U1528" s="15"/>
      <c r="V1528" s="15"/>
      <c r="W1528" s="15"/>
    </row>
    <row r="1529">
      <c r="A1529" s="22"/>
      <c r="B1529" s="11"/>
      <c r="C1529" s="20"/>
      <c r="D1529" s="20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5"/>
      <c r="U1529" s="15"/>
      <c r="V1529" s="15"/>
      <c r="W1529" s="15"/>
    </row>
    <row r="1530">
      <c r="A1530" s="22"/>
      <c r="B1530" s="11"/>
      <c r="C1530" s="20"/>
      <c r="D1530" s="20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5"/>
      <c r="U1530" s="15"/>
      <c r="V1530" s="15"/>
      <c r="W1530" s="15"/>
    </row>
    <row r="1531">
      <c r="A1531" s="22"/>
      <c r="B1531" s="11"/>
      <c r="C1531" s="20"/>
      <c r="D1531" s="20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5"/>
      <c r="U1531" s="15"/>
      <c r="V1531" s="15"/>
      <c r="W1531" s="15"/>
    </row>
    <row r="1532">
      <c r="A1532" s="22"/>
      <c r="B1532" s="11"/>
      <c r="C1532" s="20"/>
      <c r="D1532" s="20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5"/>
      <c r="U1532" s="15"/>
      <c r="V1532" s="15"/>
      <c r="W1532" s="15"/>
    </row>
    <row r="1533">
      <c r="A1533" s="22"/>
      <c r="B1533" s="11"/>
      <c r="C1533" s="20"/>
      <c r="D1533" s="20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5"/>
      <c r="U1533" s="15"/>
      <c r="V1533" s="15"/>
      <c r="W1533" s="15"/>
    </row>
    <row r="1534">
      <c r="A1534" s="22"/>
      <c r="B1534" s="11"/>
      <c r="C1534" s="20"/>
      <c r="D1534" s="20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5"/>
      <c r="U1534" s="15"/>
      <c r="V1534" s="15"/>
      <c r="W1534" s="15"/>
    </row>
    <row r="1535">
      <c r="A1535" s="22"/>
      <c r="B1535" s="11"/>
      <c r="C1535" s="20"/>
      <c r="D1535" s="20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5"/>
      <c r="U1535" s="15"/>
      <c r="V1535" s="15"/>
      <c r="W1535" s="15"/>
    </row>
    <row r="1536">
      <c r="A1536" s="22"/>
      <c r="B1536" s="11"/>
      <c r="C1536" s="20"/>
      <c r="D1536" s="20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5"/>
      <c r="U1536" s="15"/>
      <c r="V1536" s="15"/>
      <c r="W1536" s="15"/>
    </row>
    <row r="1537">
      <c r="A1537" s="22"/>
      <c r="B1537" s="11"/>
      <c r="C1537" s="20"/>
      <c r="D1537" s="20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5"/>
      <c r="U1537" s="15"/>
      <c r="V1537" s="15"/>
      <c r="W1537" s="15"/>
    </row>
    <row r="1538">
      <c r="A1538" s="22"/>
      <c r="B1538" s="11"/>
      <c r="C1538" s="20"/>
      <c r="D1538" s="20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5"/>
      <c r="U1538" s="15"/>
      <c r="V1538" s="15"/>
      <c r="W1538" s="15"/>
    </row>
    <row r="1539">
      <c r="A1539" s="22"/>
      <c r="B1539" s="11"/>
      <c r="C1539" s="20"/>
      <c r="D1539" s="20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5"/>
      <c r="U1539" s="15"/>
      <c r="V1539" s="15"/>
      <c r="W1539" s="15"/>
    </row>
    <row r="1540">
      <c r="A1540" s="22"/>
      <c r="B1540" s="11"/>
      <c r="C1540" s="20"/>
      <c r="D1540" s="20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5"/>
      <c r="U1540" s="15"/>
      <c r="V1540" s="15"/>
      <c r="W1540" s="15"/>
    </row>
    <row r="1541">
      <c r="A1541" s="22"/>
      <c r="B1541" s="11"/>
      <c r="C1541" s="20"/>
      <c r="D1541" s="20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5"/>
      <c r="U1541" s="15"/>
      <c r="V1541" s="15"/>
      <c r="W1541" s="15"/>
    </row>
    <row r="1542">
      <c r="A1542" s="22"/>
      <c r="B1542" s="11"/>
      <c r="C1542" s="20"/>
      <c r="D1542" s="20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5"/>
      <c r="U1542" s="15"/>
      <c r="V1542" s="15"/>
      <c r="W1542" s="15"/>
    </row>
    <row r="1543">
      <c r="A1543" s="22"/>
      <c r="B1543" s="11"/>
      <c r="C1543" s="20"/>
      <c r="D1543" s="20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5"/>
      <c r="U1543" s="15"/>
      <c r="V1543" s="15"/>
      <c r="W1543" s="15"/>
    </row>
    <row r="1544">
      <c r="A1544" s="22"/>
      <c r="B1544" s="11"/>
      <c r="C1544" s="20"/>
      <c r="D1544" s="20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5"/>
      <c r="U1544" s="15"/>
      <c r="V1544" s="15"/>
      <c r="W1544" s="15"/>
    </row>
    <row r="1545">
      <c r="A1545" s="22"/>
      <c r="B1545" s="11"/>
      <c r="C1545" s="20"/>
      <c r="D1545" s="20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5"/>
      <c r="U1545" s="15"/>
      <c r="V1545" s="15"/>
      <c r="W1545" s="15"/>
    </row>
    <row r="1546">
      <c r="A1546" s="22"/>
      <c r="B1546" s="11"/>
      <c r="C1546" s="20"/>
      <c r="D1546" s="20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5"/>
      <c r="U1546" s="15"/>
      <c r="V1546" s="15"/>
      <c r="W1546" s="15"/>
    </row>
    <row r="1547">
      <c r="A1547" s="22"/>
      <c r="B1547" s="11"/>
      <c r="C1547" s="20"/>
      <c r="D1547" s="20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5"/>
      <c r="U1547" s="15"/>
      <c r="V1547" s="15"/>
      <c r="W1547" s="15"/>
    </row>
    <row r="1548">
      <c r="A1548" s="22"/>
      <c r="B1548" s="11"/>
      <c r="C1548" s="20"/>
      <c r="D1548" s="20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5"/>
      <c r="U1548" s="15"/>
      <c r="V1548" s="15"/>
      <c r="W1548" s="15"/>
    </row>
    <row r="1549">
      <c r="A1549" s="22"/>
      <c r="B1549" s="11"/>
      <c r="C1549" s="20"/>
      <c r="D1549" s="20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5"/>
      <c r="U1549" s="15"/>
      <c r="V1549" s="15"/>
      <c r="W1549" s="15"/>
    </row>
    <row r="1550">
      <c r="A1550" s="22"/>
      <c r="B1550" s="11"/>
      <c r="C1550" s="20"/>
      <c r="D1550" s="20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5"/>
      <c r="U1550" s="15"/>
      <c r="V1550" s="15"/>
      <c r="W1550" s="15"/>
    </row>
    <row r="1551">
      <c r="A1551" s="22"/>
      <c r="B1551" s="11"/>
      <c r="C1551" s="20"/>
      <c r="D1551" s="20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5"/>
      <c r="U1551" s="15"/>
      <c r="V1551" s="15"/>
      <c r="W1551" s="15"/>
    </row>
    <row r="1552">
      <c r="A1552" s="22"/>
      <c r="B1552" s="11"/>
      <c r="C1552" s="20"/>
      <c r="D1552" s="20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5"/>
      <c r="U1552" s="15"/>
      <c r="V1552" s="15"/>
      <c r="W1552" s="15"/>
    </row>
    <row r="1553">
      <c r="A1553" s="22"/>
      <c r="B1553" s="11"/>
      <c r="C1553" s="20"/>
      <c r="D1553" s="20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5"/>
      <c r="U1553" s="15"/>
      <c r="V1553" s="15"/>
      <c r="W1553" s="15"/>
    </row>
    <row r="1554">
      <c r="A1554" s="22"/>
      <c r="B1554" s="11"/>
      <c r="C1554" s="20"/>
      <c r="D1554" s="20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5"/>
      <c r="U1554" s="15"/>
      <c r="V1554" s="15"/>
      <c r="W1554" s="15"/>
    </row>
    <row r="1555">
      <c r="A1555" s="22"/>
      <c r="B1555" s="11"/>
      <c r="C1555" s="20"/>
      <c r="D1555" s="20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5"/>
      <c r="U1555" s="15"/>
      <c r="V1555" s="15"/>
      <c r="W1555" s="15"/>
    </row>
    <row r="1556">
      <c r="A1556" s="22"/>
      <c r="B1556" s="11"/>
      <c r="C1556" s="20"/>
      <c r="D1556" s="20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5"/>
      <c r="U1556" s="15"/>
      <c r="V1556" s="15"/>
      <c r="W1556" s="15"/>
    </row>
    <row r="1557">
      <c r="A1557" s="22"/>
      <c r="B1557" s="11"/>
      <c r="C1557" s="20"/>
      <c r="D1557" s="20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5"/>
      <c r="U1557" s="15"/>
      <c r="V1557" s="15"/>
      <c r="W1557" s="15"/>
    </row>
    <row r="1558">
      <c r="A1558" s="22"/>
      <c r="B1558" s="11"/>
      <c r="C1558" s="20"/>
      <c r="D1558" s="20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5"/>
      <c r="U1558" s="15"/>
      <c r="V1558" s="15"/>
      <c r="W1558" s="15"/>
    </row>
    <row r="1559">
      <c r="A1559" s="22"/>
      <c r="B1559" s="11"/>
      <c r="C1559" s="20"/>
      <c r="D1559" s="20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5"/>
      <c r="U1559" s="15"/>
      <c r="V1559" s="15"/>
      <c r="W1559" s="15"/>
    </row>
    <row r="1560">
      <c r="A1560" s="22"/>
      <c r="B1560" s="11"/>
      <c r="C1560" s="20"/>
      <c r="D1560" s="20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5"/>
      <c r="U1560" s="15"/>
      <c r="V1560" s="15"/>
      <c r="W1560" s="15"/>
    </row>
    <row r="1561">
      <c r="A1561" s="22"/>
      <c r="B1561" s="11"/>
      <c r="C1561" s="20"/>
      <c r="D1561" s="20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5"/>
      <c r="U1561" s="15"/>
      <c r="V1561" s="15"/>
      <c r="W1561" s="15"/>
    </row>
    <row r="1562">
      <c r="A1562" s="22"/>
      <c r="B1562" s="11"/>
      <c r="C1562" s="20"/>
      <c r="D1562" s="20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5"/>
      <c r="U1562" s="15"/>
      <c r="V1562" s="15"/>
      <c r="W1562" s="15"/>
    </row>
    <row r="1563">
      <c r="A1563" s="22"/>
      <c r="B1563" s="11"/>
      <c r="C1563" s="20"/>
      <c r="D1563" s="20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5"/>
      <c r="U1563" s="15"/>
      <c r="V1563" s="15"/>
      <c r="W1563" s="15"/>
    </row>
    <row r="1564">
      <c r="A1564" s="22"/>
      <c r="B1564" s="11"/>
      <c r="C1564" s="20"/>
      <c r="D1564" s="20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5"/>
      <c r="U1564" s="15"/>
      <c r="V1564" s="15"/>
      <c r="W1564" s="15"/>
    </row>
    <row r="1565">
      <c r="A1565" s="22"/>
      <c r="B1565" s="11"/>
      <c r="C1565" s="20"/>
      <c r="D1565" s="20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5"/>
      <c r="U1565" s="15"/>
      <c r="V1565" s="15"/>
      <c r="W1565" s="15"/>
    </row>
    <row r="1566">
      <c r="A1566" s="22"/>
      <c r="B1566" s="11"/>
      <c r="C1566" s="20"/>
      <c r="D1566" s="20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5"/>
      <c r="U1566" s="15"/>
      <c r="V1566" s="15"/>
      <c r="W1566" s="15"/>
    </row>
    <row r="1567">
      <c r="A1567" s="22"/>
      <c r="B1567" s="11"/>
      <c r="C1567" s="20"/>
      <c r="D1567" s="20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5"/>
      <c r="U1567" s="15"/>
      <c r="V1567" s="15"/>
      <c r="W1567" s="15"/>
    </row>
    <row r="1568">
      <c r="A1568" s="22"/>
      <c r="B1568" s="11"/>
      <c r="C1568" s="20"/>
      <c r="D1568" s="20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5"/>
      <c r="U1568" s="15"/>
      <c r="V1568" s="15"/>
      <c r="W1568" s="15"/>
    </row>
    <row r="1569">
      <c r="A1569" s="22"/>
      <c r="B1569" s="11"/>
      <c r="C1569" s="20"/>
      <c r="D1569" s="20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5"/>
      <c r="U1569" s="15"/>
      <c r="V1569" s="15"/>
      <c r="W1569" s="15"/>
    </row>
    <row r="1570">
      <c r="A1570" s="22"/>
      <c r="B1570" s="11"/>
      <c r="C1570" s="20"/>
      <c r="D1570" s="20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5"/>
      <c r="U1570" s="15"/>
      <c r="V1570" s="15"/>
      <c r="W1570" s="15"/>
    </row>
    <row r="1571">
      <c r="A1571" s="22"/>
      <c r="B1571" s="11"/>
      <c r="C1571" s="20"/>
      <c r="D1571" s="20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5"/>
      <c r="U1571" s="15"/>
      <c r="V1571" s="15"/>
      <c r="W1571" s="15"/>
    </row>
    <row r="1572">
      <c r="A1572" s="22"/>
      <c r="B1572" s="11"/>
      <c r="C1572" s="20"/>
      <c r="D1572" s="20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5"/>
      <c r="U1572" s="15"/>
      <c r="V1572" s="15"/>
      <c r="W1572" s="15"/>
    </row>
    <row r="1573">
      <c r="A1573" s="22"/>
      <c r="B1573" s="11"/>
      <c r="C1573" s="20"/>
      <c r="D1573" s="20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5"/>
      <c r="U1573" s="15"/>
      <c r="V1573" s="15"/>
      <c r="W1573" s="15"/>
    </row>
    <row r="1574">
      <c r="A1574" s="22"/>
      <c r="B1574" s="11"/>
      <c r="C1574" s="20"/>
      <c r="D1574" s="20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5"/>
      <c r="U1574" s="15"/>
      <c r="V1574" s="15"/>
      <c r="W1574" s="15"/>
    </row>
    <row r="1575">
      <c r="A1575" s="22"/>
      <c r="B1575" s="11"/>
      <c r="C1575" s="20"/>
      <c r="D1575" s="20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5"/>
      <c r="U1575" s="15"/>
      <c r="V1575" s="15"/>
      <c r="W1575" s="15"/>
    </row>
    <row r="1576">
      <c r="A1576" s="22"/>
      <c r="B1576" s="11"/>
      <c r="C1576" s="20"/>
      <c r="D1576" s="20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5"/>
      <c r="U1576" s="15"/>
      <c r="V1576" s="15"/>
      <c r="W1576" s="15"/>
    </row>
    <row r="1577">
      <c r="A1577" s="22"/>
      <c r="B1577" s="11"/>
      <c r="C1577" s="20"/>
      <c r="D1577" s="20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5"/>
      <c r="U1577" s="15"/>
      <c r="V1577" s="15"/>
      <c r="W1577" s="15"/>
    </row>
    <row r="1578">
      <c r="A1578" s="22"/>
      <c r="B1578" s="11"/>
      <c r="C1578" s="20"/>
      <c r="D1578" s="20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5"/>
      <c r="U1578" s="15"/>
      <c r="V1578" s="15"/>
      <c r="W1578" s="15"/>
    </row>
    <row r="1579">
      <c r="A1579" s="22"/>
      <c r="B1579" s="11"/>
      <c r="C1579" s="20"/>
      <c r="D1579" s="20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5"/>
      <c r="U1579" s="15"/>
      <c r="V1579" s="15"/>
      <c r="W1579" s="15"/>
    </row>
    <row r="1580">
      <c r="A1580" s="22"/>
      <c r="B1580" s="11"/>
      <c r="C1580" s="20"/>
      <c r="D1580" s="20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5"/>
      <c r="U1580" s="15"/>
      <c r="V1580" s="15"/>
      <c r="W1580" s="15"/>
    </row>
    <row r="1581">
      <c r="A1581" s="22"/>
      <c r="B1581" s="11"/>
      <c r="C1581" s="20"/>
      <c r="D1581" s="20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5"/>
      <c r="U1581" s="15"/>
      <c r="V1581" s="15"/>
      <c r="W1581" s="15"/>
    </row>
    <row r="1582">
      <c r="A1582" s="22"/>
      <c r="B1582" s="11"/>
      <c r="C1582" s="20"/>
      <c r="D1582" s="20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5"/>
      <c r="U1582" s="15"/>
      <c r="V1582" s="15"/>
      <c r="W1582" s="15"/>
    </row>
    <row r="1583">
      <c r="A1583" s="22"/>
      <c r="B1583" s="11"/>
      <c r="C1583" s="20"/>
      <c r="D1583" s="20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5"/>
      <c r="U1583" s="15"/>
      <c r="V1583" s="15"/>
      <c r="W1583" s="15"/>
    </row>
    <row r="1584">
      <c r="A1584" s="22"/>
      <c r="B1584" s="11"/>
      <c r="C1584" s="20"/>
      <c r="D1584" s="20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5"/>
      <c r="U1584" s="15"/>
      <c r="V1584" s="15"/>
      <c r="W1584" s="15"/>
    </row>
    <row r="1585">
      <c r="A1585" s="22"/>
      <c r="B1585" s="11"/>
      <c r="C1585" s="20"/>
      <c r="D1585" s="20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5"/>
      <c r="U1585" s="15"/>
      <c r="V1585" s="15"/>
      <c r="W1585" s="15"/>
    </row>
    <row r="1586">
      <c r="A1586" s="22"/>
      <c r="B1586" s="11"/>
      <c r="C1586" s="20"/>
      <c r="D1586" s="20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5"/>
      <c r="U1586" s="15"/>
      <c r="V1586" s="15"/>
      <c r="W1586" s="15"/>
    </row>
    <row r="1587">
      <c r="A1587" s="22"/>
      <c r="B1587" s="11"/>
      <c r="C1587" s="20"/>
      <c r="D1587" s="20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5"/>
      <c r="U1587" s="15"/>
      <c r="V1587" s="15"/>
      <c r="W1587" s="15"/>
    </row>
    <row r="1588">
      <c r="A1588" s="22"/>
      <c r="B1588" s="11"/>
      <c r="C1588" s="20"/>
      <c r="D1588" s="20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5"/>
      <c r="U1588" s="15"/>
      <c r="V1588" s="15"/>
      <c r="W1588" s="15"/>
    </row>
    <row r="1589">
      <c r="A1589" s="22"/>
      <c r="B1589" s="11"/>
      <c r="C1589" s="20"/>
      <c r="D1589" s="20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5"/>
      <c r="U1589" s="15"/>
      <c r="V1589" s="15"/>
      <c r="W1589" s="15"/>
    </row>
    <row r="1590">
      <c r="A1590" s="22"/>
      <c r="B1590" s="11"/>
      <c r="C1590" s="20"/>
      <c r="D1590" s="20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5"/>
      <c r="U1590" s="15"/>
      <c r="V1590" s="15"/>
      <c r="W1590" s="15"/>
    </row>
    <row r="1591">
      <c r="A1591" s="22"/>
      <c r="B1591" s="11"/>
      <c r="C1591" s="20"/>
      <c r="D1591" s="20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5"/>
      <c r="U1591" s="15"/>
      <c r="V1591" s="15"/>
      <c r="W1591" s="15"/>
    </row>
    <row r="1592">
      <c r="A1592" s="22"/>
      <c r="B1592" s="11"/>
      <c r="C1592" s="20"/>
      <c r="D1592" s="20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5"/>
      <c r="U1592" s="15"/>
      <c r="V1592" s="15"/>
      <c r="W1592" s="15"/>
    </row>
    <row r="1593">
      <c r="A1593" s="22"/>
      <c r="B1593" s="11"/>
      <c r="C1593" s="20"/>
      <c r="D1593" s="20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5"/>
      <c r="U1593" s="15"/>
      <c r="V1593" s="15"/>
      <c r="W1593" s="15"/>
    </row>
    <row r="1594">
      <c r="A1594" s="22"/>
      <c r="B1594" s="11"/>
      <c r="C1594" s="20"/>
      <c r="D1594" s="20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5"/>
      <c r="U1594" s="15"/>
      <c r="V1594" s="15"/>
      <c r="W1594" s="15"/>
    </row>
    <row r="1595">
      <c r="A1595" s="22"/>
      <c r="B1595" s="11"/>
      <c r="C1595" s="20"/>
      <c r="D1595" s="20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5"/>
      <c r="U1595" s="15"/>
      <c r="V1595" s="15"/>
      <c r="W1595" s="15"/>
    </row>
    <row r="1596">
      <c r="A1596" s="22"/>
      <c r="B1596" s="11"/>
      <c r="C1596" s="20"/>
      <c r="D1596" s="20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5"/>
      <c r="U1596" s="15"/>
      <c r="V1596" s="15"/>
      <c r="W1596" s="15"/>
    </row>
    <row r="1597">
      <c r="A1597" s="22"/>
      <c r="B1597" s="11"/>
      <c r="C1597" s="20"/>
      <c r="D1597" s="20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5"/>
      <c r="U1597" s="15"/>
      <c r="V1597" s="15"/>
      <c r="W1597" s="15"/>
    </row>
    <row r="1598">
      <c r="A1598" s="22"/>
      <c r="B1598" s="11"/>
      <c r="C1598" s="20"/>
      <c r="D1598" s="20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5"/>
      <c r="U1598" s="15"/>
      <c r="V1598" s="15"/>
      <c r="W1598" s="15"/>
    </row>
    <row r="1599">
      <c r="A1599" s="22"/>
      <c r="B1599" s="11"/>
      <c r="C1599" s="20"/>
      <c r="D1599" s="20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5"/>
      <c r="U1599" s="15"/>
      <c r="V1599" s="15"/>
      <c r="W1599" s="15"/>
    </row>
    <row r="1600">
      <c r="A1600" s="22"/>
      <c r="B1600" s="11"/>
      <c r="C1600" s="20"/>
      <c r="D1600" s="20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5"/>
      <c r="U1600" s="15"/>
      <c r="V1600" s="15"/>
      <c r="W1600" s="15"/>
    </row>
    <row r="1601">
      <c r="A1601" s="22"/>
      <c r="B1601" s="11"/>
      <c r="C1601" s="20"/>
      <c r="D1601" s="20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5"/>
      <c r="U1601" s="15"/>
      <c r="V1601" s="15"/>
      <c r="W1601" s="15"/>
    </row>
    <row r="1602">
      <c r="A1602" s="22"/>
      <c r="B1602" s="11"/>
      <c r="C1602" s="20"/>
      <c r="D1602" s="20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5"/>
      <c r="U1602" s="15"/>
      <c r="V1602" s="15"/>
      <c r="W1602" s="15"/>
    </row>
    <row r="1603">
      <c r="A1603" s="22"/>
      <c r="B1603" s="11"/>
      <c r="C1603" s="20"/>
      <c r="D1603" s="20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5"/>
      <c r="U1603" s="15"/>
      <c r="V1603" s="15"/>
      <c r="W1603" s="15"/>
    </row>
    <row r="1604">
      <c r="A1604" s="22"/>
      <c r="B1604" s="11"/>
      <c r="C1604" s="20"/>
      <c r="D1604" s="20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5"/>
      <c r="U1604" s="15"/>
      <c r="V1604" s="15"/>
      <c r="W1604" s="15"/>
    </row>
    <row r="1605">
      <c r="A1605" s="22"/>
      <c r="B1605" s="11"/>
      <c r="C1605" s="20"/>
      <c r="D1605" s="20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5"/>
      <c r="U1605" s="15"/>
      <c r="V1605" s="15"/>
      <c r="W1605" s="15"/>
    </row>
    <row r="1606">
      <c r="A1606" s="22"/>
      <c r="B1606" s="11"/>
      <c r="C1606" s="20"/>
      <c r="D1606" s="20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5"/>
      <c r="U1606" s="15"/>
      <c r="V1606" s="15"/>
      <c r="W1606" s="15"/>
    </row>
    <row r="1607">
      <c r="A1607" s="22"/>
      <c r="B1607" s="11"/>
      <c r="C1607" s="20"/>
      <c r="D1607" s="20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5"/>
      <c r="U1607" s="15"/>
      <c r="V1607" s="15"/>
      <c r="W1607" s="15"/>
    </row>
    <row r="1608">
      <c r="A1608" s="22"/>
      <c r="B1608" s="11"/>
      <c r="C1608" s="20"/>
      <c r="D1608" s="20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5"/>
      <c r="U1608" s="15"/>
      <c r="V1608" s="15"/>
      <c r="W1608" s="15"/>
    </row>
    <row r="1609">
      <c r="A1609" s="22"/>
      <c r="B1609" s="11"/>
      <c r="C1609" s="20"/>
      <c r="D1609" s="20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5"/>
      <c r="U1609" s="15"/>
      <c r="V1609" s="15"/>
      <c r="W1609" s="15"/>
    </row>
    <row r="1610">
      <c r="A1610" s="22"/>
      <c r="B1610" s="11"/>
      <c r="C1610" s="20"/>
      <c r="D1610" s="20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5"/>
      <c r="U1610" s="15"/>
      <c r="V1610" s="15"/>
      <c r="W1610" s="15"/>
    </row>
    <row r="1611">
      <c r="A1611" s="22"/>
      <c r="B1611" s="11"/>
      <c r="C1611" s="20"/>
      <c r="D1611" s="20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5"/>
      <c r="U1611" s="15"/>
      <c r="V1611" s="15"/>
      <c r="W1611" s="15"/>
    </row>
    <row r="1612">
      <c r="A1612" s="22"/>
      <c r="B1612" s="11"/>
      <c r="C1612" s="20"/>
      <c r="D1612" s="20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5"/>
      <c r="U1612" s="15"/>
      <c r="V1612" s="15"/>
      <c r="W1612" s="15"/>
    </row>
    <row r="1613">
      <c r="A1613" s="22"/>
      <c r="B1613" s="11"/>
      <c r="C1613" s="20"/>
      <c r="D1613" s="20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5"/>
      <c r="U1613" s="15"/>
      <c r="V1613" s="15"/>
      <c r="W1613" s="15"/>
    </row>
    <row r="1614">
      <c r="A1614" s="22"/>
      <c r="B1614" s="11"/>
      <c r="C1614" s="20"/>
      <c r="D1614" s="20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5"/>
      <c r="U1614" s="15"/>
      <c r="V1614" s="15"/>
      <c r="W1614" s="15"/>
    </row>
    <row r="1615">
      <c r="A1615" s="22"/>
      <c r="B1615" s="11"/>
      <c r="C1615" s="20"/>
      <c r="D1615" s="20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5"/>
      <c r="U1615" s="15"/>
      <c r="V1615" s="15"/>
      <c r="W1615" s="15"/>
    </row>
    <row r="1616">
      <c r="A1616" s="22"/>
      <c r="B1616" s="11"/>
      <c r="C1616" s="20"/>
      <c r="D1616" s="20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5"/>
      <c r="U1616" s="15"/>
      <c r="V1616" s="15"/>
      <c r="W1616" s="15"/>
    </row>
    <row r="1617">
      <c r="A1617" s="22"/>
      <c r="B1617" s="11"/>
      <c r="C1617" s="20"/>
      <c r="D1617" s="20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5"/>
      <c r="U1617" s="15"/>
      <c r="V1617" s="15"/>
      <c r="W1617" s="15"/>
    </row>
    <row r="1618">
      <c r="A1618" s="22"/>
      <c r="B1618" s="11"/>
      <c r="C1618" s="20"/>
      <c r="D1618" s="20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5"/>
      <c r="U1618" s="15"/>
      <c r="V1618" s="15"/>
      <c r="W1618" s="15"/>
    </row>
    <row r="1619">
      <c r="A1619" s="22"/>
      <c r="B1619" s="11"/>
      <c r="C1619" s="20"/>
      <c r="D1619" s="20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5"/>
      <c r="U1619" s="15"/>
      <c r="V1619" s="15"/>
      <c r="W1619" s="15"/>
    </row>
    <row r="1620">
      <c r="A1620" s="22"/>
      <c r="B1620" s="11"/>
      <c r="C1620" s="20"/>
      <c r="D1620" s="20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5"/>
      <c r="U1620" s="15"/>
      <c r="V1620" s="15"/>
      <c r="W1620" s="15"/>
    </row>
    <row r="1621">
      <c r="A1621" s="22"/>
      <c r="B1621" s="11"/>
      <c r="C1621" s="20"/>
      <c r="D1621" s="20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5"/>
      <c r="U1621" s="15"/>
      <c r="V1621" s="15"/>
      <c r="W1621" s="15"/>
    </row>
    <row r="1622">
      <c r="A1622" s="22"/>
      <c r="B1622" s="11"/>
      <c r="C1622" s="20"/>
      <c r="D1622" s="20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5"/>
      <c r="U1622" s="15"/>
      <c r="V1622" s="15"/>
      <c r="W1622" s="15"/>
    </row>
    <row r="1623">
      <c r="A1623" s="22"/>
      <c r="B1623" s="11"/>
      <c r="C1623" s="20"/>
      <c r="D1623" s="20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5"/>
      <c r="U1623" s="15"/>
      <c r="V1623" s="15"/>
      <c r="W1623" s="15"/>
    </row>
    <row r="1624">
      <c r="A1624" s="22"/>
      <c r="B1624" s="11"/>
      <c r="C1624" s="20"/>
      <c r="D1624" s="20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5"/>
      <c r="U1624" s="15"/>
      <c r="V1624" s="15"/>
      <c r="W1624" s="15"/>
    </row>
    <row r="1625">
      <c r="A1625" s="22"/>
      <c r="B1625" s="11"/>
      <c r="C1625" s="20"/>
      <c r="D1625" s="20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5"/>
      <c r="U1625" s="15"/>
      <c r="V1625" s="15"/>
      <c r="W1625" s="15"/>
    </row>
    <row r="1626">
      <c r="A1626" s="22"/>
      <c r="B1626" s="11"/>
      <c r="C1626" s="20"/>
      <c r="D1626" s="20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5"/>
      <c r="U1626" s="15"/>
      <c r="V1626" s="15"/>
      <c r="W1626" s="15"/>
    </row>
    <row r="1627">
      <c r="A1627" s="22"/>
      <c r="B1627" s="11"/>
      <c r="C1627" s="20"/>
      <c r="D1627" s="20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5"/>
      <c r="U1627" s="15"/>
      <c r="V1627" s="15"/>
      <c r="W1627" s="15"/>
    </row>
    <row r="1628">
      <c r="A1628" s="22"/>
      <c r="B1628" s="11"/>
      <c r="C1628" s="20"/>
      <c r="D1628" s="20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5"/>
      <c r="U1628" s="15"/>
      <c r="V1628" s="15"/>
      <c r="W1628" s="15"/>
    </row>
    <row r="1629">
      <c r="A1629" s="22"/>
      <c r="B1629" s="11"/>
      <c r="C1629" s="20"/>
      <c r="D1629" s="20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5"/>
      <c r="U1629" s="15"/>
      <c r="V1629" s="15"/>
      <c r="W1629" s="15"/>
    </row>
    <row r="1630">
      <c r="A1630" s="22"/>
      <c r="B1630" s="11"/>
      <c r="C1630" s="20"/>
      <c r="D1630" s="20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5"/>
      <c r="U1630" s="15"/>
      <c r="V1630" s="15"/>
      <c r="W1630" s="15"/>
    </row>
    <row r="1631">
      <c r="A1631" s="22"/>
      <c r="B1631" s="11"/>
      <c r="C1631" s="20"/>
      <c r="D1631" s="20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5"/>
      <c r="U1631" s="15"/>
      <c r="V1631" s="15"/>
      <c r="W1631" s="15"/>
    </row>
    <row r="1632">
      <c r="A1632" s="22"/>
      <c r="B1632" s="11"/>
      <c r="C1632" s="20"/>
      <c r="D1632" s="20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5"/>
      <c r="U1632" s="15"/>
      <c r="V1632" s="15"/>
      <c r="W1632" s="15"/>
    </row>
    <row r="1633">
      <c r="A1633" s="22"/>
      <c r="B1633" s="11"/>
      <c r="C1633" s="20"/>
      <c r="D1633" s="20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5"/>
      <c r="U1633" s="15"/>
      <c r="V1633" s="15"/>
      <c r="W1633" s="15"/>
    </row>
    <row r="1634">
      <c r="A1634" s="22"/>
      <c r="B1634" s="11"/>
      <c r="C1634" s="20"/>
      <c r="D1634" s="20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5"/>
      <c r="U1634" s="15"/>
      <c r="V1634" s="15"/>
      <c r="W1634" s="15"/>
    </row>
    <row r="1635">
      <c r="A1635" s="22"/>
      <c r="B1635" s="11"/>
      <c r="C1635" s="20"/>
      <c r="D1635" s="20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5"/>
      <c r="U1635" s="15"/>
      <c r="V1635" s="15"/>
      <c r="W1635" s="15"/>
    </row>
    <row r="1636">
      <c r="A1636" s="22"/>
      <c r="B1636" s="11"/>
      <c r="C1636" s="20"/>
      <c r="D1636" s="20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5"/>
      <c r="U1636" s="15"/>
      <c r="V1636" s="15"/>
      <c r="W1636" s="15"/>
    </row>
    <row r="1637">
      <c r="A1637" s="22"/>
      <c r="B1637" s="11"/>
      <c r="C1637" s="20"/>
      <c r="D1637" s="20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5"/>
      <c r="U1637" s="15"/>
      <c r="V1637" s="15"/>
      <c r="W1637" s="15"/>
    </row>
    <row r="1638">
      <c r="A1638" s="22"/>
      <c r="B1638" s="11"/>
      <c r="C1638" s="20"/>
      <c r="D1638" s="20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5"/>
      <c r="U1638" s="15"/>
      <c r="V1638" s="15"/>
      <c r="W1638" s="15"/>
    </row>
    <row r="1639">
      <c r="A1639" s="22"/>
      <c r="B1639" s="11"/>
      <c r="C1639" s="20"/>
      <c r="D1639" s="20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5"/>
      <c r="U1639" s="15"/>
      <c r="V1639" s="15"/>
      <c r="W1639" s="15"/>
    </row>
    <row r="1640">
      <c r="A1640" s="22"/>
      <c r="B1640" s="11"/>
      <c r="C1640" s="20"/>
      <c r="D1640" s="20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5"/>
      <c r="U1640" s="15"/>
      <c r="V1640" s="15"/>
      <c r="W1640" s="15"/>
    </row>
    <row r="1641">
      <c r="A1641" s="22"/>
      <c r="B1641" s="11"/>
      <c r="C1641" s="20"/>
      <c r="D1641" s="20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5"/>
      <c r="U1641" s="15"/>
      <c r="V1641" s="15"/>
      <c r="W1641" s="15"/>
    </row>
    <row r="1642">
      <c r="A1642" s="22"/>
      <c r="B1642" s="11"/>
      <c r="C1642" s="20"/>
      <c r="D1642" s="20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5"/>
      <c r="U1642" s="15"/>
      <c r="V1642" s="15"/>
      <c r="W1642" s="15"/>
    </row>
    <row r="1643">
      <c r="A1643" s="22"/>
      <c r="B1643" s="11"/>
      <c r="C1643" s="20"/>
      <c r="D1643" s="20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5"/>
      <c r="U1643" s="15"/>
      <c r="V1643" s="15"/>
      <c r="W1643" s="15"/>
    </row>
    <row r="1644">
      <c r="A1644" s="22"/>
      <c r="B1644" s="11"/>
      <c r="C1644" s="20"/>
      <c r="D1644" s="20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5"/>
      <c r="U1644" s="15"/>
      <c r="V1644" s="15"/>
      <c r="W1644" s="15"/>
    </row>
    <row r="1645">
      <c r="A1645" s="22"/>
      <c r="B1645" s="11"/>
      <c r="C1645" s="20"/>
      <c r="D1645" s="20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5"/>
      <c r="U1645" s="15"/>
      <c r="V1645" s="15"/>
      <c r="W1645" s="15"/>
    </row>
    <row r="1646">
      <c r="A1646" s="22"/>
      <c r="B1646" s="11"/>
      <c r="C1646" s="20"/>
      <c r="D1646" s="20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5"/>
      <c r="U1646" s="15"/>
      <c r="V1646" s="15"/>
      <c r="W1646" s="15"/>
    </row>
    <row r="1647">
      <c r="A1647" s="22"/>
      <c r="B1647" s="11"/>
      <c r="C1647" s="20"/>
      <c r="D1647" s="20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5"/>
      <c r="U1647" s="15"/>
      <c r="V1647" s="15"/>
      <c r="W1647" s="15"/>
    </row>
    <row r="1648">
      <c r="A1648" s="22"/>
      <c r="B1648" s="11"/>
      <c r="C1648" s="20"/>
      <c r="D1648" s="20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5"/>
      <c r="U1648" s="15"/>
      <c r="V1648" s="15"/>
      <c r="W1648" s="15"/>
    </row>
    <row r="1649">
      <c r="A1649" s="22"/>
      <c r="B1649" s="11"/>
      <c r="C1649" s="20"/>
      <c r="D1649" s="20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5"/>
      <c r="U1649" s="15"/>
      <c r="V1649" s="15"/>
      <c r="W1649" s="15"/>
    </row>
    <row r="1650">
      <c r="A1650" s="22"/>
      <c r="B1650" s="11"/>
      <c r="C1650" s="20"/>
      <c r="D1650" s="20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5"/>
      <c r="U1650" s="15"/>
      <c r="V1650" s="15"/>
      <c r="W1650" s="15"/>
    </row>
    <row r="1651">
      <c r="A1651" s="22"/>
      <c r="B1651" s="11"/>
      <c r="C1651" s="20"/>
      <c r="D1651" s="20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5"/>
      <c r="U1651" s="15"/>
      <c r="V1651" s="15"/>
      <c r="W1651" s="15"/>
    </row>
    <row r="1652">
      <c r="A1652" s="22"/>
      <c r="B1652" s="11"/>
      <c r="C1652" s="20"/>
      <c r="D1652" s="20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5"/>
      <c r="U1652" s="15"/>
      <c r="V1652" s="15"/>
      <c r="W1652" s="15"/>
    </row>
    <row r="1653">
      <c r="A1653" s="22"/>
      <c r="B1653" s="11"/>
      <c r="C1653" s="20"/>
      <c r="D1653" s="20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5"/>
      <c r="U1653" s="15"/>
      <c r="V1653" s="15"/>
      <c r="W1653" s="15"/>
    </row>
    <row r="1654">
      <c r="A1654" s="22"/>
      <c r="B1654" s="11"/>
      <c r="C1654" s="20"/>
      <c r="D1654" s="20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5"/>
      <c r="U1654" s="15"/>
      <c r="V1654" s="15"/>
      <c r="W1654" s="15"/>
    </row>
    <row r="1655">
      <c r="A1655" s="22"/>
      <c r="B1655" s="11"/>
      <c r="C1655" s="20"/>
      <c r="D1655" s="20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5"/>
      <c r="U1655" s="15"/>
      <c r="V1655" s="15"/>
      <c r="W1655" s="15"/>
    </row>
    <row r="1656">
      <c r="A1656" s="22"/>
      <c r="B1656" s="11"/>
      <c r="C1656" s="20"/>
      <c r="D1656" s="20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5"/>
      <c r="U1656" s="15"/>
      <c r="V1656" s="15"/>
      <c r="W1656" s="15"/>
    </row>
    <row r="1657">
      <c r="A1657" s="22"/>
      <c r="B1657" s="11"/>
      <c r="C1657" s="20"/>
      <c r="D1657" s="20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5"/>
      <c r="U1657" s="15"/>
      <c r="V1657" s="15"/>
      <c r="W1657" s="15"/>
    </row>
    <row r="1658">
      <c r="A1658" s="22"/>
      <c r="B1658" s="11"/>
      <c r="C1658" s="20"/>
      <c r="D1658" s="20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5"/>
      <c r="U1658" s="15"/>
      <c r="V1658" s="15"/>
      <c r="W1658" s="15"/>
    </row>
    <row r="1659">
      <c r="A1659" s="22"/>
      <c r="B1659" s="11"/>
      <c r="C1659" s="20"/>
      <c r="D1659" s="20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5"/>
      <c r="U1659" s="15"/>
      <c r="V1659" s="15"/>
      <c r="W1659" s="15"/>
    </row>
    <row r="1660">
      <c r="A1660" s="22"/>
      <c r="B1660" s="11"/>
      <c r="C1660" s="20"/>
      <c r="D1660" s="20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5"/>
      <c r="U1660" s="15"/>
      <c r="V1660" s="15"/>
      <c r="W1660" s="15"/>
    </row>
    <row r="1661">
      <c r="A1661" s="22"/>
      <c r="B1661" s="11"/>
      <c r="C1661" s="20"/>
      <c r="D1661" s="20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5"/>
      <c r="U1661" s="15"/>
      <c r="V1661" s="15"/>
      <c r="W1661" s="15"/>
    </row>
    <row r="1662">
      <c r="A1662" s="22"/>
      <c r="B1662" s="11"/>
      <c r="C1662" s="20"/>
      <c r="D1662" s="20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5"/>
      <c r="U1662" s="15"/>
      <c r="V1662" s="15"/>
      <c r="W1662" s="15"/>
    </row>
    <row r="1663">
      <c r="A1663" s="22"/>
      <c r="B1663" s="11"/>
      <c r="C1663" s="20"/>
      <c r="D1663" s="20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5"/>
      <c r="U1663" s="15"/>
      <c r="V1663" s="15"/>
      <c r="W1663" s="15"/>
    </row>
    <row r="1664">
      <c r="A1664" s="22"/>
      <c r="B1664" s="11"/>
      <c r="C1664" s="20"/>
      <c r="D1664" s="20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5"/>
      <c r="U1664" s="15"/>
      <c r="V1664" s="15"/>
      <c r="W1664" s="15"/>
    </row>
    <row r="1665">
      <c r="A1665" s="22"/>
      <c r="B1665" s="11"/>
      <c r="C1665" s="20"/>
      <c r="D1665" s="20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5"/>
      <c r="U1665" s="15"/>
      <c r="V1665" s="15"/>
      <c r="W1665" s="15"/>
    </row>
    <row r="1666">
      <c r="A1666" s="22"/>
      <c r="B1666" s="11"/>
      <c r="C1666" s="20"/>
      <c r="D1666" s="20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5"/>
      <c r="U1666" s="15"/>
      <c r="V1666" s="15"/>
      <c r="W1666" s="15"/>
    </row>
    <row r="1667">
      <c r="A1667" s="22"/>
      <c r="B1667" s="11"/>
      <c r="C1667" s="20"/>
      <c r="D1667" s="20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5"/>
      <c r="U1667" s="15"/>
      <c r="V1667" s="15"/>
      <c r="W1667" s="15"/>
    </row>
    <row r="1668">
      <c r="A1668" s="22"/>
      <c r="B1668" s="11"/>
      <c r="C1668" s="20"/>
      <c r="D1668" s="20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5"/>
      <c r="U1668" s="15"/>
      <c r="V1668" s="15"/>
      <c r="W1668" s="15"/>
    </row>
    <row r="1669">
      <c r="A1669" s="22"/>
      <c r="B1669" s="11"/>
      <c r="C1669" s="20"/>
      <c r="D1669" s="20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5"/>
      <c r="U1669" s="15"/>
      <c r="V1669" s="15"/>
      <c r="W1669" s="15"/>
    </row>
    <row r="1670">
      <c r="A1670" s="22"/>
      <c r="B1670" s="11"/>
      <c r="C1670" s="20"/>
      <c r="D1670" s="20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5"/>
      <c r="U1670" s="15"/>
      <c r="V1670" s="15"/>
      <c r="W1670" s="15"/>
    </row>
    <row r="1671">
      <c r="A1671" s="22"/>
      <c r="B1671" s="11"/>
      <c r="C1671" s="20"/>
      <c r="D1671" s="20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5"/>
      <c r="U1671" s="15"/>
      <c r="V1671" s="15"/>
      <c r="W1671" s="15"/>
    </row>
    <row r="1672">
      <c r="A1672" s="22"/>
      <c r="B1672" s="11"/>
      <c r="C1672" s="20"/>
      <c r="D1672" s="20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5"/>
      <c r="U1672" s="15"/>
      <c r="V1672" s="15"/>
      <c r="W1672" s="15"/>
    </row>
    <row r="1673">
      <c r="A1673" s="22"/>
      <c r="B1673" s="11"/>
      <c r="C1673" s="20"/>
      <c r="D1673" s="20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5"/>
      <c r="U1673" s="15"/>
      <c r="V1673" s="15"/>
      <c r="W1673" s="15"/>
    </row>
    <row r="1674">
      <c r="A1674" s="22"/>
      <c r="B1674" s="11"/>
      <c r="C1674" s="20"/>
      <c r="D1674" s="20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5"/>
      <c r="U1674" s="15"/>
      <c r="V1674" s="15"/>
      <c r="W1674" s="15"/>
    </row>
    <row r="1675">
      <c r="A1675" s="22"/>
      <c r="B1675" s="11"/>
      <c r="C1675" s="20"/>
      <c r="D1675" s="20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5"/>
      <c r="U1675" s="15"/>
      <c r="V1675" s="15"/>
      <c r="W1675" s="15"/>
    </row>
    <row r="1676">
      <c r="A1676" s="22"/>
      <c r="B1676" s="11"/>
      <c r="C1676" s="20"/>
      <c r="D1676" s="20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5"/>
      <c r="U1676" s="15"/>
      <c r="V1676" s="15"/>
      <c r="W1676" s="15"/>
    </row>
    <row r="1677">
      <c r="A1677" s="22"/>
      <c r="B1677" s="11"/>
      <c r="C1677" s="20"/>
      <c r="D1677" s="20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5"/>
      <c r="U1677" s="15"/>
      <c r="V1677" s="15"/>
      <c r="W1677" s="15"/>
    </row>
    <row r="1678">
      <c r="A1678" s="22"/>
      <c r="B1678" s="11"/>
      <c r="C1678" s="20"/>
      <c r="D1678" s="20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5"/>
      <c r="U1678" s="15"/>
      <c r="V1678" s="15"/>
      <c r="W1678" s="15"/>
    </row>
    <row r="1679">
      <c r="A1679" s="22"/>
      <c r="B1679" s="11"/>
      <c r="C1679" s="20"/>
      <c r="D1679" s="20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5"/>
      <c r="U1679" s="15"/>
      <c r="V1679" s="15"/>
      <c r="W1679" s="15"/>
    </row>
    <row r="1680">
      <c r="A1680" s="22"/>
      <c r="B1680" s="11"/>
      <c r="C1680" s="20"/>
      <c r="D1680" s="20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5"/>
      <c r="U1680" s="15"/>
      <c r="V1680" s="15"/>
      <c r="W1680" s="15"/>
    </row>
    <row r="1681">
      <c r="A1681" s="22"/>
      <c r="B1681" s="11"/>
      <c r="C1681" s="20"/>
      <c r="D1681" s="20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5"/>
      <c r="U1681" s="15"/>
      <c r="V1681" s="15"/>
      <c r="W1681" s="15"/>
    </row>
    <row r="1682">
      <c r="A1682" s="22"/>
      <c r="B1682" s="11"/>
      <c r="C1682" s="20"/>
      <c r="D1682" s="20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5"/>
      <c r="U1682" s="15"/>
      <c r="V1682" s="15"/>
      <c r="W1682" s="15"/>
    </row>
    <row r="1683">
      <c r="A1683" s="22"/>
      <c r="B1683" s="11"/>
      <c r="C1683" s="20"/>
      <c r="D1683" s="20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5"/>
      <c r="U1683" s="15"/>
      <c r="V1683" s="15"/>
      <c r="W1683" s="15"/>
    </row>
    <row r="1684">
      <c r="A1684" s="22"/>
      <c r="B1684" s="11"/>
      <c r="C1684" s="20"/>
      <c r="D1684" s="20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5"/>
      <c r="U1684" s="15"/>
      <c r="V1684" s="15"/>
      <c r="W1684" s="15"/>
    </row>
    <row r="1685">
      <c r="A1685" s="22"/>
      <c r="B1685" s="11"/>
      <c r="C1685" s="20"/>
      <c r="D1685" s="20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5"/>
      <c r="U1685" s="15"/>
      <c r="V1685" s="15"/>
      <c r="W1685" s="15"/>
    </row>
    <row r="1686">
      <c r="A1686" s="22"/>
      <c r="B1686" s="11"/>
      <c r="C1686" s="20"/>
      <c r="D1686" s="20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5"/>
      <c r="U1686" s="15"/>
      <c r="V1686" s="15"/>
      <c r="W1686" s="15"/>
    </row>
    <row r="1687">
      <c r="A1687" s="22"/>
      <c r="B1687" s="11"/>
      <c r="C1687" s="20"/>
      <c r="D1687" s="20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5"/>
      <c r="U1687" s="15"/>
      <c r="V1687" s="15"/>
      <c r="W1687" s="15"/>
    </row>
    <row r="1688">
      <c r="A1688" s="22"/>
      <c r="B1688" s="11"/>
      <c r="C1688" s="20"/>
      <c r="D1688" s="20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5"/>
      <c r="U1688" s="15"/>
      <c r="V1688" s="15"/>
      <c r="W1688" s="15"/>
    </row>
    <row r="1689">
      <c r="A1689" s="22"/>
      <c r="B1689" s="11"/>
      <c r="C1689" s="20"/>
      <c r="D1689" s="20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5"/>
      <c r="U1689" s="15"/>
      <c r="V1689" s="15"/>
      <c r="W1689" s="15"/>
    </row>
    <row r="1690">
      <c r="A1690" s="22"/>
      <c r="B1690" s="11"/>
      <c r="C1690" s="20"/>
      <c r="D1690" s="20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5"/>
      <c r="U1690" s="15"/>
      <c r="V1690" s="15"/>
      <c r="W1690" s="15"/>
    </row>
    <row r="1691">
      <c r="A1691" s="22"/>
      <c r="B1691" s="11"/>
      <c r="C1691" s="20"/>
      <c r="D1691" s="20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5"/>
      <c r="U1691" s="15"/>
      <c r="V1691" s="15"/>
      <c r="W1691" s="15"/>
    </row>
    <row r="1692">
      <c r="A1692" s="22"/>
      <c r="B1692" s="11"/>
      <c r="C1692" s="20"/>
      <c r="D1692" s="20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5"/>
      <c r="U1692" s="15"/>
      <c r="V1692" s="15"/>
      <c r="W1692" s="15"/>
    </row>
    <row r="1693">
      <c r="A1693" s="22"/>
      <c r="B1693" s="11"/>
      <c r="C1693" s="20"/>
      <c r="D1693" s="20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5"/>
      <c r="U1693" s="15"/>
      <c r="V1693" s="15"/>
      <c r="W1693" s="15"/>
    </row>
    <row r="1694">
      <c r="A1694" s="22"/>
      <c r="B1694" s="11"/>
      <c r="C1694" s="20"/>
      <c r="D1694" s="20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5"/>
      <c r="U1694" s="15"/>
      <c r="V1694" s="15"/>
      <c r="W1694" s="15"/>
    </row>
    <row r="1695">
      <c r="A1695" s="22"/>
      <c r="B1695" s="11"/>
      <c r="C1695" s="20"/>
      <c r="D1695" s="20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5"/>
      <c r="U1695" s="15"/>
      <c r="V1695" s="15"/>
      <c r="W1695" s="15"/>
    </row>
    <row r="1696">
      <c r="A1696" s="22"/>
      <c r="B1696" s="11"/>
      <c r="C1696" s="20"/>
      <c r="D1696" s="20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5"/>
      <c r="U1696" s="15"/>
      <c r="V1696" s="15"/>
      <c r="W1696" s="15"/>
    </row>
    <row r="1697">
      <c r="A1697" s="22"/>
      <c r="B1697" s="11"/>
      <c r="C1697" s="20"/>
      <c r="D1697" s="20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5"/>
      <c r="U1697" s="15"/>
      <c r="V1697" s="15"/>
      <c r="W1697" s="15"/>
    </row>
    <row r="1698">
      <c r="A1698" s="22"/>
      <c r="B1698" s="11"/>
      <c r="C1698" s="20"/>
      <c r="D1698" s="20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5"/>
      <c r="U1698" s="15"/>
      <c r="V1698" s="15"/>
      <c r="W1698" s="15"/>
    </row>
    <row r="1699">
      <c r="A1699" s="22"/>
      <c r="B1699" s="11"/>
      <c r="C1699" s="20"/>
      <c r="D1699" s="20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5"/>
      <c r="U1699" s="15"/>
      <c r="V1699" s="15"/>
      <c r="W1699" s="15"/>
    </row>
    <row r="1700">
      <c r="A1700" s="22"/>
      <c r="B1700" s="11"/>
      <c r="C1700" s="20"/>
      <c r="D1700" s="20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5"/>
      <c r="U1700" s="15"/>
      <c r="V1700" s="15"/>
      <c r="W1700" s="15"/>
    </row>
    <row r="1701">
      <c r="A1701" s="22"/>
      <c r="B1701" s="11"/>
      <c r="C1701" s="20"/>
      <c r="D1701" s="20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5"/>
      <c r="U1701" s="15"/>
      <c r="V1701" s="15"/>
      <c r="W1701" s="15"/>
    </row>
    <row r="1702">
      <c r="A1702" s="22"/>
      <c r="B1702" s="11"/>
      <c r="C1702" s="20"/>
      <c r="D1702" s="20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5"/>
      <c r="U1702" s="15"/>
      <c r="V1702" s="15"/>
      <c r="W1702" s="15"/>
    </row>
    <row r="1703">
      <c r="A1703" s="22"/>
      <c r="B1703" s="11"/>
      <c r="C1703" s="20"/>
      <c r="D1703" s="20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5"/>
      <c r="U1703" s="15"/>
      <c r="V1703" s="15"/>
      <c r="W1703" s="15"/>
    </row>
    <row r="1704">
      <c r="A1704" s="22"/>
      <c r="B1704" s="11"/>
      <c r="C1704" s="20"/>
      <c r="D1704" s="20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5"/>
      <c r="U1704" s="15"/>
      <c r="V1704" s="15"/>
      <c r="W1704" s="15"/>
    </row>
    <row r="1705">
      <c r="A1705" s="22"/>
      <c r="B1705" s="11"/>
      <c r="C1705" s="20"/>
      <c r="D1705" s="20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5"/>
      <c r="U1705" s="15"/>
      <c r="V1705" s="15"/>
      <c r="W1705" s="15"/>
    </row>
    <row r="1706">
      <c r="A1706" s="22"/>
      <c r="B1706" s="11"/>
      <c r="C1706" s="20"/>
      <c r="D1706" s="20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5"/>
      <c r="U1706" s="15"/>
      <c r="V1706" s="15"/>
      <c r="W1706" s="15"/>
    </row>
    <row r="1707">
      <c r="A1707" s="22"/>
      <c r="B1707" s="11"/>
      <c r="C1707" s="20"/>
      <c r="D1707" s="20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5"/>
      <c r="U1707" s="15"/>
      <c r="V1707" s="15"/>
      <c r="W1707" s="15"/>
    </row>
    <row r="1708">
      <c r="A1708" s="22"/>
      <c r="B1708" s="11"/>
      <c r="C1708" s="20"/>
      <c r="D1708" s="20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5"/>
      <c r="U1708" s="15"/>
      <c r="V1708" s="15"/>
      <c r="W1708" s="15"/>
    </row>
    <row r="1709">
      <c r="A1709" s="22"/>
      <c r="B1709" s="11"/>
      <c r="C1709" s="20"/>
      <c r="D1709" s="20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5"/>
      <c r="U1709" s="15"/>
      <c r="V1709" s="15"/>
      <c r="W1709" s="15"/>
    </row>
    <row r="1710">
      <c r="A1710" s="22"/>
      <c r="B1710" s="11"/>
      <c r="C1710" s="20"/>
      <c r="D1710" s="20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5"/>
      <c r="U1710" s="15"/>
      <c r="V1710" s="15"/>
      <c r="W1710" s="15"/>
    </row>
    <row r="1711">
      <c r="A1711" s="22"/>
      <c r="B1711" s="11"/>
      <c r="C1711" s="20"/>
      <c r="D1711" s="20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5"/>
      <c r="U1711" s="15"/>
      <c r="V1711" s="15"/>
      <c r="W1711" s="15"/>
    </row>
    <row r="1712">
      <c r="A1712" s="22"/>
      <c r="B1712" s="11"/>
      <c r="C1712" s="20"/>
      <c r="D1712" s="20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5"/>
      <c r="U1712" s="15"/>
      <c r="V1712" s="15"/>
      <c r="W1712" s="15"/>
    </row>
    <row r="1713">
      <c r="A1713" s="22"/>
      <c r="B1713" s="11"/>
      <c r="C1713" s="20"/>
      <c r="D1713" s="20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5"/>
      <c r="U1713" s="15"/>
      <c r="V1713" s="15"/>
      <c r="W1713" s="15"/>
    </row>
    <row r="1714">
      <c r="A1714" s="22"/>
      <c r="B1714" s="11"/>
      <c r="C1714" s="20"/>
      <c r="D1714" s="20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5"/>
      <c r="U1714" s="15"/>
      <c r="V1714" s="15"/>
      <c r="W1714" s="15"/>
    </row>
    <row r="1715">
      <c r="A1715" s="22"/>
      <c r="B1715" s="11"/>
      <c r="C1715" s="20"/>
      <c r="D1715" s="20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5"/>
      <c r="U1715" s="15"/>
      <c r="V1715" s="15"/>
      <c r="W1715" s="15"/>
    </row>
    <row r="1716">
      <c r="A1716" s="22"/>
      <c r="B1716" s="11"/>
      <c r="C1716" s="20"/>
      <c r="D1716" s="20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5"/>
      <c r="U1716" s="15"/>
      <c r="V1716" s="15"/>
      <c r="W1716" s="15"/>
    </row>
    <row r="1717">
      <c r="A1717" s="22"/>
      <c r="B1717" s="11"/>
      <c r="C1717" s="20"/>
      <c r="D1717" s="20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5"/>
      <c r="U1717" s="15"/>
      <c r="V1717" s="15"/>
      <c r="W1717" s="15"/>
    </row>
    <row r="1718">
      <c r="A1718" s="22"/>
      <c r="B1718" s="11"/>
      <c r="C1718" s="20"/>
      <c r="D1718" s="20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5"/>
      <c r="U1718" s="15"/>
      <c r="V1718" s="15"/>
      <c r="W1718" s="15"/>
    </row>
    <row r="1719">
      <c r="A1719" s="22"/>
      <c r="B1719" s="11"/>
      <c r="C1719" s="20"/>
      <c r="D1719" s="20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5"/>
      <c r="U1719" s="15"/>
      <c r="V1719" s="15"/>
      <c r="W1719" s="15"/>
    </row>
    <row r="1720">
      <c r="A1720" s="22"/>
      <c r="B1720" s="11"/>
      <c r="C1720" s="20"/>
      <c r="D1720" s="20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5"/>
      <c r="U1720" s="15"/>
      <c r="V1720" s="15"/>
      <c r="W1720" s="15"/>
    </row>
    <row r="1721">
      <c r="A1721" s="22"/>
      <c r="B1721" s="11"/>
      <c r="C1721" s="20"/>
      <c r="D1721" s="20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5"/>
      <c r="U1721" s="15"/>
      <c r="V1721" s="15"/>
      <c r="W1721" s="15"/>
    </row>
    <row r="1722">
      <c r="A1722" s="22"/>
      <c r="B1722" s="11"/>
      <c r="C1722" s="20"/>
      <c r="D1722" s="20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5"/>
      <c r="U1722" s="15"/>
      <c r="V1722" s="15"/>
      <c r="W1722" s="15"/>
    </row>
    <row r="1723">
      <c r="A1723" s="22"/>
      <c r="B1723" s="11"/>
      <c r="C1723" s="20"/>
      <c r="D1723" s="20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5"/>
      <c r="U1723" s="15"/>
      <c r="V1723" s="15"/>
      <c r="W1723" s="15"/>
    </row>
    <row r="1724">
      <c r="A1724" s="22"/>
      <c r="B1724" s="11"/>
      <c r="C1724" s="20"/>
      <c r="D1724" s="20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5"/>
      <c r="U1724" s="15"/>
      <c r="V1724" s="15"/>
      <c r="W1724" s="15"/>
    </row>
    <row r="1725">
      <c r="A1725" s="22"/>
      <c r="B1725" s="11"/>
      <c r="C1725" s="20"/>
      <c r="D1725" s="20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5"/>
      <c r="U1725" s="15"/>
      <c r="V1725" s="15"/>
      <c r="W1725" s="15"/>
    </row>
    <row r="1726">
      <c r="A1726" s="22"/>
      <c r="B1726" s="11"/>
      <c r="C1726" s="20"/>
      <c r="D1726" s="20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5"/>
      <c r="U1726" s="15"/>
      <c r="V1726" s="15"/>
      <c r="W1726" s="15"/>
    </row>
    <row r="1727">
      <c r="A1727" s="22"/>
      <c r="B1727" s="11"/>
      <c r="C1727" s="20"/>
      <c r="D1727" s="20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5"/>
      <c r="U1727" s="15"/>
      <c r="V1727" s="15"/>
      <c r="W1727" s="15"/>
    </row>
    <row r="1728">
      <c r="A1728" s="22"/>
      <c r="B1728" s="11"/>
      <c r="C1728" s="20"/>
      <c r="D1728" s="20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5"/>
      <c r="U1728" s="15"/>
      <c r="V1728" s="15"/>
      <c r="W1728" s="15"/>
    </row>
    <row r="1729">
      <c r="A1729" s="22"/>
      <c r="B1729" s="11"/>
      <c r="C1729" s="20"/>
      <c r="D1729" s="20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5"/>
      <c r="U1729" s="15"/>
      <c r="V1729" s="15"/>
      <c r="W1729" s="15"/>
    </row>
    <row r="1730">
      <c r="A1730" s="22"/>
      <c r="B1730" s="11"/>
      <c r="C1730" s="20"/>
      <c r="D1730" s="20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5"/>
      <c r="U1730" s="15"/>
      <c r="V1730" s="15"/>
      <c r="W1730" s="15"/>
    </row>
    <row r="1731">
      <c r="A1731" s="22"/>
      <c r="B1731" s="11"/>
      <c r="C1731" s="20"/>
      <c r="D1731" s="20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5"/>
      <c r="U1731" s="15"/>
      <c r="V1731" s="15"/>
      <c r="W1731" s="15"/>
    </row>
    <row r="1732">
      <c r="A1732" s="22"/>
      <c r="B1732" s="11"/>
      <c r="C1732" s="20"/>
      <c r="D1732" s="20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5"/>
      <c r="U1732" s="15"/>
      <c r="V1732" s="15"/>
      <c r="W1732" s="15"/>
    </row>
    <row r="1733">
      <c r="A1733" s="22"/>
      <c r="B1733" s="11"/>
      <c r="C1733" s="20"/>
      <c r="D1733" s="20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5"/>
      <c r="U1733" s="15"/>
      <c r="V1733" s="15"/>
      <c r="W1733" s="15"/>
    </row>
    <row r="1734">
      <c r="A1734" s="22"/>
      <c r="B1734" s="11"/>
      <c r="C1734" s="20"/>
      <c r="D1734" s="20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5"/>
      <c r="U1734" s="15"/>
      <c r="V1734" s="15"/>
      <c r="W1734" s="15"/>
    </row>
    <row r="1735">
      <c r="A1735" s="22"/>
      <c r="B1735" s="11"/>
      <c r="C1735" s="20"/>
      <c r="D1735" s="20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5"/>
      <c r="U1735" s="15"/>
      <c r="V1735" s="15"/>
      <c r="W1735" s="15"/>
    </row>
    <row r="1736">
      <c r="A1736" s="22"/>
      <c r="B1736" s="11"/>
      <c r="C1736" s="20"/>
      <c r="D1736" s="20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5"/>
      <c r="U1736" s="15"/>
      <c r="V1736" s="15"/>
      <c r="W1736" s="15"/>
    </row>
    <row r="1737">
      <c r="A1737" s="22"/>
      <c r="B1737" s="11"/>
      <c r="C1737" s="20"/>
      <c r="D1737" s="20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5"/>
      <c r="U1737" s="15"/>
      <c r="V1737" s="15"/>
      <c r="W1737" s="15"/>
    </row>
    <row r="1738">
      <c r="A1738" s="22"/>
      <c r="B1738" s="11"/>
      <c r="C1738" s="20"/>
      <c r="D1738" s="20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5"/>
      <c r="U1738" s="15"/>
      <c r="V1738" s="15"/>
      <c r="W1738" s="15"/>
    </row>
    <row r="1739">
      <c r="A1739" s="22"/>
      <c r="B1739" s="11"/>
      <c r="C1739" s="20"/>
      <c r="D1739" s="20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5"/>
      <c r="U1739" s="15"/>
      <c r="V1739" s="15"/>
      <c r="W1739" s="15"/>
    </row>
    <row r="1740">
      <c r="A1740" s="22"/>
      <c r="B1740" s="11"/>
      <c r="C1740" s="20"/>
      <c r="D1740" s="20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5"/>
      <c r="U1740" s="15"/>
      <c r="V1740" s="15"/>
      <c r="W1740" s="15"/>
    </row>
    <row r="1741">
      <c r="A1741" s="22"/>
      <c r="B1741" s="11"/>
      <c r="C1741" s="20"/>
      <c r="D1741" s="20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5"/>
      <c r="U1741" s="15"/>
      <c r="V1741" s="15"/>
      <c r="W1741" s="15"/>
    </row>
    <row r="1742">
      <c r="A1742" s="22"/>
      <c r="B1742" s="11"/>
      <c r="C1742" s="20"/>
      <c r="D1742" s="20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5"/>
      <c r="U1742" s="15"/>
      <c r="V1742" s="15"/>
      <c r="W1742" s="15"/>
    </row>
    <row r="1743">
      <c r="A1743" s="22"/>
      <c r="B1743" s="11"/>
      <c r="C1743" s="20"/>
      <c r="D1743" s="20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5"/>
      <c r="U1743" s="15"/>
      <c r="V1743" s="15"/>
      <c r="W1743" s="15"/>
    </row>
    <row r="1744">
      <c r="A1744" s="22"/>
      <c r="B1744" s="11"/>
      <c r="C1744" s="20"/>
      <c r="D1744" s="20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5"/>
      <c r="U1744" s="15"/>
      <c r="V1744" s="15"/>
      <c r="W1744" s="15"/>
    </row>
    <row r="1745">
      <c r="A1745" s="22"/>
      <c r="B1745" s="11"/>
      <c r="C1745" s="20"/>
      <c r="D1745" s="20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5"/>
      <c r="U1745" s="15"/>
      <c r="V1745" s="15"/>
      <c r="W1745" s="15"/>
    </row>
    <row r="1746">
      <c r="A1746" s="22"/>
      <c r="B1746" s="11"/>
      <c r="C1746" s="20"/>
      <c r="D1746" s="20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5"/>
      <c r="U1746" s="15"/>
      <c r="V1746" s="15"/>
      <c r="W1746" s="15"/>
    </row>
    <row r="1747">
      <c r="A1747" s="22"/>
      <c r="B1747" s="11"/>
      <c r="C1747" s="20"/>
      <c r="D1747" s="20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5"/>
      <c r="U1747" s="15"/>
      <c r="V1747" s="15"/>
      <c r="W1747" s="15"/>
    </row>
    <row r="1748">
      <c r="A1748" s="22"/>
      <c r="B1748" s="11"/>
      <c r="C1748" s="20"/>
      <c r="D1748" s="20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5"/>
      <c r="U1748" s="15"/>
      <c r="V1748" s="15"/>
      <c r="W1748" s="15"/>
    </row>
    <row r="1749">
      <c r="A1749" s="22"/>
      <c r="B1749" s="11"/>
      <c r="C1749" s="20"/>
      <c r="D1749" s="20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5"/>
      <c r="U1749" s="15"/>
      <c r="V1749" s="15"/>
      <c r="W1749" s="15"/>
    </row>
    <row r="1750">
      <c r="A1750" s="22"/>
      <c r="B1750" s="11"/>
      <c r="C1750" s="20"/>
      <c r="D1750" s="20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5"/>
      <c r="U1750" s="15"/>
      <c r="V1750" s="15"/>
      <c r="W1750" s="15"/>
    </row>
    <row r="1751">
      <c r="A1751" s="22"/>
      <c r="B1751" s="11"/>
      <c r="C1751" s="20"/>
      <c r="D1751" s="20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5"/>
      <c r="U1751" s="15"/>
      <c r="V1751" s="15"/>
      <c r="W1751" s="15"/>
    </row>
    <row r="1752">
      <c r="A1752" s="22"/>
      <c r="B1752" s="11"/>
      <c r="C1752" s="20"/>
      <c r="D1752" s="20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5"/>
      <c r="U1752" s="15"/>
      <c r="V1752" s="15"/>
      <c r="W1752" s="15"/>
    </row>
    <row r="1753">
      <c r="A1753" s="22"/>
      <c r="B1753" s="11"/>
      <c r="C1753" s="20"/>
      <c r="D1753" s="20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5"/>
      <c r="U1753" s="15"/>
      <c r="V1753" s="15"/>
      <c r="W1753" s="15"/>
    </row>
    <row r="1754">
      <c r="A1754" s="22"/>
      <c r="B1754" s="11"/>
      <c r="C1754" s="20"/>
      <c r="D1754" s="20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5"/>
      <c r="U1754" s="15"/>
      <c r="V1754" s="15"/>
      <c r="W1754" s="15"/>
    </row>
    <row r="1755">
      <c r="A1755" s="22"/>
      <c r="B1755" s="11"/>
      <c r="C1755" s="20"/>
      <c r="D1755" s="20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5"/>
      <c r="U1755" s="15"/>
      <c r="V1755" s="15"/>
      <c r="W1755" s="15"/>
    </row>
    <row r="1756">
      <c r="A1756" s="22"/>
      <c r="B1756" s="11"/>
      <c r="C1756" s="20"/>
      <c r="D1756" s="20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5"/>
      <c r="U1756" s="15"/>
      <c r="V1756" s="15"/>
      <c r="W1756" s="15"/>
    </row>
    <row r="1757">
      <c r="A1757" s="22"/>
      <c r="B1757" s="11"/>
      <c r="C1757" s="20"/>
      <c r="D1757" s="20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5"/>
      <c r="U1757" s="15"/>
      <c r="V1757" s="15"/>
      <c r="W1757" s="15"/>
    </row>
    <row r="1758">
      <c r="A1758" s="22"/>
      <c r="B1758" s="11"/>
      <c r="C1758" s="20"/>
      <c r="D1758" s="20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5"/>
      <c r="U1758" s="15"/>
      <c r="V1758" s="15"/>
      <c r="W1758" s="15"/>
    </row>
    <row r="1759">
      <c r="A1759" s="22"/>
      <c r="B1759" s="11"/>
      <c r="C1759" s="20"/>
      <c r="D1759" s="20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5"/>
      <c r="U1759" s="15"/>
      <c r="V1759" s="15"/>
      <c r="W1759" s="15"/>
    </row>
    <row r="1760">
      <c r="A1760" s="22"/>
      <c r="B1760" s="11"/>
      <c r="C1760" s="20"/>
      <c r="D1760" s="20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5"/>
      <c r="U1760" s="15"/>
      <c r="V1760" s="15"/>
      <c r="W1760" s="15"/>
    </row>
    <row r="1761">
      <c r="A1761" s="22"/>
      <c r="B1761" s="11"/>
      <c r="C1761" s="20"/>
      <c r="D1761" s="20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5"/>
      <c r="U1761" s="15"/>
      <c r="V1761" s="15"/>
      <c r="W1761" s="15"/>
    </row>
    <row r="1762">
      <c r="A1762" s="22"/>
      <c r="B1762" s="11"/>
      <c r="C1762" s="20"/>
      <c r="D1762" s="20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5"/>
      <c r="U1762" s="15"/>
      <c r="V1762" s="15"/>
      <c r="W1762" s="15"/>
    </row>
    <row r="1763">
      <c r="A1763" s="22"/>
      <c r="B1763" s="11"/>
      <c r="C1763" s="20"/>
      <c r="D1763" s="20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5"/>
      <c r="U1763" s="15"/>
      <c r="V1763" s="15"/>
      <c r="W1763" s="15"/>
    </row>
    <row r="1764">
      <c r="A1764" s="22"/>
      <c r="B1764" s="11"/>
      <c r="C1764" s="20"/>
      <c r="D1764" s="20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5"/>
      <c r="U1764" s="15"/>
      <c r="V1764" s="15"/>
      <c r="W1764" s="15"/>
    </row>
    <row r="1765">
      <c r="A1765" s="22"/>
      <c r="B1765" s="11"/>
      <c r="C1765" s="20"/>
      <c r="D1765" s="20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5"/>
      <c r="U1765" s="15"/>
      <c r="V1765" s="15"/>
      <c r="W1765" s="15"/>
    </row>
    <row r="1766">
      <c r="A1766" s="22"/>
      <c r="B1766" s="11"/>
      <c r="C1766" s="20"/>
      <c r="D1766" s="20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5"/>
      <c r="U1766" s="15"/>
      <c r="V1766" s="15"/>
      <c r="W1766" s="15"/>
    </row>
    <row r="1767">
      <c r="A1767" s="22"/>
      <c r="B1767" s="11"/>
      <c r="C1767" s="20"/>
      <c r="D1767" s="20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5"/>
      <c r="U1767" s="15"/>
      <c r="V1767" s="15"/>
      <c r="W1767" s="15"/>
    </row>
    <row r="1768">
      <c r="A1768" s="22"/>
      <c r="B1768" s="11"/>
      <c r="C1768" s="20"/>
      <c r="D1768" s="20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5"/>
      <c r="U1768" s="15"/>
      <c r="V1768" s="15"/>
      <c r="W1768" s="15"/>
    </row>
    <row r="1769">
      <c r="A1769" s="22"/>
      <c r="B1769" s="11"/>
      <c r="C1769" s="20"/>
      <c r="D1769" s="20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5"/>
      <c r="U1769" s="15"/>
      <c r="V1769" s="15"/>
      <c r="W1769" s="15"/>
    </row>
    <row r="1770">
      <c r="A1770" s="22"/>
      <c r="B1770" s="11"/>
      <c r="C1770" s="20"/>
      <c r="D1770" s="20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5"/>
      <c r="U1770" s="15"/>
      <c r="V1770" s="15"/>
      <c r="W1770" s="15"/>
    </row>
    <row r="1771">
      <c r="A1771" s="22"/>
      <c r="B1771" s="11"/>
      <c r="C1771" s="20"/>
      <c r="D1771" s="20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5"/>
      <c r="U1771" s="15"/>
      <c r="V1771" s="15"/>
      <c r="W1771" s="15"/>
    </row>
    <row r="1772">
      <c r="A1772" s="22"/>
      <c r="B1772" s="11"/>
      <c r="C1772" s="20"/>
      <c r="D1772" s="20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5"/>
      <c r="U1772" s="15"/>
      <c r="V1772" s="15"/>
      <c r="W1772" s="15"/>
    </row>
    <row r="1773">
      <c r="A1773" s="22"/>
      <c r="B1773" s="11"/>
      <c r="C1773" s="20"/>
      <c r="D1773" s="20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5"/>
      <c r="U1773" s="15"/>
      <c r="V1773" s="15"/>
      <c r="W1773" s="15"/>
    </row>
    <row r="1774">
      <c r="A1774" s="22"/>
      <c r="B1774" s="11"/>
      <c r="C1774" s="20"/>
      <c r="D1774" s="20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5"/>
      <c r="U1774" s="15"/>
      <c r="V1774" s="15"/>
      <c r="W1774" s="15"/>
    </row>
    <row r="1775">
      <c r="A1775" s="22"/>
      <c r="B1775" s="11"/>
      <c r="C1775" s="20"/>
      <c r="D1775" s="20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5"/>
      <c r="U1775" s="15"/>
      <c r="V1775" s="15"/>
      <c r="W1775" s="15"/>
    </row>
    <row r="1776">
      <c r="A1776" s="22"/>
      <c r="B1776" s="11"/>
      <c r="C1776" s="20"/>
      <c r="D1776" s="20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5"/>
      <c r="U1776" s="15"/>
      <c r="V1776" s="15"/>
      <c r="W1776" s="15"/>
    </row>
    <row r="1777">
      <c r="A1777" s="22"/>
      <c r="B1777" s="11"/>
      <c r="C1777" s="20"/>
      <c r="D1777" s="20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5"/>
      <c r="U1777" s="15"/>
      <c r="V1777" s="15"/>
      <c r="W1777" s="15"/>
    </row>
    <row r="1778">
      <c r="A1778" s="22"/>
      <c r="B1778" s="11"/>
      <c r="C1778" s="20"/>
      <c r="D1778" s="20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5"/>
      <c r="U1778" s="15"/>
      <c r="V1778" s="15"/>
      <c r="W1778" s="15"/>
    </row>
    <row r="1779">
      <c r="A1779" s="22"/>
      <c r="B1779" s="11"/>
      <c r="C1779" s="20"/>
      <c r="D1779" s="20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5"/>
      <c r="U1779" s="15"/>
      <c r="V1779" s="15"/>
      <c r="W1779" s="15"/>
    </row>
    <row r="1780">
      <c r="A1780" s="22"/>
      <c r="B1780" s="11"/>
      <c r="C1780" s="20"/>
      <c r="D1780" s="20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5"/>
      <c r="U1780" s="15"/>
      <c r="V1780" s="15"/>
      <c r="W1780" s="15"/>
    </row>
    <row r="1781">
      <c r="A1781" s="22"/>
      <c r="B1781" s="11"/>
      <c r="C1781" s="20"/>
      <c r="D1781" s="20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5"/>
      <c r="U1781" s="15"/>
      <c r="V1781" s="15"/>
      <c r="W1781" s="15"/>
    </row>
    <row r="1782">
      <c r="A1782" s="22"/>
      <c r="B1782" s="11"/>
      <c r="C1782" s="20"/>
      <c r="D1782" s="20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5"/>
      <c r="U1782" s="15"/>
      <c r="V1782" s="15"/>
      <c r="W1782" s="15"/>
    </row>
    <row r="1783">
      <c r="A1783" s="22"/>
      <c r="B1783" s="11"/>
      <c r="C1783" s="20"/>
      <c r="D1783" s="20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5"/>
      <c r="U1783" s="15"/>
      <c r="V1783" s="15"/>
      <c r="W1783" s="15"/>
    </row>
    <row r="1784">
      <c r="A1784" s="22"/>
      <c r="B1784" s="11"/>
      <c r="C1784" s="20"/>
      <c r="D1784" s="20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5"/>
      <c r="U1784" s="15"/>
      <c r="V1784" s="15"/>
      <c r="W1784" s="15"/>
    </row>
    <row r="1785">
      <c r="A1785" s="22"/>
      <c r="B1785" s="11"/>
      <c r="C1785" s="20"/>
      <c r="D1785" s="20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5"/>
      <c r="U1785" s="15"/>
      <c r="V1785" s="15"/>
      <c r="W1785" s="15"/>
    </row>
    <row r="1786">
      <c r="A1786" s="22"/>
      <c r="B1786" s="11"/>
      <c r="C1786" s="20"/>
      <c r="D1786" s="20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5"/>
      <c r="U1786" s="15"/>
      <c r="V1786" s="15"/>
      <c r="W1786" s="15"/>
    </row>
    <row r="1787">
      <c r="A1787" s="22"/>
      <c r="B1787" s="11"/>
      <c r="C1787" s="20"/>
      <c r="D1787" s="20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5"/>
      <c r="U1787" s="15"/>
      <c r="V1787" s="15"/>
      <c r="W1787" s="15"/>
    </row>
    <row r="1788">
      <c r="A1788" s="22"/>
      <c r="B1788" s="11"/>
      <c r="C1788" s="20"/>
      <c r="D1788" s="20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5"/>
      <c r="U1788" s="15"/>
      <c r="V1788" s="15"/>
      <c r="W1788" s="15"/>
    </row>
    <row r="1789">
      <c r="A1789" s="22"/>
      <c r="B1789" s="11"/>
      <c r="C1789" s="20"/>
      <c r="D1789" s="20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5"/>
      <c r="U1789" s="15"/>
      <c r="V1789" s="15"/>
      <c r="W1789" s="15"/>
    </row>
    <row r="1790">
      <c r="A1790" s="22"/>
      <c r="B1790" s="11"/>
      <c r="C1790" s="20"/>
      <c r="D1790" s="20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5"/>
      <c r="U1790" s="15"/>
      <c r="V1790" s="15"/>
      <c r="W1790" s="15"/>
    </row>
    <row r="1791">
      <c r="A1791" s="22"/>
      <c r="B1791" s="11"/>
      <c r="C1791" s="20"/>
      <c r="D1791" s="20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5"/>
      <c r="U1791" s="15"/>
      <c r="V1791" s="15"/>
      <c r="W1791" s="15"/>
    </row>
    <row r="1792">
      <c r="A1792" s="22"/>
      <c r="B1792" s="11"/>
      <c r="C1792" s="20"/>
      <c r="D1792" s="20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5"/>
      <c r="U1792" s="15"/>
      <c r="V1792" s="15"/>
      <c r="W1792" s="15"/>
    </row>
    <row r="1793">
      <c r="A1793" s="22"/>
      <c r="B1793" s="11"/>
      <c r="C1793" s="20"/>
      <c r="D1793" s="20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5"/>
      <c r="U1793" s="15"/>
      <c r="V1793" s="15"/>
      <c r="W1793" s="15"/>
    </row>
    <row r="1794">
      <c r="A1794" s="22"/>
      <c r="B1794" s="11"/>
      <c r="C1794" s="20"/>
      <c r="D1794" s="20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5"/>
      <c r="U1794" s="15"/>
      <c r="V1794" s="15"/>
      <c r="W1794" s="15"/>
    </row>
    <row r="1795">
      <c r="A1795" s="22"/>
      <c r="B1795" s="11"/>
      <c r="C1795" s="20"/>
      <c r="D1795" s="20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5"/>
      <c r="U1795" s="15"/>
      <c r="V1795" s="15"/>
      <c r="W1795" s="15"/>
    </row>
    <row r="1796">
      <c r="A1796" s="22"/>
      <c r="B1796" s="11"/>
      <c r="C1796" s="20"/>
      <c r="D1796" s="20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5"/>
      <c r="U1796" s="15"/>
      <c r="V1796" s="15"/>
      <c r="W1796" s="15"/>
    </row>
    <row r="1797">
      <c r="A1797" s="22"/>
      <c r="B1797" s="11"/>
      <c r="C1797" s="20"/>
      <c r="D1797" s="20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5"/>
      <c r="U1797" s="15"/>
      <c r="V1797" s="15"/>
      <c r="W1797" s="15"/>
    </row>
    <row r="1798">
      <c r="A1798" s="22"/>
      <c r="B1798" s="11"/>
      <c r="C1798" s="20"/>
      <c r="D1798" s="20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5"/>
      <c r="U1798" s="15"/>
      <c r="V1798" s="15"/>
      <c r="W1798" s="15"/>
    </row>
    <row r="1799">
      <c r="A1799" s="22"/>
      <c r="B1799" s="11"/>
      <c r="C1799" s="20"/>
      <c r="D1799" s="20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5"/>
      <c r="U1799" s="15"/>
      <c r="V1799" s="15"/>
      <c r="W1799" s="15"/>
    </row>
    <row r="1800">
      <c r="A1800" s="22"/>
      <c r="B1800" s="11"/>
      <c r="C1800" s="20"/>
      <c r="D1800" s="20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5"/>
      <c r="U1800" s="15"/>
      <c r="V1800" s="15"/>
      <c r="W1800" s="15"/>
    </row>
    <row r="1801">
      <c r="A1801" s="22"/>
      <c r="B1801" s="11"/>
      <c r="C1801" s="20"/>
      <c r="D1801" s="20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5"/>
      <c r="U1801" s="15"/>
      <c r="V1801" s="15"/>
      <c r="W1801" s="15"/>
    </row>
    <row r="1802">
      <c r="A1802" s="22"/>
      <c r="B1802" s="11"/>
      <c r="C1802" s="20"/>
      <c r="D1802" s="20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5"/>
      <c r="U1802" s="15"/>
      <c r="V1802" s="15"/>
      <c r="W1802" s="15"/>
    </row>
    <row r="1803">
      <c r="A1803" s="22"/>
      <c r="B1803" s="11"/>
      <c r="C1803" s="20"/>
      <c r="D1803" s="20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5"/>
      <c r="U1803" s="15"/>
      <c r="V1803" s="15"/>
      <c r="W1803" s="15"/>
    </row>
    <row r="1804">
      <c r="A1804" s="22"/>
      <c r="B1804" s="11"/>
      <c r="C1804" s="20"/>
      <c r="D1804" s="20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5"/>
      <c r="U1804" s="15"/>
      <c r="V1804" s="15"/>
      <c r="W1804" s="15"/>
    </row>
    <row r="1805">
      <c r="A1805" s="22"/>
      <c r="B1805" s="11"/>
      <c r="C1805" s="20"/>
      <c r="D1805" s="20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5"/>
      <c r="U1805" s="15"/>
      <c r="V1805" s="15"/>
      <c r="W1805" s="15"/>
    </row>
    <row r="1806">
      <c r="A1806" s="22"/>
      <c r="B1806" s="11"/>
      <c r="C1806" s="20"/>
      <c r="D1806" s="20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5"/>
      <c r="U1806" s="15"/>
      <c r="V1806" s="15"/>
      <c r="W1806" s="15"/>
    </row>
    <row r="1807">
      <c r="A1807" s="22"/>
      <c r="B1807" s="11"/>
      <c r="C1807" s="20"/>
      <c r="D1807" s="20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5"/>
      <c r="U1807" s="15"/>
      <c r="V1807" s="15"/>
      <c r="W1807" s="15"/>
    </row>
    <row r="1808">
      <c r="A1808" s="22"/>
      <c r="B1808" s="11"/>
      <c r="C1808" s="20"/>
      <c r="D1808" s="20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5"/>
      <c r="U1808" s="15"/>
      <c r="V1808" s="15"/>
      <c r="W1808" s="15"/>
    </row>
    <row r="1809">
      <c r="A1809" s="22"/>
      <c r="B1809" s="11"/>
      <c r="C1809" s="20"/>
      <c r="D1809" s="20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5"/>
      <c r="U1809" s="15"/>
      <c r="V1809" s="15"/>
      <c r="W1809" s="15"/>
    </row>
    <row r="1810">
      <c r="A1810" s="22"/>
      <c r="B1810" s="11"/>
      <c r="C1810" s="20"/>
      <c r="D1810" s="20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5"/>
      <c r="U1810" s="15"/>
      <c r="V1810" s="15"/>
      <c r="W1810" s="15"/>
    </row>
    <row r="1811">
      <c r="A1811" s="22"/>
      <c r="B1811" s="11"/>
      <c r="C1811" s="20"/>
      <c r="D1811" s="20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5"/>
      <c r="U1811" s="15"/>
      <c r="V1811" s="15"/>
      <c r="W1811" s="15"/>
    </row>
    <row r="1812">
      <c r="A1812" s="22"/>
      <c r="B1812" s="11"/>
      <c r="C1812" s="20"/>
      <c r="D1812" s="20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5"/>
      <c r="U1812" s="15"/>
      <c r="V1812" s="15"/>
      <c r="W1812" s="15"/>
    </row>
    <row r="1813">
      <c r="A1813" s="22"/>
      <c r="B1813" s="11"/>
      <c r="C1813" s="20"/>
      <c r="D1813" s="20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5"/>
      <c r="U1813" s="15"/>
      <c r="V1813" s="15"/>
      <c r="W1813" s="15"/>
    </row>
    <row r="1814">
      <c r="A1814" s="22"/>
      <c r="B1814" s="11"/>
      <c r="C1814" s="20"/>
      <c r="D1814" s="20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5"/>
      <c r="U1814" s="15"/>
      <c r="V1814" s="15"/>
      <c r="W1814" s="15"/>
    </row>
    <row r="1815">
      <c r="A1815" s="22"/>
      <c r="B1815" s="11"/>
      <c r="C1815" s="20"/>
      <c r="D1815" s="20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5"/>
      <c r="U1815" s="15"/>
      <c r="V1815" s="15"/>
      <c r="W1815" s="15"/>
    </row>
    <row r="1816">
      <c r="A1816" s="22"/>
      <c r="B1816" s="11"/>
      <c r="C1816" s="20"/>
      <c r="D1816" s="20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5"/>
      <c r="U1816" s="15"/>
      <c r="V1816" s="15"/>
      <c r="W1816" s="15"/>
    </row>
    <row r="1817">
      <c r="A1817" s="22"/>
      <c r="B1817" s="11"/>
      <c r="C1817" s="20"/>
      <c r="D1817" s="20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5"/>
      <c r="U1817" s="15"/>
      <c r="V1817" s="15"/>
      <c r="W1817" s="15"/>
    </row>
    <row r="1818">
      <c r="A1818" s="22"/>
      <c r="B1818" s="11"/>
      <c r="C1818" s="20"/>
      <c r="D1818" s="20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5"/>
      <c r="U1818" s="15"/>
      <c r="V1818" s="15"/>
      <c r="W1818" s="15"/>
    </row>
    <row r="1819">
      <c r="A1819" s="22"/>
      <c r="B1819" s="11"/>
      <c r="C1819" s="20"/>
      <c r="D1819" s="20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5"/>
      <c r="U1819" s="15"/>
      <c r="V1819" s="15"/>
      <c r="W1819" s="15"/>
    </row>
    <row r="1820">
      <c r="A1820" s="22"/>
      <c r="B1820" s="11"/>
      <c r="C1820" s="20"/>
      <c r="D1820" s="20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5"/>
      <c r="U1820" s="15"/>
      <c r="V1820" s="15"/>
      <c r="W1820" s="15"/>
    </row>
    <row r="1821">
      <c r="A1821" s="22"/>
      <c r="B1821" s="11"/>
      <c r="C1821" s="20"/>
      <c r="D1821" s="20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5"/>
      <c r="U1821" s="15"/>
      <c r="V1821" s="15"/>
      <c r="W1821" s="15"/>
    </row>
    <row r="1822">
      <c r="A1822" s="22"/>
      <c r="B1822" s="11"/>
      <c r="C1822" s="20"/>
      <c r="D1822" s="20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5"/>
      <c r="U1822" s="15"/>
      <c r="V1822" s="15"/>
      <c r="W1822" s="15"/>
    </row>
    <row r="1823">
      <c r="A1823" s="22"/>
      <c r="B1823" s="11"/>
      <c r="C1823" s="20"/>
      <c r="D1823" s="20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5"/>
      <c r="U1823" s="15"/>
      <c r="V1823" s="15"/>
      <c r="W1823" s="15"/>
    </row>
    <row r="1824">
      <c r="A1824" s="22"/>
      <c r="B1824" s="11"/>
      <c r="C1824" s="20"/>
      <c r="D1824" s="20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5"/>
      <c r="U1824" s="15"/>
      <c r="V1824" s="15"/>
      <c r="W1824" s="15"/>
    </row>
    <row r="1825">
      <c r="A1825" s="22"/>
      <c r="B1825" s="11"/>
      <c r="C1825" s="20"/>
      <c r="D1825" s="20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5"/>
      <c r="U1825" s="15"/>
      <c r="V1825" s="15"/>
      <c r="W1825" s="15"/>
    </row>
    <row r="1826">
      <c r="A1826" s="22"/>
      <c r="B1826" s="11"/>
      <c r="C1826" s="20"/>
      <c r="D1826" s="20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5"/>
      <c r="U1826" s="15"/>
      <c r="V1826" s="15"/>
      <c r="W1826" s="15"/>
    </row>
    <row r="1827">
      <c r="A1827" s="22"/>
      <c r="B1827" s="11"/>
      <c r="C1827" s="20"/>
      <c r="D1827" s="20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5"/>
      <c r="U1827" s="15"/>
      <c r="V1827" s="15"/>
      <c r="W1827" s="15"/>
    </row>
    <row r="1828">
      <c r="A1828" s="22"/>
      <c r="B1828" s="11"/>
      <c r="C1828" s="20"/>
      <c r="D1828" s="20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5"/>
      <c r="U1828" s="15"/>
      <c r="V1828" s="15"/>
      <c r="W1828" s="15"/>
    </row>
    <row r="1829">
      <c r="A1829" s="22"/>
      <c r="B1829" s="11"/>
      <c r="C1829" s="20"/>
      <c r="D1829" s="20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5"/>
      <c r="U1829" s="15"/>
      <c r="V1829" s="15"/>
      <c r="W1829" s="15"/>
    </row>
    <row r="1830">
      <c r="A1830" s="22"/>
      <c r="B1830" s="11"/>
      <c r="C1830" s="20"/>
      <c r="D1830" s="20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5"/>
      <c r="U1830" s="15"/>
      <c r="V1830" s="15"/>
      <c r="W1830" s="15"/>
    </row>
    <row r="1831">
      <c r="A1831" s="22"/>
      <c r="B1831" s="11"/>
      <c r="C1831" s="20"/>
      <c r="D1831" s="20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5"/>
      <c r="U1831" s="15"/>
      <c r="V1831" s="15"/>
      <c r="W1831" s="15"/>
    </row>
    <row r="1832">
      <c r="A1832" s="22"/>
      <c r="B1832" s="11"/>
      <c r="C1832" s="20"/>
      <c r="D1832" s="20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5"/>
      <c r="U1832" s="15"/>
      <c r="V1832" s="15"/>
      <c r="W1832" s="15"/>
    </row>
    <row r="1833">
      <c r="A1833" s="22"/>
      <c r="B1833" s="11"/>
      <c r="C1833" s="20"/>
      <c r="D1833" s="20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5"/>
      <c r="U1833" s="15"/>
      <c r="V1833" s="15"/>
      <c r="W1833" s="15"/>
    </row>
    <row r="1834">
      <c r="A1834" s="22"/>
      <c r="B1834" s="11"/>
      <c r="C1834" s="20"/>
      <c r="D1834" s="20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5"/>
      <c r="U1834" s="15"/>
      <c r="V1834" s="15"/>
      <c r="W1834" s="15"/>
    </row>
    <row r="1835">
      <c r="A1835" s="22"/>
      <c r="B1835" s="11"/>
      <c r="C1835" s="20"/>
      <c r="D1835" s="20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5"/>
      <c r="U1835" s="15"/>
      <c r="V1835" s="15"/>
      <c r="W1835" s="15"/>
    </row>
    <row r="1836">
      <c r="A1836" s="22"/>
      <c r="B1836" s="11"/>
      <c r="C1836" s="20"/>
      <c r="D1836" s="20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5"/>
      <c r="U1836" s="15"/>
      <c r="V1836" s="15"/>
      <c r="W1836" s="15"/>
    </row>
    <row r="1837">
      <c r="A1837" s="22"/>
      <c r="B1837" s="11"/>
      <c r="C1837" s="20"/>
      <c r="D1837" s="20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5"/>
      <c r="U1837" s="15"/>
      <c r="V1837" s="15"/>
      <c r="W1837" s="15"/>
    </row>
    <row r="1838">
      <c r="A1838" s="22"/>
      <c r="B1838" s="11"/>
      <c r="C1838" s="20"/>
      <c r="D1838" s="20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5"/>
      <c r="U1838" s="15"/>
      <c r="V1838" s="15"/>
      <c r="W1838" s="15"/>
    </row>
    <row r="1839">
      <c r="A1839" s="22"/>
      <c r="B1839" s="11"/>
      <c r="C1839" s="20"/>
      <c r="D1839" s="20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5"/>
      <c r="U1839" s="15"/>
      <c r="V1839" s="15"/>
      <c r="W1839" s="15"/>
    </row>
    <row r="1840">
      <c r="A1840" s="22"/>
      <c r="B1840" s="11"/>
      <c r="C1840" s="20"/>
      <c r="D1840" s="20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5"/>
      <c r="U1840" s="15"/>
      <c r="V1840" s="15"/>
      <c r="W1840" s="15"/>
    </row>
    <row r="1841">
      <c r="A1841" s="22"/>
      <c r="B1841" s="11"/>
      <c r="C1841" s="20"/>
      <c r="D1841" s="20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5"/>
      <c r="U1841" s="15"/>
      <c r="V1841" s="15"/>
      <c r="W1841" s="15"/>
    </row>
    <row r="1842">
      <c r="A1842" s="22"/>
      <c r="B1842" s="11"/>
      <c r="C1842" s="20"/>
      <c r="D1842" s="20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5"/>
      <c r="U1842" s="15"/>
      <c r="V1842" s="15"/>
      <c r="W1842" s="15"/>
    </row>
    <row r="1843">
      <c r="A1843" s="22"/>
      <c r="B1843" s="11"/>
      <c r="C1843" s="20"/>
      <c r="D1843" s="20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5"/>
      <c r="U1843" s="15"/>
      <c r="V1843" s="15"/>
      <c r="W1843" s="15"/>
    </row>
    <row r="1844">
      <c r="A1844" s="22"/>
      <c r="B1844" s="11"/>
      <c r="C1844" s="20"/>
      <c r="D1844" s="20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5"/>
      <c r="U1844" s="15"/>
      <c r="V1844" s="15"/>
      <c r="W1844" s="15"/>
    </row>
    <row r="1845">
      <c r="A1845" s="22"/>
      <c r="B1845" s="11"/>
      <c r="C1845" s="20"/>
      <c r="D1845" s="20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5"/>
      <c r="U1845" s="15"/>
      <c r="V1845" s="15"/>
      <c r="W1845" s="15"/>
    </row>
    <row r="1846">
      <c r="A1846" s="22"/>
      <c r="B1846" s="11"/>
      <c r="C1846" s="20"/>
      <c r="D1846" s="20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5"/>
      <c r="U1846" s="15"/>
      <c r="V1846" s="15"/>
      <c r="W1846" s="15"/>
    </row>
    <row r="1847">
      <c r="A1847" s="22"/>
      <c r="B1847" s="11"/>
      <c r="C1847" s="20"/>
      <c r="D1847" s="20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5"/>
      <c r="U1847" s="15"/>
      <c r="V1847" s="15"/>
      <c r="W1847" s="15"/>
    </row>
    <row r="1848">
      <c r="A1848" s="22"/>
      <c r="B1848" s="11"/>
      <c r="C1848" s="20"/>
      <c r="D1848" s="20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5"/>
      <c r="U1848" s="15"/>
      <c r="V1848" s="15"/>
      <c r="W1848" s="15"/>
    </row>
    <row r="1849">
      <c r="A1849" s="22"/>
      <c r="B1849" s="11"/>
      <c r="C1849" s="20"/>
      <c r="D1849" s="20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5"/>
      <c r="U1849" s="15"/>
      <c r="V1849" s="15"/>
      <c r="W1849" s="15"/>
    </row>
    <row r="1850">
      <c r="A1850" s="22"/>
      <c r="B1850" s="11"/>
      <c r="C1850" s="20"/>
      <c r="D1850" s="20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5"/>
      <c r="U1850" s="15"/>
      <c r="V1850" s="15"/>
      <c r="W1850" s="15"/>
    </row>
    <row r="1851">
      <c r="A1851" s="22"/>
      <c r="B1851" s="11"/>
      <c r="C1851" s="20"/>
      <c r="D1851" s="20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5"/>
      <c r="U1851" s="15"/>
      <c r="V1851" s="15"/>
      <c r="W1851" s="15"/>
    </row>
    <row r="1852">
      <c r="A1852" s="22"/>
      <c r="B1852" s="11"/>
      <c r="C1852" s="20"/>
      <c r="D1852" s="20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5"/>
      <c r="U1852" s="15"/>
      <c r="V1852" s="15"/>
      <c r="W1852" s="15"/>
    </row>
    <row r="1853">
      <c r="A1853" s="22"/>
      <c r="B1853" s="11"/>
      <c r="C1853" s="20"/>
      <c r="D1853" s="20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5"/>
      <c r="U1853" s="15"/>
      <c r="V1853" s="15"/>
      <c r="W1853" s="15"/>
    </row>
    <row r="1854">
      <c r="A1854" s="22"/>
      <c r="B1854" s="11"/>
      <c r="C1854" s="20"/>
      <c r="D1854" s="20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5"/>
      <c r="U1854" s="15"/>
      <c r="V1854" s="15"/>
      <c r="W1854" s="15"/>
    </row>
    <row r="1855">
      <c r="A1855" s="22"/>
      <c r="B1855" s="11"/>
      <c r="C1855" s="20"/>
      <c r="D1855" s="20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5"/>
      <c r="U1855" s="15"/>
      <c r="V1855" s="15"/>
      <c r="W1855" s="15"/>
    </row>
    <row r="1856">
      <c r="A1856" s="22"/>
      <c r="B1856" s="11"/>
      <c r="C1856" s="20"/>
      <c r="D1856" s="20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5"/>
      <c r="U1856" s="15"/>
      <c r="V1856" s="15"/>
      <c r="W1856" s="15"/>
    </row>
    <row r="1857">
      <c r="A1857" s="22"/>
      <c r="B1857" s="11"/>
      <c r="C1857" s="20"/>
      <c r="D1857" s="20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5"/>
      <c r="U1857" s="15"/>
      <c r="V1857" s="15"/>
      <c r="W1857" s="15"/>
    </row>
    <row r="1858">
      <c r="A1858" s="22"/>
      <c r="B1858" s="11"/>
      <c r="C1858" s="20"/>
      <c r="D1858" s="20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5"/>
      <c r="U1858" s="15"/>
      <c r="V1858" s="15"/>
      <c r="W1858" s="15"/>
    </row>
    <row r="1859">
      <c r="A1859" s="22"/>
      <c r="B1859" s="11"/>
      <c r="C1859" s="20"/>
      <c r="D1859" s="20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5"/>
      <c r="U1859" s="15"/>
      <c r="V1859" s="15"/>
      <c r="W1859" s="15"/>
    </row>
    <row r="1860">
      <c r="A1860" s="22"/>
      <c r="B1860" s="11"/>
      <c r="C1860" s="20"/>
      <c r="D1860" s="20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5"/>
      <c r="U1860" s="15"/>
      <c r="V1860" s="15"/>
      <c r="W1860" s="15"/>
    </row>
    <row r="1861">
      <c r="A1861" s="22"/>
      <c r="B1861" s="11"/>
      <c r="C1861" s="20"/>
      <c r="D1861" s="20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5"/>
      <c r="U1861" s="15"/>
      <c r="V1861" s="15"/>
      <c r="W1861" s="15"/>
    </row>
    <row r="1862">
      <c r="A1862" s="22"/>
      <c r="B1862" s="11"/>
      <c r="C1862" s="20"/>
      <c r="D1862" s="20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5"/>
      <c r="U1862" s="15"/>
      <c r="V1862" s="15"/>
      <c r="W1862" s="15"/>
    </row>
    <row r="1863">
      <c r="A1863" s="22"/>
      <c r="B1863" s="11"/>
      <c r="C1863" s="20"/>
      <c r="D1863" s="20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5"/>
      <c r="U1863" s="15"/>
      <c r="V1863" s="15"/>
      <c r="W1863" s="15"/>
    </row>
    <row r="1864">
      <c r="A1864" s="22"/>
      <c r="B1864" s="11"/>
      <c r="C1864" s="20"/>
      <c r="D1864" s="20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5"/>
      <c r="U1864" s="15"/>
      <c r="V1864" s="15"/>
      <c r="W1864" s="15"/>
    </row>
    <row r="1865">
      <c r="A1865" s="22"/>
      <c r="B1865" s="11"/>
      <c r="C1865" s="20"/>
      <c r="D1865" s="20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5"/>
      <c r="U1865" s="15"/>
      <c r="V1865" s="15"/>
      <c r="W1865" s="15"/>
    </row>
    <row r="1866">
      <c r="A1866" s="22"/>
      <c r="B1866" s="11"/>
      <c r="C1866" s="20"/>
      <c r="D1866" s="20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5"/>
      <c r="U1866" s="15"/>
      <c r="V1866" s="15"/>
      <c r="W1866" s="15"/>
    </row>
    <row r="1867">
      <c r="A1867" s="22"/>
      <c r="B1867" s="11"/>
      <c r="C1867" s="20"/>
      <c r="D1867" s="20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5"/>
      <c r="U1867" s="15"/>
      <c r="V1867" s="15"/>
      <c r="W1867" s="15"/>
    </row>
    <row r="1868">
      <c r="A1868" s="22"/>
      <c r="B1868" s="11"/>
      <c r="C1868" s="20"/>
      <c r="D1868" s="20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5"/>
      <c r="U1868" s="15"/>
      <c r="V1868" s="15"/>
      <c r="W1868" s="15"/>
    </row>
    <row r="1869">
      <c r="A1869" s="22"/>
      <c r="B1869" s="11"/>
      <c r="C1869" s="20"/>
      <c r="D1869" s="20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5"/>
      <c r="U1869" s="15"/>
      <c r="V1869" s="15"/>
      <c r="W1869" s="15"/>
    </row>
    <row r="1870">
      <c r="A1870" s="22"/>
      <c r="B1870" s="11"/>
      <c r="C1870" s="20"/>
      <c r="D1870" s="20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5"/>
      <c r="U1870" s="15"/>
      <c r="V1870" s="15"/>
      <c r="W1870" s="15"/>
    </row>
    <row r="1871">
      <c r="A1871" s="22"/>
      <c r="B1871" s="11"/>
      <c r="C1871" s="20"/>
      <c r="D1871" s="20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5"/>
      <c r="U1871" s="15"/>
      <c r="V1871" s="15"/>
      <c r="W1871" s="15"/>
    </row>
    <row r="1872">
      <c r="A1872" s="22"/>
      <c r="B1872" s="11"/>
      <c r="C1872" s="20"/>
      <c r="D1872" s="20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5"/>
      <c r="U1872" s="15"/>
      <c r="V1872" s="15"/>
      <c r="W1872" s="15"/>
    </row>
    <row r="1873">
      <c r="A1873" s="22"/>
      <c r="B1873" s="11"/>
      <c r="C1873" s="20"/>
      <c r="D1873" s="20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5"/>
      <c r="U1873" s="15"/>
      <c r="V1873" s="15"/>
      <c r="W1873" s="15"/>
    </row>
    <row r="1874">
      <c r="A1874" s="22"/>
      <c r="B1874" s="11"/>
      <c r="C1874" s="20"/>
      <c r="D1874" s="20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5"/>
      <c r="U1874" s="15"/>
      <c r="V1874" s="15"/>
      <c r="W1874" s="15"/>
    </row>
    <row r="1875">
      <c r="A1875" s="22"/>
      <c r="B1875" s="11"/>
      <c r="C1875" s="20"/>
      <c r="D1875" s="20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5"/>
      <c r="U1875" s="15"/>
      <c r="V1875" s="15"/>
      <c r="W1875" s="15"/>
    </row>
    <row r="1876">
      <c r="A1876" s="22"/>
      <c r="B1876" s="11"/>
      <c r="C1876" s="20"/>
      <c r="D1876" s="20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5"/>
      <c r="U1876" s="15"/>
      <c r="V1876" s="15"/>
      <c r="W1876" s="15"/>
    </row>
    <row r="1877">
      <c r="A1877" s="22"/>
      <c r="B1877" s="11"/>
      <c r="C1877" s="20"/>
      <c r="D1877" s="20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5"/>
      <c r="U1877" s="15"/>
      <c r="V1877" s="15"/>
      <c r="W1877" s="15"/>
    </row>
    <row r="1878">
      <c r="A1878" s="22"/>
      <c r="B1878" s="11"/>
      <c r="C1878" s="20"/>
      <c r="D1878" s="20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5"/>
      <c r="U1878" s="15"/>
      <c r="V1878" s="15"/>
      <c r="W1878" s="15"/>
    </row>
    <row r="1879">
      <c r="A1879" s="22"/>
      <c r="B1879" s="11"/>
      <c r="C1879" s="20"/>
      <c r="D1879" s="20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5"/>
      <c r="U1879" s="15"/>
      <c r="V1879" s="15"/>
      <c r="W1879" s="15"/>
    </row>
    <row r="1880">
      <c r="A1880" s="22"/>
      <c r="B1880" s="11"/>
      <c r="C1880" s="20"/>
      <c r="D1880" s="20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5"/>
      <c r="U1880" s="15"/>
      <c r="V1880" s="15"/>
      <c r="W1880" s="15"/>
    </row>
    <row r="1881">
      <c r="A1881" s="22"/>
      <c r="B1881" s="11"/>
      <c r="C1881" s="20"/>
      <c r="D1881" s="20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5"/>
      <c r="U1881" s="15"/>
      <c r="V1881" s="15"/>
      <c r="W1881" s="15"/>
    </row>
    <row r="1882">
      <c r="A1882" s="22"/>
      <c r="B1882" s="11"/>
      <c r="C1882" s="20"/>
      <c r="D1882" s="20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5"/>
      <c r="U1882" s="15"/>
      <c r="V1882" s="15"/>
      <c r="W1882" s="15"/>
    </row>
    <row r="1883">
      <c r="A1883" s="22"/>
      <c r="B1883" s="11"/>
      <c r="C1883" s="20"/>
      <c r="D1883" s="20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5"/>
      <c r="U1883" s="15"/>
      <c r="V1883" s="15"/>
      <c r="W1883" s="15"/>
    </row>
    <row r="1884">
      <c r="A1884" s="22"/>
      <c r="B1884" s="11"/>
      <c r="C1884" s="20"/>
      <c r="D1884" s="20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5"/>
      <c r="U1884" s="15"/>
      <c r="V1884" s="15"/>
      <c r="W1884" s="15"/>
    </row>
    <row r="1885">
      <c r="A1885" s="22"/>
      <c r="B1885" s="11"/>
      <c r="C1885" s="20"/>
      <c r="D1885" s="20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5"/>
      <c r="U1885" s="15"/>
      <c r="V1885" s="15"/>
      <c r="W1885" s="15"/>
    </row>
    <row r="1886">
      <c r="A1886" s="22"/>
      <c r="B1886" s="11"/>
      <c r="C1886" s="20"/>
      <c r="D1886" s="20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5"/>
      <c r="U1886" s="15"/>
      <c r="V1886" s="15"/>
      <c r="W1886" s="15"/>
    </row>
    <row r="1887">
      <c r="A1887" s="22"/>
      <c r="B1887" s="11"/>
      <c r="C1887" s="20"/>
      <c r="D1887" s="20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5"/>
      <c r="U1887" s="15"/>
      <c r="V1887" s="15"/>
      <c r="W1887" s="15"/>
    </row>
    <row r="1888">
      <c r="A1888" s="22"/>
      <c r="B1888" s="11"/>
      <c r="C1888" s="20"/>
      <c r="D1888" s="20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5"/>
      <c r="U1888" s="15"/>
      <c r="V1888" s="15"/>
      <c r="W1888" s="15"/>
    </row>
    <row r="1889">
      <c r="A1889" s="22"/>
      <c r="B1889" s="11"/>
      <c r="C1889" s="20"/>
      <c r="D1889" s="20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5"/>
      <c r="U1889" s="15"/>
      <c r="V1889" s="15"/>
      <c r="W1889" s="15"/>
    </row>
    <row r="1890">
      <c r="A1890" s="22"/>
      <c r="B1890" s="11"/>
      <c r="C1890" s="20"/>
      <c r="D1890" s="20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5"/>
      <c r="U1890" s="15"/>
      <c r="V1890" s="15"/>
      <c r="W1890" s="15"/>
    </row>
    <row r="1891">
      <c r="A1891" s="22"/>
      <c r="B1891" s="11"/>
      <c r="C1891" s="20"/>
      <c r="D1891" s="20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5"/>
      <c r="U1891" s="15"/>
      <c r="V1891" s="15"/>
      <c r="W1891" s="15"/>
    </row>
    <row r="1892">
      <c r="A1892" s="22"/>
      <c r="B1892" s="11"/>
      <c r="C1892" s="20"/>
      <c r="D1892" s="20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5"/>
      <c r="U1892" s="15"/>
      <c r="V1892" s="15"/>
      <c r="W1892" s="15"/>
    </row>
    <row r="1893">
      <c r="A1893" s="22"/>
      <c r="B1893" s="11"/>
      <c r="C1893" s="20"/>
      <c r="D1893" s="20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5"/>
      <c r="U1893" s="15"/>
      <c r="V1893" s="15"/>
      <c r="W1893" s="15"/>
    </row>
    <row r="1894">
      <c r="A1894" s="22"/>
      <c r="B1894" s="11"/>
      <c r="C1894" s="20"/>
      <c r="D1894" s="20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5"/>
      <c r="U1894" s="15"/>
      <c r="V1894" s="15"/>
      <c r="W1894" s="15"/>
    </row>
    <row r="1895">
      <c r="A1895" s="22"/>
      <c r="B1895" s="11"/>
      <c r="C1895" s="20"/>
      <c r="D1895" s="20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5"/>
      <c r="U1895" s="15"/>
      <c r="V1895" s="15"/>
      <c r="W1895" s="15"/>
    </row>
    <row r="1896">
      <c r="A1896" s="22"/>
      <c r="B1896" s="11"/>
      <c r="C1896" s="20"/>
      <c r="D1896" s="20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5"/>
      <c r="U1896" s="15"/>
      <c r="V1896" s="15"/>
      <c r="W1896" s="15"/>
    </row>
    <row r="1897">
      <c r="A1897" s="22"/>
      <c r="B1897" s="11"/>
      <c r="C1897" s="20"/>
      <c r="D1897" s="20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5"/>
      <c r="U1897" s="15"/>
      <c r="V1897" s="15"/>
      <c r="W1897" s="15"/>
    </row>
    <row r="1898">
      <c r="A1898" s="22"/>
      <c r="B1898" s="11"/>
      <c r="C1898" s="20"/>
      <c r="D1898" s="20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5"/>
      <c r="U1898" s="15"/>
      <c r="V1898" s="15"/>
      <c r="W1898" s="15"/>
    </row>
    <row r="1899">
      <c r="A1899" s="22"/>
      <c r="B1899" s="11"/>
      <c r="C1899" s="20"/>
      <c r="D1899" s="20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5"/>
      <c r="U1899" s="15"/>
      <c r="V1899" s="15"/>
      <c r="W1899" s="15"/>
    </row>
    <row r="1900">
      <c r="A1900" s="22"/>
      <c r="B1900" s="11"/>
      <c r="C1900" s="20"/>
      <c r="D1900" s="20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5"/>
      <c r="U1900" s="15"/>
      <c r="V1900" s="15"/>
      <c r="W1900" s="15"/>
    </row>
    <row r="1901">
      <c r="A1901" s="22"/>
      <c r="B1901" s="11"/>
      <c r="C1901" s="20"/>
      <c r="D1901" s="20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5"/>
      <c r="U1901" s="15"/>
      <c r="V1901" s="15"/>
      <c r="W1901" s="15"/>
    </row>
    <row r="1902">
      <c r="A1902" s="22"/>
      <c r="B1902" s="11"/>
      <c r="C1902" s="20"/>
      <c r="D1902" s="20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5"/>
      <c r="U1902" s="15"/>
      <c r="V1902" s="15"/>
      <c r="W1902" s="15"/>
    </row>
    <row r="1903">
      <c r="A1903" s="22"/>
      <c r="B1903" s="11"/>
      <c r="C1903" s="20"/>
      <c r="D1903" s="20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5"/>
      <c r="U1903" s="15"/>
      <c r="V1903" s="15"/>
      <c r="W1903" s="15"/>
    </row>
    <row r="1904">
      <c r="A1904" s="22"/>
      <c r="B1904" s="11"/>
      <c r="C1904" s="20"/>
      <c r="D1904" s="20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5"/>
      <c r="U1904" s="15"/>
      <c r="V1904" s="15"/>
      <c r="W1904" s="15"/>
    </row>
    <row r="1905">
      <c r="A1905" s="22"/>
      <c r="B1905" s="11"/>
      <c r="C1905" s="20"/>
      <c r="D1905" s="20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5"/>
      <c r="U1905" s="15"/>
      <c r="V1905" s="15"/>
      <c r="W1905" s="15"/>
    </row>
    <row r="1906">
      <c r="A1906" s="22"/>
      <c r="B1906" s="11"/>
      <c r="C1906" s="20"/>
      <c r="D1906" s="20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5"/>
      <c r="U1906" s="15"/>
      <c r="V1906" s="15"/>
      <c r="W1906" s="15"/>
    </row>
    <row r="1907">
      <c r="A1907" s="22"/>
      <c r="B1907" s="11"/>
      <c r="C1907" s="20"/>
      <c r="D1907" s="20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5"/>
      <c r="U1907" s="15"/>
      <c r="V1907" s="15"/>
      <c r="W1907" s="15"/>
    </row>
    <row r="1908">
      <c r="A1908" s="22"/>
      <c r="B1908" s="11"/>
      <c r="C1908" s="20"/>
      <c r="D1908" s="20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5"/>
      <c r="U1908" s="15"/>
      <c r="V1908" s="15"/>
      <c r="W1908" s="15"/>
    </row>
    <row r="1909">
      <c r="A1909" s="22"/>
      <c r="B1909" s="11"/>
      <c r="C1909" s="20"/>
      <c r="D1909" s="20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5"/>
      <c r="U1909" s="15"/>
      <c r="V1909" s="15"/>
      <c r="W1909" s="15"/>
    </row>
    <row r="1910">
      <c r="A1910" s="22"/>
      <c r="B1910" s="11"/>
      <c r="C1910" s="20"/>
      <c r="D1910" s="20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5"/>
      <c r="U1910" s="15"/>
      <c r="V1910" s="15"/>
      <c r="W1910" s="15"/>
    </row>
    <row r="1911">
      <c r="A1911" s="22"/>
      <c r="B1911" s="11"/>
      <c r="C1911" s="20"/>
      <c r="D1911" s="20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5"/>
      <c r="U1911" s="15"/>
      <c r="V1911" s="15"/>
      <c r="W1911" s="15"/>
    </row>
    <row r="1912">
      <c r="A1912" s="22"/>
      <c r="B1912" s="11"/>
      <c r="C1912" s="20"/>
      <c r="D1912" s="20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5"/>
      <c r="U1912" s="15"/>
      <c r="V1912" s="15"/>
      <c r="W1912" s="15"/>
    </row>
    <row r="1913">
      <c r="A1913" s="22"/>
      <c r="B1913" s="11"/>
      <c r="C1913" s="20"/>
      <c r="D1913" s="20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5"/>
      <c r="U1913" s="15"/>
      <c r="V1913" s="15"/>
      <c r="W1913" s="15"/>
    </row>
    <row r="1914">
      <c r="A1914" s="22"/>
      <c r="B1914" s="11"/>
      <c r="C1914" s="20"/>
      <c r="D1914" s="20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5"/>
      <c r="U1914" s="15"/>
      <c r="V1914" s="15"/>
      <c r="W1914" s="15"/>
    </row>
    <row r="1915">
      <c r="A1915" s="22"/>
      <c r="B1915" s="11"/>
      <c r="C1915" s="20"/>
      <c r="D1915" s="20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5"/>
      <c r="U1915" s="15"/>
      <c r="V1915" s="15"/>
      <c r="W1915" s="15"/>
    </row>
    <row r="1916">
      <c r="A1916" s="22"/>
      <c r="B1916" s="11"/>
      <c r="C1916" s="20"/>
      <c r="D1916" s="20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5"/>
      <c r="U1916" s="15"/>
      <c r="V1916" s="15"/>
      <c r="W1916" s="15"/>
    </row>
    <row r="1917">
      <c r="A1917" s="22"/>
      <c r="B1917" s="11"/>
      <c r="C1917" s="20"/>
      <c r="D1917" s="20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5"/>
      <c r="U1917" s="15"/>
      <c r="V1917" s="15"/>
      <c r="W1917" s="15"/>
    </row>
    <row r="1918">
      <c r="A1918" s="22"/>
      <c r="B1918" s="11"/>
      <c r="C1918" s="20"/>
      <c r="D1918" s="20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5"/>
      <c r="U1918" s="15"/>
      <c r="V1918" s="15"/>
      <c r="W1918" s="15"/>
    </row>
    <row r="1919">
      <c r="A1919" s="22"/>
      <c r="B1919" s="11"/>
      <c r="C1919" s="20"/>
      <c r="D1919" s="20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5"/>
      <c r="U1919" s="15"/>
      <c r="V1919" s="15"/>
      <c r="W1919" s="15"/>
    </row>
    <row r="1920">
      <c r="A1920" s="22"/>
      <c r="B1920" s="11"/>
      <c r="C1920" s="20"/>
      <c r="D1920" s="20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5"/>
      <c r="U1920" s="15"/>
      <c r="V1920" s="15"/>
      <c r="W1920" s="15"/>
    </row>
    <row r="1921">
      <c r="A1921" s="22"/>
      <c r="B1921" s="11"/>
      <c r="C1921" s="20"/>
      <c r="D1921" s="20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5"/>
      <c r="U1921" s="15"/>
      <c r="V1921" s="15"/>
      <c r="W1921" s="15"/>
    </row>
    <row r="1922">
      <c r="A1922" s="22"/>
      <c r="B1922" s="11"/>
      <c r="C1922" s="20"/>
      <c r="D1922" s="20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5"/>
      <c r="U1922" s="15"/>
      <c r="V1922" s="15"/>
      <c r="W1922" s="15"/>
    </row>
    <row r="1923">
      <c r="A1923" s="22"/>
      <c r="B1923" s="11"/>
      <c r="C1923" s="20"/>
      <c r="D1923" s="20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5"/>
      <c r="U1923" s="15"/>
      <c r="V1923" s="15"/>
      <c r="W1923" s="15"/>
    </row>
    <row r="1924">
      <c r="A1924" s="22"/>
      <c r="B1924" s="11"/>
      <c r="C1924" s="20"/>
      <c r="D1924" s="20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5"/>
      <c r="U1924" s="15"/>
      <c r="V1924" s="15"/>
      <c r="W1924" s="15"/>
    </row>
    <row r="1925">
      <c r="A1925" s="22"/>
      <c r="B1925" s="11"/>
      <c r="C1925" s="20"/>
      <c r="D1925" s="20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5"/>
      <c r="U1925" s="15"/>
      <c r="V1925" s="15"/>
      <c r="W1925" s="15"/>
    </row>
    <row r="1926">
      <c r="A1926" s="22"/>
      <c r="B1926" s="11"/>
      <c r="C1926" s="20"/>
      <c r="D1926" s="20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5"/>
      <c r="U1926" s="15"/>
      <c r="V1926" s="15"/>
      <c r="W1926" s="15"/>
    </row>
    <row r="1927">
      <c r="A1927" s="22"/>
      <c r="B1927" s="11"/>
      <c r="C1927" s="20"/>
      <c r="D1927" s="20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5"/>
      <c r="U1927" s="15"/>
      <c r="V1927" s="15"/>
      <c r="W1927" s="15"/>
    </row>
    <row r="1928">
      <c r="A1928" s="22"/>
      <c r="B1928" s="11"/>
      <c r="C1928" s="20"/>
      <c r="D1928" s="20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5"/>
      <c r="U1928" s="15"/>
      <c r="V1928" s="15"/>
      <c r="W1928" s="15"/>
    </row>
    <row r="1929">
      <c r="A1929" s="22"/>
      <c r="B1929" s="11"/>
      <c r="C1929" s="20"/>
      <c r="D1929" s="20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5"/>
      <c r="U1929" s="15"/>
      <c r="V1929" s="15"/>
      <c r="W1929" s="15"/>
    </row>
    <row r="1930">
      <c r="A1930" s="22"/>
      <c r="B1930" s="11"/>
      <c r="C1930" s="20"/>
      <c r="D1930" s="20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5"/>
      <c r="U1930" s="15"/>
      <c r="V1930" s="15"/>
      <c r="W1930" s="15"/>
    </row>
    <row r="1931">
      <c r="A1931" s="22"/>
      <c r="B1931" s="11"/>
      <c r="C1931" s="20"/>
      <c r="D1931" s="20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5"/>
      <c r="U1931" s="15"/>
      <c r="V1931" s="15"/>
      <c r="W1931" s="15"/>
    </row>
    <row r="1932">
      <c r="A1932" s="22"/>
      <c r="B1932" s="11"/>
      <c r="C1932" s="20"/>
      <c r="D1932" s="20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5"/>
      <c r="U1932" s="15"/>
      <c r="V1932" s="15"/>
      <c r="W1932" s="15"/>
    </row>
    <row r="1933">
      <c r="A1933" s="22"/>
      <c r="B1933" s="11"/>
      <c r="C1933" s="20"/>
      <c r="D1933" s="20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5"/>
      <c r="U1933" s="15"/>
      <c r="V1933" s="15"/>
      <c r="W1933" s="15"/>
    </row>
    <row r="1934">
      <c r="A1934" s="22"/>
      <c r="B1934" s="11"/>
      <c r="C1934" s="20"/>
      <c r="D1934" s="20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5"/>
      <c r="U1934" s="15"/>
      <c r="V1934" s="15"/>
      <c r="W1934" s="15"/>
    </row>
    <row r="1935">
      <c r="A1935" s="22"/>
      <c r="B1935" s="11"/>
      <c r="C1935" s="20"/>
      <c r="D1935" s="20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5"/>
      <c r="U1935" s="15"/>
      <c r="V1935" s="15"/>
      <c r="W1935" s="15"/>
    </row>
    <row r="1936">
      <c r="A1936" s="22"/>
      <c r="B1936" s="11"/>
      <c r="C1936" s="20"/>
      <c r="D1936" s="20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5"/>
      <c r="U1936" s="15"/>
      <c r="V1936" s="15"/>
      <c r="W1936" s="15"/>
    </row>
    <row r="1937">
      <c r="A1937" s="22"/>
      <c r="B1937" s="11"/>
      <c r="C1937" s="20"/>
      <c r="D1937" s="20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5"/>
      <c r="U1937" s="15"/>
      <c r="V1937" s="15"/>
      <c r="W1937" s="15"/>
    </row>
    <row r="1938">
      <c r="A1938" s="22"/>
      <c r="B1938" s="11"/>
      <c r="C1938" s="20"/>
      <c r="D1938" s="20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5"/>
      <c r="U1938" s="15"/>
      <c r="V1938" s="15"/>
      <c r="W1938" s="15"/>
    </row>
    <row r="1939">
      <c r="A1939" s="22"/>
      <c r="B1939" s="11"/>
      <c r="C1939" s="20"/>
      <c r="D1939" s="20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5"/>
      <c r="U1939" s="15"/>
      <c r="V1939" s="15"/>
      <c r="W1939" s="15"/>
    </row>
    <row r="1940">
      <c r="A1940" s="22"/>
      <c r="B1940" s="11"/>
      <c r="C1940" s="20"/>
      <c r="D1940" s="20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5"/>
      <c r="U1940" s="15"/>
      <c r="V1940" s="15"/>
      <c r="W1940" s="15"/>
    </row>
    <row r="1941">
      <c r="A1941" s="22"/>
      <c r="B1941" s="11"/>
      <c r="C1941" s="20"/>
      <c r="D1941" s="20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5"/>
      <c r="U1941" s="15"/>
      <c r="V1941" s="15"/>
      <c r="W1941" s="15"/>
    </row>
    <row r="1942">
      <c r="A1942" s="22"/>
      <c r="B1942" s="11"/>
      <c r="C1942" s="20"/>
      <c r="D1942" s="20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5"/>
      <c r="U1942" s="15"/>
      <c r="V1942" s="15"/>
      <c r="W1942" s="15"/>
    </row>
    <row r="1943">
      <c r="A1943" s="22"/>
      <c r="B1943" s="11"/>
      <c r="C1943" s="20"/>
      <c r="D1943" s="20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5"/>
      <c r="U1943" s="15"/>
      <c r="V1943" s="15"/>
      <c r="W1943" s="15"/>
    </row>
    <row r="1944">
      <c r="A1944" s="22"/>
      <c r="B1944" s="11"/>
      <c r="C1944" s="20"/>
      <c r="D1944" s="20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5"/>
      <c r="U1944" s="15"/>
      <c r="V1944" s="15"/>
      <c r="W1944" s="15"/>
    </row>
    <row r="1945">
      <c r="A1945" s="22"/>
      <c r="B1945" s="11"/>
      <c r="C1945" s="20"/>
      <c r="D1945" s="20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5"/>
      <c r="U1945" s="15"/>
      <c r="V1945" s="15"/>
      <c r="W1945" s="15"/>
    </row>
    <row r="1946">
      <c r="A1946" s="22"/>
      <c r="B1946" s="11"/>
      <c r="C1946" s="20"/>
      <c r="D1946" s="20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5"/>
      <c r="U1946" s="15"/>
      <c r="V1946" s="15"/>
      <c r="W1946" s="15"/>
    </row>
    <row r="1947">
      <c r="A1947" s="22"/>
      <c r="B1947" s="11"/>
      <c r="C1947" s="20"/>
      <c r="D1947" s="20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5"/>
      <c r="U1947" s="15"/>
      <c r="V1947" s="15"/>
      <c r="W1947" s="15"/>
    </row>
    <row r="1948">
      <c r="A1948" s="22"/>
      <c r="B1948" s="11"/>
      <c r="C1948" s="20"/>
      <c r="D1948" s="20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5"/>
      <c r="U1948" s="15"/>
      <c r="V1948" s="15"/>
      <c r="W1948" s="15"/>
    </row>
    <row r="1949">
      <c r="A1949" s="22"/>
      <c r="B1949" s="11"/>
      <c r="C1949" s="20"/>
      <c r="D1949" s="20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5"/>
      <c r="U1949" s="15"/>
      <c r="V1949" s="15"/>
      <c r="W1949" s="15"/>
    </row>
    <row r="1950">
      <c r="A1950" s="22"/>
      <c r="B1950" s="11"/>
      <c r="C1950" s="20"/>
      <c r="D1950" s="20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5"/>
      <c r="U1950" s="15"/>
      <c r="V1950" s="15"/>
      <c r="W1950" s="15"/>
    </row>
    <row r="1951">
      <c r="A1951" s="22"/>
      <c r="B1951" s="11"/>
      <c r="C1951" s="20"/>
      <c r="D1951" s="20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5"/>
      <c r="U1951" s="15"/>
      <c r="V1951" s="15"/>
      <c r="W1951" s="15"/>
    </row>
    <row r="1952">
      <c r="A1952" s="22"/>
      <c r="B1952" s="11"/>
      <c r="C1952" s="20"/>
      <c r="D1952" s="20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5"/>
      <c r="U1952" s="15"/>
      <c r="V1952" s="15"/>
      <c r="W1952" s="15"/>
    </row>
    <row r="1953">
      <c r="A1953" s="22"/>
      <c r="B1953" s="11"/>
      <c r="C1953" s="20"/>
      <c r="D1953" s="20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5"/>
      <c r="U1953" s="15"/>
      <c r="V1953" s="15"/>
      <c r="W1953" s="15"/>
    </row>
    <row r="1954">
      <c r="A1954" s="22"/>
      <c r="B1954" s="11"/>
      <c r="C1954" s="20"/>
      <c r="D1954" s="20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5"/>
      <c r="U1954" s="15"/>
      <c r="V1954" s="15"/>
      <c r="W1954" s="15"/>
    </row>
    <row r="1955">
      <c r="A1955" s="22"/>
      <c r="B1955" s="11"/>
      <c r="C1955" s="20"/>
      <c r="D1955" s="20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5"/>
      <c r="U1955" s="15"/>
      <c r="V1955" s="15"/>
      <c r="W1955" s="15"/>
    </row>
    <row r="1956">
      <c r="A1956" s="22"/>
      <c r="B1956" s="11"/>
      <c r="C1956" s="20"/>
      <c r="D1956" s="20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5"/>
      <c r="U1956" s="15"/>
      <c r="V1956" s="15"/>
      <c r="W1956" s="15"/>
    </row>
    <row r="1957">
      <c r="A1957" s="22"/>
      <c r="B1957" s="11"/>
      <c r="C1957" s="20"/>
      <c r="D1957" s="20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5"/>
      <c r="U1957" s="15"/>
      <c r="V1957" s="15"/>
      <c r="W1957" s="15"/>
    </row>
    <row r="1958">
      <c r="A1958" s="22"/>
      <c r="B1958" s="11"/>
      <c r="C1958" s="20"/>
      <c r="D1958" s="20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5"/>
      <c r="U1958" s="15"/>
      <c r="V1958" s="15"/>
      <c r="W1958" s="15"/>
    </row>
    <row r="1959">
      <c r="A1959" s="22"/>
      <c r="B1959" s="11"/>
      <c r="C1959" s="20"/>
      <c r="D1959" s="20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5"/>
      <c r="U1959" s="15"/>
      <c r="V1959" s="15"/>
      <c r="W1959" s="15"/>
    </row>
    <row r="1960">
      <c r="A1960" s="22"/>
      <c r="B1960" s="11"/>
      <c r="C1960" s="20"/>
      <c r="D1960" s="20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5"/>
      <c r="U1960" s="15"/>
      <c r="V1960" s="15"/>
      <c r="W1960" s="15"/>
    </row>
    <row r="1961">
      <c r="A1961" s="22"/>
      <c r="B1961" s="11"/>
      <c r="C1961" s="20"/>
      <c r="D1961" s="20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5"/>
      <c r="U1961" s="15"/>
      <c r="V1961" s="15"/>
      <c r="W1961" s="15"/>
    </row>
    <row r="1962">
      <c r="A1962" s="22"/>
      <c r="B1962" s="11"/>
      <c r="C1962" s="20"/>
      <c r="D1962" s="20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5"/>
      <c r="U1962" s="15"/>
      <c r="V1962" s="15"/>
      <c r="W1962" s="15"/>
    </row>
    <row r="1963">
      <c r="A1963" s="22"/>
      <c r="B1963" s="11"/>
      <c r="C1963" s="20"/>
      <c r="D1963" s="20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5"/>
      <c r="U1963" s="15"/>
      <c r="V1963" s="15"/>
      <c r="W1963" s="15"/>
    </row>
    <row r="1964">
      <c r="A1964" s="22"/>
      <c r="B1964" s="11"/>
      <c r="C1964" s="20"/>
      <c r="D1964" s="20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5"/>
      <c r="U1964" s="15"/>
      <c r="V1964" s="15"/>
      <c r="W1964" s="15"/>
    </row>
    <row r="1965">
      <c r="A1965" s="22"/>
      <c r="B1965" s="11"/>
      <c r="C1965" s="20"/>
      <c r="D1965" s="20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5"/>
      <c r="U1965" s="15"/>
      <c r="V1965" s="15"/>
      <c r="W1965" s="15"/>
    </row>
    <row r="1966">
      <c r="A1966" s="22"/>
      <c r="B1966" s="11"/>
      <c r="C1966" s="20"/>
      <c r="D1966" s="20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5"/>
      <c r="U1966" s="15"/>
      <c r="V1966" s="15"/>
      <c r="W1966" s="15"/>
    </row>
    <row r="1967">
      <c r="A1967" s="22"/>
      <c r="B1967" s="11"/>
      <c r="C1967" s="20"/>
      <c r="D1967" s="20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5"/>
      <c r="U1967" s="15"/>
      <c r="V1967" s="15"/>
      <c r="W1967" s="15"/>
    </row>
    <row r="1968">
      <c r="A1968" s="22"/>
      <c r="B1968" s="11"/>
      <c r="C1968" s="20"/>
      <c r="D1968" s="20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5"/>
      <c r="U1968" s="15"/>
      <c r="V1968" s="15"/>
      <c r="W1968" s="15"/>
    </row>
    <row r="1969">
      <c r="A1969" s="22"/>
      <c r="B1969" s="11"/>
      <c r="C1969" s="20"/>
      <c r="D1969" s="20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5"/>
      <c r="U1969" s="15"/>
      <c r="V1969" s="15"/>
      <c r="W1969" s="15"/>
    </row>
    <row r="1970">
      <c r="A1970" s="22"/>
      <c r="B1970" s="11"/>
      <c r="C1970" s="20"/>
      <c r="D1970" s="20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5"/>
      <c r="U1970" s="15"/>
      <c r="V1970" s="15"/>
      <c r="W1970" s="15"/>
    </row>
    <row r="1971">
      <c r="A1971" s="22"/>
      <c r="B1971" s="11"/>
      <c r="C1971" s="20"/>
      <c r="D1971" s="20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5"/>
      <c r="U1971" s="15"/>
      <c r="V1971" s="15"/>
      <c r="W1971" s="15"/>
    </row>
    <row r="1972">
      <c r="A1972" s="22"/>
      <c r="B1972" s="11"/>
      <c r="C1972" s="20"/>
      <c r="D1972" s="20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5"/>
      <c r="U1972" s="15"/>
      <c r="V1972" s="15"/>
      <c r="W1972" s="15"/>
    </row>
    <row r="1973">
      <c r="A1973" s="22"/>
      <c r="B1973" s="11"/>
      <c r="C1973" s="20"/>
      <c r="D1973" s="20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5"/>
      <c r="U1973" s="15"/>
      <c r="V1973" s="15"/>
      <c r="W1973" s="15"/>
    </row>
    <row r="1974">
      <c r="A1974" s="22"/>
      <c r="B1974" s="11"/>
      <c r="C1974" s="20"/>
      <c r="D1974" s="20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5"/>
      <c r="U1974" s="15"/>
      <c r="V1974" s="15"/>
      <c r="W1974" s="15"/>
    </row>
    <row r="1975">
      <c r="A1975" s="22"/>
      <c r="B1975" s="11"/>
      <c r="C1975" s="20"/>
      <c r="D1975" s="20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5"/>
      <c r="U1975" s="15"/>
      <c r="V1975" s="15"/>
      <c r="W1975" s="15"/>
    </row>
    <row r="1976">
      <c r="A1976" s="22"/>
      <c r="B1976" s="11"/>
      <c r="C1976" s="20"/>
      <c r="D1976" s="20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5"/>
      <c r="U1976" s="15"/>
      <c r="V1976" s="15"/>
      <c r="W1976" s="15"/>
    </row>
    <row r="1977">
      <c r="A1977" s="22"/>
      <c r="B1977" s="11"/>
      <c r="C1977" s="20"/>
      <c r="D1977" s="20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5"/>
      <c r="U1977" s="15"/>
      <c r="V1977" s="15"/>
      <c r="W1977" s="15"/>
    </row>
    <row r="1978">
      <c r="A1978" s="22"/>
      <c r="B1978" s="11"/>
      <c r="C1978" s="20"/>
      <c r="D1978" s="20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5"/>
      <c r="U1978" s="15"/>
      <c r="V1978" s="15"/>
      <c r="W1978" s="15"/>
    </row>
    <row r="1979">
      <c r="A1979" s="22"/>
      <c r="B1979" s="11"/>
      <c r="C1979" s="20"/>
      <c r="D1979" s="20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5"/>
      <c r="U1979" s="15"/>
      <c r="V1979" s="15"/>
      <c r="W1979" s="15"/>
    </row>
    <row r="1980">
      <c r="A1980" s="22"/>
      <c r="B1980" s="11"/>
      <c r="C1980" s="20"/>
      <c r="D1980" s="20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5"/>
      <c r="U1980" s="15"/>
      <c r="V1980" s="15"/>
      <c r="W1980" s="15"/>
    </row>
    <row r="1981">
      <c r="A1981" s="22"/>
      <c r="B1981" s="11"/>
      <c r="C1981" s="20"/>
      <c r="D1981" s="20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5"/>
      <c r="U1981" s="15"/>
      <c r="V1981" s="15"/>
      <c r="W1981" s="15"/>
    </row>
    <row r="1982">
      <c r="A1982" s="22"/>
      <c r="B1982" s="11"/>
      <c r="C1982" s="20"/>
      <c r="D1982" s="20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5"/>
      <c r="U1982" s="15"/>
      <c r="V1982" s="15"/>
      <c r="W1982" s="15"/>
    </row>
    <row r="1983">
      <c r="A1983" s="22"/>
      <c r="B1983" s="11"/>
      <c r="C1983" s="20"/>
      <c r="D1983" s="20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5"/>
      <c r="U1983" s="15"/>
      <c r="V1983" s="15"/>
      <c r="W1983" s="15"/>
    </row>
    <row r="1984">
      <c r="A1984" s="22"/>
      <c r="B1984" s="11"/>
      <c r="C1984" s="20"/>
      <c r="D1984" s="20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5"/>
      <c r="U1984" s="15"/>
      <c r="V1984" s="15"/>
      <c r="W1984" s="15"/>
    </row>
    <row r="1985">
      <c r="A1985" s="22"/>
      <c r="B1985" s="11"/>
      <c r="C1985" s="20"/>
      <c r="D1985" s="20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5"/>
      <c r="U1985" s="15"/>
      <c r="V1985" s="15"/>
      <c r="W1985" s="15"/>
    </row>
    <row r="1986">
      <c r="A1986" s="22"/>
      <c r="B1986" s="11"/>
      <c r="C1986" s="20"/>
      <c r="D1986" s="20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5"/>
      <c r="U1986" s="15"/>
      <c r="V1986" s="15"/>
      <c r="W1986" s="15"/>
    </row>
    <row r="1987">
      <c r="A1987" s="22"/>
      <c r="B1987" s="11"/>
      <c r="C1987" s="20"/>
      <c r="D1987" s="20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5"/>
      <c r="U1987" s="15"/>
      <c r="V1987" s="15"/>
      <c r="W1987" s="15"/>
    </row>
    <row r="1988">
      <c r="A1988" s="22"/>
      <c r="B1988" s="11"/>
      <c r="C1988" s="20"/>
      <c r="D1988" s="20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5"/>
      <c r="U1988" s="15"/>
      <c r="V1988" s="15"/>
      <c r="W1988" s="15"/>
    </row>
    <row r="1989">
      <c r="A1989" s="22"/>
      <c r="B1989" s="11"/>
      <c r="C1989" s="20"/>
      <c r="D1989" s="20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5"/>
      <c r="U1989" s="15"/>
      <c r="V1989" s="15"/>
      <c r="W1989" s="15"/>
    </row>
    <row r="1990">
      <c r="A1990" s="22"/>
      <c r="B1990" s="11"/>
      <c r="C1990" s="20"/>
      <c r="D1990" s="20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5"/>
      <c r="U1990" s="15"/>
      <c r="V1990" s="15"/>
      <c r="W1990" s="15"/>
    </row>
    <row r="1991">
      <c r="A1991" s="22"/>
      <c r="B1991" s="11"/>
      <c r="C1991" s="20"/>
      <c r="D1991" s="20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5"/>
      <c r="U1991" s="15"/>
      <c r="V1991" s="15"/>
      <c r="W1991" s="15"/>
    </row>
    <row r="1992">
      <c r="A1992" s="22"/>
      <c r="B1992" s="11"/>
      <c r="C1992" s="20"/>
      <c r="D1992" s="20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5"/>
      <c r="U1992" s="15"/>
      <c r="V1992" s="15"/>
      <c r="W1992" s="15"/>
    </row>
    <row r="1993">
      <c r="A1993" s="22"/>
      <c r="B1993" s="11"/>
      <c r="C1993" s="20"/>
      <c r="D1993" s="20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5"/>
      <c r="U1993" s="15"/>
      <c r="V1993" s="15"/>
      <c r="W1993" s="15"/>
    </row>
    <row r="1994">
      <c r="A1994" s="22"/>
      <c r="B1994" s="11"/>
      <c r="C1994" s="20"/>
      <c r="D1994" s="20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5"/>
      <c r="U1994" s="15"/>
      <c r="V1994" s="15"/>
      <c r="W1994" s="15"/>
    </row>
    <row r="1995">
      <c r="A1995" s="22"/>
      <c r="B1995" s="11"/>
      <c r="C1995" s="20"/>
      <c r="D1995" s="20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5"/>
      <c r="U1995" s="15"/>
      <c r="V1995" s="15"/>
      <c r="W1995" s="15"/>
    </row>
    <row r="1996">
      <c r="A1996" s="22"/>
      <c r="B1996" s="11"/>
      <c r="C1996" s="20"/>
      <c r="D1996" s="20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5"/>
      <c r="U1996" s="15"/>
      <c r="V1996" s="15"/>
      <c r="W1996" s="15"/>
    </row>
    <row r="1997">
      <c r="A1997" s="22"/>
      <c r="B1997" s="11"/>
      <c r="C1997" s="20"/>
      <c r="D1997" s="20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5"/>
      <c r="U1997" s="15"/>
      <c r="V1997" s="15"/>
      <c r="W1997" s="15"/>
    </row>
    <row r="1998">
      <c r="A1998" s="22"/>
      <c r="B1998" s="11"/>
      <c r="C1998" s="20"/>
      <c r="D1998" s="20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5"/>
      <c r="U1998" s="15"/>
      <c r="V1998" s="15"/>
      <c r="W1998" s="15"/>
    </row>
    <row r="1999">
      <c r="A1999" s="22"/>
      <c r="B1999" s="11"/>
      <c r="C1999" s="20"/>
      <c r="D1999" s="20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5"/>
      <c r="U1999" s="15"/>
      <c r="V1999" s="15"/>
      <c r="W1999" s="15"/>
    </row>
    <row r="2000">
      <c r="A2000" s="22"/>
      <c r="B2000" s="11"/>
      <c r="C2000" s="20"/>
      <c r="D2000" s="20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5"/>
      <c r="U2000" s="15"/>
      <c r="V2000" s="15"/>
      <c r="W2000" s="15"/>
    </row>
  </sheetData>
  <mergeCells count="2">
    <mergeCell ref="G2:I2"/>
    <mergeCell ref="J2:L2"/>
  </mergeCells>
  <conditionalFormatting sqref="G2:G2000">
    <cfRule type="cellIs" dxfId="3" priority="1" stopIfTrue="1" operator="lessThanOrEqual">
      <formula>2500</formula>
    </cfRule>
  </conditionalFormatting>
  <conditionalFormatting sqref="G2:G2000">
    <cfRule type="cellIs" dxfId="4" priority="2" stopIfTrue="1" operator="greaterThan">
      <formula>4000</formula>
    </cfRule>
  </conditionalFormatting>
  <conditionalFormatting sqref="G2:G2000">
    <cfRule type="cellIs" dxfId="5" priority="3" stopIfTrue="1" operator="between">
      <formula>2500</formula>
      <formula>4000</formula>
    </cfRule>
  </conditionalFormatting>
  <conditionalFormatting sqref="J2:J2000">
    <cfRule type="cellIs" dxfId="3" priority="4" stopIfTrue="1" operator="lessThanOrEqual">
      <formula>2500</formula>
    </cfRule>
  </conditionalFormatting>
  <conditionalFormatting sqref="J2:J2000">
    <cfRule type="cellIs" dxfId="4" priority="5" stopIfTrue="1" operator="greaterThan">
      <formula>4000</formula>
    </cfRule>
  </conditionalFormatting>
  <conditionalFormatting sqref="J2:J2000">
    <cfRule type="cellIs" dxfId="5" priority="6" stopIfTrue="1" operator="between">
      <formula>2500</formula>
      <formula>4000</formula>
    </cfRule>
  </conditionalFormatting>
  <conditionalFormatting sqref="H2:H2000">
    <cfRule type="cellIs" dxfId="3" priority="7" stopIfTrue="1" operator="lessThanOrEqual">
      <formula>120</formula>
    </cfRule>
  </conditionalFormatting>
  <conditionalFormatting sqref="H2:H2000">
    <cfRule type="cellIs" dxfId="4" priority="8" stopIfTrue="1" operator="greaterThan">
      <formula>500</formula>
    </cfRule>
  </conditionalFormatting>
  <conditionalFormatting sqref="H2:H2000">
    <cfRule type="cellIs" dxfId="5" priority="9" stopIfTrue="1" operator="between">
      <formula>120</formula>
      <formula>500</formula>
    </cfRule>
  </conditionalFormatting>
  <conditionalFormatting sqref="K2:K2000">
    <cfRule type="cellIs" dxfId="3" priority="10" stopIfTrue="1" operator="lessThanOrEqual">
      <formula>120</formula>
    </cfRule>
  </conditionalFormatting>
  <conditionalFormatting sqref="K2:K2000">
    <cfRule type="cellIs" dxfId="4" priority="11" stopIfTrue="1" operator="greaterThan">
      <formula>500</formula>
    </cfRule>
  </conditionalFormatting>
  <conditionalFormatting sqref="K2:K2000">
    <cfRule type="cellIs" dxfId="5" priority="12" stopIfTrue="1" operator="between">
      <formula>120</formula>
      <formula>500</formula>
    </cfRule>
  </conditionalFormatting>
  <conditionalFormatting sqref="I2:I2000">
    <cfRule type="cellIs" dxfId="3" priority="13" stopIfTrue="1" operator="lessThanOrEqual">
      <formula>0.12</formula>
    </cfRule>
  </conditionalFormatting>
  <conditionalFormatting sqref="I2:I2000">
    <cfRule type="cellIs" dxfId="4" priority="14" stopIfTrue="1" operator="greaterThan">
      <formula>0.25</formula>
    </cfRule>
  </conditionalFormatting>
  <conditionalFormatting sqref="I2:I2000">
    <cfRule type="cellIs" dxfId="5" priority="15" stopIfTrue="1" operator="between">
      <formula>0.12</formula>
      <formula>0.25</formula>
    </cfRule>
  </conditionalFormatting>
  <conditionalFormatting sqref="L2:L2000">
    <cfRule type="cellIs" dxfId="3" priority="16" stopIfTrue="1" operator="lessThanOrEqual">
      <formula>0.12</formula>
    </cfRule>
  </conditionalFormatting>
  <conditionalFormatting sqref="L2:L2000">
    <cfRule type="cellIs" dxfId="4" priority="17" stopIfTrue="1" operator="greaterThan">
      <formula>0.25</formula>
    </cfRule>
  </conditionalFormatting>
  <conditionalFormatting sqref="L2:L2000">
    <cfRule type="cellIs" dxfId="5" priority="18" stopIfTrue="1" operator="between">
      <formula>0.12</formula>
      <formula>0.25</formula>
    </cfRule>
  </conditionalFormatting>
  <conditionalFormatting sqref="F2:F2000">
    <cfRule type="cellIs" dxfId="4" priority="19" stopIfTrue="1" operator="lessThan">
      <formula>50</formula>
    </cfRule>
  </conditionalFormatting>
  <conditionalFormatting sqref="F2:F2000">
    <cfRule type="cellIs" dxfId="3" priority="20" stopIfTrue="1" operator="greaterThanOrEqual">
      <formula>90</formula>
    </cfRule>
  </conditionalFormatting>
  <conditionalFormatting sqref="F2:F2000">
    <cfRule type="cellIs" dxfId="5" priority="21" stopIfTrue="1" operator="between">
      <formula>50</formula>
      <formula>90</formula>
    </cfRule>
  </conditionalFormatting>
  <conditionalFormatting sqref="M2:M2000">
    <cfRule type="cellIs" dxfId="3" priority="22" stopIfTrue="1" operator="lessThanOrEqual">
      <formula>200</formula>
    </cfRule>
  </conditionalFormatting>
  <conditionalFormatting sqref="M2:M2000">
    <cfRule type="cellIs" dxfId="4" priority="23" stopIfTrue="1" operator="greaterThan">
      <formula>500</formula>
    </cfRule>
  </conditionalFormatting>
  <conditionalFormatting sqref="M2:M2000">
    <cfRule type="cellIs" dxfId="5" priority="24" stopIfTrue="1" operator="between">
      <formula>200</formula>
      <formula>500</formula>
    </cfRule>
  </conditionalFormatting>
  <conditionalFormatting sqref="N2:N2000">
    <cfRule type="cellIs" dxfId="3" priority="25" stopIfTrue="1" operator="lessThanOrEqual">
      <formula>1800</formula>
    </cfRule>
  </conditionalFormatting>
  <conditionalFormatting sqref="N2:N2000">
    <cfRule type="cellIs" dxfId="4" priority="26" stopIfTrue="1" operator="greaterThan">
      <formula>3000</formula>
    </cfRule>
  </conditionalFormatting>
  <conditionalFormatting sqref="N2:N2000">
    <cfRule type="cellIs" dxfId="5" priority="27" stopIfTrue="1" operator="between">
      <formula>1800</formula>
      <formula>3000</formula>
    </cfRule>
  </conditionalFormatting>
  <conditionalFormatting sqref="O2:O2000">
    <cfRule type="cellIs" dxfId="3" priority="28" stopIfTrue="1" operator="lessThanOrEqual">
      <formula>3400</formula>
    </cfRule>
  </conditionalFormatting>
  <conditionalFormatting sqref="O2:O2000">
    <cfRule type="cellIs" dxfId="4" priority="29" stopIfTrue="1" operator="greaterThan">
      <formula>5800</formula>
    </cfRule>
  </conditionalFormatting>
  <conditionalFormatting sqref="O2:O2000">
    <cfRule type="cellIs" dxfId="5" priority="30" stopIfTrue="1" operator="between">
      <formula>3400</formula>
      <formula>5800</formula>
    </cfRule>
  </conditionalFormatting>
  <conditionalFormatting sqref="P2:P2000">
    <cfRule type="cellIs" dxfId="3" priority="31" stopIfTrue="1" operator="lessThanOrEqual">
      <formula>3800</formula>
    </cfRule>
  </conditionalFormatting>
  <conditionalFormatting sqref="P2:P2000">
    <cfRule type="cellIs" dxfId="4" priority="32" stopIfTrue="1" operator="greaterThan">
      <formula>7300</formula>
    </cfRule>
  </conditionalFormatting>
  <conditionalFormatting sqref="P2:P2000">
    <cfRule type="cellIs" dxfId="5" priority="33" stopIfTrue="1" operator="between">
      <formula>3800</formula>
      <formula>7300</formula>
    </cfRule>
  </conditionalFormatting>
  <conditionalFormatting sqref="Q2:Q2000">
    <cfRule type="cellIs" dxfId="3" priority="34" stopIfTrue="1" operator="lessThanOrEqual">
      <formula>800</formula>
    </cfRule>
  </conditionalFormatting>
  <conditionalFormatting sqref="Q2:Q2000">
    <cfRule type="cellIs" dxfId="4" priority="35" stopIfTrue="1" operator="greaterThan">
      <formula>1800</formula>
    </cfRule>
  </conditionalFormatting>
  <conditionalFormatting sqref="Q2:Q2000">
    <cfRule type="cellIs" dxfId="5" priority="36" stopIfTrue="1" operator="between">
      <formula>800</formula>
      <formula>1800</formula>
    </cfRule>
  </conditionalFormatting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</hyperlinks>
  <drawing r:id="rId84"/>
  <tableParts count="1">
    <tablePart r:id="rId8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0.75"/>
    <col customWidth="1" min="3" max="3" width="18.25"/>
    <col customWidth="1" min="4" max="4" width="11.38"/>
    <col customWidth="1" min="5" max="5" width="10.5"/>
    <col customWidth="1" min="6" max="6" width="7.63"/>
    <col customWidth="1" min="7" max="8" width="7.0"/>
    <col customWidth="1" min="9" max="9" width="7.63"/>
    <col customWidth="1" min="10" max="11" width="7.0"/>
    <col customWidth="1" min="12" max="13" width="7.63"/>
    <col customWidth="1" min="14" max="14" width="10.75"/>
    <col customWidth="1" min="15" max="16" width="8.88"/>
    <col customWidth="1" min="17" max="17" width="14.5"/>
    <col customWidth="1" min="18" max="18" width="18.25"/>
    <col customWidth="1" min="19" max="19" width="17.63"/>
    <col customWidth="1" hidden="1" min="20" max="23" width="17.63"/>
  </cols>
  <sheetData>
    <row r="1" ht="21.0" hidden="1" customHeight="1">
      <c r="A1" s="1" t="s">
        <v>0</v>
      </c>
      <c r="B1" s="1" t="s">
        <v>146</v>
      </c>
      <c r="C1" s="1" t="s">
        <v>2</v>
      </c>
      <c r="D1" s="1" t="s">
        <v>3</v>
      </c>
      <c r="E1" s="1" t="s">
        <v>4</v>
      </c>
      <c r="F1" s="1" t="s">
        <v>139</v>
      </c>
      <c r="G1" s="1" t="s">
        <v>5</v>
      </c>
      <c r="H1" s="1" t="s">
        <v>7</v>
      </c>
      <c r="I1" s="1" t="s">
        <v>8</v>
      </c>
      <c r="J1" s="1" t="s">
        <v>147</v>
      </c>
      <c r="K1" s="1" t="s">
        <v>148</v>
      </c>
      <c r="L1" s="1" t="s">
        <v>149</v>
      </c>
      <c r="M1" s="1" t="s">
        <v>13</v>
      </c>
      <c r="N1" s="1" t="s">
        <v>6</v>
      </c>
      <c r="O1" s="1" t="s">
        <v>150</v>
      </c>
      <c r="P1" s="1" t="s">
        <v>151</v>
      </c>
      <c r="Q1" s="1" t="s">
        <v>152</v>
      </c>
      <c r="R1" s="1" t="s">
        <v>14</v>
      </c>
      <c r="S1" s="1" t="s">
        <v>15</v>
      </c>
      <c r="T1" s="60" t="s">
        <v>1</v>
      </c>
      <c r="U1" s="60" t="s">
        <v>153</v>
      </c>
      <c r="V1" s="60" t="s">
        <v>154</v>
      </c>
      <c r="W1" s="60" t="s">
        <v>155</v>
      </c>
    </row>
    <row r="2">
      <c r="A2" s="50"/>
      <c r="B2" s="50"/>
      <c r="C2" s="3" t="s">
        <v>18</v>
      </c>
      <c r="D2" s="50"/>
      <c r="E2" s="50"/>
      <c r="F2" s="51" t="s">
        <v>156</v>
      </c>
      <c r="G2" s="51" t="s">
        <v>157</v>
      </c>
      <c r="J2" s="51" t="s">
        <v>158</v>
      </c>
      <c r="M2" s="51" t="s">
        <v>23</v>
      </c>
      <c r="N2" s="51" t="s">
        <v>160</v>
      </c>
      <c r="O2" s="51" t="s">
        <v>159</v>
      </c>
      <c r="P2" s="51" t="s">
        <v>161</v>
      </c>
      <c r="Q2" s="51" t="s">
        <v>162</v>
      </c>
      <c r="R2" s="50"/>
      <c r="S2" s="50"/>
      <c r="T2" s="15"/>
      <c r="U2" s="15"/>
      <c r="V2" s="15"/>
      <c r="W2" s="15"/>
    </row>
    <row r="3">
      <c r="A3" s="51" t="s">
        <v>16</v>
      </c>
      <c r="B3" s="51" t="s">
        <v>257</v>
      </c>
      <c r="C3" s="3" t="s">
        <v>26</v>
      </c>
      <c r="D3" s="51" t="s">
        <v>19</v>
      </c>
      <c r="E3" s="51" t="s">
        <v>20</v>
      </c>
      <c r="F3" s="51" t="s">
        <v>164</v>
      </c>
      <c r="G3" s="52" t="s">
        <v>5</v>
      </c>
      <c r="H3" s="52" t="s">
        <v>7</v>
      </c>
      <c r="I3" s="52" t="s">
        <v>8</v>
      </c>
      <c r="J3" s="53" t="s">
        <v>140</v>
      </c>
      <c r="K3" s="53" t="s">
        <v>141</v>
      </c>
      <c r="L3" s="53" t="s">
        <v>142</v>
      </c>
      <c r="M3" s="51" t="s">
        <v>13</v>
      </c>
      <c r="N3" s="51" t="s">
        <v>6</v>
      </c>
      <c r="O3" s="51" t="s">
        <v>150</v>
      </c>
      <c r="P3" s="51" t="s">
        <v>165</v>
      </c>
      <c r="Q3" s="51" t="s">
        <v>152</v>
      </c>
      <c r="R3" s="51" t="s">
        <v>14</v>
      </c>
      <c r="S3" s="51" t="s">
        <v>15</v>
      </c>
      <c r="T3" s="15"/>
      <c r="U3" s="15"/>
      <c r="V3" s="15"/>
      <c r="W3" s="15"/>
    </row>
    <row r="4">
      <c r="A4" s="61">
        <v>46100.0</v>
      </c>
      <c r="B4" s="62" t="s">
        <v>166</v>
      </c>
      <c r="C4" s="8" t="s">
        <v>258</v>
      </c>
      <c r="D4" s="63" t="str">
        <f>HYPERLINK("https://sg.vrporn.com/", "main")</f>
        <v>main</v>
      </c>
      <c r="E4" s="62" t="s">
        <v>34</v>
      </c>
      <c r="F4" s="64">
        <v>82.0</v>
      </c>
      <c r="G4" s="64">
        <v>1.54</v>
      </c>
      <c r="H4" s="64">
        <v>323.0</v>
      </c>
      <c r="I4" s="64">
        <v>2.0E-4</v>
      </c>
      <c r="J4" s="64">
        <v>1.54</v>
      </c>
      <c r="K4" s="64">
        <v>323.0</v>
      </c>
      <c r="L4" s="64">
        <v>2.0E-4</v>
      </c>
      <c r="M4" s="64">
        <v>516.0</v>
      </c>
      <c r="N4" s="64">
        <v>1327.0</v>
      </c>
      <c r="O4" s="64">
        <v>137.0</v>
      </c>
      <c r="P4" s="64">
        <v>2907.0</v>
      </c>
      <c r="Q4" s="64">
        <v>2576.0</v>
      </c>
      <c r="R4" s="62" t="s">
        <v>130</v>
      </c>
      <c r="S4" s="62" t="s">
        <v>232</v>
      </c>
      <c r="T4" s="57" t="s">
        <v>168</v>
      </c>
      <c r="U4" s="57" t="s">
        <v>51</v>
      </c>
      <c r="V4" s="57" t="s">
        <v>169</v>
      </c>
      <c r="W4" s="57">
        <v>5.0</v>
      </c>
    </row>
    <row r="5">
      <c r="A5" s="65">
        <v>46100.0</v>
      </c>
      <c r="B5" s="66" t="s">
        <v>166</v>
      </c>
      <c r="C5" s="8" t="s">
        <v>259</v>
      </c>
      <c r="D5" s="67" t="str">
        <f>HYPERLINK("https://sg.vrporn.com/pornstars/?sort=latest", "models")</f>
        <v>models</v>
      </c>
      <c r="E5" s="66" t="s">
        <v>34</v>
      </c>
      <c r="F5" s="68">
        <v>89.0</v>
      </c>
      <c r="G5" s="68">
        <v>1.62</v>
      </c>
      <c r="H5" s="68">
        <v>181.0</v>
      </c>
      <c r="I5" s="68">
        <v>2.0E-4</v>
      </c>
      <c r="J5" s="68">
        <v>1.62</v>
      </c>
      <c r="K5" s="68">
        <v>185.0</v>
      </c>
      <c r="L5" s="68">
        <v>2.0E-4</v>
      </c>
      <c r="M5" s="68">
        <v>357.0</v>
      </c>
      <c r="N5" s="68">
        <v>1246.0</v>
      </c>
      <c r="O5" s="68">
        <v>67.0</v>
      </c>
      <c r="P5" s="68">
        <v>2375.0</v>
      </c>
      <c r="Q5" s="68">
        <v>1946.0</v>
      </c>
      <c r="R5" s="66" t="s">
        <v>130</v>
      </c>
      <c r="S5" s="66" t="s">
        <v>232</v>
      </c>
      <c r="T5" s="57" t="s">
        <v>168</v>
      </c>
      <c r="U5" s="57" t="s">
        <v>51</v>
      </c>
      <c r="V5" s="57" t="s">
        <v>169</v>
      </c>
      <c r="W5" s="57">
        <v>5.0</v>
      </c>
    </row>
    <row r="6">
      <c r="A6" s="61">
        <v>46100.0</v>
      </c>
      <c r="B6" s="62" t="s">
        <v>166</v>
      </c>
      <c r="C6" s="8" t="s">
        <v>260</v>
      </c>
      <c r="D6" s="63" t="str">
        <f>HYPERLINK("https://sg.vrporn.com/pornstars/samy-sun/", "s_model")</f>
        <v>s_model</v>
      </c>
      <c r="E6" s="62" t="s">
        <v>34</v>
      </c>
      <c r="F6" s="64">
        <v>89.0</v>
      </c>
      <c r="G6" s="64">
        <v>1.53</v>
      </c>
      <c r="H6" s="64">
        <v>140.0</v>
      </c>
      <c r="I6" s="64">
        <v>2.0E-4</v>
      </c>
      <c r="J6" s="64">
        <v>1.56</v>
      </c>
      <c r="K6" s="64">
        <v>155.0</v>
      </c>
      <c r="L6" s="64">
        <v>2.0E-4</v>
      </c>
      <c r="M6" s="64">
        <v>339.0</v>
      </c>
      <c r="N6" s="64">
        <v>1208.0</v>
      </c>
      <c r="O6" s="64">
        <v>88.0</v>
      </c>
      <c r="P6" s="64">
        <v>2167.0</v>
      </c>
      <c r="Q6" s="64">
        <v>1529.0</v>
      </c>
      <c r="R6" s="62" t="s">
        <v>130</v>
      </c>
      <c r="S6" s="62" t="s">
        <v>232</v>
      </c>
      <c r="T6" s="57" t="s">
        <v>168</v>
      </c>
      <c r="U6" s="57" t="s">
        <v>51</v>
      </c>
      <c r="V6" s="57" t="s">
        <v>169</v>
      </c>
      <c r="W6" s="57">
        <v>5.0</v>
      </c>
    </row>
    <row r="7">
      <c r="A7" s="65">
        <v>46100.0</v>
      </c>
      <c r="B7" s="66" t="s">
        <v>166</v>
      </c>
      <c r="C7" s="8" t="s">
        <v>261</v>
      </c>
      <c r="D7" s="67" t="str">
        <f>HYPERLINK("https://sg.vrporn.com/categories/", "categories")</f>
        <v>categories</v>
      </c>
      <c r="E7" s="66" t="s">
        <v>34</v>
      </c>
      <c r="F7" s="68">
        <v>87.0</v>
      </c>
      <c r="G7" s="68">
        <v>1.59</v>
      </c>
      <c r="H7" s="68">
        <v>177.0</v>
      </c>
      <c r="I7" s="68">
        <v>2.0E-4</v>
      </c>
      <c r="J7" s="68">
        <v>1.62</v>
      </c>
      <c r="K7" s="68">
        <v>178.0</v>
      </c>
      <c r="L7" s="68">
        <v>2.0E-4</v>
      </c>
      <c r="M7" s="68">
        <v>334.0</v>
      </c>
      <c r="N7" s="68">
        <v>1238.0</v>
      </c>
      <c r="O7" s="68">
        <v>112.0</v>
      </c>
      <c r="P7" s="68">
        <v>2313.0</v>
      </c>
      <c r="Q7" s="68">
        <v>1588.0</v>
      </c>
      <c r="R7" s="66" t="s">
        <v>130</v>
      </c>
      <c r="S7" s="66" t="s">
        <v>232</v>
      </c>
      <c r="T7" s="57" t="s">
        <v>168</v>
      </c>
      <c r="U7" s="57" t="s">
        <v>51</v>
      </c>
      <c r="V7" s="57" t="s">
        <v>169</v>
      </c>
      <c r="W7" s="57">
        <v>5.0</v>
      </c>
    </row>
    <row r="8">
      <c r="A8" s="61">
        <v>46100.0</v>
      </c>
      <c r="B8" s="62" t="s">
        <v>166</v>
      </c>
      <c r="C8" s="8" t="s">
        <v>262</v>
      </c>
      <c r="D8" s="63" t="str">
        <f>HYPERLINK("https://sg.vrporn.com/tag/anal/", "s_category")</f>
        <v>s_category</v>
      </c>
      <c r="E8" s="62" t="s">
        <v>34</v>
      </c>
      <c r="F8" s="64">
        <v>82.0</v>
      </c>
      <c r="G8" s="64">
        <v>1.61</v>
      </c>
      <c r="H8" s="64">
        <v>319.0</v>
      </c>
      <c r="I8" s="64">
        <v>2.0E-4</v>
      </c>
      <c r="J8" s="64">
        <v>1.63</v>
      </c>
      <c r="K8" s="64">
        <v>329.0</v>
      </c>
      <c r="L8" s="64">
        <v>2.0E-4</v>
      </c>
      <c r="M8" s="64">
        <v>447.0</v>
      </c>
      <c r="N8" s="64">
        <v>1280.0</v>
      </c>
      <c r="O8" s="64">
        <v>180.0</v>
      </c>
      <c r="P8" s="64">
        <v>2574.0</v>
      </c>
      <c r="Q8" s="64">
        <v>1882.0</v>
      </c>
      <c r="R8" s="62" t="s">
        <v>130</v>
      </c>
      <c r="S8" s="62" t="s">
        <v>232</v>
      </c>
      <c r="T8" s="57" t="s">
        <v>168</v>
      </c>
      <c r="U8" s="57" t="s">
        <v>51</v>
      </c>
      <c r="V8" s="57" t="s">
        <v>169</v>
      </c>
      <c r="W8" s="57">
        <v>5.0</v>
      </c>
    </row>
    <row r="9">
      <c r="A9" s="65">
        <v>46100.0</v>
      </c>
      <c r="B9" s="66" t="s">
        <v>166</v>
      </c>
      <c r="C9" s="8" t="s">
        <v>263</v>
      </c>
      <c r="D9" s="67" t="str">
        <f>HYPERLINK("https://sg.vrporn.com/studio/vrbangers/", "s_studio")</f>
        <v>s_studio</v>
      </c>
      <c r="E9" s="66" t="s">
        <v>34</v>
      </c>
      <c r="F9" s="68">
        <v>82.0</v>
      </c>
      <c r="G9" s="68">
        <v>1.63</v>
      </c>
      <c r="H9" s="68">
        <v>371.0</v>
      </c>
      <c r="I9" s="68">
        <v>2.0E-4</v>
      </c>
      <c r="J9" s="68">
        <v>1.64</v>
      </c>
      <c r="K9" s="68">
        <v>373.0</v>
      </c>
      <c r="L9" s="68">
        <v>2.0E-4</v>
      </c>
      <c r="M9" s="68">
        <v>431.0</v>
      </c>
      <c r="N9" s="68">
        <v>1271.0</v>
      </c>
      <c r="O9" s="68">
        <v>255.0</v>
      </c>
      <c r="P9" s="68">
        <v>2558.0</v>
      </c>
      <c r="Q9" s="68">
        <v>1626.0</v>
      </c>
      <c r="R9" s="66" t="s">
        <v>130</v>
      </c>
      <c r="S9" s="66" t="s">
        <v>232</v>
      </c>
      <c r="T9" s="57" t="s">
        <v>168</v>
      </c>
      <c r="U9" s="57" t="s">
        <v>51</v>
      </c>
      <c r="V9" s="57" t="s">
        <v>169</v>
      </c>
      <c r="W9" s="57">
        <v>5.0</v>
      </c>
    </row>
    <row r="10">
      <c r="A10" s="61">
        <v>46100.0</v>
      </c>
      <c r="B10" s="62" t="s">
        <v>166</v>
      </c>
      <c r="C10" s="8" t="s">
        <v>264</v>
      </c>
      <c r="D10" s="63" t="str">
        <f>HYPERLINK("https://sg.vrporn.com/camgirls/", "dreams")</f>
        <v>dreams</v>
      </c>
      <c r="E10" s="62" t="s">
        <v>34</v>
      </c>
      <c r="F10" s="64">
        <v>84.0</v>
      </c>
      <c r="G10" s="64">
        <v>1.39</v>
      </c>
      <c r="H10" s="64">
        <v>149.0</v>
      </c>
      <c r="I10" s="64">
        <v>2.0E-4</v>
      </c>
      <c r="J10" s="64">
        <v>1.41</v>
      </c>
      <c r="K10" s="64">
        <v>191.0</v>
      </c>
      <c r="L10" s="64">
        <v>2.0E-4</v>
      </c>
      <c r="M10" s="64">
        <v>5088.0</v>
      </c>
      <c r="N10" s="64">
        <v>1260.0</v>
      </c>
      <c r="O10" s="64">
        <v>50.0</v>
      </c>
      <c r="P10" s="64">
        <v>4808.0</v>
      </c>
      <c r="Q10" s="64">
        <v>1659.0</v>
      </c>
      <c r="R10" s="62" t="s">
        <v>130</v>
      </c>
      <c r="S10" s="62" t="s">
        <v>232</v>
      </c>
      <c r="T10" s="57" t="s">
        <v>168</v>
      </c>
      <c r="U10" s="57" t="s">
        <v>51</v>
      </c>
      <c r="V10" s="57" t="s">
        <v>169</v>
      </c>
      <c r="W10" s="57">
        <v>5.0</v>
      </c>
    </row>
    <row r="11">
      <c r="A11" s="65">
        <v>46100.0</v>
      </c>
      <c r="B11" s="66" t="s">
        <v>166</v>
      </c>
      <c r="C11" s="8" t="s">
        <v>265</v>
      </c>
      <c r="D11" s="67" t="str">
        <f>HYPERLINK("https://sg.vrporn.com/", "main")</f>
        <v>main</v>
      </c>
      <c r="E11" s="66" t="s">
        <v>35</v>
      </c>
      <c r="F11" s="68">
        <v>46.0</v>
      </c>
      <c r="G11" s="68">
        <v>5.76</v>
      </c>
      <c r="H11" s="68">
        <v>1335.0</v>
      </c>
      <c r="I11" s="68">
        <v>0.0039</v>
      </c>
      <c r="J11" s="68">
        <v>5.78</v>
      </c>
      <c r="K11" s="68">
        <v>1360.0</v>
      </c>
      <c r="L11" s="68">
        <v>0.0039</v>
      </c>
      <c r="M11" s="68">
        <v>431.0</v>
      </c>
      <c r="N11" s="68">
        <v>4313.0</v>
      </c>
      <c r="O11" s="68">
        <v>829.0</v>
      </c>
      <c r="P11" s="68">
        <v>6865.0</v>
      </c>
      <c r="Q11" s="68">
        <v>11618.0</v>
      </c>
      <c r="R11" s="66" t="s">
        <v>130</v>
      </c>
      <c r="S11" s="66" t="s">
        <v>232</v>
      </c>
      <c r="T11" s="57" t="s">
        <v>168</v>
      </c>
      <c r="U11" s="57" t="s">
        <v>51</v>
      </c>
      <c r="V11" s="57" t="s">
        <v>169</v>
      </c>
      <c r="W11" s="57">
        <v>5.0</v>
      </c>
    </row>
    <row r="12">
      <c r="A12" s="61">
        <v>46100.0</v>
      </c>
      <c r="B12" s="62" t="s">
        <v>166</v>
      </c>
      <c r="C12" s="8" t="s">
        <v>266</v>
      </c>
      <c r="D12" s="63" t="str">
        <f>HYPERLINK("https://sg.vrporn.com/pornstars/?sort=latest", "models")</f>
        <v>models</v>
      </c>
      <c r="E12" s="62" t="s">
        <v>35</v>
      </c>
      <c r="F12" s="64">
        <v>49.0</v>
      </c>
      <c r="G12" s="64">
        <v>4.6</v>
      </c>
      <c r="H12" s="64">
        <v>805.0</v>
      </c>
      <c r="I12" s="64">
        <v>0.0039</v>
      </c>
      <c r="J12" s="64">
        <v>5.16</v>
      </c>
      <c r="K12" s="64">
        <v>820.0</v>
      </c>
      <c r="L12" s="64">
        <v>0.0039</v>
      </c>
      <c r="M12" s="64">
        <v>328.0</v>
      </c>
      <c r="N12" s="64">
        <v>3851.0</v>
      </c>
      <c r="O12" s="64">
        <v>1092.0</v>
      </c>
      <c r="P12" s="64">
        <v>6149.0</v>
      </c>
      <c r="Q12" s="64">
        <v>11752.0</v>
      </c>
      <c r="R12" s="62" t="s">
        <v>130</v>
      </c>
      <c r="S12" s="62" t="s">
        <v>232</v>
      </c>
      <c r="T12" s="57" t="s">
        <v>168</v>
      </c>
      <c r="U12" s="57" t="s">
        <v>51</v>
      </c>
      <c r="V12" s="57" t="s">
        <v>169</v>
      </c>
      <c r="W12" s="57">
        <v>5.0</v>
      </c>
    </row>
    <row r="13">
      <c r="A13" s="65">
        <v>46100.0</v>
      </c>
      <c r="B13" s="66" t="s">
        <v>166</v>
      </c>
      <c r="C13" s="8" t="s">
        <v>267</v>
      </c>
      <c r="D13" s="67" t="str">
        <f>HYPERLINK("https://sg.vrporn.com/pornstars/samy-sun/", "s_model")</f>
        <v>s_model</v>
      </c>
      <c r="E13" s="66" t="s">
        <v>35</v>
      </c>
      <c r="F13" s="68">
        <v>53.0</v>
      </c>
      <c r="G13" s="68">
        <v>4.49</v>
      </c>
      <c r="H13" s="68">
        <v>686.0</v>
      </c>
      <c r="I13" s="68">
        <v>0.0039</v>
      </c>
      <c r="J13" s="68">
        <v>4.49</v>
      </c>
      <c r="K13" s="68">
        <v>749.0</v>
      </c>
      <c r="L13" s="68">
        <v>0.0039</v>
      </c>
      <c r="M13" s="68">
        <v>307.0</v>
      </c>
      <c r="N13" s="68">
        <v>3765.0</v>
      </c>
      <c r="O13" s="68">
        <v>882.0</v>
      </c>
      <c r="P13" s="68">
        <v>5689.0</v>
      </c>
      <c r="Q13" s="68">
        <v>8022.0</v>
      </c>
      <c r="R13" s="66" t="s">
        <v>130</v>
      </c>
      <c r="S13" s="66" t="s">
        <v>232</v>
      </c>
      <c r="T13" s="57" t="s">
        <v>168</v>
      </c>
      <c r="U13" s="57" t="s">
        <v>51</v>
      </c>
      <c r="V13" s="57" t="s">
        <v>169</v>
      </c>
      <c r="W13" s="57">
        <v>5.0</v>
      </c>
    </row>
    <row r="14">
      <c r="A14" s="61">
        <v>46100.0</v>
      </c>
      <c r="B14" s="62" t="s">
        <v>166</v>
      </c>
      <c r="C14" s="8" t="s">
        <v>268</v>
      </c>
      <c r="D14" s="63" t="str">
        <f>HYPERLINK("https://sg.vrporn.com/categories/", "categories")</f>
        <v>categories</v>
      </c>
      <c r="E14" s="62" t="s">
        <v>35</v>
      </c>
      <c r="F14" s="64">
        <v>51.0</v>
      </c>
      <c r="G14" s="64">
        <v>4.84</v>
      </c>
      <c r="H14" s="64">
        <v>736.0</v>
      </c>
      <c r="I14" s="64">
        <v>0.0039</v>
      </c>
      <c r="J14" s="64">
        <v>5.3</v>
      </c>
      <c r="K14" s="64">
        <v>809.0</v>
      </c>
      <c r="L14" s="64">
        <v>0.0039</v>
      </c>
      <c r="M14" s="64">
        <v>324.0</v>
      </c>
      <c r="N14" s="64">
        <v>4090.0</v>
      </c>
      <c r="O14" s="64">
        <v>1002.0</v>
      </c>
      <c r="P14" s="64">
        <v>6086.0</v>
      </c>
      <c r="Q14" s="64">
        <v>11340.0</v>
      </c>
      <c r="R14" s="62" t="s">
        <v>130</v>
      </c>
      <c r="S14" s="62" t="s">
        <v>232</v>
      </c>
      <c r="T14" s="57" t="s">
        <v>168</v>
      </c>
      <c r="U14" s="57" t="s">
        <v>51</v>
      </c>
      <c r="V14" s="57" t="s">
        <v>169</v>
      </c>
      <c r="W14" s="57">
        <v>5.0</v>
      </c>
    </row>
    <row r="15">
      <c r="A15" s="65">
        <v>46100.0</v>
      </c>
      <c r="B15" s="66" t="s">
        <v>166</v>
      </c>
      <c r="C15" s="8" t="s">
        <v>269</v>
      </c>
      <c r="D15" s="67" t="str">
        <f>HYPERLINK("https://sg.vrporn.com/tag/anal/", "s_category")</f>
        <v>s_category</v>
      </c>
      <c r="E15" s="66" t="s">
        <v>35</v>
      </c>
      <c r="F15" s="68">
        <v>37.0</v>
      </c>
      <c r="G15" s="68">
        <v>6.31</v>
      </c>
      <c r="H15" s="68">
        <v>1437.0</v>
      </c>
      <c r="I15" s="68">
        <v>0.0039</v>
      </c>
      <c r="J15" s="68">
        <v>6.38</v>
      </c>
      <c r="K15" s="68">
        <v>1481.0</v>
      </c>
      <c r="L15" s="68">
        <v>0.0039</v>
      </c>
      <c r="M15" s="68">
        <v>408.0</v>
      </c>
      <c r="N15" s="68">
        <v>4168.0</v>
      </c>
      <c r="O15" s="68">
        <v>1944.0</v>
      </c>
      <c r="P15" s="68">
        <v>6466.0</v>
      </c>
      <c r="Q15" s="68">
        <v>10687.0</v>
      </c>
      <c r="R15" s="66" t="s">
        <v>130</v>
      </c>
      <c r="S15" s="66" t="s">
        <v>232</v>
      </c>
      <c r="T15" s="57" t="s">
        <v>168</v>
      </c>
      <c r="U15" s="57" t="s">
        <v>51</v>
      </c>
      <c r="V15" s="57" t="s">
        <v>169</v>
      </c>
      <c r="W15" s="57">
        <v>5.0</v>
      </c>
    </row>
    <row r="16">
      <c r="A16" s="61">
        <v>46100.0</v>
      </c>
      <c r="B16" s="62" t="s">
        <v>166</v>
      </c>
      <c r="C16" s="8" t="s">
        <v>270</v>
      </c>
      <c r="D16" s="63" t="str">
        <f>HYPERLINK("https://sg.vrporn.com/studio/vrbangers/", "s_studio")</f>
        <v>s_studio</v>
      </c>
      <c r="E16" s="62" t="s">
        <v>35</v>
      </c>
      <c r="F16" s="64">
        <v>45.0</v>
      </c>
      <c r="G16" s="64">
        <v>5.87</v>
      </c>
      <c r="H16" s="64">
        <v>1490.0</v>
      </c>
      <c r="I16" s="64">
        <v>0.0039</v>
      </c>
      <c r="J16" s="64">
        <v>5.89</v>
      </c>
      <c r="K16" s="64">
        <v>1531.0</v>
      </c>
      <c r="L16" s="64">
        <v>0.0039</v>
      </c>
      <c r="M16" s="64">
        <v>421.0</v>
      </c>
      <c r="N16" s="64">
        <v>3968.0</v>
      </c>
      <c r="O16" s="64">
        <v>1019.0</v>
      </c>
      <c r="P16" s="64">
        <v>6258.0</v>
      </c>
      <c r="Q16" s="64">
        <v>9908.0</v>
      </c>
      <c r="R16" s="62" t="s">
        <v>130</v>
      </c>
      <c r="S16" s="62" t="s">
        <v>232</v>
      </c>
      <c r="T16" s="57" t="s">
        <v>168</v>
      </c>
      <c r="U16" s="57" t="s">
        <v>51</v>
      </c>
      <c r="V16" s="57" t="s">
        <v>169</v>
      </c>
      <c r="W16" s="57">
        <v>5.0</v>
      </c>
    </row>
    <row r="17">
      <c r="A17" s="65">
        <v>46100.0</v>
      </c>
      <c r="B17" s="66" t="s">
        <v>166</v>
      </c>
      <c r="C17" s="8" t="s">
        <v>271</v>
      </c>
      <c r="D17" s="67" t="str">
        <f>HYPERLINK("https://sg.vrporn.com/camgirls/", "dreams")</f>
        <v>dreams</v>
      </c>
      <c r="E17" s="66" t="s">
        <v>35</v>
      </c>
      <c r="F17" s="68">
        <v>50.0</v>
      </c>
      <c r="G17" s="68">
        <v>4.86</v>
      </c>
      <c r="H17" s="68">
        <v>602.0</v>
      </c>
      <c r="I17" s="68">
        <v>0.0039</v>
      </c>
      <c r="J17" s="68">
        <v>4.9</v>
      </c>
      <c r="K17" s="68">
        <v>767.0</v>
      </c>
      <c r="L17" s="68">
        <v>0.0039</v>
      </c>
      <c r="M17" s="68">
        <v>5045.0</v>
      </c>
      <c r="N17" s="68">
        <v>4021.0</v>
      </c>
      <c r="O17" s="68">
        <v>695.0</v>
      </c>
      <c r="P17" s="68">
        <v>12225.0</v>
      </c>
      <c r="Q17" s="68">
        <v>8006.0</v>
      </c>
      <c r="R17" s="66" t="s">
        <v>130</v>
      </c>
      <c r="S17" s="66" t="s">
        <v>232</v>
      </c>
      <c r="T17" s="57" t="s">
        <v>168</v>
      </c>
      <c r="U17" s="57" t="s">
        <v>51</v>
      </c>
      <c r="V17" s="57" t="s">
        <v>169</v>
      </c>
      <c r="W17" s="57">
        <v>5.0</v>
      </c>
    </row>
    <row r="18" ht="17.25" customHeight="1">
      <c r="A18" s="61">
        <v>46101.0</v>
      </c>
      <c r="B18" s="62" t="s">
        <v>225</v>
      </c>
      <c r="C18" s="8" t="s">
        <v>272</v>
      </c>
      <c r="D18" s="63" t="str">
        <f>HYPERLINK("https://sg.vrporn.com/pornstars/samy-sun/", "s_model")</f>
        <v>s_model</v>
      </c>
      <c r="E18" s="62" t="s">
        <v>35</v>
      </c>
      <c r="F18" s="64">
        <v>44.0</v>
      </c>
      <c r="G18" s="64">
        <v>4990.0</v>
      </c>
      <c r="H18" s="64">
        <v>1212.0</v>
      </c>
      <c r="I18" s="64">
        <v>0.0039</v>
      </c>
      <c r="J18" s="64">
        <v>5255.0</v>
      </c>
      <c r="K18" s="64">
        <v>1423.0</v>
      </c>
      <c r="L18" s="64">
        <v>0.0039</v>
      </c>
      <c r="M18" s="64">
        <v>415.0</v>
      </c>
      <c r="N18" s="64">
        <v>4188.0</v>
      </c>
      <c r="O18" s="64">
        <v>1818.0</v>
      </c>
      <c r="P18" s="64">
        <v>6743.0</v>
      </c>
      <c r="Q18" s="64">
        <v>8522.0</v>
      </c>
      <c r="R18" s="62" t="s">
        <v>132</v>
      </c>
      <c r="S18" s="62" t="s">
        <v>232</v>
      </c>
      <c r="T18" s="57" t="s">
        <v>168</v>
      </c>
      <c r="U18" s="57" t="s">
        <v>51</v>
      </c>
      <c r="V18" s="57" t="s">
        <v>169</v>
      </c>
      <c r="W18" s="59">
        <v>10.0</v>
      </c>
    </row>
    <row r="19">
      <c r="A19" s="65">
        <v>46101.0</v>
      </c>
      <c r="B19" s="66" t="s">
        <v>225</v>
      </c>
      <c r="C19" s="8" t="s">
        <v>273</v>
      </c>
      <c r="D19" s="67" t="str">
        <f>HYPERLINK("https://sg.vrporn.com/tag/anal/", "s_category")</f>
        <v>s_category</v>
      </c>
      <c r="E19" s="66" t="s">
        <v>34</v>
      </c>
      <c r="F19" s="68">
        <v>57.0</v>
      </c>
      <c r="G19" s="68">
        <v>2339.0</v>
      </c>
      <c r="H19" s="68">
        <v>641.0</v>
      </c>
      <c r="I19" s="68">
        <v>2.0E-4</v>
      </c>
      <c r="J19" s="68">
        <v>2698.0</v>
      </c>
      <c r="K19" s="68">
        <v>687.0</v>
      </c>
      <c r="L19" s="68">
        <v>2.0E-4</v>
      </c>
      <c r="M19" s="68">
        <v>459.0</v>
      </c>
      <c r="N19" s="68">
        <v>2044.0</v>
      </c>
      <c r="O19" s="68">
        <v>725.0</v>
      </c>
      <c r="P19" s="68">
        <v>3551.0</v>
      </c>
      <c r="Q19" s="68">
        <v>3981.0</v>
      </c>
      <c r="R19" s="66" t="s">
        <v>132</v>
      </c>
      <c r="S19" s="66" t="s">
        <v>232</v>
      </c>
      <c r="T19" s="57" t="s">
        <v>168</v>
      </c>
      <c r="U19" s="57" t="s">
        <v>51</v>
      </c>
      <c r="V19" s="57" t="s">
        <v>169</v>
      </c>
      <c r="W19" s="59">
        <v>10.0</v>
      </c>
    </row>
    <row r="20">
      <c r="A20" s="61">
        <v>46101.0</v>
      </c>
      <c r="B20" s="62" t="s">
        <v>225</v>
      </c>
      <c r="C20" s="8" t="s">
        <v>45</v>
      </c>
      <c r="D20" s="63" t="str">
        <f>HYPERLINK("https://sg.vrporn.com/studio/vrbangers/", "s_studio")</f>
        <v>s_studio</v>
      </c>
      <c r="E20" s="62" t="s">
        <v>34</v>
      </c>
      <c r="F20" s="64">
        <v>71.0</v>
      </c>
      <c r="G20" s="64">
        <v>2178.0</v>
      </c>
      <c r="H20" s="64">
        <v>602.0</v>
      </c>
      <c r="I20" s="64">
        <v>2.0E-4</v>
      </c>
      <c r="J20" s="64">
        <v>2445.0</v>
      </c>
      <c r="K20" s="64">
        <v>621.0</v>
      </c>
      <c r="L20" s="64">
        <v>2.0E-4</v>
      </c>
      <c r="M20" s="64">
        <v>425.0</v>
      </c>
      <c r="N20" s="64">
        <v>1804.0</v>
      </c>
      <c r="O20" s="64">
        <v>381.0</v>
      </c>
      <c r="P20" s="64">
        <v>3152.0</v>
      </c>
      <c r="Q20" s="64">
        <v>4170.0</v>
      </c>
      <c r="R20" s="62" t="s">
        <v>132</v>
      </c>
      <c r="S20" s="62" t="s">
        <v>232</v>
      </c>
      <c r="T20" s="57" t="s">
        <v>168</v>
      </c>
      <c r="U20" s="57" t="s">
        <v>51</v>
      </c>
      <c r="V20" s="57" t="s">
        <v>169</v>
      </c>
      <c r="W20" s="59">
        <v>10.0</v>
      </c>
    </row>
    <row r="21">
      <c r="A21" s="65">
        <v>46101.0</v>
      </c>
      <c r="B21" s="66" t="s">
        <v>225</v>
      </c>
      <c r="C21" s="8" t="s">
        <v>45</v>
      </c>
      <c r="D21" s="67" t="str">
        <f>HYPERLINK("https://sg.vrporn.com/", "main")</f>
        <v>main</v>
      </c>
      <c r="E21" s="66" t="s">
        <v>34</v>
      </c>
      <c r="F21" s="68">
        <v>73.0</v>
      </c>
      <c r="G21" s="68">
        <v>2582.0</v>
      </c>
      <c r="H21" s="68">
        <v>533.0</v>
      </c>
      <c r="I21" s="68">
        <v>2.0E-4</v>
      </c>
      <c r="J21" s="68">
        <v>2716.0</v>
      </c>
      <c r="K21" s="68">
        <v>591.0</v>
      </c>
      <c r="L21" s="68">
        <v>2.0E-4</v>
      </c>
      <c r="M21" s="68">
        <v>502.0</v>
      </c>
      <c r="N21" s="68">
        <v>2402.0</v>
      </c>
      <c r="O21" s="68">
        <v>399.0</v>
      </c>
      <c r="P21" s="68">
        <v>4158.0</v>
      </c>
      <c r="Q21" s="68">
        <v>10180.0</v>
      </c>
      <c r="R21" s="66" t="s">
        <v>132</v>
      </c>
      <c r="S21" s="66" t="s">
        <v>232</v>
      </c>
      <c r="T21" s="57" t="s">
        <v>168</v>
      </c>
      <c r="U21" s="57" t="s">
        <v>51</v>
      </c>
      <c r="V21" s="57" t="s">
        <v>169</v>
      </c>
      <c r="W21" s="59">
        <v>10.0</v>
      </c>
    </row>
    <row r="22">
      <c r="A22" s="61">
        <v>46101.0</v>
      </c>
      <c r="B22" s="62" t="s">
        <v>225</v>
      </c>
      <c r="C22" s="8" t="s">
        <v>45</v>
      </c>
      <c r="D22" s="63" t="str">
        <f>HYPERLINK("https://sg.vrporn.com/pornstars/?sort=latest", "models")</f>
        <v>models</v>
      </c>
      <c r="E22" s="62" t="s">
        <v>34</v>
      </c>
      <c r="F22" s="64">
        <v>87.0</v>
      </c>
      <c r="G22" s="64">
        <v>1577.0</v>
      </c>
      <c r="H22" s="64">
        <v>239.0</v>
      </c>
      <c r="I22" s="64">
        <v>2.0E-4</v>
      </c>
      <c r="J22" s="64">
        <v>1925.0</v>
      </c>
      <c r="K22" s="64">
        <v>243.0</v>
      </c>
      <c r="L22" s="64">
        <v>2.0E-4</v>
      </c>
      <c r="M22" s="64">
        <v>381.0</v>
      </c>
      <c r="N22" s="64">
        <v>1426.0</v>
      </c>
      <c r="O22" s="64">
        <v>106.0</v>
      </c>
      <c r="P22" s="64">
        <v>2844.0</v>
      </c>
      <c r="Q22" s="64">
        <v>2276.0</v>
      </c>
      <c r="R22" s="62" t="s">
        <v>132</v>
      </c>
      <c r="S22" s="62" t="s">
        <v>232</v>
      </c>
      <c r="T22" s="57" t="s">
        <v>168</v>
      </c>
      <c r="U22" s="57" t="s">
        <v>51</v>
      </c>
      <c r="V22" s="57" t="s">
        <v>169</v>
      </c>
      <c r="W22" s="59">
        <v>10.0</v>
      </c>
    </row>
    <row r="23">
      <c r="A23" s="65">
        <v>46101.0</v>
      </c>
      <c r="B23" s="66" t="s">
        <v>225</v>
      </c>
      <c r="C23" s="8" t="s">
        <v>45</v>
      </c>
      <c r="D23" s="67" t="str">
        <f>HYPERLINK("https://sg.vrporn.com/", "main")</f>
        <v>main</v>
      </c>
      <c r="E23" s="66" t="s">
        <v>35</v>
      </c>
      <c r="F23" s="68">
        <v>45.0</v>
      </c>
      <c r="G23" s="68">
        <v>6232.0</v>
      </c>
      <c r="H23" s="68">
        <v>2333.0</v>
      </c>
      <c r="I23" s="68">
        <v>0.0039</v>
      </c>
      <c r="J23" s="68">
        <v>11186.0</v>
      </c>
      <c r="K23" s="68">
        <v>2448.0</v>
      </c>
      <c r="L23" s="68">
        <v>0.0039</v>
      </c>
      <c r="M23" s="68">
        <v>487.0</v>
      </c>
      <c r="N23" s="68">
        <v>4348.0</v>
      </c>
      <c r="O23" s="68">
        <v>2304.0</v>
      </c>
      <c r="P23" s="68">
        <v>10674.0</v>
      </c>
      <c r="Q23" s="68">
        <v>27488.0</v>
      </c>
      <c r="R23" s="66" t="s">
        <v>132</v>
      </c>
      <c r="S23" s="66" t="s">
        <v>232</v>
      </c>
      <c r="T23" s="57" t="s">
        <v>168</v>
      </c>
      <c r="U23" s="57" t="s">
        <v>51</v>
      </c>
      <c r="V23" s="57" t="s">
        <v>169</v>
      </c>
      <c r="W23" s="59">
        <v>10.0</v>
      </c>
    </row>
    <row r="24">
      <c r="A24" s="61">
        <v>46101.0</v>
      </c>
      <c r="B24" s="62" t="s">
        <v>225</v>
      </c>
      <c r="C24" s="8" t="s">
        <v>45</v>
      </c>
      <c r="D24" s="63" t="str">
        <f>HYPERLINK("https://sg.vrporn.com/pornstars/?sort=latest", "models")</f>
        <v>models</v>
      </c>
      <c r="E24" s="62" t="s">
        <v>35</v>
      </c>
      <c r="F24" s="64">
        <v>47.0</v>
      </c>
      <c r="G24" s="64">
        <v>4616.0</v>
      </c>
      <c r="H24" s="64">
        <v>1051.0</v>
      </c>
      <c r="I24" s="64">
        <v>0.0039</v>
      </c>
      <c r="J24" s="64">
        <v>5518.0</v>
      </c>
      <c r="K24" s="64">
        <v>1094.0</v>
      </c>
      <c r="L24" s="64">
        <v>0.0039</v>
      </c>
      <c r="M24" s="64">
        <v>405.0</v>
      </c>
      <c r="N24" s="64">
        <v>3898.0</v>
      </c>
      <c r="O24" s="64">
        <v>1443.0</v>
      </c>
      <c r="P24" s="64">
        <v>7212.0</v>
      </c>
      <c r="Q24" s="64">
        <v>11922.0</v>
      </c>
      <c r="R24" s="62" t="s">
        <v>132</v>
      </c>
      <c r="S24" s="62" t="s">
        <v>232</v>
      </c>
      <c r="T24" s="57" t="s">
        <v>168</v>
      </c>
      <c r="U24" s="57" t="s">
        <v>51</v>
      </c>
      <c r="V24" s="57" t="s">
        <v>169</v>
      </c>
      <c r="W24" s="59">
        <v>10.0</v>
      </c>
    </row>
    <row r="25">
      <c r="A25" s="65">
        <v>46101.0</v>
      </c>
      <c r="B25" s="66" t="s">
        <v>225</v>
      </c>
      <c r="C25" s="8" t="s">
        <v>45</v>
      </c>
      <c r="D25" s="67" t="str">
        <f>HYPERLINK("https://sg.vrporn.com/categories/", "categories")</f>
        <v>categories</v>
      </c>
      <c r="E25" s="66" t="s">
        <v>35</v>
      </c>
      <c r="F25" s="66">
        <v>48.0</v>
      </c>
      <c r="G25" s="66">
        <v>4870.0</v>
      </c>
      <c r="H25" s="66">
        <v>768.0</v>
      </c>
      <c r="I25" s="66">
        <v>0.0039</v>
      </c>
      <c r="J25" s="66">
        <v>5005.0</v>
      </c>
      <c r="K25" s="66">
        <v>824.0</v>
      </c>
      <c r="L25" s="66">
        <v>0.0039</v>
      </c>
      <c r="M25" s="66">
        <v>330.0</v>
      </c>
      <c r="N25" s="66">
        <v>4113.0</v>
      </c>
      <c r="O25" s="66">
        <v>1093.0</v>
      </c>
      <c r="P25" s="66">
        <v>6519.0</v>
      </c>
      <c r="Q25" s="66">
        <v>11533.0</v>
      </c>
      <c r="R25" s="66" t="s">
        <v>132</v>
      </c>
      <c r="S25" s="66" t="s">
        <v>232</v>
      </c>
      <c r="T25" s="57" t="s">
        <v>168</v>
      </c>
      <c r="U25" s="57" t="s">
        <v>51</v>
      </c>
      <c r="V25" s="57" t="s">
        <v>169</v>
      </c>
      <c r="W25" s="59">
        <v>10.0</v>
      </c>
    </row>
    <row r="26">
      <c r="A26" s="61">
        <v>46101.0</v>
      </c>
      <c r="B26" s="62" t="s">
        <v>225</v>
      </c>
      <c r="C26" s="8" t="s">
        <v>45</v>
      </c>
      <c r="D26" s="63" t="str">
        <f>HYPERLINK("https://sg.vrporn.com/tag/anal/", "s_category")</f>
        <v>s_category</v>
      </c>
      <c r="E26" s="62" t="s">
        <v>35</v>
      </c>
      <c r="F26" s="62">
        <v>37.0</v>
      </c>
      <c r="G26" s="62">
        <v>6389.0</v>
      </c>
      <c r="H26" s="62">
        <v>1642.0</v>
      </c>
      <c r="I26" s="62">
        <v>0.0039</v>
      </c>
      <c r="J26" s="62">
        <v>6449.0</v>
      </c>
      <c r="K26" s="62">
        <v>1769.0</v>
      </c>
      <c r="L26" s="62">
        <v>0.0039</v>
      </c>
      <c r="M26" s="62">
        <v>443.0</v>
      </c>
      <c r="N26" s="62">
        <v>4137.0</v>
      </c>
      <c r="O26" s="62">
        <v>2261.0</v>
      </c>
      <c r="P26" s="62">
        <v>6159.0</v>
      </c>
      <c r="Q26" s="62">
        <v>10932.0</v>
      </c>
      <c r="R26" s="62" t="s">
        <v>132</v>
      </c>
      <c r="S26" s="62" t="s">
        <v>232</v>
      </c>
      <c r="T26" s="57" t="s">
        <v>168</v>
      </c>
      <c r="U26" s="57" t="s">
        <v>51</v>
      </c>
      <c r="V26" s="57" t="s">
        <v>169</v>
      </c>
      <c r="W26" s="59">
        <v>10.0</v>
      </c>
    </row>
    <row r="27">
      <c r="A27" s="65">
        <v>46101.0</v>
      </c>
      <c r="B27" s="66" t="s">
        <v>225</v>
      </c>
      <c r="C27" s="8" t="s">
        <v>45</v>
      </c>
      <c r="D27" s="67" t="str">
        <f>HYPERLINK("https://sg.vrporn.com/studio/vrbangers/", "s_studio")</f>
        <v>s_studio</v>
      </c>
      <c r="E27" s="66" t="s">
        <v>35</v>
      </c>
      <c r="F27" s="68">
        <v>44.0</v>
      </c>
      <c r="G27" s="68">
        <v>5810.0</v>
      </c>
      <c r="H27" s="68">
        <v>1557.0</v>
      </c>
      <c r="I27" s="68">
        <v>0.0039</v>
      </c>
      <c r="J27" s="68">
        <v>5824.0</v>
      </c>
      <c r="K27" s="68">
        <v>1658.0</v>
      </c>
      <c r="L27" s="68">
        <v>0.0039</v>
      </c>
      <c r="M27" s="68">
        <v>438.0</v>
      </c>
      <c r="N27" s="68">
        <v>3951.0</v>
      </c>
      <c r="O27" s="68">
        <v>1210.0</v>
      </c>
      <c r="P27" s="68">
        <v>6122.0</v>
      </c>
      <c r="Q27" s="68">
        <v>9822.0</v>
      </c>
      <c r="R27" s="66" t="s">
        <v>132</v>
      </c>
      <c r="S27" s="66" t="s">
        <v>232</v>
      </c>
      <c r="T27" s="57" t="s">
        <v>168</v>
      </c>
      <c r="U27" s="57" t="s">
        <v>51</v>
      </c>
      <c r="V27" s="57" t="s">
        <v>169</v>
      </c>
      <c r="W27" s="59">
        <v>10.0</v>
      </c>
    </row>
    <row r="28">
      <c r="A28" s="61">
        <v>46101.0</v>
      </c>
      <c r="B28" s="62" t="s">
        <v>225</v>
      </c>
      <c r="C28" s="8" t="s">
        <v>45</v>
      </c>
      <c r="D28" s="63" t="str">
        <f>HYPERLINK("https://sg.vrporn.com/camgirls/", "dreams")</f>
        <v>dreams</v>
      </c>
      <c r="E28" s="62" t="s">
        <v>35</v>
      </c>
      <c r="F28" s="64">
        <v>47.0</v>
      </c>
      <c r="G28" s="64">
        <v>5104.0</v>
      </c>
      <c r="H28" s="64">
        <v>761.0</v>
      </c>
      <c r="I28" s="62">
        <v>0.0039</v>
      </c>
      <c r="J28" s="64">
        <v>5193.0</v>
      </c>
      <c r="K28" s="64">
        <v>772.0</v>
      </c>
      <c r="L28" s="64">
        <v>0.0039</v>
      </c>
      <c r="M28" s="64">
        <v>951.0</v>
      </c>
      <c r="N28" s="64">
        <v>4017.0</v>
      </c>
      <c r="O28" s="64">
        <v>1014.0</v>
      </c>
      <c r="P28" s="64">
        <v>7637.0</v>
      </c>
      <c r="Q28" s="64">
        <v>14160.0</v>
      </c>
      <c r="R28" s="62" t="s">
        <v>132</v>
      </c>
      <c r="S28" s="62" t="s">
        <v>232</v>
      </c>
      <c r="T28" s="57" t="s">
        <v>168</v>
      </c>
      <c r="U28" s="57" t="s">
        <v>51</v>
      </c>
      <c r="V28" s="57" t="s">
        <v>169</v>
      </c>
      <c r="W28" s="59">
        <v>10.0</v>
      </c>
    </row>
    <row r="29">
      <c r="A29" s="65">
        <v>46101.0</v>
      </c>
      <c r="B29" s="66" t="s">
        <v>225</v>
      </c>
      <c r="C29" s="8" t="s">
        <v>45</v>
      </c>
      <c r="D29" s="67" t="str">
        <f>HYPERLINK("https://sg.vrporn.com/camgirls/model-vrporn/", "s_dream")</f>
        <v>s_dream</v>
      </c>
      <c r="E29" s="66" t="s">
        <v>35</v>
      </c>
      <c r="F29" s="68">
        <v>38.0</v>
      </c>
      <c r="G29" s="68">
        <v>10303.0</v>
      </c>
      <c r="H29" s="68">
        <v>735.0</v>
      </c>
      <c r="I29" s="66">
        <v>0.0039</v>
      </c>
      <c r="J29" s="68">
        <v>10314.0</v>
      </c>
      <c r="K29" s="68">
        <v>748.0</v>
      </c>
      <c r="L29" s="68">
        <v>0.0039</v>
      </c>
      <c r="M29" s="68">
        <v>1206.0</v>
      </c>
      <c r="N29" s="68">
        <v>9424.0</v>
      </c>
      <c r="O29" s="68">
        <v>1585.0</v>
      </c>
      <c r="P29" s="68">
        <v>10478.0</v>
      </c>
      <c r="Q29" s="68">
        <v>16258.0</v>
      </c>
      <c r="R29" s="66" t="s">
        <v>132</v>
      </c>
      <c r="S29" s="66" t="s">
        <v>232</v>
      </c>
      <c r="T29" s="57" t="s">
        <v>168</v>
      </c>
      <c r="U29" s="57" t="s">
        <v>51</v>
      </c>
      <c r="V29" s="57" t="s">
        <v>169</v>
      </c>
      <c r="W29" s="59">
        <v>10.0</v>
      </c>
    </row>
    <row r="30">
      <c r="A30" s="61">
        <v>46104.0</v>
      </c>
      <c r="B30" s="62" t="s">
        <v>225</v>
      </c>
      <c r="C30" s="8" t="s">
        <v>45</v>
      </c>
      <c r="D30" s="63" t="str">
        <f>HYPERLINK("https://sg.vrporn.com/", "main")</f>
        <v>main</v>
      </c>
      <c r="E30" s="62" t="s">
        <v>35</v>
      </c>
      <c r="F30" s="64">
        <v>42.0</v>
      </c>
      <c r="G30" s="64">
        <v>6009.0</v>
      </c>
      <c r="H30" s="64">
        <v>2070.0</v>
      </c>
      <c r="I30" s="62">
        <v>0.0039</v>
      </c>
      <c r="J30" s="64">
        <v>6115.0</v>
      </c>
      <c r="K30" s="64">
        <v>2174.0</v>
      </c>
      <c r="L30" s="62">
        <v>0.0039</v>
      </c>
      <c r="M30" s="64">
        <v>651.0</v>
      </c>
      <c r="N30" s="64">
        <v>4392.0</v>
      </c>
      <c r="O30" s="64">
        <v>1778.0</v>
      </c>
      <c r="P30" s="64">
        <v>9634.0</v>
      </c>
      <c r="Q30" s="64">
        <v>21492.0</v>
      </c>
      <c r="R30" s="62" t="s">
        <v>123</v>
      </c>
      <c r="S30" s="62" t="s">
        <v>232</v>
      </c>
      <c r="T30" s="57" t="s">
        <v>168</v>
      </c>
      <c r="U30" s="57" t="s">
        <v>51</v>
      </c>
      <c r="V30" s="57" t="s">
        <v>169</v>
      </c>
      <c r="W30" s="59">
        <v>10.0</v>
      </c>
    </row>
    <row r="31">
      <c r="A31" s="65">
        <v>46104.0</v>
      </c>
      <c r="B31" s="66" t="s">
        <v>225</v>
      </c>
      <c r="C31" s="8" t="s">
        <v>45</v>
      </c>
      <c r="D31" s="67" t="str">
        <f>HYPERLINK("https://sg.vrporn.com/pornstars/?sort=latest", "models")</f>
        <v>models</v>
      </c>
      <c r="E31" s="66" t="s">
        <v>35</v>
      </c>
      <c r="F31" s="68">
        <v>42.0</v>
      </c>
      <c r="G31" s="68">
        <v>5029.0</v>
      </c>
      <c r="H31" s="68">
        <v>1162.0</v>
      </c>
      <c r="I31" s="66">
        <v>0.0039</v>
      </c>
      <c r="J31" s="68">
        <v>5119.0</v>
      </c>
      <c r="K31" s="68">
        <v>1178.0</v>
      </c>
      <c r="L31" s="68">
        <v>0.0039</v>
      </c>
      <c r="M31" s="68">
        <v>290.0</v>
      </c>
      <c r="N31" s="68">
        <v>4278.0</v>
      </c>
      <c r="O31" s="68">
        <v>1785.0</v>
      </c>
      <c r="P31" s="68">
        <v>6868.0</v>
      </c>
      <c r="Q31" s="68">
        <v>12202.0</v>
      </c>
      <c r="R31" s="66" t="s">
        <v>123</v>
      </c>
      <c r="S31" s="66" t="s">
        <v>232</v>
      </c>
      <c r="T31" s="57" t="s">
        <v>168</v>
      </c>
      <c r="U31" s="57" t="s">
        <v>51</v>
      </c>
      <c r="V31" s="57" t="s">
        <v>169</v>
      </c>
      <c r="W31" s="59">
        <v>10.0</v>
      </c>
    </row>
    <row r="32">
      <c r="A32" s="61">
        <v>46104.0</v>
      </c>
      <c r="B32" s="62" t="s">
        <v>225</v>
      </c>
      <c r="C32" s="8" t="s">
        <v>45</v>
      </c>
      <c r="D32" s="63" t="str">
        <f>HYPERLINK("https://sg.vrporn.com/pornstars/samy-sun/", "s_model")</f>
        <v>s_model</v>
      </c>
      <c r="E32" s="62" t="s">
        <v>35</v>
      </c>
      <c r="F32" s="64">
        <v>49.0</v>
      </c>
      <c r="G32" s="64">
        <v>5107.0</v>
      </c>
      <c r="H32" s="64">
        <v>1022.0</v>
      </c>
      <c r="I32" s="64">
        <v>0.0039</v>
      </c>
      <c r="J32" s="64">
        <v>5443.0</v>
      </c>
      <c r="K32" s="64">
        <v>1027.0</v>
      </c>
      <c r="L32" s="64">
        <v>0.0039</v>
      </c>
      <c r="M32" s="64">
        <v>279.0</v>
      </c>
      <c r="N32" s="64">
        <v>3795.0</v>
      </c>
      <c r="O32" s="64">
        <v>1526.0</v>
      </c>
      <c r="P32" s="64">
        <v>5432.0</v>
      </c>
      <c r="Q32" s="64">
        <v>8082.0</v>
      </c>
      <c r="R32" s="62" t="s">
        <v>123</v>
      </c>
      <c r="S32" s="62" t="s">
        <v>232</v>
      </c>
      <c r="T32" s="57" t="s">
        <v>168</v>
      </c>
      <c r="U32" s="57" t="s">
        <v>51</v>
      </c>
      <c r="V32" s="57" t="s">
        <v>169</v>
      </c>
      <c r="W32" s="59">
        <v>10.0</v>
      </c>
    </row>
    <row r="33">
      <c r="A33" s="65">
        <v>46104.0</v>
      </c>
      <c r="B33" s="66" t="s">
        <v>225</v>
      </c>
      <c r="C33" s="8" t="s">
        <v>45</v>
      </c>
      <c r="D33" s="67" t="str">
        <f>HYPERLINK("https://sg.vrporn.com/tag/anal/", "s_category")</f>
        <v>s_category</v>
      </c>
      <c r="E33" s="66" t="s">
        <v>35</v>
      </c>
      <c r="F33" s="68">
        <v>41.0</v>
      </c>
      <c r="G33" s="68">
        <v>6523.0</v>
      </c>
      <c r="H33" s="68">
        <v>1916.0</v>
      </c>
      <c r="I33" s="68">
        <v>0.0039</v>
      </c>
      <c r="J33" s="68">
        <v>6704.0</v>
      </c>
      <c r="K33" s="68">
        <v>1968.0</v>
      </c>
      <c r="L33" s="68">
        <v>0.0039</v>
      </c>
      <c r="M33" s="68">
        <v>403.0</v>
      </c>
      <c r="N33" s="68">
        <v>4106.0</v>
      </c>
      <c r="O33" s="68">
        <v>2086.0</v>
      </c>
      <c r="P33" s="68">
        <v>6367.0</v>
      </c>
      <c r="Q33" s="68">
        <v>10542.0</v>
      </c>
      <c r="R33" s="66" t="s">
        <v>123</v>
      </c>
      <c r="S33" s="66" t="s">
        <v>232</v>
      </c>
      <c r="T33" s="57" t="s">
        <v>168</v>
      </c>
      <c r="U33" s="57" t="s">
        <v>51</v>
      </c>
      <c r="V33" s="57" t="s">
        <v>169</v>
      </c>
      <c r="W33" s="59">
        <v>10.0</v>
      </c>
    </row>
    <row r="34">
      <c r="A34" s="61">
        <v>46104.0</v>
      </c>
      <c r="B34" s="62" t="s">
        <v>225</v>
      </c>
      <c r="C34" s="8" t="s">
        <v>45</v>
      </c>
      <c r="D34" s="63" t="str">
        <f>HYPERLINK("https://sg.vrporn.com/studio/vrbangers/", "s_studio")</f>
        <v>s_studio</v>
      </c>
      <c r="E34" s="62" t="s">
        <v>35</v>
      </c>
      <c r="F34" s="64">
        <v>39.0</v>
      </c>
      <c r="G34" s="64">
        <v>5824.0</v>
      </c>
      <c r="H34" s="64">
        <v>1997.0</v>
      </c>
      <c r="I34" s="64">
        <v>0.0039</v>
      </c>
      <c r="J34" s="64">
        <v>5824.0</v>
      </c>
      <c r="K34" s="64">
        <v>1997.0</v>
      </c>
      <c r="L34" s="64">
        <v>0.0039</v>
      </c>
      <c r="M34" s="64">
        <v>392.0</v>
      </c>
      <c r="N34" s="64">
        <v>3961.0</v>
      </c>
      <c r="O34" s="64">
        <v>1520.0</v>
      </c>
      <c r="P34" s="64">
        <v>6259.0</v>
      </c>
      <c r="Q34" s="64">
        <v>9794.0</v>
      </c>
      <c r="R34" s="62" t="s">
        <v>123</v>
      </c>
      <c r="S34" s="62" t="s">
        <v>232</v>
      </c>
      <c r="T34" s="57" t="s">
        <v>168</v>
      </c>
      <c r="U34" s="57" t="s">
        <v>51</v>
      </c>
      <c r="V34" s="57" t="s">
        <v>169</v>
      </c>
      <c r="W34" s="59">
        <v>10.0</v>
      </c>
    </row>
    <row r="35">
      <c r="A35" s="65">
        <v>46104.0</v>
      </c>
      <c r="B35" s="66" t="s">
        <v>225</v>
      </c>
      <c r="C35" s="8" t="s">
        <v>45</v>
      </c>
      <c r="D35" s="67" t="str">
        <f>HYPERLINK("https://sg.vrporn.com/camgirls/", "dreams")</f>
        <v>dreams</v>
      </c>
      <c r="E35" s="66" t="s">
        <v>35</v>
      </c>
      <c r="F35" s="68">
        <v>38.0</v>
      </c>
      <c r="G35" s="68">
        <v>5945.0</v>
      </c>
      <c r="H35" s="68">
        <v>866.0</v>
      </c>
      <c r="I35" s="68">
        <v>0.0039</v>
      </c>
      <c r="J35" s="68">
        <v>5990.0</v>
      </c>
      <c r="K35" s="68">
        <v>892.0</v>
      </c>
      <c r="L35" s="68">
        <v>0.0039</v>
      </c>
      <c r="M35" s="68">
        <v>885.0</v>
      </c>
      <c r="N35" s="68">
        <v>4506.0</v>
      </c>
      <c r="O35" s="68">
        <v>1549.0</v>
      </c>
      <c r="P35" s="68">
        <v>8791.0</v>
      </c>
      <c r="Q35" s="68">
        <v>14394.0</v>
      </c>
      <c r="R35" s="66" t="s">
        <v>123</v>
      </c>
      <c r="S35" s="66" t="s">
        <v>232</v>
      </c>
      <c r="T35" s="57" t="s">
        <v>168</v>
      </c>
      <c r="U35" s="57" t="s">
        <v>51</v>
      </c>
      <c r="V35" s="57" t="s">
        <v>169</v>
      </c>
      <c r="W35" s="59">
        <v>10.0</v>
      </c>
    </row>
    <row r="36">
      <c r="A36" s="61">
        <v>46104.0</v>
      </c>
      <c r="B36" s="62" t="s">
        <v>225</v>
      </c>
      <c r="C36" s="8" t="s">
        <v>45</v>
      </c>
      <c r="D36" s="63" t="str">
        <f>HYPERLINK("https://sg.vrporn.com/camgirls/model-vrporn/", "s_dream")</f>
        <v>s_dream</v>
      </c>
      <c r="E36" s="62" t="s">
        <v>35</v>
      </c>
      <c r="F36" s="64">
        <v>33.0</v>
      </c>
      <c r="G36" s="64">
        <v>10427.0</v>
      </c>
      <c r="H36" s="64">
        <v>968.0</v>
      </c>
      <c r="I36" s="64">
        <v>0.0039</v>
      </c>
      <c r="J36" s="64">
        <v>10429.0</v>
      </c>
      <c r="K36" s="64">
        <v>1009.0</v>
      </c>
      <c r="L36" s="64">
        <v>0.0039</v>
      </c>
      <c r="M36" s="64">
        <v>1129.0</v>
      </c>
      <c r="N36" s="64">
        <v>9528.0</v>
      </c>
      <c r="O36" s="64">
        <v>1253.0</v>
      </c>
      <c r="P36" s="64">
        <v>10036.0</v>
      </c>
      <c r="Q36" s="64">
        <v>15782.0</v>
      </c>
      <c r="R36" s="62" t="s">
        <v>123</v>
      </c>
      <c r="S36" s="62" t="s">
        <v>232</v>
      </c>
      <c r="T36" s="57" t="s">
        <v>168</v>
      </c>
      <c r="U36" s="57" t="s">
        <v>51</v>
      </c>
      <c r="V36" s="57" t="s">
        <v>169</v>
      </c>
      <c r="W36" s="59">
        <v>10.0</v>
      </c>
    </row>
    <row r="37">
      <c r="A37" s="65">
        <v>46104.0</v>
      </c>
      <c r="B37" s="66" t="s">
        <v>225</v>
      </c>
      <c r="C37" s="8" t="s">
        <v>45</v>
      </c>
      <c r="D37" s="67" t="str">
        <f>HYPERLINK("https://sg.vrporn.com/", "main")</f>
        <v>main</v>
      </c>
      <c r="E37" s="66" t="s">
        <v>34</v>
      </c>
      <c r="F37" s="68">
        <v>79.0</v>
      </c>
      <c r="G37" s="68">
        <v>2184.0</v>
      </c>
      <c r="H37" s="68">
        <v>558.0</v>
      </c>
      <c r="I37" s="68">
        <v>2.0E-4</v>
      </c>
      <c r="J37" s="68">
        <v>2580.0</v>
      </c>
      <c r="K37" s="68">
        <v>581.0</v>
      </c>
      <c r="L37" s="68">
        <v>2.0E-4</v>
      </c>
      <c r="M37" s="68">
        <v>469.0</v>
      </c>
      <c r="N37" s="68">
        <v>2023.0</v>
      </c>
      <c r="O37" s="68">
        <v>262.0</v>
      </c>
      <c r="P37" s="68">
        <v>3535.0</v>
      </c>
      <c r="Q37" s="68">
        <v>2787.0</v>
      </c>
      <c r="R37" s="66" t="s">
        <v>123</v>
      </c>
      <c r="S37" s="66" t="s">
        <v>232</v>
      </c>
      <c r="T37" s="57" t="s">
        <v>168</v>
      </c>
      <c r="U37" s="57" t="s">
        <v>51</v>
      </c>
      <c r="V37" s="57" t="s">
        <v>169</v>
      </c>
      <c r="W37" s="59">
        <v>10.0</v>
      </c>
    </row>
    <row r="38">
      <c r="A38" s="61">
        <v>46104.0</v>
      </c>
      <c r="B38" s="62" t="s">
        <v>225</v>
      </c>
      <c r="C38" s="8" t="s">
        <v>45</v>
      </c>
      <c r="D38" s="63" t="str">
        <f>HYPERLINK("https://sg.vrporn.com/pornstars/?sort=latest", "models")</f>
        <v>models</v>
      </c>
      <c r="E38" s="62" t="s">
        <v>34</v>
      </c>
      <c r="F38" s="64">
        <v>86.0</v>
      </c>
      <c r="G38" s="64">
        <v>1880.0</v>
      </c>
      <c r="H38" s="64">
        <v>310.0</v>
      </c>
      <c r="I38" s="64">
        <v>2.0E-4</v>
      </c>
      <c r="J38" s="64">
        <v>3921.0</v>
      </c>
      <c r="K38" s="64">
        <v>323.0</v>
      </c>
      <c r="L38" s="64">
        <v>2.0E-4</v>
      </c>
      <c r="M38" s="64">
        <v>388.0</v>
      </c>
      <c r="N38" s="64">
        <v>1846.0</v>
      </c>
      <c r="O38" s="64">
        <v>177.0</v>
      </c>
      <c r="P38" s="64">
        <v>3294.0</v>
      </c>
      <c r="Q38" s="64">
        <v>3188.0</v>
      </c>
      <c r="R38" s="62" t="s">
        <v>123</v>
      </c>
      <c r="S38" s="62" t="s">
        <v>232</v>
      </c>
      <c r="T38" s="57" t="s">
        <v>168</v>
      </c>
      <c r="U38" s="57" t="s">
        <v>51</v>
      </c>
      <c r="V38" s="57" t="s">
        <v>169</v>
      </c>
      <c r="W38" s="59">
        <v>10.0</v>
      </c>
    </row>
    <row r="39">
      <c r="A39" s="65">
        <v>46104.0</v>
      </c>
      <c r="B39" s="66" t="s">
        <v>225</v>
      </c>
      <c r="C39" s="8" t="s">
        <v>45</v>
      </c>
      <c r="D39" s="67" t="str">
        <f>HYPERLINK("https://sg.vrporn.com/pornstars/samy-sun/", "s_model")</f>
        <v>s_model</v>
      </c>
      <c r="E39" s="66" t="s">
        <v>34</v>
      </c>
      <c r="F39" s="68">
        <v>87.0</v>
      </c>
      <c r="G39" s="68">
        <v>1376.0</v>
      </c>
      <c r="H39" s="68">
        <v>248.0</v>
      </c>
      <c r="I39" s="68">
        <v>2.0E-4</v>
      </c>
      <c r="J39" s="68">
        <v>1421.0</v>
      </c>
      <c r="K39" s="68">
        <v>262.0</v>
      </c>
      <c r="L39" s="68">
        <v>2.0E-4</v>
      </c>
      <c r="M39" s="68">
        <v>394.0</v>
      </c>
      <c r="N39" s="68">
        <v>1234.0</v>
      </c>
      <c r="O39" s="68">
        <v>182.0</v>
      </c>
      <c r="P39" s="68">
        <v>2406.0</v>
      </c>
      <c r="Q39" s="68">
        <v>1817.0</v>
      </c>
      <c r="R39" s="66" t="s">
        <v>123</v>
      </c>
      <c r="S39" s="66" t="s">
        <v>232</v>
      </c>
      <c r="T39" s="57" t="s">
        <v>168</v>
      </c>
      <c r="U39" s="57" t="s">
        <v>51</v>
      </c>
      <c r="V39" s="57" t="s">
        <v>169</v>
      </c>
      <c r="W39" s="59">
        <v>10.0</v>
      </c>
    </row>
    <row r="40">
      <c r="A40" s="61">
        <v>46104.0</v>
      </c>
      <c r="B40" s="62" t="s">
        <v>225</v>
      </c>
      <c r="C40" s="8" t="s">
        <v>45</v>
      </c>
      <c r="D40" s="63" t="str">
        <f>HYPERLINK("https://sg.vrporn.com/categories/", "categories")</f>
        <v>categories</v>
      </c>
      <c r="E40" s="62" t="s">
        <v>34</v>
      </c>
      <c r="F40" s="64">
        <v>88.0</v>
      </c>
      <c r="G40" s="64">
        <v>1604.0</v>
      </c>
      <c r="H40" s="64">
        <v>203.0</v>
      </c>
      <c r="I40" s="64">
        <v>2.0E-4</v>
      </c>
      <c r="J40" s="64">
        <v>2136.0</v>
      </c>
      <c r="K40" s="64">
        <v>212.0</v>
      </c>
      <c r="L40" s="64">
        <v>2.0E-4</v>
      </c>
      <c r="M40" s="64">
        <v>303.0</v>
      </c>
      <c r="N40" s="64">
        <v>1282.0</v>
      </c>
      <c r="O40" s="64">
        <v>144.0</v>
      </c>
      <c r="P40" s="64">
        <v>2815.0</v>
      </c>
      <c r="Q40" s="64">
        <v>1604.0</v>
      </c>
      <c r="R40" s="62" t="s">
        <v>123</v>
      </c>
      <c r="S40" s="62" t="s">
        <v>232</v>
      </c>
      <c r="T40" s="57" t="s">
        <v>168</v>
      </c>
      <c r="U40" s="57" t="s">
        <v>51</v>
      </c>
      <c r="V40" s="57" t="s">
        <v>169</v>
      </c>
      <c r="W40" s="59">
        <v>10.0</v>
      </c>
    </row>
    <row r="41">
      <c r="A41" s="65">
        <v>46104.0</v>
      </c>
      <c r="B41" s="66" t="s">
        <v>225</v>
      </c>
      <c r="C41" s="8" t="s">
        <v>45</v>
      </c>
      <c r="D41" s="67" t="str">
        <f>HYPERLINK("https://sg.vrporn.com/tag/anal/", "s_category")</f>
        <v>s_category</v>
      </c>
      <c r="E41" s="66" t="s">
        <v>34</v>
      </c>
      <c r="F41" s="68">
        <v>66.0</v>
      </c>
      <c r="G41" s="68">
        <v>1596.0</v>
      </c>
      <c r="H41" s="68">
        <v>553.0</v>
      </c>
      <c r="I41" s="68">
        <v>2.0E-4</v>
      </c>
      <c r="J41" s="68">
        <v>1654.0</v>
      </c>
      <c r="K41" s="68">
        <v>570.0</v>
      </c>
      <c r="L41" s="68">
        <v>2.0E-4</v>
      </c>
      <c r="M41" s="68">
        <v>400.0</v>
      </c>
      <c r="N41" s="68">
        <v>1237.0</v>
      </c>
      <c r="O41" s="68">
        <v>539.0</v>
      </c>
      <c r="P41" s="68">
        <v>2487.0</v>
      </c>
      <c r="Q41" s="68">
        <v>2215.0</v>
      </c>
      <c r="R41" s="66" t="s">
        <v>123</v>
      </c>
      <c r="S41" s="66" t="s">
        <v>232</v>
      </c>
      <c r="T41" s="57" t="s">
        <v>168</v>
      </c>
      <c r="U41" s="57" t="s">
        <v>51</v>
      </c>
      <c r="V41" s="57" t="s">
        <v>169</v>
      </c>
      <c r="W41" s="59">
        <v>10.0</v>
      </c>
    </row>
    <row r="42">
      <c r="A42" s="61">
        <v>46104.0</v>
      </c>
      <c r="B42" s="62" t="s">
        <v>225</v>
      </c>
      <c r="C42" s="8" t="s">
        <v>45</v>
      </c>
      <c r="D42" s="63" t="str">
        <f>HYPERLINK("https://sg.vrporn.com/studio/vrbangers/", "s_studio")</f>
        <v>s_studio</v>
      </c>
      <c r="E42" s="62" t="s">
        <v>34</v>
      </c>
      <c r="F42" s="64">
        <v>78.0</v>
      </c>
      <c r="G42" s="64">
        <v>1673.0</v>
      </c>
      <c r="H42" s="64">
        <v>548.0</v>
      </c>
      <c r="I42" s="64">
        <v>2.0E-4</v>
      </c>
      <c r="J42" s="64">
        <v>1810.0</v>
      </c>
      <c r="K42" s="64">
        <v>569.0</v>
      </c>
      <c r="L42" s="64">
        <v>2.0E-4</v>
      </c>
      <c r="M42" s="64">
        <v>416.0</v>
      </c>
      <c r="N42" s="64">
        <v>1394.0</v>
      </c>
      <c r="O42" s="64">
        <v>409.0</v>
      </c>
      <c r="P42" s="64">
        <v>2780.0</v>
      </c>
      <c r="Q42" s="64">
        <v>3042.0</v>
      </c>
      <c r="R42" s="62" t="s">
        <v>123</v>
      </c>
      <c r="S42" s="62" t="s">
        <v>232</v>
      </c>
      <c r="T42" s="57" t="s">
        <v>168</v>
      </c>
      <c r="U42" s="57" t="s">
        <v>51</v>
      </c>
      <c r="V42" s="57" t="s">
        <v>169</v>
      </c>
      <c r="W42" s="59">
        <v>10.0</v>
      </c>
    </row>
    <row r="43">
      <c r="A43" s="65">
        <v>46104.0</v>
      </c>
      <c r="B43" s="66" t="s">
        <v>225</v>
      </c>
      <c r="C43" s="8" t="s">
        <v>45</v>
      </c>
      <c r="D43" s="67" t="str">
        <f>HYPERLINK("https://sg.vrporn.com/camgirls/", "dreams")</f>
        <v>dreams</v>
      </c>
      <c r="E43" s="66" t="s">
        <v>34</v>
      </c>
      <c r="F43" s="68">
        <v>74.0</v>
      </c>
      <c r="G43" s="68">
        <v>2217.0</v>
      </c>
      <c r="H43" s="68">
        <v>229.0</v>
      </c>
      <c r="I43" s="68">
        <v>2.0E-4</v>
      </c>
      <c r="J43" s="68">
        <v>2683.0</v>
      </c>
      <c r="K43" s="68">
        <v>241.0</v>
      </c>
      <c r="L43" s="68">
        <v>2.0E-4</v>
      </c>
      <c r="M43" s="68">
        <v>915.0</v>
      </c>
      <c r="N43" s="68">
        <v>1941.0</v>
      </c>
      <c r="O43" s="68">
        <v>261.0</v>
      </c>
      <c r="P43" s="68">
        <v>3449.0</v>
      </c>
      <c r="Q43" s="68">
        <v>4049.0</v>
      </c>
      <c r="R43" s="66" t="s">
        <v>123</v>
      </c>
      <c r="S43" s="66" t="s">
        <v>232</v>
      </c>
      <c r="T43" s="57" t="s">
        <v>168</v>
      </c>
      <c r="U43" s="57" t="s">
        <v>51</v>
      </c>
      <c r="V43" s="57" t="s">
        <v>169</v>
      </c>
      <c r="W43" s="59">
        <v>10.0</v>
      </c>
    </row>
    <row r="44">
      <c r="A44" s="61">
        <v>46104.0</v>
      </c>
      <c r="B44" s="62" t="s">
        <v>225</v>
      </c>
      <c r="C44" s="8" t="s">
        <v>45</v>
      </c>
      <c r="D44" s="63" t="str">
        <f>HYPERLINK("https://sg.vrporn.com/camgirls/model-vrporn/", "s_dream")</f>
        <v>s_dream</v>
      </c>
      <c r="E44" s="62" t="s">
        <v>34</v>
      </c>
      <c r="F44" s="64">
        <v>68.0</v>
      </c>
      <c r="G44" s="64">
        <v>2408.0</v>
      </c>
      <c r="H44" s="64">
        <v>211.0</v>
      </c>
      <c r="I44" s="64">
        <v>2.0E-4</v>
      </c>
      <c r="J44" s="64">
        <v>2769.0</v>
      </c>
      <c r="K44" s="64">
        <v>216.0</v>
      </c>
      <c r="L44" s="64">
        <v>2.0E-4</v>
      </c>
      <c r="M44" s="64">
        <v>1122.0</v>
      </c>
      <c r="N44" s="64">
        <v>2246.0</v>
      </c>
      <c r="O44" s="64">
        <v>200.0</v>
      </c>
      <c r="P44" s="64">
        <v>3526.0</v>
      </c>
      <c r="Q44" s="64">
        <v>3746.0</v>
      </c>
      <c r="R44" s="62" t="s">
        <v>123</v>
      </c>
      <c r="S44" s="62" t="s">
        <v>232</v>
      </c>
      <c r="T44" s="57" t="s">
        <v>168</v>
      </c>
      <c r="U44" s="57" t="s">
        <v>51</v>
      </c>
      <c r="V44" s="57" t="s">
        <v>169</v>
      </c>
      <c r="W44" s="59">
        <v>10.0</v>
      </c>
    </row>
    <row r="45">
      <c r="A45" s="65">
        <v>46104.0</v>
      </c>
      <c r="B45" s="66" t="s">
        <v>225</v>
      </c>
      <c r="C45" s="8" t="s">
        <v>45</v>
      </c>
      <c r="D45" s="67" t="str">
        <f>HYPERLINK("https://sg.vrporn.com/", "main")</f>
        <v>main</v>
      </c>
      <c r="E45" s="66" t="s">
        <v>35</v>
      </c>
      <c r="F45" s="68">
        <v>41.0</v>
      </c>
      <c r="G45" s="68">
        <v>11340.0</v>
      </c>
      <c r="H45" s="68">
        <v>1928.0</v>
      </c>
      <c r="I45" s="68">
        <v>0.0039</v>
      </c>
      <c r="J45" s="68">
        <v>11498.0</v>
      </c>
      <c r="K45" s="68">
        <v>1995.0</v>
      </c>
      <c r="L45" s="68">
        <v>0.0039</v>
      </c>
      <c r="M45" s="68">
        <v>471.0</v>
      </c>
      <c r="N45" s="68">
        <v>10927.0</v>
      </c>
      <c r="O45" s="68">
        <v>1857.0</v>
      </c>
      <c r="P45" s="68">
        <v>10927.0</v>
      </c>
      <c r="Q45" s="68">
        <v>27149.0</v>
      </c>
      <c r="R45" s="66" t="s">
        <v>123</v>
      </c>
      <c r="S45" s="66" t="s">
        <v>232</v>
      </c>
      <c r="T45" s="57" t="s">
        <v>168</v>
      </c>
      <c r="U45" s="57" t="s">
        <v>51</v>
      </c>
      <c r="V45" s="57" t="s">
        <v>169</v>
      </c>
      <c r="W45" s="59">
        <v>10.0</v>
      </c>
    </row>
    <row r="46">
      <c r="A46" s="61">
        <v>46104.0</v>
      </c>
      <c r="B46" s="62" t="s">
        <v>225</v>
      </c>
      <c r="C46" s="8" t="s">
        <v>45</v>
      </c>
      <c r="D46" s="63" t="str">
        <f>HYPERLINK("https://sg.vrporn.com/camgirls/", "dreams")</f>
        <v>dreams</v>
      </c>
      <c r="E46" s="62" t="s">
        <v>35</v>
      </c>
      <c r="F46" s="64">
        <v>43.0</v>
      </c>
      <c r="G46" s="64">
        <v>10994.0</v>
      </c>
      <c r="H46" s="64">
        <v>1068.0</v>
      </c>
      <c r="I46" s="64">
        <v>0.0039</v>
      </c>
      <c r="J46" s="64">
        <v>11048.0</v>
      </c>
      <c r="K46" s="64">
        <v>1118.0</v>
      </c>
      <c r="L46" s="64">
        <v>0.0039</v>
      </c>
      <c r="M46" s="64">
        <v>871.0</v>
      </c>
      <c r="N46" s="64">
        <v>10694.0</v>
      </c>
      <c r="O46" s="64">
        <v>1563.0</v>
      </c>
      <c r="P46" s="64">
        <v>10694.0</v>
      </c>
      <c r="Q46" s="64">
        <v>17340.0</v>
      </c>
      <c r="R46" s="62" t="s">
        <v>123</v>
      </c>
      <c r="S46" s="62" t="s">
        <v>232</v>
      </c>
      <c r="T46" s="57" t="s">
        <v>168</v>
      </c>
      <c r="U46" s="57" t="s">
        <v>51</v>
      </c>
      <c r="V46" s="57" t="s">
        <v>169</v>
      </c>
      <c r="W46" s="59">
        <v>10.0</v>
      </c>
    </row>
    <row r="47">
      <c r="A47" s="65">
        <v>46104.0</v>
      </c>
      <c r="B47" s="66" t="s">
        <v>225</v>
      </c>
      <c r="C47" s="8" t="s">
        <v>45</v>
      </c>
      <c r="D47" s="67" t="str">
        <f>HYPERLINK("https://sg.vrporn.com/", "main")</f>
        <v>main</v>
      </c>
      <c r="E47" s="66" t="s">
        <v>34</v>
      </c>
      <c r="F47" s="68">
        <v>64.0</v>
      </c>
      <c r="G47" s="68">
        <v>2631.0</v>
      </c>
      <c r="H47" s="68">
        <v>488.0</v>
      </c>
      <c r="I47" s="68">
        <v>2.0E-4</v>
      </c>
      <c r="J47" s="68">
        <v>2802.0</v>
      </c>
      <c r="K47" s="68">
        <v>492.0</v>
      </c>
      <c r="L47" s="68">
        <v>2.0E-4</v>
      </c>
      <c r="M47" s="68">
        <v>529.0</v>
      </c>
      <c r="N47" s="68">
        <v>2378.0</v>
      </c>
      <c r="O47" s="68">
        <v>347.0</v>
      </c>
      <c r="P47" s="68">
        <v>3730.0</v>
      </c>
      <c r="Q47" s="68">
        <v>10678.0</v>
      </c>
      <c r="R47" s="66" t="s">
        <v>123</v>
      </c>
      <c r="S47" s="66" t="s">
        <v>232</v>
      </c>
      <c r="T47" s="57" t="s">
        <v>168</v>
      </c>
      <c r="U47" s="57" t="s">
        <v>51</v>
      </c>
      <c r="V47" s="57" t="s">
        <v>169</v>
      </c>
      <c r="W47" s="59">
        <v>10.0</v>
      </c>
    </row>
    <row r="48">
      <c r="A48" s="61">
        <v>46104.0</v>
      </c>
      <c r="B48" s="62" t="s">
        <v>225</v>
      </c>
      <c r="C48" s="8" t="s">
        <v>45</v>
      </c>
      <c r="D48" s="63" t="str">
        <f>HYPERLINK("https://sg.vrporn.com/camgirls/", "dreams")</f>
        <v>dreams</v>
      </c>
      <c r="E48" s="62" t="s">
        <v>34</v>
      </c>
      <c r="F48" s="64">
        <v>76.0</v>
      </c>
      <c r="G48" s="64">
        <v>2374.0</v>
      </c>
      <c r="H48" s="64">
        <v>268.0</v>
      </c>
      <c r="I48" s="64">
        <v>2.0E-4</v>
      </c>
      <c r="J48" s="64">
        <v>2431.0</v>
      </c>
      <c r="K48" s="64">
        <v>279.0</v>
      </c>
      <c r="L48" s="64">
        <v>2.0E-4</v>
      </c>
      <c r="M48" s="64">
        <v>878.0</v>
      </c>
      <c r="N48" s="64">
        <v>2256.0</v>
      </c>
      <c r="O48" s="64">
        <v>323.0</v>
      </c>
      <c r="P48" s="64">
        <v>2932.0</v>
      </c>
      <c r="Q48" s="64">
        <v>4670.0</v>
      </c>
      <c r="R48" s="62" t="s">
        <v>123</v>
      </c>
      <c r="S48" s="62" t="s">
        <v>232</v>
      </c>
      <c r="T48" s="57" t="s">
        <v>168</v>
      </c>
      <c r="U48" s="57" t="s">
        <v>51</v>
      </c>
      <c r="V48" s="57" t="s">
        <v>169</v>
      </c>
      <c r="W48" s="59">
        <v>10.0</v>
      </c>
    </row>
    <row r="49">
      <c r="A49" s="65">
        <v>46104.0</v>
      </c>
      <c r="B49" s="66" t="s">
        <v>225</v>
      </c>
      <c r="C49" s="8" t="s">
        <v>45</v>
      </c>
      <c r="D49" s="67" t="str">
        <f>HYPERLINK("https://sg.vrporn.com/", "main")</f>
        <v>main</v>
      </c>
      <c r="E49" s="66" t="s">
        <v>34</v>
      </c>
      <c r="F49" s="68">
        <v>82.0</v>
      </c>
      <c r="G49" s="68">
        <v>1674.0</v>
      </c>
      <c r="H49" s="68">
        <v>373.0</v>
      </c>
      <c r="I49" s="68">
        <v>2.0E-4</v>
      </c>
      <c r="J49" s="68">
        <v>1776.0</v>
      </c>
      <c r="K49" s="68">
        <v>405.0</v>
      </c>
      <c r="L49" s="68">
        <v>2.0E-4</v>
      </c>
      <c r="M49" s="68">
        <v>440.0</v>
      </c>
      <c r="N49" s="68">
        <v>1276.0</v>
      </c>
      <c r="O49" s="68">
        <v>164.0</v>
      </c>
      <c r="P49" s="68">
        <v>2829.0</v>
      </c>
      <c r="Q49" s="68">
        <v>2524.0</v>
      </c>
      <c r="R49" s="66" t="s">
        <v>123</v>
      </c>
      <c r="S49" s="66" t="s">
        <v>232</v>
      </c>
      <c r="T49" s="57" t="s">
        <v>168</v>
      </c>
      <c r="U49" s="57" t="s">
        <v>51</v>
      </c>
      <c r="V49" s="57" t="s">
        <v>169</v>
      </c>
      <c r="W49" s="59">
        <v>10.0</v>
      </c>
    </row>
    <row r="50">
      <c r="A50" s="61">
        <v>46104.0</v>
      </c>
      <c r="B50" s="62" t="s">
        <v>225</v>
      </c>
      <c r="C50" s="8" t="s">
        <v>45</v>
      </c>
      <c r="D50" s="63" t="str">
        <f>HYPERLINK("https://sg.vrporn.com/pornstars/samy-sun/", "s_model")</f>
        <v>s_model</v>
      </c>
      <c r="E50" s="62" t="s">
        <v>34</v>
      </c>
      <c r="F50" s="64">
        <v>90.0</v>
      </c>
      <c r="G50" s="64">
        <v>1361.0</v>
      </c>
      <c r="H50" s="64">
        <v>169.0</v>
      </c>
      <c r="I50" s="64">
        <v>2.0E-4</v>
      </c>
      <c r="J50" s="64">
        <v>1406.0</v>
      </c>
      <c r="K50" s="64">
        <v>176.0</v>
      </c>
      <c r="L50" s="64">
        <v>2.0E-4</v>
      </c>
      <c r="M50" s="64">
        <v>307.0</v>
      </c>
      <c r="N50" s="64">
        <v>1223.0</v>
      </c>
      <c r="O50" s="64">
        <v>98.0</v>
      </c>
      <c r="P50" s="64">
        <v>1996.0</v>
      </c>
      <c r="Q50" s="64">
        <v>1442.0</v>
      </c>
      <c r="R50" s="62" t="s">
        <v>123</v>
      </c>
      <c r="S50" s="62" t="s">
        <v>232</v>
      </c>
      <c r="T50" s="57" t="s">
        <v>168</v>
      </c>
      <c r="U50" s="57" t="s">
        <v>51</v>
      </c>
      <c r="V50" s="57" t="s">
        <v>169</v>
      </c>
      <c r="W50" s="59">
        <v>10.0</v>
      </c>
    </row>
    <row r="51">
      <c r="A51" s="65">
        <v>46104.0</v>
      </c>
      <c r="B51" s="66" t="s">
        <v>225</v>
      </c>
      <c r="C51" s="8" t="s">
        <v>45</v>
      </c>
      <c r="D51" s="67" t="str">
        <f>HYPERLINK("https://sg.vrporn.com/pornstars/?sort=latest", "models")</f>
        <v>models</v>
      </c>
      <c r="E51" s="66" t="s">
        <v>34</v>
      </c>
      <c r="F51" s="68">
        <v>89.0</v>
      </c>
      <c r="G51" s="68">
        <v>1330.0</v>
      </c>
      <c r="H51" s="68">
        <v>181.0</v>
      </c>
      <c r="I51" s="68">
        <v>2.0E-4</v>
      </c>
      <c r="J51" s="68">
        <v>1374.0</v>
      </c>
      <c r="K51" s="68">
        <v>196.0</v>
      </c>
      <c r="L51" s="68">
        <v>2.0E-4</v>
      </c>
      <c r="M51" s="68">
        <v>312.0</v>
      </c>
      <c r="N51" s="68">
        <v>1214.0</v>
      </c>
      <c r="O51" s="68">
        <v>65.0</v>
      </c>
      <c r="P51" s="68">
        <v>2390.0</v>
      </c>
      <c r="Q51" s="68">
        <v>1720.0</v>
      </c>
      <c r="R51" s="66" t="s">
        <v>123</v>
      </c>
      <c r="S51" s="66" t="s">
        <v>232</v>
      </c>
      <c r="T51" s="57" t="s">
        <v>168</v>
      </c>
      <c r="U51" s="57" t="s">
        <v>51</v>
      </c>
      <c r="V51" s="57" t="s">
        <v>169</v>
      </c>
      <c r="W51" s="59">
        <v>10.0</v>
      </c>
    </row>
    <row r="52">
      <c r="A52" s="61">
        <v>46104.0</v>
      </c>
      <c r="B52" s="62" t="s">
        <v>225</v>
      </c>
      <c r="C52" s="8" t="s">
        <v>45</v>
      </c>
      <c r="D52" s="63" t="str">
        <f>HYPERLINK("https://sg.vrporn.com/", "main")</f>
        <v>main</v>
      </c>
      <c r="E52" s="62" t="s">
        <v>35</v>
      </c>
      <c r="F52" s="64">
        <v>45.0</v>
      </c>
      <c r="G52" s="64">
        <v>5886.0</v>
      </c>
      <c r="H52" s="64">
        <v>1467.0</v>
      </c>
      <c r="I52" s="64">
        <v>0.0039</v>
      </c>
      <c r="J52" s="64">
        <v>5898.0</v>
      </c>
      <c r="K52" s="64">
        <v>1676.0</v>
      </c>
      <c r="L52" s="64">
        <v>0.0039</v>
      </c>
      <c r="M52" s="64">
        <v>439.0</v>
      </c>
      <c r="N52" s="64">
        <v>4304.0</v>
      </c>
      <c r="O52" s="64">
        <v>945.0</v>
      </c>
      <c r="P52" s="64">
        <v>6936.0</v>
      </c>
      <c r="Q52" s="64">
        <v>11844.0</v>
      </c>
      <c r="R52" s="62" t="s">
        <v>123</v>
      </c>
      <c r="S52" s="62" t="s">
        <v>232</v>
      </c>
      <c r="T52" s="57" t="s">
        <v>168</v>
      </c>
      <c r="U52" s="57" t="s">
        <v>51</v>
      </c>
      <c r="V52" s="57" t="s">
        <v>169</v>
      </c>
      <c r="W52" s="59">
        <v>10.0</v>
      </c>
    </row>
    <row r="53">
      <c r="A53" s="65">
        <v>46104.0</v>
      </c>
      <c r="B53" s="66" t="s">
        <v>225</v>
      </c>
      <c r="C53" s="8" t="s">
        <v>45</v>
      </c>
      <c r="D53" s="67" t="str">
        <f>HYPERLINK("https://sg.vrporn.com/pornstars/?sort=latest", "models")</f>
        <v>models</v>
      </c>
      <c r="E53" s="66" t="s">
        <v>35</v>
      </c>
      <c r="F53" s="68">
        <v>50.0</v>
      </c>
      <c r="G53" s="68">
        <v>4542.0</v>
      </c>
      <c r="H53" s="68">
        <v>759.0</v>
      </c>
      <c r="I53" s="68">
        <v>0.0039</v>
      </c>
      <c r="J53" s="68">
        <v>4555.0</v>
      </c>
      <c r="K53" s="68">
        <v>807.0</v>
      </c>
      <c r="L53" s="68">
        <v>0.0039</v>
      </c>
      <c r="M53" s="68">
        <v>322.0</v>
      </c>
      <c r="N53" s="68">
        <v>3845.0</v>
      </c>
      <c r="O53" s="68">
        <v>1104.0</v>
      </c>
      <c r="P53" s="68">
        <v>5999.0</v>
      </c>
      <c r="Q53" s="68">
        <v>11460.0</v>
      </c>
      <c r="R53" s="66" t="s">
        <v>123</v>
      </c>
      <c r="S53" s="66" t="s">
        <v>232</v>
      </c>
      <c r="T53" s="57" t="s">
        <v>168</v>
      </c>
      <c r="U53" s="57" t="s">
        <v>51</v>
      </c>
      <c r="V53" s="57" t="s">
        <v>169</v>
      </c>
      <c r="W53" s="59">
        <v>10.0</v>
      </c>
    </row>
    <row r="54">
      <c r="A54" s="61">
        <v>46104.0</v>
      </c>
      <c r="B54" s="62" t="s">
        <v>225</v>
      </c>
      <c r="C54" s="8" t="s">
        <v>45</v>
      </c>
      <c r="D54" s="63" t="str">
        <f>HYPERLINK("https://sg.vrporn.com/pornstars/samy-sun/", "s_model")</f>
        <v>s_model</v>
      </c>
      <c r="E54" s="62" t="s">
        <v>35</v>
      </c>
      <c r="F54" s="64">
        <v>55.0</v>
      </c>
      <c r="G54" s="64">
        <v>4544.0</v>
      </c>
      <c r="H54" s="64">
        <v>774.0</v>
      </c>
      <c r="I54" s="64">
        <v>0.0039</v>
      </c>
      <c r="J54" s="64">
        <v>4631.0</v>
      </c>
      <c r="K54" s="64">
        <v>843.0</v>
      </c>
      <c r="L54" s="64">
        <v>0.0039</v>
      </c>
      <c r="M54" s="64">
        <v>300.0</v>
      </c>
      <c r="N54" s="64">
        <v>3778.0</v>
      </c>
      <c r="O54" s="64">
        <v>1003.0</v>
      </c>
      <c r="P54" s="64">
        <v>5250.0</v>
      </c>
      <c r="Q54" s="64">
        <v>7900.0</v>
      </c>
      <c r="R54" s="62" t="s">
        <v>123</v>
      </c>
      <c r="S54" s="62" t="s">
        <v>232</v>
      </c>
      <c r="T54" s="57" t="s">
        <v>168</v>
      </c>
      <c r="U54" s="57" t="s">
        <v>51</v>
      </c>
      <c r="V54" s="57" t="s">
        <v>169</v>
      </c>
      <c r="W54" s="59">
        <v>10.0</v>
      </c>
    </row>
    <row r="55">
      <c r="A55" s="65">
        <v>46104.770266203705</v>
      </c>
      <c r="B55" s="66" t="s">
        <v>274</v>
      </c>
      <c r="C55" s="8" t="s">
        <v>45</v>
      </c>
      <c r="D55" s="67" t="str">
        <f t="shared" ref="D55:D57" si="1">HYPERLINK("https://sg.vrporn.com/", "main")</f>
        <v>main</v>
      </c>
      <c r="E55" s="66" t="s">
        <v>34</v>
      </c>
      <c r="F55" s="68">
        <v>84.0</v>
      </c>
      <c r="G55" s="68">
        <v>1597.0</v>
      </c>
      <c r="H55" s="68">
        <v>267.0</v>
      </c>
      <c r="I55" s="68">
        <v>2.0E-4</v>
      </c>
      <c r="J55" s="68">
        <v>1597.0</v>
      </c>
      <c r="K55" s="68">
        <v>267.0</v>
      </c>
      <c r="L55" s="68">
        <v>2.0E-4</v>
      </c>
      <c r="M55" s="68">
        <v>426.0</v>
      </c>
      <c r="N55" s="68">
        <v>1237.0</v>
      </c>
      <c r="O55" s="68">
        <v>108.0</v>
      </c>
      <c r="P55" s="68">
        <v>2679.0</v>
      </c>
      <c r="Q55" s="68">
        <v>2102.0</v>
      </c>
      <c r="R55" s="66" t="s">
        <v>275</v>
      </c>
      <c r="S55" s="66" t="s">
        <v>232</v>
      </c>
      <c r="T55" s="57" t="s">
        <v>168</v>
      </c>
      <c r="U55" s="57" t="s">
        <v>51</v>
      </c>
      <c r="V55" s="57" t="s">
        <v>169</v>
      </c>
      <c r="W55" s="59">
        <v>1.0</v>
      </c>
    </row>
    <row r="56">
      <c r="A56" s="61">
        <v>46104.790347222224</v>
      </c>
      <c r="B56" s="62" t="s">
        <v>274</v>
      </c>
      <c r="C56" s="8" t="s">
        <v>45</v>
      </c>
      <c r="D56" s="63" t="str">
        <f t="shared" si="1"/>
        <v>main</v>
      </c>
      <c r="E56" s="62" t="s">
        <v>34</v>
      </c>
      <c r="F56" s="64">
        <v>81.0</v>
      </c>
      <c r="G56" s="64">
        <v>1694.0</v>
      </c>
      <c r="H56" s="64">
        <v>337.0</v>
      </c>
      <c r="I56" s="64">
        <v>2.0E-4</v>
      </c>
      <c r="J56" s="64">
        <v>1694.0</v>
      </c>
      <c r="K56" s="64">
        <v>337.0</v>
      </c>
      <c r="L56" s="64">
        <v>2.0E-4</v>
      </c>
      <c r="M56" s="64">
        <v>417.0</v>
      </c>
      <c r="N56" s="64">
        <v>1286.0</v>
      </c>
      <c r="O56" s="64">
        <v>144.0</v>
      </c>
      <c r="P56" s="64">
        <v>2689.0</v>
      </c>
      <c r="Q56" s="64">
        <v>2129.0</v>
      </c>
      <c r="R56" s="62" t="s">
        <v>276</v>
      </c>
      <c r="S56" s="62" t="s">
        <v>232</v>
      </c>
      <c r="T56" s="57" t="s">
        <v>168</v>
      </c>
      <c r="U56" s="57" t="s">
        <v>51</v>
      </c>
      <c r="V56" s="57" t="s">
        <v>169</v>
      </c>
      <c r="W56" s="59">
        <v>1.0</v>
      </c>
    </row>
    <row r="57">
      <c r="A57" s="65">
        <v>46105.39340277778</v>
      </c>
      <c r="B57" s="66" t="s">
        <v>225</v>
      </c>
      <c r="C57" s="8" t="s">
        <v>45</v>
      </c>
      <c r="D57" s="67" t="str">
        <f t="shared" si="1"/>
        <v>main</v>
      </c>
      <c r="E57" s="66" t="s">
        <v>35</v>
      </c>
      <c r="F57" s="68">
        <v>42.0</v>
      </c>
      <c r="G57" s="68">
        <v>6007.0</v>
      </c>
      <c r="H57" s="68">
        <v>1425.0</v>
      </c>
      <c r="I57" s="68">
        <v>0.0039</v>
      </c>
      <c r="J57" s="68">
        <v>6007.0</v>
      </c>
      <c r="K57" s="68">
        <v>1425.0</v>
      </c>
      <c r="L57" s="68">
        <v>0.0039</v>
      </c>
      <c r="M57" s="68">
        <v>480.0</v>
      </c>
      <c r="N57" s="68">
        <v>4309.0</v>
      </c>
      <c r="O57" s="68">
        <v>1006.0</v>
      </c>
      <c r="P57" s="68">
        <v>6830.0</v>
      </c>
      <c r="Q57" s="68">
        <v>11942.0</v>
      </c>
      <c r="R57" s="66" t="s">
        <v>277</v>
      </c>
      <c r="S57" s="66" t="s">
        <v>232</v>
      </c>
      <c r="T57" s="57" t="s">
        <v>168</v>
      </c>
      <c r="U57" s="57" t="s">
        <v>51</v>
      </c>
      <c r="V57" s="57" t="s">
        <v>169</v>
      </c>
      <c r="W57" s="59">
        <v>10.0</v>
      </c>
    </row>
    <row r="58">
      <c r="A58" s="61">
        <v>46105.39604166667</v>
      </c>
      <c r="B58" s="62" t="s">
        <v>225</v>
      </c>
      <c r="C58" s="8" t="s">
        <v>45</v>
      </c>
      <c r="D58" s="63" t="str">
        <f>HYPERLINK("https://sg.vrporn.com/pornstars/?sort=latest", "models")</f>
        <v>models</v>
      </c>
      <c r="E58" s="62" t="s">
        <v>35</v>
      </c>
      <c r="F58" s="64">
        <v>49.0</v>
      </c>
      <c r="G58" s="64">
        <v>4567.0</v>
      </c>
      <c r="H58" s="64">
        <v>912.0</v>
      </c>
      <c r="I58" s="64">
        <v>0.0039</v>
      </c>
      <c r="J58" s="64">
        <v>4589.0</v>
      </c>
      <c r="K58" s="64">
        <v>999.0</v>
      </c>
      <c r="L58" s="64">
        <v>0.0039</v>
      </c>
      <c r="M58" s="64">
        <v>305.0</v>
      </c>
      <c r="N58" s="64">
        <v>3834.0</v>
      </c>
      <c r="O58" s="64">
        <v>1244.0</v>
      </c>
      <c r="P58" s="64">
        <v>5855.0</v>
      </c>
      <c r="Q58" s="64">
        <v>11442.0</v>
      </c>
      <c r="R58" s="62" t="s">
        <v>277</v>
      </c>
      <c r="S58" s="62" t="s">
        <v>232</v>
      </c>
      <c r="T58" s="57" t="s">
        <v>168</v>
      </c>
      <c r="U58" s="57" t="s">
        <v>51</v>
      </c>
      <c r="V58" s="57" t="s">
        <v>169</v>
      </c>
      <c r="W58" s="59">
        <v>10.0</v>
      </c>
    </row>
    <row r="59">
      <c r="A59" s="65">
        <v>46105.39871527778</v>
      </c>
      <c r="B59" s="66" t="s">
        <v>225</v>
      </c>
      <c r="C59" s="8" t="s">
        <v>45</v>
      </c>
      <c r="D59" s="67" t="str">
        <f>HYPERLINK("https://sg.vrporn.com/pornstars/samy-sun/", "s_model")</f>
        <v>s_model</v>
      </c>
      <c r="E59" s="66" t="s">
        <v>35</v>
      </c>
      <c r="F59" s="68">
        <v>53.0</v>
      </c>
      <c r="G59" s="68">
        <v>4733.0</v>
      </c>
      <c r="H59" s="68">
        <v>767.0</v>
      </c>
      <c r="I59" s="68">
        <v>0.0039</v>
      </c>
      <c r="J59" s="68">
        <v>4926.0</v>
      </c>
      <c r="K59" s="68">
        <v>789.0</v>
      </c>
      <c r="L59" s="68">
        <v>0.0039</v>
      </c>
      <c r="M59" s="68">
        <v>315.0</v>
      </c>
      <c r="N59" s="68">
        <v>3860.0</v>
      </c>
      <c r="O59" s="68">
        <v>1002.0</v>
      </c>
      <c r="P59" s="68">
        <v>5699.0</v>
      </c>
      <c r="Q59" s="68">
        <v>8112.0</v>
      </c>
      <c r="R59" s="66" t="s">
        <v>277</v>
      </c>
      <c r="S59" s="66" t="s">
        <v>232</v>
      </c>
      <c r="T59" s="57" t="s">
        <v>168</v>
      </c>
      <c r="U59" s="57" t="s">
        <v>51</v>
      </c>
      <c r="V59" s="57" t="s">
        <v>169</v>
      </c>
      <c r="W59" s="59">
        <v>10.0</v>
      </c>
    </row>
    <row r="60">
      <c r="A60" s="61">
        <v>46105.3934375</v>
      </c>
      <c r="B60" s="62" t="s">
        <v>225</v>
      </c>
      <c r="C60" s="8" t="s">
        <v>45</v>
      </c>
      <c r="D60" s="63" t="str">
        <f>HYPERLINK("https://sg.vrporn.com/", "main")</f>
        <v>main</v>
      </c>
      <c r="E60" s="62" t="s">
        <v>34</v>
      </c>
      <c r="F60" s="64">
        <v>79.0</v>
      </c>
      <c r="G60" s="64">
        <v>1812.0</v>
      </c>
      <c r="H60" s="64">
        <v>317.0</v>
      </c>
      <c r="I60" s="64">
        <v>2.0E-4</v>
      </c>
      <c r="J60" s="64">
        <v>1812.0</v>
      </c>
      <c r="K60" s="64">
        <v>317.0</v>
      </c>
      <c r="L60" s="64">
        <v>2.0E-4</v>
      </c>
      <c r="M60" s="64">
        <v>458.0</v>
      </c>
      <c r="N60" s="64">
        <v>1346.0</v>
      </c>
      <c r="O60" s="64">
        <v>140.0</v>
      </c>
      <c r="P60" s="64">
        <v>2976.0</v>
      </c>
      <c r="Q60" s="64">
        <v>2815.0</v>
      </c>
      <c r="R60" s="62" t="s">
        <v>278</v>
      </c>
      <c r="S60" s="62" t="s">
        <v>232</v>
      </c>
      <c r="T60" s="57" t="s">
        <v>168</v>
      </c>
      <c r="U60" s="57" t="s">
        <v>51</v>
      </c>
      <c r="V60" s="57" t="s">
        <v>169</v>
      </c>
      <c r="W60" s="59">
        <v>10.0</v>
      </c>
    </row>
    <row r="61">
      <c r="A61" s="65">
        <v>46105.39625</v>
      </c>
      <c r="B61" s="66" t="s">
        <v>225</v>
      </c>
      <c r="C61" s="8" t="s">
        <v>45</v>
      </c>
      <c r="D61" s="67" t="str">
        <f>HYPERLINK("https://sg.vrporn.com/pornstars/?sort=latest", "models")</f>
        <v>models</v>
      </c>
      <c r="E61" s="66" t="s">
        <v>34</v>
      </c>
      <c r="F61" s="68">
        <v>89.0</v>
      </c>
      <c r="G61" s="68">
        <v>1352.0</v>
      </c>
      <c r="H61" s="68">
        <v>208.0</v>
      </c>
      <c r="I61" s="68">
        <v>2.0E-4</v>
      </c>
      <c r="J61" s="68">
        <v>1621.0</v>
      </c>
      <c r="K61" s="68">
        <v>240.0</v>
      </c>
      <c r="L61" s="68">
        <v>2.0E-4</v>
      </c>
      <c r="M61" s="68">
        <v>314.0</v>
      </c>
      <c r="N61" s="68">
        <v>1221.0</v>
      </c>
      <c r="O61" s="68">
        <v>82.0</v>
      </c>
      <c r="P61" s="68">
        <v>2327.0</v>
      </c>
      <c r="Q61" s="68">
        <v>1806.0</v>
      </c>
      <c r="R61" s="66" t="s">
        <v>278</v>
      </c>
      <c r="S61" s="66" t="s">
        <v>232</v>
      </c>
      <c r="T61" s="57" t="s">
        <v>168</v>
      </c>
      <c r="U61" s="57" t="s">
        <v>51</v>
      </c>
      <c r="V61" s="57" t="s">
        <v>169</v>
      </c>
      <c r="W61" s="59">
        <v>10.0</v>
      </c>
    </row>
    <row r="62">
      <c r="A62" s="61">
        <v>46105.398935185185</v>
      </c>
      <c r="B62" s="62" t="s">
        <v>225</v>
      </c>
      <c r="C62" s="8" t="s">
        <v>45</v>
      </c>
      <c r="D62" s="63" t="str">
        <f>HYPERLINK("https://sg.vrporn.com/pornstars/samy-sun/", "s_model")</f>
        <v>s_model</v>
      </c>
      <c r="E62" s="62" t="s">
        <v>34</v>
      </c>
      <c r="F62" s="64">
        <v>90.0</v>
      </c>
      <c r="G62" s="64">
        <v>1358.0</v>
      </c>
      <c r="H62" s="64">
        <v>187.0</v>
      </c>
      <c r="I62" s="64">
        <v>2.0E-4</v>
      </c>
      <c r="J62" s="64">
        <v>1383.0</v>
      </c>
      <c r="K62" s="64">
        <v>217.0</v>
      </c>
      <c r="L62" s="64">
        <v>2.0E-4</v>
      </c>
      <c r="M62" s="64">
        <v>307.0</v>
      </c>
      <c r="N62" s="64">
        <v>1232.0</v>
      </c>
      <c r="O62" s="64">
        <v>114.0</v>
      </c>
      <c r="P62" s="64">
        <v>2034.0</v>
      </c>
      <c r="Q62" s="64">
        <v>1472.0</v>
      </c>
      <c r="R62" s="62" t="s">
        <v>278</v>
      </c>
      <c r="S62" s="62" t="s">
        <v>232</v>
      </c>
      <c r="T62" s="57" t="s">
        <v>168</v>
      </c>
      <c r="U62" s="57" t="s">
        <v>51</v>
      </c>
      <c r="V62" s="57" t="s">
        <v>169</v>
      </c>
      <c r="W62" s="59">
        <v>10.0</v>
      </c>
    </row>
    <row r="63">
      <c r="A63" s="65">
        <v>46105.40273148148</v>
      </c>
      <c r="B63" s="66" t="s">
        <v>225</v>
      </c>
      <c r="C63" s="8" t="s">
        <v>45</v>
      </c>
      <c r="D63" s="67" t="str">
        <f>HYPERLINK("https://sg.vrporn.com/", "main")</f>
        <v>main</v>
      </c>
      <c r="E63" s="66" t="s">
        <v>35</v>
      </c>
      <c r="F63" s="68">
        <v>46.0</v>
      </c>
      <c r="G63" s="68">
        <v>5835.0</v>
      </c>
      <c r="H63" s="68">
        <v>1318.0</v>
      </c>
      <c r="I63" s="68">
        <v>0.0039</v>
      </c>
      <c r="J63" s="68">
        <v>6002.0</v>
      </c>
      <c r="K63" s="68">
        <v>1465.0</v>
      </c>
      <c r="L63" s="68">
        <v>0.0039</v>
      </c>
      <c r="M63" s="68">
        <v>440.0</v>
      </c>
      <c r="N63" s="68">
        <v>4275.0</v>
      </c>
      <c r="O63" s="68">
        <v>849.0</v>
      </c>
      <c r="P63" s="68">
        <v>6941.0</v>
      </c>
      <c r="Q63" s="68">
        <v>11766.0</v>
      </c>
      <c r="R63" s="66" t="s">
        <v>279</v>
      </c>
      <c r="S63" s="66" t="s">
        <v>232</v>
      </c>
      <c r="T63" s="57" t="s">
        <v>168</v>
      </c>
      <c r="U63" s="57" t="s">
        <v>51</v>
      </c>
      <c r="V63" s="57" t="s">
        <v>169</v>
      </c>
      <c r="W63" s="59">
        <v>10.0</v>
      </c>
    </row>
    <row r="64">
      <c r="A64" s="61">
        <v>46105.405752314815</v>
      </c>
      <c r="B64" s="62" t="s">
        <v>225</v>
      </c>
      <c r="C64" s="8" t="s">
        <v>45</v>
      </c>
      <c r="D64" s="63" t="str">
        <f>HYPERLINK("https://sg.vrporn.com/pornstars/?sort=latest", "models")</f>
        <v>models</v>
      </c>
      <c r="E64" s="62" t="s">
        <v>35</v>
      </c>
      <c r="F64" s="64">
        <v>48.0</v>
      </c>
      <c r="G64" s="64">
        <v>5066.0</v>
      </c>
      <c r="H64" s="64">
        <v>1174.0</v>
      </c>
      <c r="I64" s="64">
        <v>0.0039</v>
      </c>
      <c r="J64" s="64">
        <v>5584.0</v>
      </c>
      <c r="K64" s="64">
        <v>1264.0</v>
      </c>
      <c r="L64" s="64">
        <v>0.0039</v>
      </c>
      <c r="M64" s="64">
        <v>335.0</v>
      </c>
      <c r="N64" s="64">
        <v>3903.0</v>
      </c>
      <c r="O64" s="64">
        <v>1591.0</v>
      </c>
      <c r="P64" s="64">
        <v>7226.0</v>
      </c>
      <c r="Q64" s="64">
        <v>12034.0</v>
      </c>
      <c r="R64" s="62" t="s">
        <v>279</v>
      </c>
      <c r="S64" s="62" t="s">
        <v>232</v>
      </c>
      <c r="T64" s="57" t="s">
        <v>168</v>
      </c>
      <c r="U64" s="57" t="s">
        <v>51</v>
      </c>
      <c r="V64" s="57" t="s">
        <v>169</v>
      </c>
      <c r="W64" s="59">
        <v>10.0</v>
      </c>
    </row>
    <row r="65">
      <c r="A65" s="65">
        <v>46105.40840277778</v>
      </c>
      <c r="B65" s="66" t="s">
        <v>225</v>
      </c>
      <c r="C65" s="8" t="s">
        <v>45</v>
      </c>
      <c r="D65" s="67" t="str">
        <f>HYPERLINK("https://sg.vrporn.com/pornstars/samy-sun/", "s_model")</f>
        <v>s_model</v>
      </c>
      <c r="E65" s="66" t="s">
        <v>35</v>
      </c>
      <c r="F65" s="68">
        <v>49.0</v>
      </c>
      <c r="G65" s="68">
        <v>4992.0</v>
      </c>
      <c r="H65" s="68">
        <v>915.0</v>
      </c>
      <c r="I65" s="68">
        <v>0.0039</v>
      </c>
      <c r="J65" s="68">
        <v>5283.0</v>
      </c>
      <c r="K65" s="68">
        <v>1107.0</v>
      </c>
      <c r="L65" s="68">
        <v>0.0039</v>
      </c>
      <c r="M65" s="68">
        <v>299.0</v>
      </c>
      <c r="N65" s="68">
        <v>4062.0</v>
      </c>
      <c r="O65" s="68">
        <v>1243.0</v>
      </c>
      <c r="P65" s="68">
        <v>6279.0</v>
      </c>
      <c r="Q65" s="68">
        <v>8262.0</v>
      </c>
      <c r="R65" s="66" t="s">
        <v>279</v>
      </c>
      <c r="S65" s="66" t="s">
        <v>232</v>
      </c>
      <c r="T65" s="57" t="s">
        <v>168</v>
      </c>
      <c r="U65" s="57" t="s">
        <v>51</v>
      </c>
      <c r="V65" s="57" t="s">
        <v>169</v>
      </c>
      <c r="W65" s="59">
        <v>10.0</v>
      </c>
    </row>
    <row r="66">
      <c r="A66" s="61">
        <v>46105.402962962966</v>
      </c>
      <c r="B66" s="62" t="s">
        <v>225</v>
      </c>
      <c r="C66" s="8" t="s">
        <v>45</v>
      </c>
      <c r="D66" s="63" t="str">
        <f>HYPERLINK("https://sg.vrporn.com/", "main")</f>
        <v>main</v>
      </c>
      <c r="E66" s="62" t="s">
        <v>34</v>
      </c>
      <c r="F66" s="64">
        <v>83.0</v>
      </c>
      <c r="G66" s="64">
        <v>1684.0</v>
      </c>
      <c r="H66" s="64">
        <v>368.0</v>
      </c>
      <c r="I66" s="64">
        <v>2.0E-4</v>
      </c>
      <c r="J66" s="64">
        <v>1991.0</v>
      </c>
      <c r="K66" s="64">
        <v>407.0</v>
      </c>
      <c r="L66" s="64">
        <v>2.0E-4</v>
      </c>
      <c r="M66" s="64">
        <v>395.0</v>
      </c>
      <c r="N66" s="64">
        <v>1282.0</v>
      </c>
      <c r="O66" s="64">
        <v>174.0</v>
      </c>
      <c r="P66" s="64">
        <v>2902.0</v>
      </c>
      <c r="Q66" s="64">
        <v>2834.0</v>
      </c>
      <c r="R66" s="62" t="s">
        <v>279</v>
      </c>
      <c r="S66" s="62" t="s">
        <v>232</v>
      </c>
      <c r="T66" s="57" t="s">
        <v>168</v>
      </c>
      <c r="U66" s="57" t="s">
        <v>51</v>
      </c>
      <c r="V66" s="57" t="s">
        <v>169</v>
      </c>
      <c r="W66" s="59">
        <v>10.0</v>
      </c>
    </row>
    <row r="67">
      <c r="A67" s="65">
        <v>46105.40591435185</v>
      </c>
      <c r="B67" s="66" t="s">
        <v>225</v>
      </c>
      <c r="C67" s="8" t="s">
        <v>45</v>
      </c>
      <c r="D67" s="67" t="str">
        <f>HYPERLINK("https://sg.vrporn.com/pornstars/?sort=latest", "models")</f>
        <v>models</v>
      </c>
      <c r="E67" s="66" t="s">
        <v>34</v>
      </c>
      <c r="F67" s="68">
        <v>88.0</v>
      </c>
      <c r="G67" s="68">
        <v>1462.0</v>
      </c>
      <c r="H67" s="68">
        <v>258.0</v>
      </c>
      <c r="I67" s="68">
        <v>2.0E-4</v>
      </c>
      <c r="J67" s="68">
        <v>1531.0</v>
      </c>
      <c r="K67" s="68">
        <v>264.0</v>
      </c>
      <c r="L67" s="68">
        <v>2.0E-4</v>
      </c>
      <c r="M67" s="68">
        <v>340.0</v>
      </c>
      <c r="N67" s="68">
        <v>1220.0</v>
      </c>
      <c r="O67" s="68">
        <v>116.0</v>
      </c>
      <c r="P67" s="68">
        <v>2342.0</v>
      </c>
      <c r="Q67" s="68">
        <v>2593.0</v>
      </c>
      <c r="R67" s="66" t="s">
        <v>279</v>
      </c>
      <c r="S67" s="66" t="s">
        <v>232</v>
      </c>
      <c r="T67" s="57" t="s">
        <v>168</v>
      </c>
      <c r="U67" s="57" t="s">
        <v>51</v>
      </c>
      <c r="V67" s="57" t="s">
        <v>169</v>
      </c>
      <c r="W67" s="59">
        <v>10.0</v>
      </c>
    </row>
    <row r="68">
      <c r="A68" s="61">
        <v>46105.408680555556</v>
      </c>
      <c r="B68" s="62" t="s">
        <v>225</v>
      </c>
      <c r="C68" s="8" t="s">
        <v>45</v>
      </c>
      <c r="D68" s="63" t="str">
        <f>HYPERLINK("https://sg.vrporn.com/pornstars/samy-sun/", "s_model")</f>
        <v>s_model</v>
      </c>
      <c r="E68" s="62" t="s">
        <v>34</v>
      </c>
      <c r="F68" s="64">
        <v>88.0</v>
      </c>
      <c r="G68" s="64">
        <v>1463.0</v>
      </c>
      <c r="H68" s="64">
        <v>207.0</v>
      </c>
      <c r="I68" s="64">
        <v>2.0E-4</v>
      </c>
      <c r="J68" s="64">
        <v>1824.0</v>
      </c>
      <c r="K68" s="64">
        <v>220.0</v>
      </c>
      <c r="L68" s="64">
        <v>2.0E-4</v>
      </c>
      <c r="M68" s="64">
        <v>298.0</v>
      </c>
      <c r="N68" s="64">
        <v>1427.0</v>
      </c>
      <c r="O68" s="64">
        <v>113.0</v>
      </c>
      <c r="P68" s="64">
        <v>2723.0</v>
      </c>
      <c r="Q68" s="64">
        <v>1855.0</v>
      </c>
      <c r="R68" s="62" t="s">
        <v>279</v>
      </c>
      <c r="S68" s="62" t="s">
        <v>232</v>
      </c>
      <c r="T68" s="57" t="s">
        <v>168</v>
      </c>
      <c r="U68" s="57" t="s">
        <v>51</v>
      </c>
      <c r="V68" s="57" t="s">
        <v>169</v>
      </c>
      <c r="W68" s="59">
        <v>10.0</v>
      </c>
    </row>
    <row r="69">
      <c r="A69" s="65">
        <v>46105.40671296296</v>
      </c>
      <c r="B69" s="66" t="s">
        <v>225</v>
      </c>
      <c r="C69" s="8" t="s">
        <v>45</v>
      </c>
      <c r="D69" s="67" t="str">
        <f>HYPERLINK("https://sg.vrporn.com/", "main")</f>
        <v>main</v>
      </c>
      <c r="E69" s="66" t="s">
        <v>35</v>
      </c>
      <c r="F69" s="68">
        <v>43.0</v>
      </c>
      <c r="G69" s="68">
        <v>5841.0</v>
      </c>
      <c r="H69" s="68">
        <v>1951.0</v>
      </c>
      <c r="I69" s="68">
        <v>0.0039</v>
      </c>
      <c r="J69" s="68">
        <v>5925.0</v>
      </c>
      <c r="K69" s="68">
        <v>1980.0</v>
      </c>
      <c r="L69" s="68">
        <v>0.0039</v>
      </c>
      <c r="M69" s="68">
        <v>407.0</v>
      </c>
      <c r="N69" s="68">
        <v>4248.0</v>
      </c>
      <c r="O69" s="68">
        <v>1335.0</v>
      </c>
      <c r="P69" s="68">
        <v>6630.0</v>
      </c>
      <c r="Q69" s="68">
        <v>12108.0</v>
      </c>
      <c r="R69" s="66" t="s">
        <v>280</v>
      </c>
      <c r="S69" s="66" t="s">
        <v>232</v>
      </c>
      <c r="T69" s="57" t="s">
        <v>168</v>
      </c>
      <c r="U69" s="57" t="s">
        <v>51</v>
      </c>
      <c r="V69" s="57" t="s">
        <v>169</v>
      </c>
      <c r="W69" s="59">
        <v>10.0</v>
      </c>
    </row>
    <row r="70">
      <c r="A70" s="61">
        <v>46105.40938657407</v>
      </c>
      <c r="B70" s="62" t="s">
        <v>225</v>
      </c>
      <c r="C70" s="8" t="s">
        <v>45</v>
      </c>
      <c r="D70" s="63" t="str">
        <f>HYPERLINK("https://sg.vrporn.com/pornstars/?sort=latest", "models")</f>
        <v>models</v>
      </c>
      <c r="E70" s="62" t="s">
        <v>35</v>
      </c>
      <c r="F70" s="64">
        <v>48.0</v>
      </c>
      <c r="G70" s="64">
        <v>4576.0</v>
      </c>
      <c r="H70" s="64">
        <v>969.0</v>
      </c>
      <c r="I70" s="64">
        <v>0.0039</v>
      </c>
      <c r="J70" s="64">
        <v>4664.0</v>
      </c>
      <c r="K70" s="64">
        <v>1079.0</v>
      </c>
      <c r="L70" s="64">
        <v>0.0039</v>
      </c>
      <c r="M70" s="64">
        <v>301.0</v>
      </c>
      <c r="N70" s="64">
        <v>3842.0</v>
      </c>
      <c r="O70" s="64">
        <v>1438.0</v>
      </c>
      <c r="P70" s="64">
        <v>5907.0</v>
      </c>
      <c r="Q70" s="64">
        <v>11616.0</v>
      </c>
      <c r="R70" s="62" t="s">
        <v>280</v>
      </c>
      <c r="S70" s="62" t="s">
        <v>232</v>
      </c>
      <c r="T70" s="57" t="s">
        <v>168</v>
      </c>
      <c r="U70" s="57" t="s">
        <v>51</v>
      </c>
      <c r="V70" s="57" t="s">
        <v>169</v>
      </c>
      <c r="W70" s="59">
        <v>10.0</v>
      </c>
    </row>
    <row r="71">
      <c r="A71" s="65">
        <v>46105.41174768518</v>
      </c>
      <c r="B71" s="66" t="s">
        <v>225</v>
      </c>
      <c r="C71" s="8" t="s">
        <v>45</v>
      </c>
      <c r="D71" s="67" t="str">
        <f>HYPERLINK("https://sg.vrporn.com/pornstars/samy-sun/", "s_model")</f>
        <v>s_model</v>
      </c>
      <c r="E71" s="66" t="s">
        <v>35</v>
      </c>
      <c r="F71" s="68">
        <v>56.0</v>
      </c>
      <c r="G71" s="68">
        <v>4500.0</v>
      </c>
      <c r="H71" s="68">
        <v>740.0</v>
      </c>
      <c r="I71" s="68">
        <v>0.0039</v>
      </c>
      <c r="J71" s="68">
        <v>5505.0</v>
      </c>
      <c r="K71" s="68">
        <v>788.0</v>
      </c>
      <c r="L71" s="68">
        <v>0.0039</v>
      </c>
      <c r="M71" s="68">
        <v>296.0</v>
      </c>
      <c r="N71" s="68">
        <v>3772.0</v>
      </c>
      <c r="O71" s="68">
        <v>1025.0</v>
      </c>
      <c r="P71" s="68">
        <v>5532.0</v>
      </c>
      <c r="Q71" s="68">
        <v>7859.0</v>
      </c>
      <c r="R71" s="66" t="s">
        <v>280</v>
      </c>
      <c r="S71" s="66" t="s">
        <v>232</v>
      </c>
      <c r="T71" s="57" t="s">
        <v>168</v>
      </c>
      <c r="U71" s="57" t="s">
        <v>51</v>
      </c>
      <c r="V71" s="57" t="s">
        <v>169</v>
      </c>
      <c r="W71" s="59">
        <v>10.0</v>
      </c>
    </row>
    <row r="72">
      <c r="A72" s="61">
        <v>46105.414189814815</v>
      </c>
      <c r="B72" s="62" t="s">
        <v>225</v>
      </c>
      <c r="C72" s="8" t="s">
        <v>45</v>
      </c>
      <c r="D72" s="63" t="str">
        <f>HYPERLINK("https://sg.vrporn.com/categories/", "categories")</f>
        <v>categories</v>
      </c>
      <c r="E72" s="62" t="s">
        <v>35</v>
      </c>
      <c r="F72" s="64">
        <v>52.0</v>
      </c>
      <c r="G72" s="64">
        <v>5619.0</v>
      </c>
      <c r="H72" s="64">
        <v>744.0</v>
      </c>
      <c r="I72" s="64">
        <v>0.0039</v>
      </c>
      <c r="J72" s="64">
        <v>5647.0</v>
      </c>
      <c r="K72" s="64">
        <v>751.0</v>
      </c>
      <c r="L72" s="64">
        <v>0.0039</v>
      </c>
      <c r="M72" s="64">
        <v>312.0</v>
      </c>
      <c r="N72" s="64">
        <v>4101.0</v>
      </c>
      <c r="O72" s="64">
        <v>811.0</v>
      </c>
      <c r="P72" s="64">
        <v>6167.0</v>
      </c>
      <c r="Q72" s="64">
        <v>11216.0</v>
      </c>
      <c r="R72" s="62" t="s">
        <v>280</v>
      </c>
      <c r="S72" s="62" t="s">
        <v>232</v>
      </c>
      <c r="T72" s="57" t="s">
        <v>168</v>
      </c>
      <c r="U72" s="57" t="s">
        <v>51</v>
      </c>
      <c r="V72" s="57" t="s">
        <v>169</v>
      </c>
      <c r="W72" s="59">
        <v>10.0</v>
      </c>
    </row>
    <row r="73">
      <c r="A73" s="65">
        <v>46105.41677083333</v>
      </c>
      <c r="B73" s="66" t="s">
        <v>225</v>
      </c>
      <c r="C73" s="8" t="s">
        <v>45</v>
      </c>
      <c r="D73" s="67" t="str">
        <f>HYPERLINK("https://sg.vrporn.com/tag/anal/", "s_category")</f>
        <v>s_category</v>
      </c>
      <c r="E73" s="66" t="s">
        <v>35</v>
      </c>
      <c r="F73" s="68">
        <v>38.0</v>
      </c>
      <c r="G73" s="68">
        <v>6318.0</v>
      </c>
      <c r="H73" s="68">
        <v>1406.0</v>
      </c>
      <c r="I73" s="68">
        <v>0.0039</v>
      </c>
      <c r="J73" s="68">
        <v>6421.0</v>
      </c>
      <c r="K73" s="68">
        <v>1588.0</v>
      </c>
      <c r="L73" s="68">
        <v>0.0039</v>
      </c>
      <c r="M73" s="68">
        <v>424.0</v>
      </c>
      <c r="N73" s="68">
        <v>4211.0</v>
      </c>
      <c r="O73" s="68">
        <v>1816.0</v>
      </c>
      <c r="P73" s="68">
        <v>5938.0</v>
      </c>
      <c r="Q73" s="68">
        <v>10744.0</v>
      </c>
      <c r="R73" s="66" t="s">
        <v>280</v>
      </c>
      <c r="S73" s="66" t="s">
        <v>232</v>
      </c>
      <c r="T73" s="57" t="s">
        <v>168</v>
      </c>
      <c r="U73" s="57" t="s">
        <v>51</v>
      </c>
      <c r="V73" s="57" t="s">
        <v>169</v>
      </c>
      <c r="W73" s="59">
        <v>10.0</v>
      </c>
    </row>
    <row r="74">
      <c r="A74" s="61">
        <v>46105.4194212963</v>
      </c>
      <c r="B74" s="62" t="s">
        <v>225</v>
      </c>
      <c r="C74" s="8" t="s">
        <v>45</v>
      </c>
      <c r="D74" s="63" t="str">
        <f>HYPERLINK("https://sg.vrporn.com/studio/vrbangers/", "s_studio")</f>
        <v>s_studio</v>
      </c>
      <c r="E74" s="62" t="s">
        <v>35</v>
      </c>
      <c r="F74" s="64">
        <v>46.0</v>
      </c>
      <c r="G74" s="64">
        <v>5924.0</v>
      </c>
      <c r="H74" s="64">
        <v>1605.0</v>
      </c>
      <c r="I74" s="64">
        <v>0.0039</v>
      </c>
      <c r="J74" s="64">
        <v>6113.0</v>
      </c>
      <c r="K74" s="64">
        <v>1765.0</v>
      </c>
      <c r="L74" s="64">
        <v>0.0039</v>
      </c>
      <c r="M74" s="64">
        <v>486.0</v>
      </c>
      <c r="N74" s="64">
        <v>4029.0</v>
      </c>
      <c r="O74" s="64">
        <v>1084.0</v>
      </c>
      <c r="P74" s="64">
        <v>6284.0</v>
      </c>
      <c r="Q74" s="64">
        <v>10095.0</v>
      </c>
      <c r="R74" s="62" t="s">
        <v>280</v>
      </c>
      <c r="S74" s="62" t="s">
        <v>232</v>
      </c>
      <c r="T74" s="57" t="s">
        <v>168</v>
      </c>
      <c r="U74" s="57" t="s">
        <v>51</v>
      </c>
      <c r="V74" s="57" t="s">
        <v>169</v>
      </c>
      <c r="W74" s="59">
        <v>10.0</v>
      </c>
    </row>
    <row r="75">
      <c r="A75" s="65">
        <v>46105.42240740741</v>
      </c>
      <c r="B75" s="66" t="s">
        <v>225</v>
      </c>
      <c r="C75" s="8" t="s">
        <v>45</v>
      </c>
      <c r="D75" s="67" t="str">
        <f>HYPERLINK("https://sg.vrporn.com/camgirls/", "dreams")</f>
        <v>dreams</v>
      </c>
      <c r="E75" s="66" t="s">
        <v>35</v>
      </c>
      <c r="F75" s="68">
        <v>46.0</v>
      </c>
      <c r="G75" s="68">
        <v>5308.0</v>
      </c>
      <c r="H75" s="68">
        <v>758.0</v>
      </c>
      <c r="I75" s="68">
        <v>0.0039</v>
      </c>
      <c r="J75" s="68">
        <v>7095.0</v>
      </c>
      <c r="K75" s="68">
        <v>867.0</v>
      </c>
      <c r="L75" s="68">
        <v>0.0039</v>
      </c>
      <c r="M75" s="68">
        <v>874.0</v>
      </c>
      <c r="N75" s="68">
        <v>4314.0</v>
      </c>
      <c r="O75" s="68">
        <v>1217.0</v>
      </c>
      <c r="P75" s="68">
        <v>7544.0</v>
      </c>
      <c r="Q75" s="68">
        <v>14570.0</v>
      </c>
      <c r="R75" s="66" t="s">
        <v>280</v>
      </c>
      <c r="S75" s="66" t="s">
        <v>232</v>
      </c>
      <c r="T75" s="57" t="s">
        <v>168</v>
      </c>
      <c r="U75" s="57" t="s">
        <v>51</v>
      </c>
      <c r="V75" s="57" t="s">
        <v>169</v>
      </c>
      <c r="W75" s="59">
        <v>10.0</v>
      </c>
    </row>
    <row r="76">
      <c r="A76" s="61">
        <v>46105.42564814815</v>
      </c>
      <c r="B76" s="62" t="s">
        <v>225</v>
      </c>
      <c r="C76" s="8" t="s">
        <v>45</v>
      </c>
      <c r="D76" s="63" t="str">
        <f>HYPERLINK("https://sg.vrporn.com/camgirls/model-vrporn/", "s_dream")</f>
        <v>s_dream</v>
      </c>
      <c r="E76" s="62" t="s">
        <v>35</v>
      </c>
      <c r="F76" s="64">
        <v>36.0</v>
      </c>
      <c r="G76" s="64">
        <v>10351.0</v>
      </c>
      <c r="H76" s="64">
        <v>813.0</v>
      </c>
      <c r="I76" s="64">
        <v>0.0039</v>
      </c>
      <c r="J76" s="64">
        <v>10456.0</v>
      </c>
      <c r="K76" s="64">
        <v>903.0</v>
      </c>
      <c r="L76" s="64">
        <v>0.0039</v>
      </c>
      <c r="M76" s="64">
        <v>1143.0</v>
      </c>
      <c r="N76" s="64">
        <v>9429.0</v>
      </c>
      <c r="O76" s="64">
        <v>1124.0</v>
      </c>
      <c r="P76" s="64">
        <v>10348.0</v>
      </c>
      <c r="Q76" s="64">
        <v>15856.0</v>
      </c>
      <c r="R76" s="62" t="s">
        <v>280</v>
      </c>
      <c r="S76" s="62" t="s">
        <v>232</v>
      </c>
      <c r="T76" s="57" t="s">
        <v>168</v>
      </c>
      <c r="U76" s="57" t="s">
        <v>51</v>
      </c>
      <c r="V76" s="57" t="s">
        <v>169</v>
      </c>
      <c r="W76" s="59">
        <v>10.0</v>
      </c>
    </row>
    <row r="77">
      <c r="A77" s="65">
        <v>46105.40726851852</v>
      </c>
      <c r="B77" s="66" t="s">
        <v>225</v>
      </c>
      <c r="C77" s="8" t="s">
        <v>45</v>
      </c>
      <c r="D77" s="67" t="str">
        <f>HYPERLINK("https://sg.vrporn.com/", "main")</f>
        <v>main</v>
      </c>
      <c r="E77" s="66" t="s">
        <v>34</v>
      </c>
      <c r="F77" s="68">
        <v>76.0</v>
      </c>
      <c r="G77" s="68">
        <v>1777.0</v>
      </c>
      <c r="H77" s="68">
        <v>514.0</v>
      </c>
      <c r="I77" s="68">
        <v>2.0E-4</v>
      </c>
      <c r="J77" s="68">
        <v>1828.0</v>
      </c>
      <c r="K77" s="68">
        <v>549.0</v>
      </c>
      <c r="L77" s="68">
        <v>2.0E-4</v>
      </c>
      <c r="M77" s="68">
        <v>475.0</v>
      </c>
      <c r="N77" s="68">
        <v>1342.0</v>
      </c>
      <c r="O77" s="68">
        <v>239.0</v>
      </c>
      <c r="P77" s="68">
        <v>3012.0</v>
      </c>
      <c r="Q77" s="68">
        <v>3429.0</v>
      </c>
      <c r="R77" s="66" t="s">
        <v>280</v>
      </c>
      <c r="S77" s="66" t="s">
        <v>232</v>
      </c>
      <c r="T77" s="57" t="s">
        <v>168</v>
      </c>
      <c r="U77" s="57" t="s">
        <v>51</v>
      </c>
      <c r="V77" s="57" t="s">
        <v>169</v>
      </c>
      <c r="W77" s="59">
        <v>10.0</v>
      </c>
    </row>
    <row r="78">
      <c r="A78" s="61">
        <v>46105.410104166665</v>
      </c>
      <c r="B78" s="62" t="s">
        <v>225</v>
      </c>
      <c r="C78" s="8" t="s">
        <v>45</v>
      </c>
      <c r="D78" s="63" t="str">
        <f>HYPERLINK("https://sg.vrporn.com/pornstars/?sort=latest", "models")</f>
        <v>models</v>
      </c>
      <c r="E78" s="62" t="s">
        <v>34</v>
      </c>
      <c r="F78" s="64">
        <v>88.0</v>
      </c>
      <c r="G78" s="64">
        <v>1549.0</v>
      </c>
      <c r="H78" s="64">
        <v>234.0</v>
      </c>
      <c r="I78" s="64">
        <v>2.0E-4</v>
      </c>
      <c r="J78" s="64">
        <v>1702.0</v>
      </c>
      <c r="K78" s="64">
        <v>241.0</v>
      </c>
      <c r="L78" s="64">
        <v>2.0E-4</v>
      </c>
      <c r="M78" s="64">
        <v>314.0</v>
      </c>
      <c r="N78" s="64">
        <v>1333.0</v>
      </c>
      <c r="O78" s="64">
        <v>98.0</v>
      </c>
      <c r="P78" s="64">
        <v>2459.0</v>
      </c>
      <c r="Q78" s="64">
        <v>2008.0</v>
      </c>
      <c r="R78" s="62" t="s">
        <v>280</v>
      </c>
      <c r="S78" s="62" t="s">
        <v>232</v>
      </c>
      <c r="T78" s="57" t="s">
        <v>168</v>
      </c>
      <c r="U78" s="57" t="s">
        <v>51</v>
      </c>
      <c r="V78" s="57" t="s">
        <v>169</v>
      </c>
      <c r="W78" s="59">
        <v>10.0</v>
      </c>
    </row>
    <row r="79">
      <c r="A79" s="65">
        <v>46105.412569444445</v>
      </c>
      <c r="B79" s="66" t="s">
        <v>225</v>
      </c>
      <c r="C79" s="8" t="s">
        <v>45</v>
      </c>
      <c r="D79" s="67" t="str">
        <f>HYPERLINK("https://sg.vrporn.com/pornstars/samy-sun/", "s_model")</f>
        <v>s_model</v>
      </c>
      <c r="E79" s="66" t="s">
        <v>34</v>
      </c>
      <c r="F79" s="68">
        <v>89.0</v>
      </c>
      <c r="G79" s="68">
        <v>1590.0</v>
      </c>
      <c r="H79" s="68">
        <v>172.0</v>
      </c>
      <c r="I79" s="68">
        <v>2.0E-4</v>
      </c>
      <c r="J79" s="68">
        <v>1611.0</v>
      </c>
      <c r="K79" s="68">
        <v>195.0</v>
      </c>
      <c r="L79" s="68">
        <v>2.0E-4</v>
      </c>
      <c r="M79" s="68">
        <v>298.0</v>
      </c>
      <c r="N79" s="68">
        <v>1240.0</v>
      </c>
      <c r="O79" s="68">
        <v>96.0</v>
      </c>
      <c r="P79" s="68">
        <v>2116.0</v>
      </c>
      <c r="Q79" s="68">
        <v>1609.0</v>
      </c>
      <c r="R79" s="66" t="s">
        <v>280</v>
      </c>
      <c r="S79" s="66" t="s">
        <v>232</v>
      </c>
      <c r="T79" s="57" t="s">
        <v>168</v>
      </c>
      <c r="U79" s="57" t="s">
        <v>51</v>
      </c>
      <c r="V79" s="57" t="s">
        <v>169</v>
      </c>
      <c r="W79" s="59">
        <v>10.0</v>
      </c>
    </row>
    <row r="80">
      <c r="A80" s="61">
        <v>46105.41509259259</v>
      </c>
      <c r="B80" s="62" t="s">
        <v>225</v>
      </c>
      <c r="C80" s="8" t="s">
        <v>45</v>
      </c>
      <c r="D80" s="63" t="str">
        <f>HYPERLINK("https://sg.vrporn.com/categories/", "categories")</f>
        <v>categories</v>
      </c>
      <c r="E80" s="62" t="s">
        <v>34</v>
      </c>
      <c r="F80" s="64">
        <v>90.0</v>
      </c>
      <c r="G80" s="64">
        <v>1471.0</v>
      </c>
      <c r="H80" s="64">
        <v>154.0</v>
      </c>
      <c r="I80" s="64">
        <v>2.0E-4</v>
      </c>
      <c r="J80" s="64">
        <v>1547.0</v>
      </c>
      <c r="K80" s="64">
        <v>169.0</v>
      </c>
      <c r="L80" s="64">
        <v>2.0E-4</v>
      </c>
      <c r="M80" s="64">
        <v>328.0</v>
      </c>
      <c r="N80" s="64">
        <v>1205.0</v>
      </c>
      <c r="O80" s="64">
        <v>91.0</v>
      </c>
      <c r="P80" s="64">
        <v>2279.0</v>
      </c>
      <c r="Q80" s="64">
        <v>1484.0</v>
      </c>
      <c r="R80" s="62" t="s">
        <v>280</v>
      </c>
      <c r="S80" s="62" t="s">
        <v>232</v>
      </c>
      <c r="T80" s="57" t="s">
        <v>168</v>
      </c>
      <c r="U80" s="57" t="s">
        <v>51</v>
      </c>
      <c r="V80" s="57" t="s">
        <v>169</v>
      </c>
      <c r="W80" s="59">
        <v>10.0</v>
      </c>
    </row>
    <row r="81">
      <c r="A81" s="65">
        <v>46105.417962962965</v>
      </c>
      <c r="B81" s="66" t="s">
        <v>225</v>
      </c>
      <c r="C81" s="8" t="s">
        <v>45</v>
      </c>
      <c r="D81" s="67" t="str">
        <f>HYPERLINK("https://sg.vrporn.com/tag/anal/", "s_category")</f>
        <v>s_category</v>
      </c>
      <c r="E81" s="66" t="s">
        <v>34</v>
      </c>
      <c r="F81" s="68">
        <v>80.0</v>
      </c>
      <c r="G81" s="68">
        <v>1587.0</v>
      </c>
      <c r="H81" s="68">
        <v>336.0</v>
      </c>
      <c r="I81" s="68">
        <v>2.0E-4</v>
      </c>
      <c r="J81" s="68">
        <v>1652.0</v>
      </c>
      <c r="K81" s="68">
        <v>366.0</v>
      </c>
      <c r="L81" s="68">
        <v>2.0E-4</v>
      </c>
      <c r="M81" s="68">
        <v>418.0</v>
      </c>
      <c r="N81" s="68">
        <v>1254.0</v>
      </c>
      <c r="O81" s="68">
        <v>245.0</v>
      </c>
      <c r="P81" s="68">
        <v>2692.0</v>
      </c>
      <c r="Q81" s="68">
        <v>1954.0</v>
      </c>
      <c r="R81" s="66" t="s">
        <v>280</v>
      </c>
      <c r="S81" s="66" t="s">
        <v>232</v>
      </c>
      <c r="T81" s="57" t="s">
        <v>168</v>
      </c>
      <c r="U81" s="57" t="s">
        <v>51</v>
      </c>
      <c r="V81" s="57" t="s">
        <v>169</v>
      </c>
      <c r="W81" s="59">
        <v>10.0</v>
      </c>
    </row>
    <row r="82">
      <c r="A82" s="61">
        <v>46105.42084490741</v>
      </c>
      <c r="B82" s="62" t="s">
        <v>225</v>
      </c>
      <c r="C82" s="8" t="s">
        <v>45</v>
      </c>
      <c r="D82" s="63" t="str">
        <f>HYPERLINK("https://sg.vrporn.com/studio/vrbangers/", "s_studio")</f>
        <v>s_studio</v>
      </c>
      <c r="E82" s="62" t="s">
        <v>34</v>
      </c>
      <c r="F82" s="64">
        <v>76.0</v>
      </c>
      <c r="G82" s="64">
        <v>1617.0</v>
      </c>
      <c r="H82" s="64">
        <v>435.0</v>
      </c>
      <c r="I82" s="64">
        <v>2.0E-4</v>
      </c>
      <c r="J82" s="64">
        <v>1701.0</v>
      </c>
      <c r="K82" s="64">
        <v>455.0</v>
      </c>
      <c r="L82" s="64">
        <v>2.0E-4</v>
      </c>
      <c r="M82" s="64">
        <v>457.0</v>
      </c>
      <c r="N82" s="64">
        <v>1278.0</v>
      </c>
      <c r="O82" s="64">
        <v>302.0</v>
      </c>
      <c r="P82" s="64">
        <v>2760.0</v>
      </c>
      <c r="Q82" s="64">
        <v>2995.0</v>
      </c>
      <c r="R82" s="62" t="s">
        <v>280</v>
      </c>
      <c r="S82" s="62" t="s">
        <v>232</v>
      </c>
      <c r="T82" s="57" t="s">
        <v>168</v>
      </c>
      <c r="U82" s="57" t="s">
        <v>51</v>
      </c>
      <c r="V82" s="57" t="s">
        <v>169</v>
      </c>
      <c r="W82" s="59">
        <v>10.0</v>
      </c>
    </row>
    <row r="83">
      <c r="A83" s="65">
        <v>46105.42403935185</v>
      </c>
      <c r="B83" s="66" t="s">
        <v>225</v>
      </c>
      <c r="C83" s="8" t="s">
        <v>45</v>
      </c>
      <c r="D83" s="67" t="str">
        <f>HYPERLINK("https://sg.vrporn.com/camgirls/", "dreams")</f>
        <v>dreams</v>
      </c>
      <c r="E83" s="66" t="s">
        <v>34</v>
      </c>
      <c r="F83" s="68">
        <v>79.0</v>
      </c>
      <c r="G83" s="68">
        <v>1741.0</v>
      </c>
      <c r="H83" s="68">
        <v>220.0</v>
      </c>
      <c r="I83" s="68">
        <v>2.0E-4</v>
      </c>
      <c r="J83" s="68">
        <v>2062.0</v>
      </c>
      <c r="K83" s="68">
        <v>247.0</v>
      </c>
      <c r="L83" s="68">
        <v>2.0E-4</v>
      </c>
      <c r="M83" s="68">
        <v>894.0</v>
      </c>
      <c r="N83" s="68">
        <v>1271.0</v>
      </c>
      <c r="O83" s="68">
        <v>236.0</v>
      </c>
      <c r="P83" s="68">
        <v>2602.0</v>
      </c>
      <c r="Q83" s="68">
        <v>3884.0</v>
      </c>
      <c r="R83" s="66" t="s">
        <v>280</v>
      </c>
      <c r="S83" s="66" t="s">
        <v>232</v>
      </c>
      <c r="T83" s="57" t="s">
        <v>168</v>
      </c>
      <c r="U83" s="57" t="s">
        <v>51</v>
      </c>
      <c r="V83" s="57" t="s">
        <v>169</v>
      </c>
      <c r="W83" s="59">
        <v>10.0</v>
      </c>
    </row>
    <row r="84">
      <c r="A84" s="61">
        <v>46105.42717592593</v>
      </c>
      <c r="B84" s="62" t="s">
        <v>225</v>
      </c>
      <c r="C84" s="8" t="s">
        <v>45</v>
      </c>
      <c r="D84" s="63" t="str">
        <f>HYPERLINK("https://sg.vrporn.com/camgirls/model-vrporn/", "s_dream")</f>
        <v>s_dream</v>
      </c>
      <c r="E84" s="62" t="s">
        <v>34</v>
      </c>
      <c r="F84" s="64">
        <v>70.0</v>
      </c>
      <c r="G84" s="64">
        <v>2337.0</v>
      </c>
      <c r="H84" s="64">
        <v>187.0</v>
      </c>
      <c r="I84" s="64">
        <v>2.0E-4</v>
      </c>
      <c r="J84" s="64">
        <v>2527.0</v>
      </c>
      <c r="K84" s="64">
        <v>199.0</v>
      </c>
      <c r="L84" s="64">
        <v>2.0E-4</v>
      </c>
      <c r="M84" s="64">
        <v>1128.0</v>
      </c>
      <c r="N84" s="64">
        <v>2124.0</v>
      </c>
      <c r="O84" s="64">
        <v>216.0</v>
      </c>
      <c r="P84" s="64">
        <v>3490.0</v>
      </c>
      <c r="Q84" s="64">
        <v>3860.0</v>
      </c>
      <c r="R84" s="62" t="s">
        <v>280</v>
      </c>
      <c r="S84" s="62" t="s">
        <v>232</v>
      </c>
      <c r="T84" s="57" t="s">
        <v>168</v>
      </c>
      <c r="U84" s="57" t="s">
        <v>51</v>
      </c>
      <c r="V84" s="57" t="s">
        <v>169</v>
      </c>
      <c r="W84" s="59">
        <v>10.0</v>
      </c>
    </row>
    <row r="85">
      <c r="A85" s="65">
        <v>46105.58085648148</v>
      </c>
      <c r="B85" s="66" t="s">
        <v>225</v>
      </c>
      <c r="C85" s="8" t="s">
        <v>45</v>
      </c>
      <c r="D85" s="67" t="str">
        <f>HYPERLINK("https://sg.vrporn.com/categories/", "categories")</f>
        <v>categories</v>
      </c>
      <c r="E85" s="66" t="s">
        <v>35</v>
      </c>
      <c r="F85" s="68">
        <v>51.0</v>
      </c>
      <c r="G85" s="68">
        <v>4831.0</v>
      </c>
      <c r="H85" s="68">
        <v>692.0</v>
      </c>
      <c r="I85" s="68">
        <v>0.0039</v>
      </c>
      <c r="J85" s="68">
        <v>4852.0</v>
      </c>
      <c r="K85" s="68">
        <v>714.0</v>
      </c>
      <c r="L85" s="68">
        <v>0.0039</v>
      </c>
      <c r="M85" s="68">
        <v>303.0</v>
      </c>
      <c r="N85" s="68">
        <v>4120.0</v>
      </c>
      <c r="O85" s="68">
        <v>897.0</v>
      </c>
      <c r="P85" s="68">
        <v>5958.0</v>
      </c>
      <c r="Q85" s="68">
        <v>11232.0</v>
      </c>
      <c r="R85" s="66" t="s">
        <v>281</v>
      </c>
      <c r="S85" s="66" t="s">
        <v>282</v>
      </c>
      <c r="T85" s="57" t="s">
        <v>168</v>
      </c>
      <c r="U85" s="57" t="s">
        <v>51</v>
      </c>
      <c r="V85" s="57" t="s">
        <v>169</v>
      </c>
      <c r="W85" s="59">
        <v>10.0</v>
      </c>
    </row>
    <row r="86">
      <c r="A86" s="61">
        <v>46105.58892361111</v>
      </c>
      <c r="B86" s="62" t="s">
        <v>225</v>
      </c>
      <c r="C86" s="8" t="s">
        <v>45</v>
      </c>
      <c r="D86" s="63" t="str">
        <f>HYPERLINK("https://sg.vrporn.com/camgirls/", "dreams")</f>
        <v>dreams</v>
      </c>
      <c r="E86" s="62" t="s">
        <v>35</v>
      </c>
      <c r="F86" s="64">
        <v>46.0</v>
      </c>
      <c r="G86" s="64">
        <v>5424.0</v>
      </c>
      <c r="H86" s="64">
        <v>796.0</v>
      </c>
      <c r="I86" s="64">
        <v>0.0039</v>
      </c>
      <c r="J86" s="64">
        <v>5733.0</v>
      </c>
      <c r="K86" s="64">
        <v>897.0</v>
      </c>
      <c r="L86" s="64">
        <v>0.0039</v>
      </c>
      <c r="M86" s="64">
        <v>888.0</v>
      </c>
      <c r="N86" s="64">
        <v>4024.0</v>
      </c>
      <c r="O86" s="64">
        <v>1158.0</v>
      </c>
      <c r="P86" s="64">
        <v>6986.0</v>
      </c>
      <c r="Q86" s="64">
        <v>14083.0</v>
      </c>
      <c r="R86" s="62" t="s">
        <v>281</v>
      </c>
      <c r="S86" s="62" t="s">
        <v>282</v>
      </c>
      <c r="T86" s="57" t="s">
        <v>168</v>
      </c>
      <c r="U86" s="57" t="s">
        <v>51</v>
      </c>
      <c r="V86" s="57" t="s">
        <v>169</v>
      </c>
      <c r="W86" s="59">
        <v>10.0</v>
      </c>
    </row>
    <row r="87">
      <c r="A87" s="65">
        <v>46105.517372685186</v>
      </c>
      <c r="B87" s="66" t="s">
        <v>225</v>
      </c>
      <c r="C87" s="8" t="s">
        <v>45</v>
      </c>
      <c r="D87" s="67" t="str">
        <f t="shared" ref="D87:D88" si="2">HYPERLINK("https://sg.vrporn.com/", "main")</f>
        <v>main</v>
      </c>
      <c r="E87" s="66" t="s">
        <v>35</v>
      </c>
      <c r="F87" s="68">
        <v>62.0</v>
      </c>
      <c r="G87" s="68">
        <v>4480.0</v>
      </c>
      <c r="H87" s="68">
        <v>618.0</v>
      </c>
      <c r="I87" s="68">
        <v>0.0039</v>
      </c>
      <c r="J87" s="68">
        <v>4504.0</v>
      </c>
      <c r="K87" s="68">
        <v>637.0</v>
      </c>
      <c r="L87" s="68">
        <v>0.0039</v>
      </c>
      <c r="M87" s="68">
        <v>313.0</v>
      </c>
      <c r="N87" s="68">
        <v>3760.0</v>
      </c>
      <c r="O87" s="68">
        <v>596.0</v>
      </c>
      <c r="P87" s="68">
        <v>5404.0</v>
      </c>
      <c r="Q87" s="68">
        <v>7085.0</v>
      </c>
      <c r="R87" s="66" t="s">
        <v>283</v>
      </c>
      <c r="S87" s="66" t="s">
        <v>282</v>
      </c>
      <c r="T87" s="57" t="s">
        <v>168</v>
      </c>
      <c r="U87" s="57" t="s">
        <v>51</v>
      </c>
      <c r="V87" s="57" t="s">
        <v>169</v>
      </c>
      <c r="W87" s="59">
        <v>10.0</v>
      </c>
    </row>
    <row r="88">
      <c r="A88" s="61">
        <v>46105.57350694444</v>
      </c>
      <c r="B88" s="62" t="s">
        <v>225</v>
      </c>
      <c r="C88" s="8" t="s">
        <v>45</v>
      </c>
      <c r="D88" s="63" t="str">
        <f t="shared" si="2"/>
        <v>main</v>
      </c>
      <c r="E88" s="62" t="s">
        <v>35</v>
      </c>
      <c r="F88" s="64">
        <v>41.0</v>
      </c>
      <c r="G88" s="64">
        <v>6025.0</v>
      </c>
      <c r="H88" s="64">
        <v>1927.0</v>
      </c>
      <c r="I88" s="64">
        <v>0.0039</v>
      </c>
      <c r="J88" s="64">
        <v>6213.0</v>
      </c>
      <c r="K88" s="64">
        <v>2121.0</v>
      </c>
      <c r="L88" s="64">
        <v>0.0039</v>
      </c>
      <c r="M88" s="64">
        <v>686.0</v>
      </c>
      <c r="N88" s="64">
        <v>4224.0</v>
      </c>
      <c r="O88" s="64">
        <v>1248.0</v>
      </c>
      <c r="P88" s="64">
        <v>7069.0</v>
      </c>
      <c r="Q88" s="64">
        <v>12058.0</v>
      </c>
      <c r="R88" s="62" t="s">
        <v>281</v>
      </c>
      <c r="S88" s="62" t="s">
        <v>282</v>
      </c>
      <c r="T88" s="57" t="s">
        <v>168</v>
      </c>
      <c r="U88" s="57" t="s">
        <v>51</v>
      </c>
      <c r="V88" s="57" t="s">
        <v>169</v>
      </c>
      <c r="W88" s="59">
        <v>10.0</v>
      </c>
    </row>
    <row r="89">
      <c r="A89" s="65">
        <v>46105.576006944444</v>
      </c>
      <c r="B89" s="66" t="s">
        <v>225</v>
      </c>
      <c r="C89" s="8" t="s">
        <v>45</v>
      </c>
      <c r="D89" s="67" t="str">
        <f>HYPERLINK("https://sg.vrporn.com/pornstars/?sort=latest", "models")</f>
        <v>models</v>
      </c>
      <c r="E89" s="66" t="s">
        <v>35</v>
      </c>
      <c r="F89" s="68">
        <v>49.0</v>
      </c>
      <c r="G89" s="68">
        <v>4539.0</v>
      </c>
      <c r="H89" s="68">
        <v>892.0</v>
      </c>
      <c r="I89" s="68">
        <v>0.0039</v>
      </c>
      <c r="J89" s="68">
        <v>4554.0</v>
      </c>
      <c r="K89" s="68">
        <v>938.0</v>
      </c>
      <c r="L89" s="68">
        <v>0.0039</v>
      </c>
      <c r="M89" s="68">
        <v>326.0</v>
      </c>
      <c r="N89" s="68">
        <v>3833.0</v>
      </c>
      <c r="O89" s="68">
        <v>1259.0</v>
      </c>
      <c r="P89" s="68">
        <v>5978.0</v>
      </c>
      <c r="Q89" s="68">
        <v>11539.0</v>
      </c>
      <c r="R89" s="66" t="s">
        <v>281</v>
      </c>
      <c r="S89" s="66" t="s">
        <v>282</v>
      </c>
      <c r="T89" s="57" t="s">
        <v>168</v>
      </c>
      <c r="U89" s="57" t="s">
        <v>51</v>
      </c>
      <c r="V89" s="57" t="s">
        <v>169</v>
      </c>
      <c r="W89" s="59">
        <v>10.0</v>
      </c>
    </row>
    <row r="90">
      <c r="A90" s="61">
        <v>46105.583449074074</v>
      </c>
      <c r="B90" s="62" t="s">
        <v>225</v>
      </c>
      <c r="C90" s="8" t="s">
        <v>45</v>
      </c>
      <c r="D90" s="63" t="str">
        <f>HYPERLINK("https://sg.vrporn.com/tag/anal/", "s_category")</f>
        <v>s_category</v>
      </c>
      <c r="E90" s="62" t="s">
        <v>35</v>
      </c>
      <c r="F90" s="64">
        <v>37.0</v>
      </c>
      <c r="G90" s="64">
        <v>6246.0</v>
      </c>
      <c r="H90" s="64">
        <v>1718.0</v>
      </c>
      <c r="I90" s="64">
        <v>0.0039</v>
      </c>
      <c r="J90" s="64">
        <v>6502.0</v>
      </c>
      <c r="K90" s="64">
        <v>1764.0</v>
      </c>
      <c r="L90" s="64">
        <v>0.0039</v>
      </c>
      <c r="M90" s="64">
        <v>397.0</v>
      </c>
      <c r="N90" s="64">
        <v>4142.0</v>
      </c>
      <c r="O90" s="64">
        <v>2330.0</v>
      </c>
      <c r="P90" s="64">
        <v>5978.0</v>
      </c>
      <c r="Q90" s="64">
        <v>10845.0</v>
      </c>
      <c r="R90" s="62" t="s">
        <v>281</v>
      </c>
      <c r="S90" s="62" t="s">
        <v>282</v>
      </c>
      <c r="T90" s="57" t="s">
        <v>168</v>
      </c>
      <c r="U90" s="57" t="s">
        <v>51</v>
      </c>
      <c r="V90" s="57" t="s">
        <v>169</v>
      </c>
      <c r="W90" s="59">
        <v>10.0</v>
      </c>
    </row>
    <row r="91">
      <c r="A91" s="65">
        <v>46105.591944444444</v>
      </c>
      <c r="B91" s="66" t="s">
        <v>225</v>
      </c>
      <c r="C91" s="8" t="s">
        <v>45</v>
      </c>
      <c r="D91" s="67" t="str">
        <f>HYPERLINK("https://sg.vrporn.com/camgirls/model-vrporn/", "s_dream")</f>
        <v>s_dream</v>
      </c>
      <c r="E91" s="66" t="s">
        <v>35</v>
      </c>
      <c r="F91" s="68">
        <v>35.0</v>
      </c>
      <c r="G91" s="68">
        <v>10292.0</v>
      </c>
      <c r="H91" s="68">
        <v>766.0</v>
      </c>
      <c r="I91" s="68">
        <v>0.0039</v>
      </c>
      <c r="J91" s="68">
        <v>10314.0</v>
      </c>
      <c r="K91" s="68">
        <v>779.0</v>
      </c>
      <c r="L91" s="68">
        <v>0.0039</v>
      </c>
      <c r="M91" s="68">
        <v>1133.0</v>
      </c>
      <c r="N91" s="68">
        <v>9404.0</v>
      </c>
      <c r="O91" s="68">
        <v>970.0</v>
      </c>
      <c r="P91" s="68">
        <v>10062.0</v>
      </c>
      <c r="Q91" s="68">
        <v>15784.0</v>
      </c>
      <c r="R91" s="66" t="s">
        <v>281</v>
      </c>
      <c r="S91" s="66" t="s">
        <v>282</v>
      </c>
      <c r="T91" s="57" t="s">
        <v>168</v>
      </c>
      <c r="U91" s="57" t="s">
        <v>51</v>
      </c>
      <c r="V91" s="57" t="s">
        <v>169</v>
      </c>
      <c r="W91" s="59">
        <v>10.0</v>
      </c>
    </row>
    <row r="92">
      <c r="A92" s="61">
        <v>46105.57834490741</v>
      </c>
      <c r="B92" s="62" t="s">
        <v>225</v>
      </c>
      <c r="C92" s="8" t="s">
        <v>45</v>
      </c>
      <c r="D92" s="63" t="str">
        <f>HYPERLINK("https://sg.vrporn.com/pornstars/samy-sun/", "s_model")</f>
        <v>s_model</v>
      </c>
      <c r="E92" s="62" t="s">
        <v>35</v>
      </c>
      <c r="F92" s="64">
        <v>53.0</v>
      </c>
      <c r="G92" s="64">
        <v>4885.0</v>
      </c>
      <c r="H92" s="64">
        <v>732.0</v>
      </c>
      <c r="I92" s="64">
        <v>0.0039</v>
      </c>
      <c r="J92" s="64">
        <v>6081.0</v>
      </c>
      <c r="K92" s="64">
        <v>783.0</v>
      </c>
      <c r="L92" s="64">
        <v>0.0039</v>
      </c>
      <c r="M92" s="64">
        <v>316.0</v>
      </c>
      <c r="N92" s="64">
        <v>3879.0</v>
      </c>
      <c r="O92" s="64">
        <v>967.0</v>
      </c>
      <c r="P92" s="64">
        <v>5768.0</v>
      </c>
      <c r="Q92" s="64">
        <v>8120.0</v>
      </c>
      <c r="R92" s="62" t="s">
        <v>281</v>
      </c>
      <c r="S92" s="62" t="s">
        <v>282</v>
      </c>
      <c r="T92" s="57" t="s">
        <v>168</v>
      </c>
      <c r="U92" s="57" t="s">
        <v>51</v>
      </c>
      <c r="V92" s="57" t="s">
        <v>169</v>
      </c>
      <c r="W92" s="59">
        <v>10.0</v>
      </c>
    </row>
    <row r="93">
      <c r="A93" s="65">
        <v>46105.58608796296</v>
      </c>
      <c r="B93" s="66" t="s">
        <v>225</v>
      </c>
      <c r="C93" s="8" t="s">
        <v>45</v>
      </c>
      <c r="D93" s="67" t="str">
        <f>HYPERLINK("https://sg.vrporn.com/studio/vrbangers/", "s_studio")</f>
        <v>s_studio</v>
      </c>
      <c r="E93" s="66" t="s">
        <v>35</v>
      </c>
      <c r="F93" s="68">
        <v>43.0</v>
      </c>
      <c r="G93" s="68">
        <v>5814.0</v>
      </c>
      <c r="H93" s="68">
        <v>1950.0</v>
      </c>
      <c r="I93" s="68">
        <v>0.0039</v>
      </c>
      <c r="J93" s="68">
        <v>5823.0</v>
      </c>
      <c r="K93" s="68">
        <v>2125.0</v>
      </c>
      <c r="L93" s="68">
        <v>0.0039</v>
      </c>
      <c r="M93" s="68">
        <v>408.0</v>
      </c>
      <c r="N93" s="68">
        <v>3959.0</v>
      </c>
      <c r="O93" s="68">
        <v>1789.0</v>
      </c>
      <c r="P93" s="68">
        <v>6180.0</v>
      </c>
      <c r="Q93" s="68">
        <v>10021.0</v>
      </c>
      <c r="R93" s="66" t="s">
        <v>281</v>
      </c>
      <c r="S93" s="66" t="s">
        <v>282</v>
      </c>
      <c r="T93" s="57" t="s">
        <v>168</v>
      </c>
      <c r="U93" s="57" t="s">
        <v>51</v>
      </c>
      <c r="V93" s="57" t="s">
        <v>169</v>
      </c>
      <c r="W93" s="59">
        <v>10.0</v>
      </c>
    </row>
    <row r="94">
      <c r="A94" s="61">
        <v>46105.58150462963</v>
      </c>
      <c r="B94" s="62" t="s">
        <v>225</v>
      </c>
      <c r="C94" s="8" t="s">
        <v>45</v>
      </c>
      <c r="D94" s="63" t="str">
        <f>HYPERLINK("https://sg.vrporn.com/categories/", "categories")</f>
        <v>categories</v>
      </c>
      <c r="E94" s="62" t="s">
        <v>34</v>
      </c>
      <c r="F94" s="64">
        <v>90.0</v>
      </c>
      <c r="G94" s="64">
        <v>1492.0</v>
      </c>
      <c r="H94" s="64">
        <v>177.0</v>
      </c>
      <c r="I94" s="64">
        <v>2.0E-4</v>
      </c>
      <c r="J94" s="64">
        <v>1502.0</v>
      </c>
      <c r="K94" s="64">
        <v>195.0</v>
      </c>
      <c r="L94" s="64">
        <v>2.0E-4</v>
      </c>
      <c r="M94" s="64">
        <v>300.0</v>
      </c>
      <c r="N94" s="64">
        <v>1168.0</v>
      </c>
      <c r="O94" s="64">
        <v>125.0</v>
      </c>
      <c r="P94" s="64">
        <v>2201.0</v>
      </c>
      <c r="Q94" s="64">
        <v>1495.0</v>
      </c>
      <c r="R94" s="62" t="s">
        <v>281</v>
      </c>
      <c r="S94" s="62" t="s">
        <v>282</v>
      </c>
      <c r="T94" s="57" t="s">
        <v>168</v>
      </c>
      <c r="U94" s="57" t="s">
        <v>51</v>
      </c>
      <c r="V94" s="57" t="s">
        <v>169</v>
      </c>
      <c r="W94" s="59">
        <v>10.0</v>
      </c>
    </row>
    <row r="95">
      <c r="A95" s="65">
        <v>46105.59030092593</v>
      </c>
      <c r="B95" s="66" t="s">
        <v>225</v>
      </c>
      <c r="C95" s="8" t="s">
        <v>45</v>
      </c>
      <c r="D95" s="67" t="str">
        <f>HYPERLINK("https://sg.vrporn.com/camgirls/", "dreams")</f>
        <v>dreams</v>
      </c>
      <c r="E95" s="66" t="s">
        <v>34</v>
      </c>
      <c r="F95" s="68">
        <v>82.0</v>
      </c>
      <c r="G95" s="68">
        <v>1656.0</v>
      </c>
      <c r="H95" s="68">
        <v>197.0</v>
      </c>
      <c r="I95" s="68">
        <v>2.0E-4</v>
      </c>
      <c r="J95" s="68">
        <v>1696.0</v>
      </c>
      <c r="K95" s="68">
        <v>204.0</v>
      </c>
      <c r="L95" s="68">
        <v>2.0E-4</v>
      </c>
      <c r="M95" s="68">
        <v>882.0</v>
      </c>
      <c r="N95" s="68">
        <v>1198.0</v>
      </c>
      <c r="O95" s="68">
        <v>202.0</v>
      </c>
      <c r="P95" s="68">
        <v>2498.0</v>
      </c>
      <c r="Q95" s="68">
        <v>3500.0</v>
      </c>
      <c r="R95" s="66" t="s">
        <v>281</v>
      </c>
      <c r="S95" s="66" t="s">
        <v>282</v>
      </c>
      <c r="T95" s="57" t="s">
        <v>168</v>
      </c>
      <c r="U95" s="57" t="s">
        <v>51</v>
      </c>
      <c r="V95" s="57" t="s">
        <v>169</v>
      </c>
      <c r="W95" s="59">
        <v>10.0</v>
      </c>
    </row>
    <row r="96">
      <c r="A96" s="61">
        <v>46105.57403935185</v>
      </c>
      <c r="B96" s="62" t="s">
        <v>225</v>
      </c>
      <c r="C96" s="8" t="s">
        <v>45</v>
      </c>
      <c r="D96" s="63" t="str">
        <f>HYPERLINK("https://sg.vrporn.com/", "main")</f>
        <v>main</v>
      </c>
      <c r="E96" s="62" t="s">
        <v>34</v>
      </c>
      <c r="F96" s="64">
        <v>82.0</v>
      </c>
      <c r="G96" s="64">
        <v>1518.0</v>
      </c>
      <c r="H96" s="64">
        <v>456.0</v>
      </c>
      <c r="I96" s="64">
        <v>2.0E-4</v>
      </c>
      <c r="J96" s="64">
        <v>1588.0</v>
      </c>
      <c r="K96" s="64">
        <v>536.0</v>
      </c>
      <c r="L96" s="64">
        <v>2.0E-4</v>
      </c>
      <c r="M96" s="64">
        <v>685.0</v>
      </c>
      <c r="N96" s="64">
        <v>1248.0</v>
      </c>
      <c r="O96" s="64">
        <v>210.0</v>
      </c>
      <c r="P96" s="64">
        <v>3056.0</v>
      </c>
      <c r="Q96" s="64">
        <v>2584.0</v>
      </c>
      <c r="R96" s="62" t="s">
        <v>281</v>
      </c>
      <c r="S96" s="62" t="s">
        <v>282</v>
      </c>
      <c r="T96" s="57" t="s">
        <v>168</v>
      </c>
      <c r="U96" s="57" t="s">
        <v>51</v>
      </c>
      <c r="V96" s="57" t="s">
        <v>169</v>
      </c>
      <c r="W96" s="59">
        <v>10.0</v>
      </c>
    </row>
    <row r="97">
      <c r="A97" s="65">
        <v>46105.57664351852</v>
      </c>
      <c r="B97" s="66" t="s">
        <v>225</v>
      </c>
      <c r="C97" s="8" t="s">
        <v>45</v>
      </c>
      <c r="D97" s="67" t="str">
        <f>HYPERLINK("https://sg.vrporn.com/pornstars/?sort=latest", "models")</f>
        <v>models</v>
      </c>
      <c r="E97" s="66" t="s">
        <v>34</v>
      </c>
      <c r="F97" s="68">
        <v>89.0</v>
      </c>
      <c r="G97" s="68">
        <v>1310.0</v>
      </c>
      <c r="H97" s="68">
        <v>213.0</v>
      </c>
      <c r="I97" s="68">
        <v>2.0E-4</v>
      </c>
      <c r="J97" s="68">
        <v>1325.0</v>
      </c>
      <c r="K97" s="68">
        <v>217.0</v>
      </c>
      <c r="L97" s="68">
        <v>2.0E-4</v>
      </c>
      <c r="M97" s="68">
        <v>299.0</v>
      </c>
      <c r="N97" s="68">
        <v>1202.0</v>
      </c>
      <c r="O97" s="68">
        <v>84.0</v>
      </c>
      <c r="P97" s="68">
        <v>2287.0</v>
      </c>
      <c r="Q97" s="68">
        <v>1738.0</v>
      </c>
      <c r="R97" s="66" t="s">
        <v>281</v>
      </c>
      <c r="S97" s="66" t="s">
        <v>282</v>
      </c>
      <c r="T97" s="57" t="s">
        <v>168</v>
      </c>
      <c r="U97" s="57" t="s">
        <v>51</v>
      </c>
      <c r="V97" s="57" t="s">
        <v>169</v>
      </c>
      <c r="W97" s="59">
        <v>10.0</v>
      </c>
    </row>
    <row r="98">
      <c r="A98" s="61">
        <v>46105.584375</v>
      </c>
      <c r="B98" s="62" t="s">
        <v>225</v>
      </c>
      <c r="C98" s="8" t="s">
        <v>45</v>
      </c>
      <c r="D98" s="63" t="str">
        <f>HYPERLINK("https://sg.vrporn.com/tag/anal/", "s_category")</f>
        <v>s_category</v>
      </c>
      <c r="E98" s="62" t="s">
        <v>34</v>
      </c>
      <c r="F98" s="64">
        <v>72.0</v>
      </c>
      <c r="G98" s="64">
        <v>1584.0</v>
      </c>
      <c r="H98" s="64">
        <v>424.0</v>
      </c>
      <c r="I98" s="64">
        <v>2.0E-4</v>
      </c>
      <c r="J98" s="64">
        <v>1655.0</v>
      </c>
      <c r="K98" s="64">
        <v>445.0</v>
      </c>
      <c r="L98" s="64">
        <v>2.0E-4</v>
      </c>
      <c r="M98" s="64">
        <v>416.0</v>
      </c>
      <c r="N98" s="64">
        <v>1278.0</v>
      </c>
      <c r="O98" s="64">
        <v>371.0</v>
      </c>
      <c r="P98" s="64">
        <v>2581.0</v>
      </c>
      <c r="Q98" s="64">
        <v>3590.0</v>
      </c>
      <c r="R98" s="62" t="s">
        <v>281</v>
      </c>
      <c r="S98" s="62" t="s">
        <v>282</v>
      </c>
      <c r="T98" s="57" t="s">
        <v>168</v>
      </c>
      <c r="U98" s="57" t="s">
        <v>51</v>
      </c>
      <c r="V98" s="57" t="s">
        <v>169</v>
      </c>
      <c r="W98" s="59">
        <v>10.0</v>
      </c>
    </row>
    <row r="99">
      <c r="A99" s="65">
        <v>46105.59333333333</v>
      </c>
      <c r="B99" s="66" t="s">
        <v>225</v>
      </c>
      <c r="C99" s="8" t="s">
        <v>45</v>
      </c>
      <c r="D99" s="67" t="str">
        <f>HYPERLINK("https://sg.vrporn.com/camgirls/model-vrporn/", "s_dream")</f>
        <v>s_dream</v>
      </c>
      <c r="E99" s="66" t="s">
        <v>34</v>
      </c>
      <c r="F99" s="68">
        <v>69.0</v>
      </c>
      <c r="G99" s="68">
        <v>2278.0</v>
      </c>
      <c r="H99" s="68">
        <v>197.0</v>
      </c>
      <c r="I99" s="68">
        <v>2.0E-4</v>
      </c>
      <c r="J99" s="68">
        <v>2297.0</v>
      </c>
      <c r="K99" s="68">
        <v>207.0</v>
      </c>
      <c r="L99" s="68">
        <v>2.0E-4</v>
      </c>
      <c r="M99" s="68">
        <v>1142.0</v>
      </c>
      <c r="N99" s="68">
        <v>2028.0</v>
      </c>
      <c r="O99" s="68">
        <v>203.0</v>
      </c>
      <c r="P99" s="68">
        <v>3368.0</v>
      </c>
      <c r="Q99" s="68">
        <v>3372.0</v>
      </c>
      <c r="R99" s="66" t="s">
        <v>281</v>
      </c>
      <c r="S99" s="66" t="s">
        <v>282</v>
      </c>
      <c r="T99" s="57" t="s">
        <v>168</v>
      </c>
      <c r="U99" s="57" t="s">
        <v>51</v>
      </c>
      <c r="V99" s="57" t="s">
        <v>169</v>
      </c>
      <c r="W99" s="59">
        <v>10.0</v>
      </c>
    </row>
    <row r="100">
      <c r="A100" s="61">
        <v>46105.579039351855</v>
      </c>
      <c r="B100" s="62" t="s">
        <v>225</v>
      </c>
      <c r="C100" s="8" t="s">
        <v>45</v>
      </c>
      <c r="D100" s="63" t="str">
        <f>HYPERLINK("https://sg.vrporn.com/pornstars/samy-sun/", "s_model")</f>
        <v>s_model</v>
      </c>
      <c r="E100" s="62" t="s">
        <v>34</v>
      </c>
      <c r="F100" s="64">
        <v>91.0</v>
      </c>
      <c r="G100" s="64">
        <v>1256.0</v>
      </c>
      <c r="H100" s="64">
        <v>172.0</v>
      </c>
      <c r="I100" s="64">
        <v>2.0E-4</v>
      </c>
      <c r="J100" s="64">
        <v>1259.0</v>
      </c>
      <c r="K100" s="64">
        <v>184.0</v>
      </c>
      <c r="L100" s="64">
        <v>2.0E-4</v>
      </c>
      <c r="M100" s="64">
        <v>296.0</v>
      </c>
      <c r="N100" s="64">
        <v>1138.0</v>
      </c>
      <c r="O100" s="64">
        <v>90.0</v>
      </c>
      <c r="P100" s="64">
        <v>1954.0</v>
      </c>
      <c r="Q100" s="64">
        <v>1351.0</v>
      </c>
      <c r="R100" s="62" t="s">
        <v>281</v>
      </c>
      <c r="S100" s="62" t="s">
        <v>282</v>
      </c>
      <c r="T100" s="57" t="s">
        <v>168</v>
      </c>
      <c r="U100" s="57" t="s">
        <v>51</v>
      </c>
      <c r="V100" s="57" t="s">
        <v>169</v>
      </c>
      <c r="W100" s="59">
        <v>10.0</v>
      </c>
    </row>
    <row r="101">
      <c r="A101" s="65">
        <v>46105.58731481482</v>
      </c>
      <c r="B101" s="66" t="s">
        <v>225</v>
      </c>
      <c r="C101" s="8" t="s">
        <v>45</v>
      </c>
      <c r="D101" s="67" t="str">
        <f>HYPERLINK("https://sg.vrporn.com/studio/vrbangers/", "s_studio")</f>
        <v>s_studio</v>
      </c>
      <c r="E101" s="66" t="s">
        <v>34</v>
      </c>
      <c r="F101" s="68">
        <v>76.0</v>
      </c>
      <c r="G101" s="68">
        <v>1612.0</v>
      </c>
      <c r="H101" s="68">
        <v>404.0</v>
      </c>
      <c r="I101" s="68">
        <v>2.0E-4</v>
      </c>
      <c r="J101" s="68">
        <v>1655.0</v>
      </c>
      <c r="K101" s="68">
        <v>415.0</v>
      </c>
      <c r="L101" s="68">
        <v>2.0E-4</v>
      </c>
      <c r="M101" s="68">
        <v>404.0</v>
      </c>
      <c r="N101" s="68">
        <v>1261.0</v>
      </c>
      <c r="O101" s="68">
        <v>288.0</v>
      </c>
      <c r="P101" s="68">
        <v>2607.0</v>
      </c>
      <c r="Q101" s="68">
        <v>1697.0</v>
      </c>
      <c r="R101" s="66" t="s">
        <v>281</v>
      </c>
      <c r="S101" s="66" t="s">
        <v>282</v>
      </c>
      <c r="T101" s="57" t="s">
        <v>168</v>
      </c>
      <c r="U101" s="57" t="s">
        <v>51</v>
      </c>
      <c r="V101" s="57" t="s">
        <v>169</v>
      </c>
      <c r="W101" s="59">
        <v>10.0</v>
      </c>
    </row>
    <row r="102">
      <c r="A102" s="61"/>
      <c r="B102" s="69"/>
      <c r="C102" s="8"/>
      <c r="D102" s="70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15"/>
      <c r="U102" s="15"/>
      <c r="V102" s="15"/>
      <c r="W102" s="15"/>
    </row>
    <row r="103">
      <c r="A103" s="65"/>
      <c r="B103" s="71"/>
      <c r="C103" s="8"/>
      <c r="D103" s="72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15"/>
      <c r="U103" s="15"/>
      <c r="V103" s="15"/>
      <c r="W103" s="15"/>
    </row>
    <row r="104">
      <c r="A104" s="61"/>
      <c r="B104" s="69"/>
      <c r="C104" s="8"/>
      <c r="D104" s="70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15"/>
      <c r="U104" s="15"/>
      <c r="V104" s="15"/>
      <c r="W104" s="15"/>
    </row>
    <row r="105">
      <c r="A105" s="65"/>
      <c r="B105" s="71"/>
      <c r="C105" s="8"/>
      <c r="D105" s="72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15"/>
      <c r="U105" s="15"/>
      <c r="V105" s="15"/>
      <c r="W105" s="15"/>
    </row>
    <row r="106">
      <c r="A106" s="61"/>
      <c r="B106" s="69"/>
      <c r="C106" s="8"/>
      <c r="D106" s="70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15"/>
      <c r="U106" s="15"/>
      <c r="V106" s="15"/>
      <c r="W106" s="15"/>
    </row>
    <row r="107">
      <c r="A107" s="65"/>
      <c r="B107" s="71"/>
      <c r="C107" s="8"/>
      <c r="D107" s="72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15"/>
      <c r="U107" s="15"/>
      <c r="V107" s="15"/>
      <c r="W107" s="15"/>
    </row>
    <row r="108">
      <c r="A108" s="61"/>
      <c r="B108" s="69"/>
      <c r="C108" s="8"/>
      <c r="D108" s="70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15"/>
      <c r="U108" s="15"/>
      <c r="V108" s="15"/>
      <c r="W108" s="15"/>
    </row>
    <row r="109">
      <c r="A109" s="65"/>
      <c r="B109" s="71"/>
      <c r="C109" s="8"/>
      <c r="D109" s="72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15"/>
      <c r="U109" s="15"/>
      <c r="V109" s="15"/>
      <c r="W109" s="15"/>
    </row>
    <row r="110">
      <c r="A110" s="61"/>
      <c r="B110" s="69"/>
      <c r="C110" s="8"/>
      <c r="D110" s="70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15"/>
      <c r="U110" s="15"/>
      <c r="V110" s="15"/>
      <c r="W110" s="15"/>
    </row>
    <row r="111">
      <c r="A111" s="65"/>
      <c r="B111" s="71"/>
      <c r="C111" s="8"/>
      <c r="D111" s="72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15"/>
      <c r="U111" s="15"/>
      <c r="V111" s="15"/>
      <c r="W111" s="15"/>
    </row>
    <row r="112">
      <c r="A112" s="61"/>
      <c r="B112" s="69"/>
      <c r="C112" s="8"/>
      <c r="D112" s="70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15"/>
      <c r="U112" s="15"/>
      <c r="V112" s="15"/>
      <c r="W112" s="15"/>
    </row>
    <row r="113">
      <c r="A113" s="65"/>
      <c r="B113" s="71"/>
      <c r="C113" s="8"/>
      <c r="D113" s="72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15"/>
      <c r="U113" s="15"/>
      <c r="V113" s="15"/>
      <c r="W113" s="15"/>
    </row>
    <row r="114">
      <c r="A114" s="73"/>
      <c r="B114" s="69"/>
      <c r="C114" s="8"/>
      <c r="D114" s="70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15"/>
      <c r="U114" s="15"/>
      <c r="V114" s="15"/>
      <c r="W114" s="15"/>
    </row>
    <row r="115">
      <c r="A115" s="74"/>
      <c r="B115" s="71"/>
      <c r="C115" s="8"/>
      <c r="D115" s="72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15"/>
      <c r="U115" s="15"/>
      <c r="V115" s="15"/>
      <c r="W115" s="15"/>
    </row>
    <row r="116">
      <c r="A116" s="73"/>
      <c r="B116" s="69"/>
      <c r="C116" s="8"/>
      <c r="D116" s="70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15"/>
      <c r="U116" s="15"/>
      <c r="V116" s="15"/>
      <c r="W116" s="15"/>
    </row>
    <row r="117">
      <c r="A117" s="74"/>
      <c r="B117" s="71"/>
      <c r="C117" s="8"/>
      <c r="D117" s="72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15"/>
      <c r="U117" s="15"/>
      <c r="V117" s="15"/>
      <c r="W117" s="15"/>
    </row>
    <row r="118">
      <c r="A118" s="73"/>
      <c r="B118" s="69"/>
      <c r="C118" s="8"/>
      <c r="D118" s="70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15"/>
      <c r="U118" s="15"/>
      <c r="V118" s="15"/>
      <c r="W118" s="15"/>
    </row>
    <row r="119">
      <c r="A119" s="74"/>
      <c r="B119" s="71"/>
      <c r="C119" s="8"/>
      <c r="D119" s="72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15"/>
      <c r="U119" s="15"/>
      <c r="V119" s="15"/>
      <c r="W119" s="15"/>
    </row>
    <row r="120">
      <c r="A120" s="73"/>
      <c r="B120" s="69"/>
      <c r="C120" s="8"/>
      <c r="D120" s="70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15"/>
      <c r="U120" s="15"/>
      <c r="V120" s="15"/>
      <c r="W120" s="15"/>
    </row>
    <row r="121">
      <c r="A121" s="74"/>
      <c r="B121" s="71"/>
      <c r="C121" s="75"/>
      <c r="D121" s="72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15"/>
      <c r="U121" s="15"/>
      <c r="V121" s="15"/>
      <c r="W121" s="15"/>
    </row>
    <row r="122">
      <c r="A122" s="73"/>
      <c r="B122" s="69"/>
      <c r="C122" s="76"/>
      <c r="D122" s="70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15"/>
      <c r="U122" s="15"/>
      <c r="V122" s="15"/>
      <c r="W122" s="15"/>
    </row>
    <row r="123">
      <c r="A123" s="74"/>
      <c r="B123" s="71"/>
      <c r="C123" s="75"/>
      <c r="D123" s="72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15"/>
      <c r="U123" s="15"/>
      <c r="V123" s="15"/>
      <c r="W123" s="15"/>
    </row>
    <row r="124">
      <c r="A124" s="73"/>
      <c r="B124" s="69"/>
      <c r="C124" s="76"/>
      <c r="D124" s="70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15"/>
      <c r="U124" s="15"/>
      <c r="V124" s="15"/>
      <c r="W124" s="15"/>
    </row>
    <row r="125">
      <c r="A125" s="74"/>
      <c r="B125" s="71"/>
      <c r="C125" s="8"/>
      <c r="D125" s="72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15"/>
      <c r="U125" s="15"/>
      <c r="V125" s="15"/>
      <c r="W125" s="15"/>
    </row>
    <row r="126">
      <c r="A126" s="73"/>
      <c r="B126" s="69"/>
      <c r="C126" s="8"/>
      <c r="D126" s="70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15"/>
      <c r="U126" s="15"/>
      <c r="V126" s="15"/>
      <c r="W126" s="15"/>
    </row>
    <row r="127">
      <c r="A127" s="74"/>
      <c r="B127" s="71"/>
      <c r="C127" s="8"/>
      <c r="D127" s="72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15"/>
      <c r="U127" s="15"/>
      <c r="V127" s="15"/>
      <c r="W127" s="15"/>
    </row>
    <row r="128">
      <c r="A128" s="73"/>
      <c r="B128" s="69"/>
      <c r="C128" s="8"/>
      <c r="D128" s="70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15"/>
      <c r="U128" s="15"/>
      <c r="V128" s="15"/>
      <c r="W128" s="15"/>
    </row>
    <row r="129">
      <c r="A129" s="74"/>
      <c r="B129" s="71"/>
      <c r="C129" s="8"/>
      <c r="D129" s="72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15"/>
      <c r="U129" s="15"/>
      <c r="V129" s="15"/>
      <c r="W129" s="15"/>
    </row>
    <row r="130">
      <c r="A130" s="73"/>
      <c r="B130" s="69"/>
      <c r="C130" s="8"/>
      <c r="D130" s="70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15"/>
      <c r="U130" s="15"/>
      <c r="V130" s="15"/>
      <c r="W130" s="15"/>
    </row>
    <row r="131">
      <c r="A131" s="74"/>
      <c r="B131" s="71"/>
      <c r="C131" s="8"/>
      <c r="D131" s="72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15"/>
      <c r="U131" s="15"/>
      <c r="V131" s="15"/>
      <c r="W131" s="15"/>
    </row>
    <row r="132">
      <c r="A132" s="73"/>
      <c r="B132" s="69"/>
      <c r="C132" s="76"/>
      <c r="D132" s="70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15"/>
      <c r="U132" s="15"/>
      <c r="V132" s="15"/>
      <c r="W132" s="15"/>
    </row>
    <row r="133">
      <c r="A133" s="65"/>
      <c r="B133" s="71"/>
      <c r="C133" s="75"/>
      <c r="D133" s="72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15"/>
      <c r="U133" s="15"/>
      <c r="V133" s="15"/>
      <c r="W133" s="15"/>
    </row>
    <row r="134">
      <c r="A134" s="61"/>
      <c r="B134" s="69"/>
      <c r="C134" s="76"/>
      <c r="D134" s="70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15"/>
      <c r="U134" s="15"/>
      <c r="V134" s="15"/>
      <c r="W134" s="15"/>
    </row>
    <row r="135">
      <c r="A135" s="65"/>
      <c r="B135" s="71"/>
      <c r="C135" s="75"/>
      <c r="D135" s="72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15"/>
      <c r="U135" s="15"/>
      <c r="V135" s="15"/>
      <c r="W135" s="15"/>
    </row>
    <row r="136">
      <c r="A136" s="61"/>
      <c r="B136" s="69"/>
      <c r="C136" s="8"/>
      <c r="D136" s="70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15"/>
      <c r="U136" s="15"/>
      <c r="V136" s="15"/>
      <c r="W136" s="15"/>
    </row>
    <row r="137">
      <c r="A137" s="65"/>
      <c r="B137" s="71"/>
      <c r="C137" s="8"/>
      <c r="D137" s="72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15"/>
      <c r="U137" s="15"/>
      <c r="V137" s="15"/>
      <c r="W137" s="15"/>
    </row>
    <row r="138">
      <c r="A138" s="61"/>
      <c r="B138" s="69"/>
      <c r="C138" s="8"/>
      <c r="D138" s="70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15"/>
      <c r="U138" s="15"/>
      <c r="V138" s="15"/>
      <c r="W138" s="15"/>
    </row>
    <row r="139">
      <c r="A139" s="65"/>
      <c r="B139" s="71"/>
      <c r="C139" s="8"/>
      <c r="D139" s="72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15"/>
      <c r="U139" s="15"/>
      <c r="V139" s="15"/>
      <c r="W139" s="15"/>
    </row>
    <row r="140">
      <c r="A140" s="61"/>
      <c r="B140" s="69"/>
      <c r="C140" s="8"/>
      <c r="D140" s="70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15"/>
      <c r="U140" s="15"/>
      <c r="V140" s="15"/>
      <c r="W140" s="15"/>
    </row>
    <row r="141">
      <c r="A141" s="65"/>
      <c r="B141" s="71"/>
      <c r="C141" s="8"/>
      <c r="D141" s="72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15"/>
      <c r="U141" s="15"/>
      <c r="V141" s="15"/>
      <c r="W141" s="15"/>
    </row>
    <row r="142">
      <c r="A142" s="61"/>
      <c r="B142" s="69"/>
      <c r="C142" s="76"/>
      <c r="D142" s="70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15"/>
      <c r="U142" s="15"/>
      <c r="V142" s="15"/>
      <c r="W142" s="15"/>
    </row>
    <row r="143">
      <c r="A143" s="65"/>
      <c r="B143" s="71"/>
      <c r="C143" s="75"/>
      <c r="D143" s="72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15"/>
      <c r="U143" s="15"/>
      <c r="V143" s="15"/>
      <c r="W143" s="15"/>
    </row>
    <row r="144">
      <c r="A144" s="61"/>
      <c r="B144" s="69"/>
      <c r="C144" s="76"/>
      <c r="D144" s="70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15"/>
      <c r="U144" s="15"/>
      <c r="V144" s="15"/>
      <c r="W144" s="15"/>
    </row>
    <row r="145">
      <c r="A145" s="65"/>
      <c r="B145" s="71"/>
      <c r="C145" s="75"/>
      <c r="D145" s="72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15"/>
      <c r="U145" s="15"/>
      <c r="V145" s="15"/>
      <c r="W145" s="15"/>
    </row>
    <row r="146">
      <c r="A146" s="61"/>
      <c r="B146" s="69"/>
      <c r="C146" s="8"/>
      <c r="D146" s="70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15"/>
      <c r="U146" s="15"/>
      <c r="V146" s="15"/>
      <c r="W146" s="15"/>
    </row>
    <row r="147">
      <c r="A147" s="65"/>
      <c r="B147" s="71"/>
      <c r="C147" s="8"/>
      <c r="D147" s="72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15"/>
      <c r="U147" s="15"/>
      <c r="V147" s="15"/>
      <c r="W147" s="15"/>
    </row>
    <row r="148">
      <c r="A148" s="61"/>
      <c r="B148" s="69"/>
      <c r="C148" s="8"/>
      <c r="D148" s="70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15"/>
      <c r="U148" s="15"/>
      <c r="V148" s="15"/>
      <c r="W148" s="15"/>
    </row>
    <row r="149">
      <c r="A149" s="65"/>
      <c r="B149" s="71"/>
      <c r="C149" s="8"/>
      <c r="D149" s="72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15"/>
      <c r="U149" s="15"/>
      <c r="V149" s="15"/>
      <c r="W149" s="15"/>
    </row>
    <row r="150">
      <c r="A150" s="61"/>
      <c r="B150" s="69"/>
      <c r="C150" s="8"/>
      <c r="D150" s="70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15"/>
      <c r="U150" s="15"/>
      <c r="V150" s="15"/>
      <c r="W150" s="15"/>
    </row>
    <row r="151">
      <c r="A151" s="74"/>
      <c r="B151" s="71"/>
      <c r="C151" s="8"/>
      <c r="D151" s="72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15"/>
      <c r="U151" s="15"/>
      <c r="V151" s="15"/>
      <c r="W151" s="15"/>
    </row>
    <row r="152">
      <c r="A152" s="73"/>
      <c r="B152" s="69"/>
      <c r="C152" s="8"/>
      <c r="D152" s="70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15"/>
      <c r="U152" s="15"/>
      <c r="V152" s="15"/>
      <c r="W152" s="15"/>
    </row>
    <row r="153">
      <c r="A153" s="74"/>
      <c r="B153" s="71"/>
      <c r="C153" s="75"/>
      <c r="D153" s="72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15"/>
      <c r="U153" s="15"/>
      <c r="V153" s="15"/>
      <c r="W153" s="15"/>
    </row>
    <row r="154">
      <c r="A154" s="73"/>
      <c r="B154" s="69"/>
      <c r="C154" s="76"/>
      <c r="D154" s="70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15"/>
      <c r="U154" s="15"/>
      <c r="V154" s="15"/>
      <c r="W154" s="15"/>
    </row>
    <row r="155">
      <c r="A155" s="74"/>
      <c r="B155" s="71"/>
      <c r="C155" s="75"/>
      <c r="D155" s="72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15"/>
      <c r="U155" s="15"/>
      <c r="V155" s="15"/>
      <c r="W155" s="15"/>
    </row>
    <row r="156">
      <c r="A156" s="73"/>
      <c r="B156" s="69"/>
      <c r="C156" s="76"/>
      <c r="D156" s="70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15"/>
      <c r="U156" s="15"/>
      <c r="V156" s="15"/>
      <c r="W156" s="15"/>
    </row>
    <row r="157">
      <c r="A157" s="74"/>
      <c r="B157" s="71"/>
      <c r="C157" s="8"/>
      <c r="D157" s="72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15"/>
      <c r="U157" s="15"/>
      <c r="V157" s="15"/>
      <c r="W157" s="15"/>
    </row>
    <row r="158">
      <c r="A158" s="73"/>
      <c r="B158" s="69"/>
      <c r="C158" s="8"/>
      <c r="D158" s="70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15"/>
      <c r="U158" s="15"/>
      <c r="V158" s="15"/>
      <c r="W158" s="15"/>
    </row>
    <row r="159">
      <c r="A159" s="74"/>
      <c r="B159" s="71"/>
      <c r="C159" s="8"/>
      <c r="D159" s="72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15"/>
      <c r="U159" s="15"/>
      <c r="V159" s="15"/>
      <c r="W159" s="15"/>
    </row>
    <row r="160">
      <c r="A160" s="73"/>
      <c r="B160" s="69"/>
      <c r="C160" s="8"/>
      <c r="D160" s="70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15"/>
      <c r="U160" s="15"/>
      <c r="V160" s="15"/>
      <c r="W160" s="15"/>
    </row>
    <row r="161">
      <c r="A161" s="74"/>
      <c r="B161" s="71"/>
      <c r="C161" s="8"/>
      <c r="D161" s="72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15"/>
      <c r="U161" s="15"/>
      <c r="V161" s="15"/>
      <c r="W161" s="15"/>
    </row>
    <row r="162">
      <c r="A162" s="73"/>
      <c r="B162" s="69"/>
      <c r="C162" s="70"/>
      <c r="D162" s="70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15"/>
      <c r="U162" s="15"/>
      <c r="V162" s="15"/>
      <c r="W162" s="15"/>
    </row>
    <row r="163">
      <c r="A163" s="74"/>
      <c r="B163" s="71"/>
      <c r="C163" s="72"/>
      <c r="D163" s="72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15"/>
      <c r="U163" s="15"/>
      <c r="V163" s="15"/>
      <c r="W163" s="15"/>
    </row>
    <row r="164">
      <c r="A164" s="73"/>
      <c r="B164" s="69"/>
      <c r="C164" s="70"/>
      <c r="D164" s="70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15"/>
      <c r="U164" s="15"/>
      <c r="V164" s="15"/>
      <c r="W164" s="15"/>
    </row>
    <row r="165">
      <c r="A165" s="74"/>
      <c r="B165" s="71"/>
      <c r="C165" s="72"/>
      <c r="D165" s="72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15"/>
      <c r="U165" s="15"/>
      <c r="V165" s="15"/>
      <c r="W165" s="15"/>
    </row>
    <row r="166">
      <c r="A166" s="73"/>
      <c r="B166" s="69"/>
      <c r="C166" s="70"/>
      <c r="D166" s="70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15"/>
      <c r="U166" s="15"/>
      <c r="V166" s="15"/>
      <c r="W166" s="15"/>
    </row>
    <row r="167">
      <c r="A167" s="74"/>
      <c r="B167" s="71"/>
      <c r="C167" s="72"/>
      <c r="D167" s="72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15"/>
      <c r="U167" s="15"/>
      <c r="V167" s="15"/>
      <c r="W167" s="15"/>
    </row>
    <row r="168">
      <c r="A168" s="73"/>
      <c r="B168" s="69"/>
      <c r="C168" s="70"/>
      <c r="D168" s="70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15"/>
      <c r="U168" s="15"/>
      <c r="V168" s="15"/>
      <c r="W168" s="15"/>
    </row>
    <row r="169">
      <c r="A169" s="74"/>
      <c r="B169" s="71"/>
      <c r="C169" s="72"/>
      <c r="D169" s="72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15"/>
      <c r="U169" s="15"/>
      <c r="V169" s="15"/>
      <c r="W169" s="15"/>
    </row>
    <row r="170">
      <c r="A170" s="61"/>
      <c r="B170" s="69"/>
      <c r="C170" s="70"/>
      <c r="D170" s="70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15"/>
      <c r="U170" s="15"/>
      <c r="V170" s="15"/>
      <c r="W170" s="15"/>
    </row>
    <row r="171">
      <c r="A171" s="65"/>
      <c r="B171" s="71"/>
      <c r="C171" s="72"/>
      <c r="D171" s="72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15"/>
      <c r="U171" s="15"/>
      <c r="V171" s="15"/>
      <c r="W171" s="15"/>
    </row>
    <row r="172">
      <c r="A172" s="61"/>
      <c r="B172" s="69"/>
      <c r="C172" s="70"/>
      <c r="D172" s="70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15"/>
      <c r="U172" s="15"/>
      <c r="V172" s="15"/>
      <c r="W172" s="15"/>
    </row>
    <row r="173">
      <c r="A173" s="65"/>
      <c r="B173" s="71"/>
      <c r="C173" s="72"/>
      <c r="D173" s="72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15"/>
      <c r="U173" s="15"/>
      <c r="V173" s="15"/>
      <c r="W173" s="15"/>
    </row>
    <row r="174">
      <c r="A174" s="61"/>
      <c r="B174" s="69"/>
      <c r="C174" s="70"/>
      <c r="D174" s="70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15"/>
      <c r="U174" s="15"/>
      <c r="V174" s="15"/>
      <c r="W174" s="15"/>
    </row>
    <row r="175">
      <c r="A175" s="65"/>
      <c r="B175" s="71"/>
      <c r="C175" s="72"/>
      <c r="D175" s="72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15"/>
      <c r="U175" s="15"/>
      <c r="V175" s="15"/>
      <c r="W175" s="15"/>
    </row>
    <row r="176">
      <c r="A176" s="61"/>
      <c r="B176" s="69"/>
      <c r="C176" s="70"/>
      <c r="D176" s="70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15"/>
      <c r="U176" s="15"/>
      <c r="V176" s="15"/>
      <c r="W176" s="15"/>
    </row>
    <row r="177">
      <c r="A177" s="65"/>
      <c r="B177" s="71"/>
      <c r="C177" s="72"/>
      <c r="D177" s="72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15"/>
      <c r="U177" s="15"/>
      <c r="V177" s="15"/>
      <c r="W177" s="15"/>
    </row>
    <row r="178">
      <c r="A178" s="61"/>
      <c r="B178" s="69"/>
      <c r="C178" s="70"/>
      <c r="D178" s="70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15"/>
      <c r="U178" s="15"/>
      <c r="V178" s="15"/>
      <c r="W178" s="15"/>
    </row>
    <row r="179">
      <c r="A179" s="65"/>
      <c r="B179" s="71"/>
      <c r="C179" s="72"/>
      <c r="D179" s="72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15"/>
      <c r="U179" s="15"/>
      <c r="V179" s="15"/>
      <c r="W179" s="15"/>
    </row>
    <row r="180">
      <c r="A180" s="61"/>
      <c r="B180" s="69"/>
      <c r="C180" s="70"/>
      <c r="D180" s="70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15"/>
      <c r="U180" s="15"/>
      <c r="V180" s="15"/>
      <c r="W180" s="15"/>
    </row>
    <row r="181">
      <c r="A181" s="65"/>
      <c r="B181" s="71"/>
      <c r="C181" s="72"/>
      <c r="D181" s="72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15"/>
      <c r="U181" s="15"/>
      <c r="V181" s="15"/>
      <c r="W181" s="15"/>
    </row>
    <row r="182">
      <c r="A182" s="61"/>
      <c r="B182" s="69"/>
      <c r="C182" s="70"/>
      <c r="D182" s="70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15"/>
      <c r="U182" s="15"/>
      <c r="V182" s="15"/>
      <c r="W182" s="15"/>
    </row>
    <row r="183">
      <c r="A183" s="65"/>
      <c r="B183" s="71"/>
      <c r="C183" s="72"/>
      <c r="D183" s="72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15"/>
      <c r="U183" s="15"/>
      <c r="V183" s="15"/>
      <c r="W183" s="15"/>
    </row>
    <row r="184">
      <c r="A184" s="61"/>
      <c r="B184" s="69"/>
      <c r="C184" s="70"/>
      <c r="D184" s="70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15"/>
      <c r="U184" s="15"/>
      <c r="V184" s="15"/>
      <c r="W184" s="15"/>
    </row>
    <row r="185">
      <c r="A185" s="65"/>
      <c r="B185" s="71"/>
      <c r="C185" s="72"/>
      <c r="D185" s="72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15"/>
      <c r="U185" s="15"/>
      <c r="V185" s="15"/>
      <c r="W185" s="15"/>
    </row>
    <row r="186">
      <c r="A186" s="61"/>
      <c r="B186" s="69"/>
      <c r="C186" s="70"/>
      <c r="D186" s="70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15"/>
      <c r="U186" s="15"/>
      <c r="V186" s="15"/>
      <c r="W186" s="15"/>
    </row>
    <row r="187">
      <c r="A187" s="65"/>
      <c r="B187" s="71"/>
      <c r="C187" s="72"/>
      <c r="D187" s="72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15"/>
      <c r="U187" s="15"/>
      <c r="V187" s="15"/>
      <c r="W187" s="15"/>
    </row>
    <row r="188">
      <c r="A188" s="61"/>
      <c r="B188" s="69"/>
      <c r="C188" s="70"/>
      <c r="D188" s="70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15"/>
      <c r="U188" s="15"/>
      <c r="V188" s="15"/>
      <c r="W188" s="15"/>
    </row>
    <row r="189">
      <c r="A189" s="65"/>
      <c r="B189" s="71"/>
      <c r="C189" s="72"/>
      <c r="D189" s="72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15"/>
      <c r="U189" s="15"/>
      <c r="V189" s="15"/>
      <c r="W189" s="15"/>
    </row>
    <row r="190">
      <c r="A190" s="61"/>
      <c r="B190" s="69"/>
      <c r="C190" s="70"/>
      <c r="D190" s="70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15"/>
      <c r="U190" s="15"/>
      <c r="V190" s="15"/>
      <c r="W190" s="15"/>
    </row>
    <row r="191">
      <c r="A191" s="65"/>
      <c r="B191" s="71"/>
      <c r="C191" s="72"/>
      <c r="D191" s="72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15"/>
      <c r="U191" s="15"/>
      <c r="V191" s="15"/>
      <c r="W191" s="15"/>
    </row>
    <row r="192">
      <c r="A192" s="61"/>
      <c r="B192" s="69"/>
      <c r="C192" s="70"/>
      <c r="D192" s="70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15"/>
      <c r="U192" s="15"/>
      <c r="V192" s="15"/>
      <c r="W192" s="15"/>
    </row>
    <row r="193">
      <c r="A193" s="65"/>
      <c r="B193" s="71"/>
      <c r="C193" s="72"/>
      <c r="D193" s="72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15"/>
      <c r="U193" s="15"/>
      <c r="V193" s="15"/>
      <c r="W193" s="15"/>
    </row>
    <row r="194">
      <c r="A194" s="61"/>
      <c r="B194" s="69"/>
      <c r="C194" s="70"/>
      <c r="D194" s="70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15"/>
      <c r="U194" s="15"/>
      <c r="V194" s="15"/>
      <c r="W194" s="15"/>
    </row>
    <row r="195">
      <c r="A195" s="65"/>
      <c r="B195" s="71"/>
      <c r="C195" s="72"/>
      <c r="D195" s="72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15"/>
      <c r="U195" s="15"/>
      <c r="V195" s="15"/>
      <c r="W195" s="15"/>
    </row>
    <row r="196">
      <c r="A196" s="61"/>
      <c r="B196" s="69"/>
      <c r="C196" s="70"/>
      <c r="D196" s="70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15"/>
      <c r="U196" s="15"/>
      <c r="V196" s="15"/>
      <c r="W196" s="15"/>
    </row>
    <row r="197">
      <c r="A197" s="74"/>
      <c r="B197" s="71"/>
      <c r="C197" s="72"/>
      <c r="D197" s="72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15"/>
      <c r="U197" s="15"/>
      <c r="V197" s="15"/>
      <c r="W197" s="15"/>
    </row>
    <row r="198">
      <c r="A198" s="73"/>
      <c r="B198" s="69"/>
      <c r="C198" s="70"/>
      <c r="D198" s="70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15"/>
      <c r="U198" s="15"/>
      <c r="V198" s="15"/>
      <c r="W198" s="15"/>
    </row>
    <row r="199">
      <c r="A199" s="74"/>
      <c r="B199" s="71"/>
      <c r="C199" s="72"/>
      <c r="D199" s="72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15"/>
      <c r="U199" s="15"/>
      <c r="V199" s="15"/>
      <c r="W199" s="15"/>
    </row>
    <row r="200">
      <c r="A200" s="73"/>
      <c r="B200" s="69"/>
      <c r="C200" s="70"/>
      <c r="D200" s="70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15"/>
      <c r="U200" s="15"/>
      <c r="V200" s="15"/>
      <c r="W200" s="15"/>
    </row>
    <row r="201">
      <c r="A201" s="74"/>
      <c r="B201" s="71"/>
      <c r="C201" s="72"/>
      <c r="D201" s="72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15"/>
      <c r="U201" s="15"/>
      <c r="V201" s="15"/>
      <c r="W201" s="15"/>
    </row>
    <row r="202">
      <c r="A202" s="73"/>
      <c r="B202" s="69"/>
      <c r="C202" s="70"/>
      <c r="D202" s="70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15"/>
      <c r="U202" s="15"/>
      <c r="V202" s="15"/>
      <c r="W202" s="15"/>
    </row>
    <row r="203">
      <c r="A203" s="74"/>
      <c r="B203" s="71"/>
      <c r="C203" s="72"/>
      <c r="D203" s="72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15"/>
      <c r="U203" s="15"/>
      <c r="V203" s="15"/>
      <c r="W203" s="15"/>
    </row>
    <row r="204">
      <c r="A204" s="73"/>
      <c r="B204" s="69"/>
      <c r="C204" s="70"/>
      <c r="D204" s="70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15"/>
      <c r="U204" s="15"/>
      <c r="V204" s="15"/>
      <c r="W204" s="15"/>
    </row>
    <row r="205">
      <c r="A205" s="74"/>
      <c r="B205" s="71"/>
      <c r="C205" s="72"/>
      <c r="D205" s="72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15"/>
      <c r="U205" s="15"/>
      <c r="V205" s="15"/>
      <c r="W205" s="15"/>
    </row>
    <row r="206">
      <c r="A206" s="73"/>
      <c r="B206" s="69"/>
      <c r="C206" s="70"/>
      <c r="D206" s="70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15"/>
      <c r="U206" s="15"/>
      <c r="V206" s="15"/>
      <c r="W206" s="15"/>
    </row>
    <row r="207">
      <c r="A207" s="74"/>
      <c r="B207" s="71"/>
      <c r="C207" s="72"/>
      <c r="D207" s="72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15"/>
      <c r="U207" s="15"/>
      <c r="V207" s="15"/>
      <c r="W207" s="15"/>
    </row>
    <row r="208">
      <c r="A208" s="73"/>
      <c r="B208" s="69"/>
      <c r="C208" s="70"/>
      <c r="D208" s="70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15"/>
      <c r="U208" s="15"/>
      <c r="V208" s="15"/>
      <c r="W208" s="15"/>
    </row>
    <row r="209">
      <c r="A209" s="74"/>
      <c r="B209" s="71"/>
      <c r="C209" s="72"/>
      <c r="D209" s="72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15"/>
      <c r="U209" s="15"/>
      <c r="V209" s="15"/>
      <c r="W209" s="15"/>
    </row>
    <row r="210">
      <c r="A210" s="73"/>
      <c r="B210" s="69"/>
      <c r="C210" s="70"/>
      <c r="D210" s="70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15"/>
      <c r="U210" s="15"/>
      <c r="V210" s="15"/>
      <c r="W210" s="15"/>
    </row>
    <row r="211">
      <c r="A211" s="74"/>
      <c r="B211" s="71"/>
      <c r="C211" s="72"/>
      <c r="D211" s="72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15"/>
      <c r="U211" s="15"/>
      <c r="V211" s="15"/>
      <c r="W211" s="15"/>
    </row>
    <row r="212">
      <c r="A212" s="73"/>
      <c r="B212" s="69"/>
      <c r="C212" s="70"/>
      <c r="D212" s="70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15"/>
      <c r="U212" s="15"/>
      <c r="V212" s="15"/>
      <c r="W212" s="15"/>
    </row>
    <row r="213">
      <c r="A213" s="74"/>
      <c r="B213" s="71"/>
      <c r="C213" s="72"/>
      <c r="D213" s="72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15"/>
      <c r="U213" s="15"/>
      <c r="V213" s="15"/>
      <c r="W213" s="15"/>
    </row>
    <row r="214">
      <c r="A214" s="73"/>
      <c r="B214" s="69"/>
      <c r="C214" s="70"/>
      <c r="D214" s="70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15"/>
      <c r="U214" s="15"/>
      <c r="V214" s="15"/>
      <c r="W214" s="15"/>
    </row>
    <row r="215">
      <c r="A215" s="74"/>
      <c r="B215" s="71"/>
      <c r="C215" s="72"/>
      <c r="D215" s="72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15"/>
      <c r="U215" s="15"/>
      <c r="V215" s="15"/>
      <c r="W215" s="15"/>
    </row>
    <row r="216">
      <c r="A216" s="61"/>
      <c r="B216" s="69"/>
      <c r="C216" s="70"/>
      <c r="D216" s="70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15"/>
      <c r="U216" s="15"/>
      <c r="V216" s="15"/>
      <c r="W216" s="15"/>
    </row>
    <row r="217">
      <c r="A217" s="65"/>
      <c r="B217" s="71"/>
      <c r="C217" s="72"/>
      <c r="D217" s="72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15"/>
      <c r="U217" s="15"/>
      <c r="V217" s="15"/>
      <c r="W217" s="15"/>
    </row>
    <row r="218">
      <c r="A218" s="61"/>
      <c r="B218" s="69"/>
      <c r="C218" s="70"/>
      <c r="D218" s="70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15"/>
      <c r="U218" s="15"/>
      <c r="V218" s="15"/>
      <c r="W218" s="15"/>
    </row>
    <row r="219">
      <c r="A219" s="65"/>
      <c r="B219" s="71"/>
      <c r="C219" s="72"/>
      <c r="D219" s="72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15"/>
      <c r="U219" s="15"/>
      <c r="V219" s="15"/>
      <c r="W219" s="15"/>
    </row>
    <row r="220">
      <c r="A220" s="61"/>
      <c r="B220" s="69"/>
      <c r="C220" s="70"/>
      <c r="D220" s="70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15"/>
      <c r="U220" s="15"/>
      <c r="V220" s="15"/>
      <c r="W220" s="15"/>
    </row>
    <row r="221">
      <c r="A221" s="65"/>
      <c r="B221" s="71"/>
      <c r="C221" s="72"/>
      <c r="D221" s="72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15"/>
      <c r="U221" s="15"/>
      <c r="V221" s="15"/>
      <c r="W221" s="15"/>
    </row>
    <row r="222">
      <c r="A222" s="61"/>
      <c r="B222" s="69"/>
      <c r="C222" s="70"/>
      <c r="D222" s="70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15"/>
      <c r="U222" s="15"/>
      <c r="V222" s="15"/>
      <c r="W222" s="15"/>
    </row>
    <row r="223">
      <c r="A223" s="65"/>
      <c r="B223" s="71"/>
      <c r="C223" s="72"/>
      <c r="D223" s="72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15"/>
      <c r="U223" s="15"/>
      <c r="V223" s="15"/>
      <c r="W223" s="15"/>
    </row>
    <row r="224">
      <c r="A224" s="61"/>
      <c r="B224" s="69"/>
      <c r="C224" s="70"/>
      <c r="D224" s="70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15"/>
      <c r="U224" s="15"/>
      <c r="V224" s="15"/>
      <c r="W224" s="15"/>
    </row>
    <row r="225">
      <c r="A225" s="65"/>
      <c r="B225" s="71"/>
      <c r="C225" s="72"/>
      <c r="D225" s="72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15"/>
      <c r="U225" s="15"/>
      <c r="V225" s="15"/>
      <c r="W225" s="15"/>
    </row>
    <row r="226">
      <c r="A226" s="61"/>
      <c r="B226" s="69"/>
      <c r="C226" s="70"/>
      <c r="D226" s="70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15"/>
      <c r="U226" s="15"/>
      <c r="V226" s="15"/>
      <c r="W226" s="15"/>
    </row>
    <row r="227">
      <c r="A227" s="65"/>
      <c r="B227" s="71"/>
      <c r="C227" s="72"/>
      <c r="D227" s="72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15"/>
      <c r="U227" s="15"/>
      <c r="V227" s="15"/>
      <c r="W227" s="15"/>
    </row>
    <row r="228">
      <c r="A228" s="61"/>
      <c r="B228" s="69"/>
      <c r="C228" s="70"/>
      <c r="D228" s="70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15"/>
      <c r="U228" s="15"/>
      <c r="V228" s="15"/>
      <c r="W228" s="15"/>
    </row>
    <row r="229">
      <c r="A229" s="65"/>
      <c r="B229" s="71"/>
      <c r="C229" s="72"/>
      <c r="D229" s="72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15"/>
      <c r="U229" s="15"/>
      <c r="V229" s="15"/>
      <c r="W229" s="15"/>
    </row>
    <row r="230">
      <c r="A230" s="61"/>
      <c r="B230" s="69"/>
      <c r="C230" s="70"/>
      <c r="D230" s="70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15"/>
      <c r="U230" s="15"/>
      <c r="V230" s="15"/>
      <c r="W230" s="15"/>
    </row>
    <row r="231">
      <c r="A231" s="65"/>
      <c r="B231" s="71"/>
      <c r="C231" s="72"/>
      <c r="D231" s="72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15"/>
      <c r="U231" s="15"/>
      <c r="V231" s="15"/>
      <c r="W231" s="15"/>
    </row>
    <row r="232">
      <c r="A232" s="61"/>
      <c r="B232" s="69"/>
      <c r="C232" s="70"/>
      <c r="D232" s="70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15"/>
      <c r="U232" s="15"/>
      <c r="V232" s="15"/>
      <c r="W232" s="15"/>
    </row>
    <row r="233">
      <c r="A233" s="65"/>
      <c r="B233" s="71"/>
      <c r="C233" s="72"/>
      <c r="D233" s="72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15"/>
      <c r="U233" s="15"/>
      <c r="V233" s="15"/>
      <c r="W233" s="15"/>
    </row>
    <row r="234">
      <c r="A234" s="73"/>
      <c r="B234" s="69"/>
      <c r="C234" s="70"/>
      <c r="D234" s="70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15"/>
      <c r="U234" s="15"/>
      <c r="V234" s="15"/>
      <c r="W234" s="15"/>
    </row>
    <row r="235">
      <c r="A235" s="74"/>
      <c r="B235" s="71"/>
      <c r="C235" s="72"/>
      <c r="D235" s="72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15"/>
      <c r="U235" s="15"/>
      <c r="V235" s="15"/>
      <c r="W235" s="15"/>
    </row>
    <row r="236">
      <c r="A236" s="73"/>
      <c r="B236" s="69"/>
      <c r="C236" s="70"/>
      <c r="D236" s="70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15"/>
      <c r="U236" s="15"/>
      <c r="V236" s="15"/>
      <c r="W236" s="15"/>
    </row>
    <row r="237">
      <c r="A237" s="74"/>
      <c r="B237" s="71"/>
      <c r="C237" s="72"/>
      <c r="D237" s="72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15"/>
      <c r="U237" s="15"/>
      <c r="V237" s="15"/>
      <c r="W237" s="15"/>
    </row>
    <row r="238">
      <c r="A238" s="73"/>
      <c r="B238" s="69"/>
      <c r="C238" s="70"/>
      <c r="D238" s="70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15"/>
      <c r="U238" s="15"/>
      <c r="V238" s="15"/>
      <c r="W238" s="15"/>
    </row>
    <row r="239">
      <c r="A239" s="74"/>
      <c r="B239" s="71"/>
      <c r="C239" s="72"/>
      <c r="D239" s="72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15"/>
      <c r="U239" s="15"/>
      <c r="V239" s="15"/>
      <c r="W239" s="15"/>
    </row>
    <row r="240">
      <c r="A240" s="73"/>
      <c r="B240" s="69"/>
      <c r="C240" s="70"/>
      <c r="D240" s="70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15"/>
      <c r="U240" s="15"/>
      <c r="V240" s="15"/>
      <c r="W240" s="15"/>
    </row>
    <row r="241">
      <c r="A241" s="74"/>
      <c r="B241" s="71"/>
      <c r="C241" s="72"/>
      <c r="D241" s="72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15"/>
      <c r="U241" s="15"/>
      <c r="V241" s="15"/>
      <c r="W241" s="15"/>
    </row>
    <row r="242">
      <c r="A242" s="73"/>
      <c r="B242" s="69"/>
      <c r="C242" s="70"/>
      <c r="D242" s="70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15"/>
      <c r="U242" s="15"/>
      <c r="V242" s="15"/>
      <c r="W242" s="15"/>
    </row>
    <row r="243">
      <c r="A243" s="74"/>
      <c r="B243" s="71"/>
      <c r="C243" s="72"/>
      <c r="D243" s="72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15"/>
      <c r="U243" s="15"/>
      <c r="V243" s="15"/>
      <c r="W243" s="15"/>
    </row>
    <row r="244">
      <c r="A244" s="73"/>
      <c r="B244" s="69"/>
      <c r="C244" s="70"/>
      <c r="D244" s="70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15"/>
      <c r="U244" s="15"/>
      <c r="V244" s="15"/>
      <c r="W244" s="15"/>
    </row>
    <row r="245">
      <c r="A245" s="74"/>
      <c r="B245" s="71"/>
      <c r="C245" s="72"/>
      <c r="D245" s="72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15"/>
      <c r="U245" s="15"/>
      <c r="V245" s="15"/>
      <c r="W245" s="15"/>
    </row>
    <row r="246">
      <c r="A246" s="73"/>
      <c r="B246" s="69"/>
      <c r="C246" s="70"/>
      <c r="D246" s="70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15"/>
      <c r="U246" s="15"/>
      <c r="V246" s="15"/>
      <c r="W246" s="15"/>
    </row>
    <row r="247">
      <c r="A247" s="74"/>
      <c r="B247" s="71"/>
      <c r="C247" s="72"/>
      <c r="D247" s="72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15"/>
      <c r="U247" s="15"/>
      <c r="V247" s="15"/>
      <c r="W247" s="15"/>
    </row>
    <row r="248">
      <c r="A248" s="73"/>
      <c r="B248" s="69"/>
      <c r="C248" s="70"/>
      <c r="D248" s="70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15"/>
      <c r="U248" s="15"/>
      <c r="V248" s="15"/>
      <c r="W248" s="15"/>
    </row>
    <row r="249">
      <c r="A249" s="74"/>
      <c r="B249" s="71"/>
      <c r="C249" s="72"/>
      <c r="D249" s="72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15"/>
      <c r="U249" s="15"/>
      <c r="V249" s="15"/>
      <c r="W249" s="15"/>
    </row>
    <row r="250">
      <c r="A250" s="73"/>
      <c r="B250" s="69"/>
      <c r="C250" s="70"/>
      <c r="D250" s="70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15"/>
      <c r="U250" s="15"/>
      <c r="V250" s="15"/>
      <c r="W250" s="15"/>
    </row>
    <row r="251">
      <c r="A251" s="74"/>
      <c r="B251" s="71"/>
      <c r="C251" s="72"/>
      <c r="D251" s="72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15"/>
      <c r="U251" s="15"/>
      <c r="V251" s="15"/>
      <c r="W251" s="15"/>
    </row>
    <row r="252">
      <c r="A252" s="73"/>
      <c r="B252" s="69"/>
      <c r="C252" s="70"/>
      <c r="D252" s="70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15"/>
      <c r="U252" s="15"/>
      <c r="V252" s="15"/>
      <c r="W252" s="15"/>
    </row>
    <row r="253">
      <c r="A253" s="65"/>
      <c r="B253" s="71"/>
      <c r="C253" s="72"/>
      <c r="D253" s="72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15"/>
      <c r="U253" s="15"/>
      <c r="V253" s="15"/>
      <c r="W253" s="15"/>
    </row>
    <row r="254">
      <c r="A254" s="61"/>
      <c r="B254" s="69"/>
      <c r="C254" s="70"/>
      <c r="D254" s="70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15"/>
      <c r="U254" s="15"/>
      <c r="V254" s="15"/>
      <c r="W254" s="15"/>
    </row>
    <row r="255">
      <c r="A255" s="65"/>
      <c r="B255" s="71"/>
      <c r="C255" s="72"/>
      <c r="D255" s="72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15"/>
      <c r="U255" s="15"/>
      <c r="V255" s="15"/>
      <c r="W255" s="15"/>
    </row>
    <row r="256">
      <c r="A256" s="61"/>
      <c r="B256" s="69"/>
      <c r="C256" s="70"/>
      <c r="D256" s="70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15"/>
      <c r="U256" s="15"/>
      <c r="V256" s="15"/>
      <c r="W256" s="15"/>
    </row>
    <row r="257">
      <c r="A257" s="65"/>
      <c r="B257" s="71"/>
      <c r="C257" s="72"/>
      <c r="D257" s="72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15"/>
      <c r="U257" s="15"/>
      <c r="V257" s="15"/>
      <c r="W257" s="15"/>
    </row>
    <row r="258">
      <c r="A258" s="61"/>
      <c r="B258" s="69"/>
      <c r="C258" s="70"/>
      <c r="D258" s="70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15"/>
      <c r="U258" s="15"/>
      <c r="V258" s="15"/>
      <c r="W258" s="15"/>
    </row>
    <row r="259">
      <c r="A259" s="65"/>
      <c r="B259" s="71"/>
      <c r="C259" s="72"/>
      <c r="D259" s="72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15"/>
      <c r="U259" s="15"/>
      <c r="V259" s="15"/>
      <c r="W259" s="15"/>
    </row>
    <row r="260">
      <c r="A260" s="61"/>
      <c r="B260" s="69"/>
      <c r="C260" s="70"/>
      <c r="D260" s="70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15"/>
      <c r="U260" s="15"/>
      <c r="V260" s="15"/>
      <c r="W260" s="15"/>
    </row>
    <row r="261">
      <c r="A261" s="65"/>
      <c r="B261" s="71"/>
      <c r="C261" s="72"/>
      <c r="D261" s="72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15"/>
      <c r="U261" s="15"/>
      <c r="V261" s="15"/>
      <c r="W261" s="15"/>
    </row>
    <row r="262">
      <c r="A262" s="61"/>
      <c r="B262" s="69"/>
      <c r="C262" s="70"/>
      <c r="D262" s="70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15"/>
      <c r="U262" s="15"/>
      <c r="V262" s="15"/>
      <c r="W262" s="15"/>
    </row>
    <row r="263">
      <c r="A263" s="65"/>
      <c r="B263" s="71"/>
      <c r="C263" s="72"/>
      <c r="D263" s="72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15"/>
      <c r="U263" s="15"/>
      <c r="V263" s="15"/>
      <c r="W263" s="15"/>
    </row>
    <row r="264">
      <c r="A264" s="61"/>
      <c r="B264" s="69"/>
      <c r="C264" s="70"/>
      <c r="D264" s="70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15"/>
      <c r="U264" s="15"/>
      <c r="V264" s="15"/>
      <c r="W264" s="15"/>
    </row>
    <row r="265">
      <c r="A265" s="65"/>
      <c r="B265" s="71"/>
      <c r="C265" s="72"/>
      <c r="D265" s="72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15"/>
      <c r="U265" s="15"/>
      <c r="V265" s="15"/>
      <c r="W265" s="15"/>
    </row>
    <row r="266">
      <c r="A266" s="61"/>
      <c r="B266" s="69"/>
      <c r="C266" s="70"/>
      <c r="D266" s="70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15"/>
      <c r="U266" s="15"/>
      <c r="V266" s="15"/>
      <c r="W266" s="15"/>
    </row>
    <row r="267">
      <c r="A267" s="65"/>
      <c r="B267" s="71"/>
      <c r="C267" s="72"/>
      <c r="D267" s="72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15"/>
      <c r="U267" s="15"/>
      <c r="V267" s="15"/>
      <c r="W267" s="15"/>
    </row>
    <row r="268">
      <c r="A268" s="61"/>
      <c r="B268" s="69"/>
      <c r="C268" s="70"/>
      <c r="D268" s="70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15"/>
      <c r="U268" s="15"/>
      <c r="V268" s="15"/>
      <c r="W268" s="15"/>
    </row>
    <row r="269">
      <c r="A269" s="65"/>
      <c r="B269" s="71"/>
      <c r="C269" s="72"/>
      <c r="D269" s="72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15"/>
      <c r="U269" s="15"/>
      <c r="V269" s="15"/>
      <c r="W269" s="15"/>
    </row>
    <row r="270">
      <c r="A270" s="61"/>
      <c r="B270" s="69"/>
      <c r="C270" s="70"/>
      <c r="D270" s="70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15"/>
      <c r="U270" s="15"/>
      <c r="V270" s="15"/>
      <c r="W270" s="15"/>
    </row>
    <row r="271">
      <c r="A271" s="65"/>
      <c r="B271" s="71"/>
      <c r="C271" s="72"/>
      <c r="D271" s="72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15"/>
      <c r="U271" s="15"/>
      <c r="V271" s="15"/>
      <c r="W271" s="15"/>
    </row>
    <row r="272">
      <c r="A272" s="61"/>
      <c r="B272" s="69"/>
      <c r="C272" s="70"/>
      <c r="D272" s="70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15"/>
      <c r="U272" s="15"/>
      <c r="V272" s="15"/>
      <c r="W272" s="15"/>
    </row>
    <row r="273">
      <c r="A273" s="65"/>
      <c r="B273" s="71"/>
      <c r="C273" s="72"/>
      <c r="D273" s="72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15"/>
      <c r="U273" s="15"/>
      <c r="V273" s="15"/>
      <c r="W273" s="15"/>
    </row>
    <row r="274">
      <c r="A274" s="61"/>
      <c r="B274" s="69"/>
      <c r="C274" s="70"/>
      <c r="D274" s="70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15"/>
      <c r="U274" s="15"/>
      <c r="V274" s="15"/>
      <c r="W274" s="15"/>
    </row>
    <row r="275">
      <c r="A275" s="65"/>
      <c r="B275" s="71"/>
      <c r="C275" s="72"/>
      <c r="D275" s="72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15"/>
      <c r="U275" s="15"/>
      <c r="V275" s="15"/>
      <c r="W275" s="15"/>
    </row>
    <row r="276">
      <c r="A276" s="61"/>
      <c r="B276" s="69"/>
      <c r="C276" s="70"/>
      <c r="D276" s="70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15"/>
      <c r="U276" s="15"/>
      <c r="V276" s="15"/>
      <c r="W276" s="15"/>
    </row>
    <row r="277">
      <c r="A277" s="65"/>
      <c r="B277" s="71"/>
      <c r="C277" s="72"/>
      <c r="D277" s="72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15"/>
      <c r="U277" s="15"/>
      <c r="V277" s="15"/>
      <c r="W277" s="15"/>
    </row>
    <row r="278">
      <c r="A278" s="61"/>
      <c r="B278" s="69"/>
      <c r="C278" s="70"/>
      <c r="D278" s="70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15"/>
      <c r="U278" s="15"/>
      <c r="V278" s="15"/>
      <c r="W278" s="15"/>
    </row>
    <row r="279">
      <c r="A279" s="65"/>
      <c r="B279" s="71"/>
      <c r="C279" s="72"/>
      <c r="D279" s="72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15"/>
      <c r="U279" s="15"/>
      <c r="V279" s="15"/>
      <c r="W279" s="15"/>
    </row>
    <row r="280">
      <c r="A280" s="73"/>
      <c r="B280" s="69"/>
      <c r="C280" s="70"/>
      <c r="D280" s="70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15"/>
      <c r="U280" s="15"/>
      <c r="V280" s="15"/>
      <c r="W280" s="15"/>
    </row>
    <row r="281">
      <c r="A281" s="74"/>
      <c r="B281" s="71"/>
      <c r="C281" s="72"/>
      <c r="D281" s="72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15"/>
      <c r="U281" s="15"/>
      <c r="V281" s="15"/>
      <c r="W281" s="15"/>
    </row>
    <row r="282">
      <c r="A282" s="73"/>
      <c r="B282" s="69"/>
      <c r="C282" s="70"/>
      <c r="D282" s="70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15"/>
      <c r="U282" s="15"/>
      <c r="V282" s="15"/>
      <c r="W282" s="15"/>
    </row>
    <row r="283">
      <c r="A283" s="74"/>
      <c r="B283" s="71"/>
      <c r="C283" s="72"/>
      <c r="D283" s="72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15"/>
      <c r="U283" s="15"/>
      <c r="V283" s="15"/>
      <c r="W283" s="15"/>
    </row>
    <row r="284">
      <c r="A284" s="73"/>
      <c r="B284" s="69"/>
      <c r="C284" s="70"/>
      <c r="D284" s="70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15"/>
      <c r="U284" s="15"/>
      <c r="V284" s="15"/>
      <c r="W284" s="15"/>
    </row>
    <row r="285">
      <c r="A285" s="74"/>
      <c r="B285" s="71"/>
      <c r="C285" s="72"/>
      <c r="D285" s="72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15"/>
      <c r="U285" s="15"/>
      <c r="V285" s="15"/>
      <c r="W285" s="15"/>
    </row>
    <row r="286">
      <c r="A286" s="73"/>
      <c r="B286" s="69"/>
      <c r="C286" s="70"/>
      <c r="D286" s="70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15"/>
      <c r="U286" s="15"/>
      <c r="V286" s="15"/>
      <c r="W286" s="15"/>
    </row>
    <row r="287">
      <c r="A287" s="74"/>
      <c r="B287" s="71"/>
      <c r="C287" s="72"/>
      <c r="D287" s="72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15"/>
      <c r="U287" s="15"/>
      <c r="V287" s="15"/>
      <c r="W287" s="15"/>
    </row>
    <row r="288">
      <c r="A288" s="73"/>
      <c r="B288" s="69"/>
      <c r="C288" s="70"/>
      <c r="D288" s="70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15"/>
      <c r="U288" s="15"/>
      <c r="V288" s="15"/>
      <c r="W288" s="15"/>
    </row>
    <row r="289">
      <c r="A289" s="74"/>
      <c r="B289" s="71"/>
      <c r="C289" s="72"/>
      <c r="D289" s="72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15"/>
      <c r="U289" s="15"/>
      <c r="V289" s="15"/>
      <c r="W289" s="15"/>
    </row>
    <row r="290">
      <c r="A290" s="73"/>
      <c r="B290" s="69"/>
      <c r="C290" s="70"/>
      <c r="D290" s="70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15"/>
      <c r="U290" s="15"/>
      <c r="V290" s="15"/>
      <c r="W290" s="15"/>
    </row>
    <row r="291">
      <c r="A291" s="74"/>
      <c r="B291" s="71"/>
      <c r="C291" s="72"/>
      <c r="D291" s="72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15"/>
      <c r="U291" s="15"/>
      <c r="V291" s="15"/>
      <c r="W291" s="15"/>
    </row>
    <row r="292">
      <c r="A292" s="73"/>
      <c r="B292" s="69"/>
      <c r="C292" s="70"/>
      <c r="D292" s="70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15"/>
      <c r="U292" s="15"/>
      <c r="V292" s="15"/>
      <c r="W292" s="15"/>
    </row>
    <row r="293">
      <c r="A293" s="74"/>
      <c r="B293" s="71"/>
      <c r="C293" s="72"/>
      <c r="D293" s="72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15"/>
      <c r="U293" s="15"/>
      <c r="V293" s="15"/>
      <c r="W293" s="15"/>
    </row>
    <row r="294">
      <c r="A294" s="73"/>
      <c r="B294" s="69"/>
      <c r="C294" s="70"/>
      <c r="D294" s="70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15"/>
      <c r="U294" s="15"/>
      <c r="V294" s="15"/>
      <c r="W294" s="15"/>
    </row>
    <row r="295">
      <c r="A295" s="74"/>
      <c r="B295" s="71"/>
      <c r="C295" s="72"/>
      <c r="D295" s="72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15"/>
      <c r="U295" s="15"/>
      <c r="V295" s="15"/>
      <c r="W295" s="15"/>
    </row>
    <row r="296">
      <c r="A296" s="73"/>
      <c r="B296" s="69"/>
      <c r="C296" s="70"/>
      <c r="D296" s="70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15"/>
      <c r="U296" s="15"/>
      <c r="V296" s="15"/>
      <c r="W296" s="15"/>
    </row>
    <row r="297">
      <c r="A297" s="74"/>
      <c r="B297" s="71"/>
      <c r="C297" s="72"/>
      <c r="D297" s="72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15"/>
      <c r="U297" s="15"/>
      <c r="V297" s="15"/>
      <c r="W297" s="15"/>
    </row>
    <row r="298">
      <c r="A298" s="73"/>
      <c r="B298" s="69"/>
      <c r="C298" s="70"/>
      <c r="D298" s="70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15"/>
      <c r="U298" s="15"/>
      <c r="V298" s="15"/>
      <c r="W298" s="15"/>
    </row>
    <row r="299">
      <c r="A299" s="65"/>
      <c r="B299" s="71"/>
      <c r="C299" s="72"/>
      <c r="D299" s="72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15"/>
      <c r="U299" s="15"/>
      <c r="V299" s="15"/>
      <c r="W299" s="15"/>
    </row>
    <row r="300">
      <c r="A300" s="61"/>
      <c r="B300" s="69"/>
      <c r="C300" s="70"/>
      <c r="D300" s="70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15"/>
      <c r="U300" s="15"/>
      <c r="V300" s="15"/>
      <c r="W300" s="15"/>
    </row>
    <row r="301">
      <c r="A301" s="65"/>
      <c r="B301" s="71"/>
      <c r="C301" s="72"/>
      <c r="D301" s="72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15"/>
      <c r="U301" s="15"/>
      <c r="V301" s="15"/>
      <c r="W301" s="15"/>
    </row>
    <row r="302">
      <c r="A302" s="61"/>
      <c r="B302" s="69"/>
      <c r="C302" s="70"/>
      <c r="D302" s="70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15"/>
      <c r="U302" s="15"/>
      <c r="V302" s="15"/>
      <c r="W302" s="15"/>
    </row>
    <row r="303">
      <c r="A303" s="65"/>
      <c r="B303" s="71"/>
      <c r="C303" s="72"/>
      <c r="D303" s="72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15"/>
      <c r="U303" s="15"/>
      <c r="V303" s="15"/>
      <c r="W303" s="15"/>
    </row>
    <row r="304">
      <c r="A304" s="61"/>
      <c r="B304" s="69"/>
      <c r="C304" s="70"/>
      <c r="D304" s="70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15"/>
      <c r="U304" s="15"/>
      <c r="V304" s="15"/>
      <c r="W304" s="15"/>
    </row>
    <row r="305">
      <c r="A305" s="65"/>
      <c r="B305" s="71"/>
      <c r="C305" s="72"/>
      <c r="D305" s="72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15"/>
      <c r="U305" s="15"/>
      <c r="V305" s="15"/>
      <c r="W305" s="15"/>
    </row>
    <row r="306">
      <c r="A306" s="61"/>
      <c r="B306" s="69"/>
      <c r="C306" s="70"/>
      <c r="D306" s="70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15"/>
      <c r="U306" s="15"/>
      <c r="V306" s="15"/>
      <c r="W306" s="15"/>
    </row>
    <row r="307">
      <c r="A307" s="65"/>
      <c r="B307" s="71"/>
      <c r="C307" s="72"/>
      <c r="D307" s="72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15"/>
      <c r="U307" s="15"/>
      <c r="V307" s="15"/>
      <c r="W307" s="15"/>
    </row>
    <row r="308">
      <c r="A308" s="61"/>
      <c r="B308" s="69"/>
      <c r="C308" s="70"/>
      <c r="D308" s="70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15"/>
      <c r="U308" s="15"/>
      <c r="V308" s="15"/>
      <c r="W308" s="15"/>
    </row>
    <row r="309">
      <c r="A309" s="65"/>
      <c r="B309" s="71"/>
      <c r="C309" s="72"/>
      <c r="D309" s="72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15"/>
      <c r="U309" s="15"/>
      <c r="V309" s="15"/>
      <c r="W309" s="15"/>
    </row>
    <row r="310">
      <c r="A310" s="61"/>
      <c r="B310" s="69"/>
      <c r="C310" s="70"/>
      <c r="D310" s="70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15"/>
      <c r="U310" s="15"/>
      <c r="V310" s="15"/>
      <c r="W310" s="15"/>
    </row>
    <row r="311">
      <c r="A311" s="65"/>
      <c r="B311" s="71"/>
      <c r="C311" s="72"/>
      <c r="D311" s="72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15"/>
      <c r="U311" s="15"/>
      <c r="V311" s="15"/>
      <c r="W311" s="15"/>
    </row>
    <row r="312">
      <c r="A312" s="61"/>
      <c r="B312" s="69"/>
      <c r="C312" s="70"/>
      <c r="D312" s="70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15"/>
      <c r="U312" s="15"/>
      <c r="V312" s="15"/>
      <c r="W312" s="15"/>
    </row>
    <row r="313">
      <c r="A313" s="65"/>
      <c r="B313" s="71"/>
      <c r="C313" s="72"/>
      <c r="D313" s="72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15"/>
      <c r="U313" s="15"/>
      <c r="V313" s="15"/>
      <c r="W313" s="15"/>
    </row>
    <row r="314">
      <c r="A314" s="61"/>
      <c r="B314" s="69"/>
      <c r="C314" s="70"/>
      <c r="D314" s="70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15"/>
      <c r="U314" s="15"/>
      <c r="V314" s="15"/>
      <c r="W314" s="15"/>
    </row>
    <row r="315">
      <c r="A315" s="65"/>
      <c r="B315" s="71"/>
      <c r="C315" s="72"/>
      <c r="D315" s="72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15"/>
      <c r="U315" s="15"/>
      <c r="V315" s="15"/>
      <c r="W315" s="15"/>
    </row>
    <row r="316">
      <c r="A316" s="61"/>
      <c r="B316" s="69"/>
      <c r="C316" s="70"/>
      <c r="D316" s="70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15"/>
      <c r="U316" s="15"/>
      <c r="V316" s="15"/>
      <c r="W316" s="15"/>
    </row>
    <row r="317">
      <c r="A317" s="74"/>
      <c r="B317" s="71"/>
      <c r="C317" s="72"/>
      <c r="D317" s="72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15"/>
      <c r="U317" s="15"/>
      <c r="V317" s="15"/>
      <c r="W317" s="15"/>
    </row>
    <row r="318">
      <c r="A318" s="73"/>
      <c r="B318" s="69"/>
      <c r="C318" s="70"/>
      <c r="D318" s="70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15"/>
      <c r="U318" s="15"/>
      <c r="V318" s="15"/>
      <c r="W318" s="15"/>
    </row>
    <row r="319">
      <c r="A319" s="74"/>
      <c r="B319" s="71"/>
      <c r="C319" s="72"/>
      <c r="D319" s="72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15"/>
      <c r="U319" s="15"/>
      <c r="V319" s="15"/>
      <c r="W319" s="15"/>
    </row>
    <row r="320">
      <c r="A320" s="73"/>
      <c r="B320" s="69"/>
      <c r="C320" s="70"/>
      <c r="D320" s="70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15"/>
      <c r="U320" s="15"/>
      <c r="V320" s="15"/>
      <c r="W320" s="15"/>
    </row>
    <row r="321">
      <c r="A321" s="74"/>
      <c r="B321" s="71"/>
      <c r="C321" s="72"/>
      <c r="D321" s="72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15"/>
      <c r="U321" s="15"/>
      <c r="V321" s="15"/>
      <c r="W321" s="15"/>
    </row>
    <row r="322">
      <c r="A322" s="73"/>
      <c r="B322" s="69"/>
      <c r="C322" s="70"/>
      <c r="D322" s="70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15"/>
      <c r="U322" s="15"/>
      <c r="V322" s="15"/>
      <c r="W322" s="15"/>
    </row>
    <row r="323">
      <c r="A323" s="74"/>
      <c r="B323" s="71"/>
      <c r="C323" s="72"/>
      <c r="D323" s="72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15"/>
      <c r="U323" s="15"/>
      <c r="V323" s="15"/>
      <c r="W323" s="15"/>
    </row>
    <row r="324">
      <c r="A324" s="73"/>
      <c r="B324" s="69"/>
      <c r="C324" s="70"/>
      <c r="D324" s="70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15"/>
      <c r="U324" s="15"/>
      <c r="V324" s="15"/>
      <c r="W324" s="15"/>
    </row>
    <row r="325">
      <c r="A325" s="74"/>
      <c r="B325" s="71"/>
      <c r="C325" s="72"/>
      <c r="D325" s="72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15"/>
      <c r="U325" s="15"/>
      <c r="V325" s="15"/>
      <c r="W325" s="15"/>
    </row>
    <row r="326">
      <c r="A326" s="73"/>
      <c r="B326" s="69"/>
      <c r="C326" s="70"/>
      <c r="D326" s="70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15"/>
      <c r="U326" s="15"/>
      <c r="V326" s="15"/>
      <c r="W326" s="15"/>
    </row>
    <row r="327">
      <c r="A327" s="74"/>
      <c r="B327" s="71"/>
      <c r="C327" s="72"/>
      <c r="D327" s="72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15"/>
      <c r="U327" s="15"/>
      <c r="V327" s="15"/>
      <c r="W327" s="15"/>
    </row>
    <row r="328">
      <c r="A328" s="73"/>
      <c r="B328" s="69"/>
      <c r="C328" s="70"/>
      <c r="D328" s="70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15"/>
      <c r="U328" s="15"/>
      <c r="V328" s="15"/>
      <c r="W328" s="15"/>
    </row>
    <row r="329">
      <c r="A329" s="74"/>
      <c r="B329" s="71"/>
      <c r="C329" s="72"/>
      <c r="D329" s="72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15"/>
      <c r="U329" s="15"/>
      <c r="V329" s="15"/>
      <c r="W329" s="15"/>
    </row>
    <row r="330">
      <c r="A330" s="73"/>
      <c r="B330" s="69"/>
      <c r="C330" s="70"/>
      <c r="D330" s="70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15"/>
      <c r="U330" s="15"/>
      <c r="V330" s="15"/>
      <c r="W330" s="15"/>
    </row>
    <row r="331">
      <c r="A331" s="74"/>
      <c r="B331" s="71"/>
      <c r="C331" s="72"/>
      <c r="D331" s="72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15"/>
      <c r="U331" s="15"/>
      <c r="V331" s="15"/>
      <c r="W331" s="15"/>
    </row>
    <row r="332">
      <c r="A332" s="73"/>
      <c r="B332" s="69"/>
      <c r="C332" s="70"/>
      <c r="D332" s="70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15"/>
      <c r="U332" s="15"/>
      <c r="V332" s="15"/>
      <c r="W332" s="15"/>
    </row>
    <row r="333">
      <c r="A333" s="74"/>
      <c r="B333" s="71"/>
      <c r="C333" s="72"/>
      <c r="D333" s="72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15"/>
      <c r="U333" s="15"/>
      <c r="V333" s="15"/>
      <c r="W333" s="15"/>
    </row>
    <row r="334">
      <c r="A334" s="73"/>
      <c r="B334" s="69"/>
      <c r="C334" s="70"/>
      <c r="D334" s="70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15"/>
      <c r="U334" s="15"/>
      <c r="V334" s="15"/>
      <c r="W334" s="15"/>
    </row>
    <row r="335">
      <c r="A335" s="74"/>
      <c r="B335" s="71"/>
      <c r="C335" s="72"/>
      <c r="D335" s="72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15"/>
      <c r="U335" s="15"/>
      <c r="V335" s="15"/>
      <c r="W335" s="15"/>
    </row>
    <row r="336">
      <c r="A336" s="61"/>
      <c r="B336" s="69"/>
      <c r="C336" s="70"/>
      <c r="D336" s="70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15"/>
      <c r="U336" s="15"/>
      <c r="V336" s="15"/>
      <c r="W336" s="15"/>
    </row>
    <row r="337">
      <c r="A337" s="65"/>
      <c r="B337" s="71"/>
      <c r="C337" s="72"/>
      <c r="D337" s="72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15"/>
      <c r="U337" s="15"/>
      <c r="V337" s="15"/>
      <c r="W337" s="15"/>
    </row>
    <row r="338">
      <c r="A338" s="61"/>
      <c r="B338" s="69"/>
      <c r="C338" s="70"/>
      <c r="D338" s="70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15"/>
      <c r="U338" s="15"/>
      <c r="V338" s="15"/>
      <c r="W338" s="15"/>
    </row>
    <row r="339">
      <c r="A339" s="65"/>
      <c r="B339" s="71"/>
      <c r="C339" s="72"/>
      <c r="D339" s="72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15"/>
      <c r="U339" s="15"/>
      <c r="V339" s="15"/>
      <c r="W339" s="15"/>
    </row>
    <row r="340">
      <c r="A340" s="61"/>
      <c r="B340" s="69"/>
      <c r="C340" s="70"/>
      <c r="D340" s="70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15"/>
      <c r="U340" s="15"/>
      <c r="V340" s="15"/>
      <c r="W340" s="15"/>
    </row>
    <row r="341">
      <c r="A341" s="65"/>
      <c r="B341" s="71"/>
      <c r="C341" s="72"/>
      <c r="D341" s="72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15"/>
      <c r="U341" s="15"/>
      <c r="V341" s="15"/>
      <c r="W341" s="15"/>
    </row>
    <row r="342">
      <c r="A342" s="61"/>
      <c r="B342" s="69"/>
      <c r="C342" s="70"/>
      <c r="D342" s="70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15"/>
      <c r="U342" s="15"/>
      <c r="V342" s="15"/>
      <c r="W342" s="15"/>
    </row>
    <row r="343">
      <c r="A343" s="65"/>
      <c r="B343" s="71"/>
      <c r="C343" s="72"/>
      <c r="D343" s="72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15"/>
      <c r="U343" s="15"/>
      <c r="V343" s="15"/>
      <c r="W343" s="15"/>
    </row>
    <row r="344">
      <c r="A344" s="61"/>
      <c r="B344" s="69"/>
      <c r="C344" s="70"/>
      <c r="D344" s="70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15"/>
      <c r="U344" s="15"/>
      <c r="V344" s="15"/>
      <c r="W344" s="15"/>
    </row>
    <row r="345">
      <c r="A345" s="65"/>
      <c r="B345" s="71"/>
      <c r="C345" s="72"/>
      <c r="D345" s="72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15"/>
      <c r="U345" s="15"/>
      <c r="V345" s="15"/>
      <c r="W345" s="15"/>
    </row>
    <row r="346">
      <c r="A346" s="61"/>
      <c r="B346" s="69"/>
      <c r="C346" s="70"/>
      <c r="D346" s="70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15"/>
      <c r="U346" s="15"/>
      <c r="V346" s="15"/>
      <c r="W346" s="15"/>
    </row>
    <row r="347">
      <c r="A347" s="65"/>
      <c r="B347" s="71"/>
      <c r="C347" s="72"/>
      <c r="D347" s="72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15"/>
      <c r="U347" s="15"/>
      <c r="V347" s="15"/>
      <c r="W347" s="15"/>
    </row>
    <row r="348">
      <c r="A348" s="61"/>
      <c r="B348" s="69"/>
      <c r="C348" s="70"/>
      <c r="D348" s="70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15"/>
      <c r="U348" s="15"/>
      <c r="V348" s="15"/>
      <c r="W348" s="15"/>
    </row>
    <row r="349">
      <c r="A349" s="65"/>
      <c r="B349" s="71"/>
      <c r="C349" s="72"/>
      <c r="D349" s="72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15"/>
      <c r="U349" s="15"/>
      <c r="V349" s="15"/>
      <c r="W349" s="15"/>
    </row>
    <row r="350">
      <c r="A350" s="61"/>
      <c r="B350" s="69"/>
      <c r="C350" s="70"/>
      <c r="D350" s="70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15"/>
      <c r="U350" s="15"/>
      <c r="V350" s="15"/>
      <c r="W350" s="15"/>
    </row>
    <row r="351">
      <c r="A351" s="65"/>
      <c r="B351" s="71"/>
      <c r="C351" s="72"/>
      <c r="D351" s="72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15"/>
      <c r="U351" s="15"/>
      <c r="V351" s="15"/>
      <c r="W351" s="15"/>
    </row>
    <row r="352">
      <c r="A352" s="61"/>
      <c r="B352" s="69"/>
      <c r="C352" s="70"/>
      <c r="D352" s="70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15"/>
      <c r="U352" s="15"/>
      <c r="V352" s="15"/>
      <c r="W352" s="15"/>
    </row>
    <row r="353">
      <c r="A353" s="65"/>
      <c r="B353" s="71"/>
      <c r="C353" s="72"/>
      <c r="D353" s="72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15"/>
      <c r="U353" s="15"/>
      <c r="V353" s="15"/>
      <c r="W353" s="15"/>
    </row>
    <row r="354">
      <c r="A354" s="61"/>
      <c r="B354" s="69"/>
      <c r="C354" s="70"/>
      <c r="D354" s="70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15"/>
      <c r="U354" s="15"/>
      <c r="V354" s="15"/>
      <c r="W354" s="15"/>
    </row>
    <row r="355">
      <c r="A355" s="65"/>
      <c r="B355" s="71"/>
      <c r="C355" s="72"/>
      <c r="D355" s="72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15"/>
      <c r="U355" s="15"/>
      <c r="V355" s="15"/>
      <c r="W355" s="15"/>
    </row>
    <row r="356">
      <c r="A356" s="61"/>
      <c r="B356" s="69"/>
      <c r="C356" s="70"/>
      <c r="D356" s="70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15"/>
      <c r="U356" s="15"/>
      <c r="V356" s="15"/>
      <c r="W356" s="15"/>
    </row>
    <row r="357">
      <c r="A357" s="65"/>
      <c r="B357" s="71"/>
      <c r="C357" s="72"/>
      <c r="D357" s="72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15"/>
      <c r="U357" s="15"/>
      <c r="V357" s="15"/>
      <c r="W357" s="15"/>
    </row>
    <row r="358">
      <c r="A358" s="61"/>
      <c r="B358" s="69"/>
      <c r="C358" s="70"/>
      <c r="D358" s="70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15"/>
      <c r="U358" s="15"/>
      <c r="V358" s="15"/>
      <c r="W358" s="15"/>
    </row>
    <row r="359">
      <c r="A359" s="65"/>
      <c r="B359" s="71"/>
      <c r="C359" s="72"/>
      <c r="D359" s="72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15"/>
      <c r="U359" s="15"/>
      <c r="V359" s="15"/>
      <c r="W359" s="15"/>
    </row>
    <row r="360">
      <c r="A360" s="61"/>
      <c r="B360" s="69"/>
      <c r="C360" s="70"/>
      <c r="D360" s="70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15"/>
      <c r="U360" s="15"/>
      <c r="V360" s="15"/>
      <c r="W360" s="15"/>
    </row>
    <row r="361">
      <c r="A361" s="65"/>
      <c r="B361" s="71"/>
      <c r="C361" s="72"/>
      <c r="D361" s="72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15"/>
      <c r="U361" s="15"/>
      <c r="V361" s="15"/>
      <c r="W361" s="15"/>
    </row>
    <row r="362">
      <c r="A362" s="61"/>
      <c r="B362" s="69"/>
      <c r="C362" s="70"/>
      <c r="D362" s="70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15"/>
      <c r="U362" s="15"/>
      <c r="V362" s="15"/>
      <c r="W362" s="15"/>
    </row>
    <row r="363">
      <c r="A363" s="74"/>
      <c r="B363" s="71"/>
      <c r="C363" s="72"/>
      <c r="D363" s="72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15"/>
      <c r="U363" s="15"/>
      <c r="V363" s="15"/>
      <c r="W363" s="15"/>
    </row>
    <row r="364">
      <c r="A364" s="73"/>
      <c r="B364" s="69"/>
      <c r="C364" s="70"/>
      <c r="D364" s="70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15"/>
      <c r="U364" s="15"/>
      <c r="V364" s="15"/>
      <c r="W364" s="15"/>
    </row>
    <row r="365">
      <c r="A365" s="74"/>
      <c r="B365" s="71"/>
      <c r="C365" s="72"/>
      <c r="D365" s="72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15"/>
      <c r="U365" s="15"/>
      <c r="V365" s="15"/>
      <c r="W365" s="15"/>
    </row>
    <row r="366">
      <c r="A366" s="73"/>
      <c r="B366" s="69"/>
      <c r="C366" s="70"/>
      <c r="D366" s="70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15"/>
      <c r="U366" s="15"/>
      <c r="V366" s="15"/>
      <c r="W366" s="15"/>
    </row>
    <row r="367">
      <c r="A367" s="74"/>
      <c r="B367" s="71"/>
      <c r="C367" s="72"/>
      <c r="D367" s="72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15"/>
      <c r="U367" s="15"/>
      <c r="V367" s="15"/>
      <c r="W367" s="15"/>
    </row>
    <row r="368">
      <c r="A368" s="73"/>
      <c r="B368" s="69"/>
      <c r="C368" s="70"/>
      <c r="D368" s="70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15"/>
      <c r="U368" s="15"/>
      <c r="V368" s="15"/>
      <c r="W368" s="15"/>
    </row>
    <row r="369">
      <c r="A369" s="74"/>
      <c r="B369" s="71"/>
      <c r="C369" s="72"/>
      <c r="D369" s="72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15"/>
      <c r="U369" s="15"/>
      <c r="V369" s="15"/>
      <c r="W369" s="15"/>
    </row>
    <row r="370">
      <c r="A370" s="73"/>
      <c r="B370" s="69"/>
      <c r="C370" s="70"/>
      <c r="D370" s="70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15"/>
      <c r="U370" s="15"/>
      <c r="V370" s="15"/>
      <c r="W370" s="15"/>
    </row>
    <row r="371">
      <c r="A371" s="74"/>
      <c r="B371" s="71"/>
      <c r="C371" s="72"/>
      <c r="D371" s="72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15"/>
      <c r="U371" s="15"/>
      <c r="V371" s="15"/>
      <c r="W371" s="15"/>
    </row>
    <row r="372">
      <c r="A372" s="73"/>
      <c r="B372" s="69"/>
      <c r="C372" s="70"/>
      <c r="D372" s="70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15"/>
      <c r="U372" s="15"/>
      <c r="V372" s="15"/>
      <c r="W372" s="15"/>
    </row>
    <row r="373">
      <c r="A373" s="74"/>
      <c r="B373" s="71"/>
      <c r="C373" s="72"/>
      <c r="D373" s="72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15"/>
      <c r="U373" s="15"/>
      <c r="V373" s="15"/>
      <c r="W373" s="15"/>
    </row>
    <row r="374">
      <c r="A374" s="73"/>
      <c r="B374" s="69"/>
      <c r="C374" s="70"/>
      <c r="D374" s="70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15"/>
      <c r="U374" s="15"/>
      <c r="V374" s="15"/>
      <c r="W374" s="15"/>
    </row>
    <row r="375">
      <c r="A375" s="74"/>
      <c r="B375" s="71"/>
      <c r="C375" s="72"/>
      <c r="D375" s="72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15"/>
      <c r="U375" s="15"/>
      <c r="V375" s="15"/>
      <c r="W375" s="15"/>
    </row>
    <row r="376">
      <c r="A376" s="73"/>
      <c r="B376" s="69"/>
      <c r="C376" s="70"/>
      <c r="D376" s="70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15"/>
      <c r="U376" s="15"/>
      <c r="V376" s="15"/>
      <c r="W376" s="15"/>
    </row>
    <row r="377">
      <c r="A377" s="74"/>
      <c r="B377" s="71"/>
      <c r="C377" s="72"/>
      <c r="D377" s="72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15"/>
      <c r="U377" s="15"/>
      <c r="V377" s="15"/>
      <c r="W377" s="15"/>
    </row>
    <row r="378">
      <c r="A378" s="73"/>
      <c r="B378" s="69"/>
      <c r="C378" s="70"/>
      <c r="D378" s="70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15"/>
      <c r="U378" s="15"/>
      <c r="V378" s="15"/>
      <c r="W378" s="15"/>
    </row>
    <row r="379">
      <c r="A379" s="74"/>
      <c r="B379" s="71"/>
      <c r="C379" s="72"/>
      <c r="D379" s="72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15"/>
      <c r="U379" s="15"/>
      <c r="V379" s="15"/>
      <c r="W379" s="15"/>
    </row>
    <row r="380">
      <c r="A380" s="73"/>
      <c r="B380" s="69"/>
      <c r="C380" s="70"/>
      <c r="D380" s="70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15"/>
      <c r="U380" s="15"/>
      <c r="V380" s="15"/>
      <c r="W380" s="15"/>
    </row>
    <row r="381">
      <c r="A381" s="74"/>
      <c r="B381" s="71"/>
      <c r="C381" s="72"/>
      <c r="D381" s="72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15"/>
      <c r="U381" s="15"/>
      <c r="V381" s="15"/>
      <c r="W381" s="15"/>
    </row>
    <row r="382">
      <c r="A382" s="61"/>
      <c r="B382" s="69"/>
      <c r="C382" s="70"/>
      <c r="D382" s="70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15"/>
      <c r="U382" s="15"/>
      <c r="V382" s="15"/>
      <c r="W382" s="15"/>
    </row>
    <row r="383">
      <c r="A383" s="65"/>
      <c r="B383" s="71"/>
      <c r="C383" s="72"/>
      <c r="D383" s="72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15"/>
      <c r="U383" s="15"/>
      <c r="V383" s="15"/>
      <c r="W383" s="15"/>
    </row>
    <row r="384">
      <c r="A384" s="61"/>
      <c r="B384" s="69"/>
      <c r="C384" s="70"/>
      <c r="D384" s="70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15"/>
      <c r="U384" s="15"/>
      <c r="V384" s="15"/>
      <c r="W384" s="15"/>
    </row>
    <row r="385">
      <c r="A385" s="65"/>
      <c r="B385" s="71"/>
      <c r="C385" s="72"/>
      <c r="D385" s="72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15"/>
      <c r="U385" s="15"/>
      <c r="V385" s="15"/>
      <c r="W385" s="15"/>
    </row>
    <row r="386">
      <c r="A386" s="61"/>
      <c r="B386" s="69"/>
      <c r="C386" s="70"/>
      <c r="D386" s="70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15"/>
      <c r="U386" s="15"/>
      <c r="V386" s="15"/>
      <c r="W386" s="15"/>
    </row>
    <row r="387">
      <c r="A387" s="65"/>
      <c r="B387" s="71"/>
      <c r="C387" s="72"/>
      <c r="D387" s="72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15"/>
      <c r="U387" s="15"/>
      <c r="V387" s="15"/>
      <c r="W387" s="15"/>
    </row>
    <row r="388">
      <c r="A388" s="61"/>
      <c r="B388" s="69"/>
      <c r="C388" s="70"/>
      <c r="D388" s="70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15"/>
      <c r="U388" s="15"/>
      <c r="V388" s="15"/>
      <c r="W388" s="15"/>
    </row>
    <row r="389">
      <c r="A389" s="65"/>
      <c r="B389" s="71"/>
      <c r="C389" s="72"/>
      <c r="D389" s="72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15"/>
      <c r="U389" s="15"/>
      <c r="V389" s="15"/>
      <c r="W389" s="15"/>
    </row>
    <row r="390">
      <c r="A390" s="61"/>
      <c r="B390" s="69"/>
      <c r="C390" s="70"/>
      <c r="D390" s="70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15"/>
      <c r="U390" s="15"/>
      <c r="V390" s="15"/>
      <c r="W390" s="15"/>
    </row>
    <row r="391">
      <c r="A391" s="65"/>
      <c r="B391" s="71"/>
      <c r="C391" s="72"/>
      <c r="D391" s="72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15"/>
      <c r="U391" s="15"/>
      <c r="V391" s="15"/>
      <c r="W391" s="15"/>
    </row>
    <row r="392">
      <c r="A392" s="61"/>
      <c r="B392" s="69"/>
      <c r="C392" s="70"/>
      <c r="D392" s="70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15"/>
      <c r="U392" s="15"/>
      <c r="V392" s="15"/>
      <c r="W392" s="15"/>
    </row>
    <row r="393">
      <c r="A393" s="65"/>
      <c r="B393" s="71"/>
      <c r="C393" s="72"/>
      <c r="D393" s="72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15"/>
      <c r="U393" s="15"/>
      <c r="V393" s="15"/>
      <c r="W393" s="15"/>
    </row>
    <row r="394">
      <c r="A394" s="61"/>
      <c r="B394" s="69"/>
      <c r="C394" s="70"/>
      <c r="D394" s="70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15"/>
      <c r="U394" s="15"/>
      <c r="V394" s="15"/>
      <c r="W394" s="15"/>
    </row>
    <row r="395">
      <c r="A395" s="65"/>
      <c r="B395" s="71"/>
      <c r="C395" s="72"/>
      <c r="D395" s="72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15"/>
      <c r="U395" s="15"/>
      <c r="V395" s="15"/>
      <c r="W395" s="15"/>
    </row>
    <row r="396">
      <c r="A396" s="61"/>
      <c r="B396" s="69"/>
      <c r="C396" s="70"/>
      <c r="D396" s="70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15"/>
      <c r="U396" s="15"/>
      <c r="V396" s="15"/>
      <c r="W396" s="15"/>
    </row>
    <row r="397">
      <c r="A397" s="65"/>
      <c r="B397" s="71"/>
      <c r="C397" s="72"/>
      <c r="D397" s="72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15"/>
      <c r="U397" s="15"/>
      <c r="V397" s="15"/>
      <c r="W397" s="15"/>
    </row>
    <row r="398">
      <c r="A398" s="61"/>
      <c r="B398" s="69"/>
      <c r="C398" s="70"/>
      <c r="D398" s="70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15"/>
      <c r="U398" s="15"/>
      <c r="V398" s="15"/>
      <c r="W398" s="15"/>
    </row>
    <row r="399">
      <c r="A399" s="65"/>
      <c r="B399" s="71"/>
      <c r="C399" s="72"/>
      <c r="D399" s="72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15"/>
      <c r="U399" s="15"/>
      <c r="V399" s="15"/>
      <c r="W399" s="15"/>
    </row>
    <row r="400">
      <c r="A400" s="73"/>
      <c r="B400" s="69"/>
      <c r="C400" s="70"/>
      <c r="D400" s="70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15"/>
      <c r="U400" s="15"/>
      <c r="V400" s="15"/>
      <c r="W400" s="15"/>
    </row>
    <row r="401">
      <c r="A401" s="74"/>
      <c r="B401" s="71"/>
      <c r="C401" s="72"/>
      <c r="D401" s="72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15"/>
      <c r="U401" s="15"/>
      <c r="V401" s="15"/>
      <c r="W401" s="15"/>
    </row>
    <row r="402">
      <c r="A402" s="73"/>
      <c r="B402" s="69"/>
      <c r="C402" s="70"/>
      <c r="D402" s="70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15"/>
      <c r="U402" s="15"/>
      <c r="V402" s="15"/>
      <c r="W402" s="15"/>
    </row>
    <row r="403">
      <c r="A403" s="74"/>
      <c r="B403" s="71"/>
      <c r="C403" s="72"/>
      <c r="D403" s="72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15"/>
      <c r="U403" s="15"/>
      <c r="V403" s="15"/>
      <c r="W403" s="15"/>
    </row>
    <row r="404">
      <c r="A404" s="73"/>
      <c r="B404" s="69"/>
      <c r="C404" s="70"/>
      <c r="D404" s="70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15"/>
      <c r="U404" s="15"/>
      <c r="V404" s="15"/>
      <c r="W404" s="15"/>
    </row>
    <row r="405">
      <c r="A405" s="74"/>
      <c r="B405" s="71"/>
      <c r="C405" s="72"/>
      <c r="D405" s="72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15"/>
      <c r="U405" s="15"/>
      <c r="V405" s="15"/>
      <c r="W405" s="15"/>
    </row>
    <row r="406">
      <c r="A406" s="73"/>
      <c r="B406" s="69"/>
      <c r="C406" s="70"/>
      <c r="D406" s="70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15"/>
      <c r="U406" s="15"/>
      <c r="V406" s="15"/>
      <c r="W406" s="15"/>
    </row>
    <row r="407">
      <c r="A407" s="74"/>
      <c r="B407" s="71"/>
      <c r="C407" s="72"/>
      <c r="D407" s="72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15"/>
      <c r="U407" s="15"/>
      <c r="V407" s="15"/>
      <c r="W407" s="15"/>
    </row>
    <row r="408">
      <c r="A408" s="73"/>
      <c r="B408" s="69"/>
      <c r="C408" s="70"/>
      <c r="D408" s="70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15"/>
      <c r="U408" s="15"/>
      <c r="V408" s="15"/>
      <c r="W408" s="15"/>
    </row>
    <row r="409">
      <c r="A409" s="74"/>
      <c r="B409" s="71"/>
      <c r="C409" s="72"/>
      <c r="D409" s="72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15"/>
      <c r="U409" s="15"/>
      <c r="V409" s="15"/>
      <c r="W409" s="15"/>
    </row>
    <row r="410">
      <c r="A410" s="73"/>
      <c r="B410" s="69"/>
      <c r="C410" s="70"/>
      <c r="D410" s="70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15"/>
      <c r="U410" s="15"/>
      <c r="V410" s="15"/>
      <c r="W410" s="15"/>
    </row>
    <row r="411">
      <c r="A411" s="74"/>
      <c r="B411" s="71"/>
      <c r="C411" s="72"/>
      <c r="D411" s="72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15"/>
      <c r="U411" s="15"/>
      <c r="V411" s="15"/>
      <c r="W411" s="15"/>
    </row>
    <row r="412">
      <c r="A412" s="73"/>
      <c r="B412" s="69"/>
      <c r="C412" s="70"/>
      <c r="D412" s="70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15"/>
      <c r="U412" s="15"/>
      <c r="V412" s="15"/>
      <c r="W412" s="15"/>
    </row>
    <row r="413">
      <c r="A413" s="74"/>
      <c r="B413" s="71"/>
      <c r="C413" s="72"/>
      <c r="D413" s="72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15"/>
      <c r="U413" s="15"/>
      <c r="V413" s="15"/>
      <c r="W413" s="15"/>
    </row>
    <row r="414">
      <c r="A414" s="73"/>
      <c r="B414" s="69"/>
      <c r="C414" s="70"/>
      <c r="D414" s="70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15"/>
      <c r="U414" s="15"/>
      <c r="V414" s="15"/>
      <c r="W414" s="15"/>
    </row>
    <row r="415">
      <c r="A415" s="74"/>
      <c r="B415" s="71"/>
      <c r="C415" s="72"/>
      <c r="D415" s="72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15"/>
      <c r="U415" s="15"/>
      <c r="V415" s="15"/>
      <c r="W415" s="15"/>
    </row>
    <row r="416">
      <c r="A416" s="73"/>
      <c r="B416" s="69"/>
      <c r="C416" s="70"/>
      <c r="D416" s="70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15"/>
      <c r="U416" s="15"/>
      <c r="V416" s="15"/>
      <c r="W416" s="15"/>
    </row>
    <row r="417">
      <c r="A417" s="74"/>
      <c r="B417" s="71"/>
      <c r="C417" s="72"/>
      <c r="D417" s="72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15"/>
      <c r="U417" s="15"/>
      <c r="V417" s="15"/>
      <c r="W417" s="15"/>
    </row>
    <row r="418">
      <c r="A418" s="73"/>
      <c r="B418" s="69"/>
      <c r="C418" s="70"/>
      <c r="D418" s="70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15"/>
      <c r="U418" s="15"/>
      <c r="V418" s="15"/>
      <c r="W418" s="15"/>
    </row>
    <row r="419">
      <c r="A419" s="65"/>
      <c r="B419" s="71"/>
      <c r="C419" s="72"/>
      <c r="D419" s="72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15"/>
      <c r="U419" s="15"/>
      <c r="V419" s="15"/>
      <c r="W419" s="15"/>
    </row>
    <row r="420">
      <c r="A420" s="61"/>
      <c r="B420" s="69"/>
      <c r="C420" s="70"/>
      <c r="D420" s="70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15"/>
      <c r="U420" s="15"/>
      <c r="V420" s="15"/>
      <c r="W420" s="15"/>
    </row>
    <row r="421">
      <c r="A421" s="65"/>
      <c r="B421" s="71"/>
      <c r="C421" s="72"/>
      <c r="D421" s="72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15"/>
      <c r="U421" s="15"/>
      <c r="V421" s="15"/>
      <c r="W421" s="15"/>
    </row>
    <row r="422">
      <c r="A422" s="61"/>
      <c r="B422" s="69"/>
      <c r="C422" s="70"/>
      <c r="D422" s="70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15"/>
      <c r="U422" s="15"/>
      <c r="V422" s="15"/>
      <c r="W422" s="15"/>
    </row>
    <row r="423">
      <c r="A423" s="65"/>
      <c r="B423" s="71"/>
      <c r="C423" s="72"/>
      <c r="D423" s="72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15"/>
      <c r="U423" s="15"/>
      <c r="V423" s="15"/>
      <c r="W423" s="15"/>
    </row>
    <row r="424">
      <c r="A424" s="61"/>
      <c r="B424" s="69"/>
      <c r="C424" s="70"/>
      <c r="D424" s="70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15"/>
      <c r="U424" s="15"/>
      <c r="V424" s="15"/>
      <c r="W424" s="15"/>
    </row>
    <row r="425">
      <c r="A425" s="65"/>
      <c r="B425" s="71"/>
      <c r="C425" s="72"/>
      <c r="D425" s="72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15"/>
      <c r="U425" s="15"/>
      <c r="V425" s="15"/>
      <c r="W425" s="15"/>
    </row>
    <row r="426">
      <c r="A426" s="61"/>
      <c r="B426" s="69"/>
      <c r="C426" s="70"/>
      <c r="D426" s="70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15"/>
      <c r="U426" s="15"/>
      <c r="V426" s="15"/>
      <c r="W426" s="15"/>
    </row>
    <row r="427">
      <c r="A427" s="65"/>
      <c r="B427" s="71"/>
      <c r="C427" s="72"/>
      <c r="D427" s="72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15"/>
      <c r="U427" s="15"/>
      <c r="V427" s="15"/>
      <c r="W427" s="15"/>
    </row>
    <row r="428">
      <c r="A428" s="61"/>
      <c r="B428" s="69"/>
      <c r="C428" s="70"/>
      <c r="D428" s="70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15"/>
      <c r="U428" s="15"/>
      <c r="V428" s="15"/>
      <c r="W428" s="15"/>
    </row>
    <row r="429">
      <c r="A429" s="65"/>
      <c r="B429" s="71"/>
      <c r="C429" s="72"/>
      <c r="D429" s="72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15"/>
      <c r="U429" s="15"/>
      <c r="V429" s="15"/>
      <c r="W429" s="15"/>
    </row>
    <row r="430">
      <c r="A430" s="61"/>
      <c r="B430" s="69"/>
      <c r="C430" s="70"/>
      <c r="D430" s="70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15"/>
      <c r="U430" s="15"/>
      <c r="V430" s="15"/>
      <c r="W430" s="15"/>
    </row>
    <row r="431">
      <c r="A431" s="65"/>
      <c r="B431" s="71"/>
      <c r="C431" s="72"/>
      <c r="D431" s="72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15"/>
      <c r="U431" s="15"/>
      <c r="V431" s="15"/>
      <c r="W431" s="15"/>
    </row>
    <row r="432">
      <c r="A432" s="61"/>
      <c r="B432" s="69"/>
      <c r="C432" s="70"/>
      <c r="D432" s="70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15"/>
      <c r="U432" s="15"/>
      <c r="V432" s="15"/>
      <c r="W432" s="15"/>
    </row>
    <row r="433">
      <c r="A433" s="65"/>
      <c r="B433" s="71"/>
      <c r="C433" s="72"/>
      <c r="D433" s="72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15"/>
      <c r="U433" s="15"/>
      <c r="V433" s="15"/>
      <c r="W433" s="15"/>
    </row>
    <row r="434">
      <c r="A434" s="61"/>
      <c r="B434" s="69"/>
      <c r="C434" s="70"/>
      <c r="D434" s="70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15"/>
      <c r="U434" s="15"/>
      <c r="V434" s="15"/>
      <c r="W434" s="15"/>
    </row>
    <row r="435">
      <c r="A435" s="65"/>
      <c r="B435" s="71"/>
      <c r="C435" s="72"/>
      <c r="D435" s="72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15"/>
      <c r="U435" s="15"/>
      <c r="V435" s="15"/>
      <c r="W435" s="15"/>
    </row>
    <row r="436">
      <c r="A436" s="61"/>
      <c r="B436" s="69"/>
      <c r="C436" s="70"/>
      <c r="D436" s="70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15"/>
      <c r="U436" s="15"/>
      <c r="V436" s="15"/>
      <c r="W436" s="15"/>
    </row>
    <row r="437">
      <c r="A437" s="65"/>
      <c r="B437" s="71"/>
      <c r="C437" s="72"/>
      <c r="D437" s="72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15"/>
      <c r="U437" s="15"/>
      <c r="V437" s="15"/>
      <c r="W437" s="15"/>
    </row>
    <row r="438">
      <c r="A438" s="61"/>
      <c r="B438" s="69"/>
      <c r="C438" s="70"/>
      <c r="D438" s="70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15"/>
      <c r="U438" s="15"/>
      <c r="V438" s="15"/>
      <c r="W438" s="15"/>
    </row>
    <row r="439">
      <c r="A439" s="65"/>
      <c r="B439" s="71"/>
      <c r="C439" s="72"/>
      <c r="D439" s="72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15"/>
      <c r="U439" s="15"/>
      <c r="V439" s="15"/>
      <c r="W439" s="15"/>
    </row>
    <row r="440">
      <c r="A440" s="61"/>
      <c r="B440" s="69"/>
      <c r="C440" s="70"/>
      <c r="D440" s="70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15"/>
      <c r="U440" s="15"/>
      <c r="V440" s="15"/>
      <c r="W440" s="15"/>
    </row>
    <row r="441">
      <c r="A441" s="65"/>
      <c r="B441" s="71"/>
      <c r="C441" s="72"/>
      <c r="D441" s="72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15"/>
      <c r="U441" s="15"/>
      <c r="V441" s="15"/>
      <c r="W441" s="15"/>
    </row>
    <row r="442">
      <c r="A442" s="61"/>
      <c r="B442" s="69"/>
      <c r="C442" s="70"/>
      <c r="D442" s="70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15"/>
      <c r="U442" s="15"/>
      <c r="V442" s="15"/>
      <c r="W442" s="15"/>
    </row>
    <row r="443">
      <c r="A443" s="65"/>
      <c r="B443" s="71"/>
      <c r="C443" s="72"/>
      <c r="D443" s="72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15"/>
      <c r="U443" s="15"/>
      <c r="V443" s="15"/>
      <c r="W443" s="15"/>
    </row>
    <row r="444">
      <c r="A444" s="61"/>
      <c r="B444" s="69"/>
      <c r="C444" s="70"/>
      <c r="D444" s="70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15"/>
      <c r="U444" s="15"/>
      <c r="V444" s="15"/>
      <c r="W444" s="15"/>
    </row>
    <row r="445">
      <c r="A445" s="65"/>
      <c r="B445" s="71"/>
      <c r="C445" s="72"/>
      <c r="D445" s="72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15"/>
      <c r="U445" s="15"/>
      <c r="V445" s="15"/>
      <c r="W445" s="15"/>
    </row>
    <row r="446">
      <c r="A446" s="73"/>
      <c r="B446" s="69"/>
      <c r="C446" s="70"/>
      <c r="D446" s="70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15"/>
      <c r="U446" s="15"/>
      <c r="V446" s="15"/>
      <c r="W446" s="15"/>
    </row>
    <row r="447">
      <c r="A447" s="74"/>
      <c r="B447" s="71"/>
      <c r="C447" s="72"/>
      <c r="D447" s="72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15"/>
      <c r="U447" s="15"/>
      <c r="V447" s="15"/>
      <c r="W447" s="15"/>
    </row>
    <row r="448">
      <c r="A448" s="73"/>
      <c r="B448" s="69"/>
      <c r="C448" s="70"/>
      <c r="D448" s="70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15"/>
      <c r="U448" s="15"/>
      <c r="V448" s="15"/>
      <c r="W448" s="15"/>
    </row>
    <row r="449">
      <c r="A449" s="74"/>
      <c r="B449" s="71"/>
      <c r="C449" s="72"/>
      <c r="D449" s="72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15"/>
      <c r="U449" s="15"/>
      <c r="V449" s="15"/>
      <c r="W449" s="15"/>
    </row>
    <row r="450">
      <c r="A450" s="73"/>
      <c r="B450" s="69"/>
      <c r="C450" s="70"/>
      <c r="D450" s="70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15"/>
      <c r="U450" s="15"/>
      <c r="V450" s="15"/>
      <c r="W450" s="15"/>
    </row>
    <row r="451">
      <c r="A451" s="74"/>
      <c r="B451" s="71"/>
      <c r="C451" s="72"/>
      <c r="D451" s="72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15"/>
      <c r="U451" s="15"/>
      <c r="V451" s="15"/>
      <c r="W451" s="15"/>
    </row>
    <row r="452">
      <c r="A452" s="73"/>
      <c r="B452" s="69"/>
      <c r="C452" s="70"/>
      <c r="D452" s="70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15"/>
      <c r="U452" s="15"/>
      <c r="V452" s="15"/>
      <c r="W452" s="15"/>
    </row>
    <row r="453">
      <c r="A453" s="74"/>
      <c r="B453" s="71"/>
      <c r="C453" s="72"/>
      <c r="D453" s="72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15"/>
      <c r="U453" s="15"/>
      <c r="V453" s="15"/>
      <c r="W453" s="15"/>
    </row>
    <row r="454">
      <c r="A454" s="73"/>
      <c r="B454" s="69"/>
      <c r="C454" s="70"/>
      <c r="D454" s="70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15"/>
      <c r="U454" s="15"/>
      <c r="V454" s="15"/>
      <c r="W454" s="15"/>
    </row>
    <row r="455">
      <c r="A455" s="74"/>
      <c r="B455" s="71"/>
      <c r="C455" s="72"/>
      <c r="D455" s="72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15"/>
      <c r="U455" s="15"/>
      <c r="V455" s="15"/>
      <c r="W455" s="15"/>
    </row>
    <row r="456">
      <c r="A456" s="73"/>
      <c r="B456" s="69"/>
      <c r="C456" s="70"/>
      <c r="D456" s="70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15"/>
      <c r="U456" s="15"/>
      <c r="V456" s="15"/>
      <c r="W456" s="15"/>
    </row>
    <row r="457">
      <c r="A457" s="74"/>
      <c r="B457" s="71"/>
      <c r="C457" s="72"/>
      <c r="D457" s="72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15"/>
      <c r="U457" s="15"/>
      <c r="V457" s="15"/>
      <c r="W457" s="15"/>
    </row>
    <row r="458">
      <c r="A458" s="73"/>
      <c r="B458" s="69"/>
      <c r="C458" s="70"/>
      <c r="D458" s="70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15"/>
      <c r="U458" s="15"/>
      <c r="V458" s="15"/>
      <c r="W458" s="15"/>
    </row>
    <row r="459">
      <c r="A459" s="74"/>
      <c r="B459" s="71"/>
      <c r="C459" s="72"/>
      <c r="D459" s="72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15"/>
      <c r="U459" s="15"/>
      <c r="V459" s="15"/>
      <c r="W459" s="15"/>
    </row>
    <row r="460">
      <c r="A460" s="73"/>
      <c r="B460" s="69"/>
      <c r="C460" s="70"/>
      <c r="D460" s="70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15"/>
      <c r="U460" s="15"/>
      <c r="V460" s="15"/>
      <c r="W460" s="15"/>
    </row>
    <row r="461">
      <c r="A461" s="74"/>
      <c r="B461" s="71"/>
      <c r="C461" s="72"/>
      <c r="D461" s="72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15"/>
      <c r="U461" s="15"/>
      <c r="V461" s="15"/>
      <c r="W461" s="15"/>
    </row>
    <row r="462">
      <c r="A462" s="73"/>
      <c r="B462" s="69"/>
      <c r="C462" s="70"/>
      <c r="D462" s="70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15"/>
      <c r="U462" s="15"/>
      <c r="V462" s="15"/>
      <c r="W462" s="15"/>
    </row>
    <row r="463">
      <c r="A463" s="74"/>
      <c r="B463" s="71"/>
      <c r="C463" s="72"/>
      <c r="D463" s="72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15"/>
      <c r="U463" s="15"/>
      <c r="V463" s="15"/>
      <c r="W463" s="15"/>
    </row>
    <row r="464">
      <c r="A464" s="73"/>
      <c r="B464" s="69"/>
      <c r="C464" s="70"/>
      <c r="D464" s="70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15"/>
      <c r="U464" s="15"/>
      <c r="V464" s="15"/>
      <c r="W464" s="15"/>
    </row>
    <row r="465">
      <c r="A465" s="65"/>
      <c r="B465" s="71"/>
      <c r="C465" s="72"/>
      <c r="D465" s="72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15"/>
      <c r="U465" s="15"/>
      <c r="V465" s="15"/>
      <c r="W465" s="15"/>
    </row>
    <row r="466">
      <c r="A466" s="61"/>
      <c r="B466" s="69"/>
      <c r="C466" s="70"/>
      <c r="D466" s="70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15"/>
      <c r="U466" s="15"/>
      <c r="V466" s="15"/>
      <c r="W466" s="15"/>
    </row>
    <row r="467">
      <c r="A467" s="65"/>
      <c r="B467" s="71"/>
      <c r="C467" s="72"/>
      <c r="D467" s="72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15"/>
      <c r="U467" s="15"/>
      <c r="V467" s="15"/>
      <c r="W467" s="15"/>
    </row>
    <row r="468">
      <c r="A468" s="61"/>
      <c r="B468" s="69"/>
      <c r="C468" s="70"/>
      <c r="D468" s="70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15"/>
      <c r="U468" s="15"/>
      <c r="V468" s="15"/>
      <c r="W468" s="15"/>
    </row>
    <row r="469">
      <c r="A469" s="65"/>
      <c r="B469" s="71"/>
      <c r="C469" s="72"/>
      <c r="D469" s="72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15"/>
      <c r="U469" s="15"/>
      <c r="V469" s="15"/>
      <c r="W469" s="15"/>
    </row>
    <row r="470">
      <c r="A470" s="61"/>
      <c r="B470" s="69"/>
      <c r="C470" s="70"/>
      <c r="D470" s="70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15"/>
      <c r="U470" s="15"/>
      <c r="V470" s="15"/>
      <c r="W470" s="15"/>
    </row>
    <row r="471">
      <c r="A471" s="65"/>
      <c r="B471" s="71"/>
      <c r="C471" s="72"/>
      <c r="D471" s="72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15"/>
      <c r="U471" s="15"/>
      <c r="V471" s="15"/>
      <c r="W471" s="15"/>
    </row>
    <row r="472">
      <c r="A472" s="61"/>
      <c r="B472" s="69"/>
      <c r="C472" s="70"/>
      <c r="D472" s="70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15"/>
      <c r="U472" s="15"/>
      <c r="V472" s="15"/>
      <c r="W472" s="15"/>
    </row>
    <row r="473">
      <c r="A473" s="65"/>
      <c r="B473" s="71"/>
      <c r="C473" s="72"/>
      <c r="D473" s="72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15"/>
      <c r="U473" s="15"/>
      <c r="V473" s="15"/>
      <c r="W473" s="15"/>
    </row>
    <row r="474">
      <c r="A474" s="61"/>
      <c r="B474" s="69"/>
      <c r="C474" s="70"/>
      <c r="D474" s="70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15"/>
      <c r="U474" s="15"/>
      <c r="V474" s="15"/>
      <c r="W474" s="15"/>
    </row>
    <row r="475">
      <c r="A475" s="65"/>
      <c r="B475" s="71"/>
      <c r="C475" s="72"/>
      <c r="D475" s="72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15"/>
      <c r="U475" s="15"/>
      <c r="V475" s="15"/>
      <c r="W475" s="15"/>
    </row>
    <row r="476">
      <c r="A476" s="61"/>
      <c r="B476" s="69"/>
      <c r="C476" s="70"/>
      <c r="D476" s="70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15"/>
      <c r="U476" s="15"/>
      <c r="V476" s="15"/>
      <c r="W476" s="15"/>
    </row>
    <row r="477">
      <c r="A477" s="65"/>
      <c r="B477" s="71"/>
      <c r="C477" s="72"/>
      <c r="D477" s="72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15"/>
      <c r="U477" s="15"/>
      <c r="V477" s="15"/>
      <c r="W477" s="15"/>
    </row>
    <row r="478">
      <c r="A478" s="61"/>
      <c r="B478" s="69"/>
      <c r="C478" s="70"/>
      <c r="D478" s="70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15"/>
      <c r="U478" s="15"/>
      <c r="V478" s="15"/>
      <c r="W478" s="15"/>
    </row>
    <row r="479">
      <c r="A479" s="65"/>
      <c r="B479" s="71"/>
      <c r="C479" s="72"/>
      <c r="D479" s="72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15"/>
      <c r="U479" s="15"/>
      <c r="V479" s="15"/>
      <c r="W479" s="15"/>
    </row>
    <row r="480">
      <c r="A480" s="61"/>
      <c r="B480" s="69"/>
      <c r="C480" s="70"/>
      <c r="D480" s="70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15"/>
      <c r="U480" s="15"/>
      <c r="V480" s="15"/>
      <c r="W480" s="15"/>
    </row>
    <row r="481">
      <c r="A481" s="65"/>
      <c r="B481" s="71"/>
      <c r="C481" s="72"/>
      <c r="D481" s="72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15"/>
      <c r="U481" s="15"/>
      <c r="V481" s="15"/>
      <c r="W481" s="15"/>
    </row>
    <row r="482">
      <c r="A482" s="61"/>
      <c r="B482" s="69"/>
      <c r="C482" s="70"/>
      <c r="D482" s="70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15"/>
      <c r="U482" s="15"/>
      <c r="V482" s="15"/>
      <c r="W482" s="15"/>
    </row>
    <row r="483">
      <c r="A483" s="74"/>
      <c r="B483" s="71"/>
      <c r="C483" s="72"/>
      <c r="D483" s="72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15"/>
      <c r="U483" s="15"/>
      <c r="V483" s="15"/>
      <c r="W483" s="15"/>
    </row>
    <row r="484">
      <c r="A484" s="73"/>
      <c r="B484" s="69"/>
      <c r="C484" s="70"/>
      <c r="D484" s="70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15"/>
      <c r="U484" s="15"/>
      <c r="V484" s="15"/>
      <c r="W484" s="15"/>
    </row>
    <row r="485">
      <c r="A485" s="74"/>
      <c r="B485" s="71"/>
      <c r="C485" s="72"/>
      <c r="D485" s="72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15"/>
      <c r="U485" s="15"/>
      <c r="V485" s="15"/>
      <c r="W485" s="15"/>
    </row>
    <row r="486">
      <c r="A486" s="73"/>
      <c r="B486" s="69"/>
      <c r="C486" s="70"/>
      <c r="D486" s="70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15"/>
      <c r="U486" s="15"/>
      <c r="V486" s="15"/>
      <c r="W486" s="15"/>
    </row>
    <row r="487">
      <c r="A487" s="74"/>
      <c r="B487" s="71"/>
      <c r="C487" s="72"/>
      <c r="D487" s="72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15"/>
      <c r="U487" s="15"/>
      <c r="V487" s="15"/>
      <c r="W487" s="15"/>
    </row>
    <row r="488">
      <c r="A488" s="73"/>
      <c r="B488" s="69"/>
      <c r="C488" s="70"/>
      <c r="D488" s="70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15"/>
      <c r="U488" s="15"/>
      <c r="V488" s="15"/>
      <c r="W488" s="15"/>
    </row>
    <row r="489">
      <c r="A489" s="74"/>
      <c r="B489" s="71"/>
      <c r="C489" s="72"/>
      <c r="D489" s="72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15"/>
      <c r="U489" s="15"/>
      <c r="V489" s="15"/>
      <c r="W489" s="15"/>
    </row>
    <row r="490">
      <c r="A490" s="73"/>
      <c r="B490" s="69"/>
      <c r="C490" s="70"/>
      <c r="D490" s="70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15"/>
      <c r="U490" s="15"/>
      <c r="V490" s="15"/>
      <c r="W490" s="15"/>
    </row>
    <row r="491">
      <c r="A491" s="74"/>
      <c r="B491" s="71"/>
      <c r="C491" s="72"/>
      <c r="D491" s="72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15"/>
      <c r="U491" s="15"/>
      <c r="V491" s="15"/>
      <c r="W491" s="15"/>
    </row>
    <row r="492">
      <c r="A492" s="73"/>
      <c r="B492" s="69"/>
      <c r="C492" s="70"/>
      <c r="D492" s="70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15"/>
      <c r="U492" s="15"/>
      <c r="V492" s="15"/>
      <c r="W492" s="15"/>
    </row>
    <row r="493">
      <c r="A493" s="74"/>
      <c r="B493" s="71"/>
      <c r="C493" s="72"/>
      <c r="D493" s="72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15"/>
      <c r="U493" s="15"/>
      <c r="V493" s="15"/>
      <c r="W493" s="15"/>
    </row>
    <row r="494">
      <c r="A494" s="73"/>
      <c r="B494" s="69"/>
      <c r="C494" s="70"/>
      <c r="D494" s="70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15"/>
      <c r="U494" s="15"/>
      <c r="V494" s="15"/>
      <c r="W494" s="15"/>
    </row>
    <row r="495">
      <c r="A495" s="74"/>
      <c r="B495" s="71"/>
      <c r="C495" s="72"/>
      <c r="D495" s="72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15"/>
      <c r="U495" s="15"/>
      <c r="V495" s="15"/>
      <c r="W495" s="15"/>
    </row>
    <row r="496">
      <c r="A496" s="73"/>
      <c r="B496" s="69"/>
      <c r="C496" s="70"/>
      <c r="D496" s="70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15"/>
      <c r="U496" s="15"/>
      <c r="V496" s="15"/>
      <c r="W496" s="15"/>
    </row>
    <row r="497">
      <c r="A497" s="74"/>
      <c r="B497" s="71"/>
      <c r="C497" s="72"/>
      <c r="D497" s="72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15"/>
      <c r="U497" s="15"/>
      <c r="V497" s="15"/>
      <c r="W497" s="15"/>
    </row>
    <row r="498">
      <c r="A498" s="73"/>
      <c r="B498" s="69"/>
      <c r="C498" s="70"/>
      <c r="D498" s="70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15"/>
      <c r="U498" s="15"/>
      <c r="V498" s="15"/>
      <c r="W498" s="15"/>
    </row>
    <row r="499">
      <c r="A499" s="74"/>
      <c r="B499" s="71"/>
      <c r="C499" s="72"/>
      <c r="D499" s="72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15"/>
      <c r="U499" s="15"/>
      <c r="V499" s="15"/>
      <c r="W499" s="15"/>
    </row>
    <row r="500">
      <c r="A500" s="73"/>
      <c r="B500" s="69"/>
      <c r="C500" s="70"/>
      <c r="D500" s="70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15"/>
      <c r="U500" s="15"/>
      <c r="V500" s="15"/>
      <c r="W500" s="15"/>
    </row>
    <row r="501">
      <c r="A501" s="74"/>
      <c r="B501" s="71"/>
      <c r="C501" s="72"/>
      <c r="D501" s="72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15"/>
      <c r="U501" s="15"/>
      <c r="V501" s="15"/>
      <c r="W501" s="15"/>
    </row>
    <row r="502">
      <c r="A502" s="61"/>
      <c r="B502" s="69"/>
      <c r="C502" s="70"/>
      <c r="D502" s="70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15"/>
      <c r="U502" s="15"/>
      <c r="V502" s="15"/>
      <c r="W502" s="15"/>
    </row>
    <row r="503">
      <c r="A503" s="65"/>
      <c r="B503" s="71"/>
      <c r="C503" s="72"/>
      <c r="D503" s="72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15"/>
      <c r="U503" s="15"/>
      <c r="V503" s="15"/>
      <c r="W503" s="15"/>
    </row>
    <row r="504">
      <c r="A504" s="61"/>
      <c r="B504" s="69"/>
      <c r="C504" s="70"/>
      <c r="D504" s="70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15"/>
      <c r="U504" s="15"/>
      <c r="V504" s="15"/>
      <c r="W504" s="15"/>
    </row>
    <row r="505">
      <c r="A505" s="65"/>
      <c r="B505" s="71"/>
      <c r="C505" s="72"/>
      <c r="D505" s="72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15"/>
      <c r="U505" s="15"/>
      <c r="V505" s="15"/>
      <c r="W505" s="15"/>
    </row>
    <row r="506">
      <c r="A506" s="61"/>
      <c r="B506" s="69"/>
      <c r="C506" s="70"/>
      <c r="D506" s="70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15"/>
      <c r="U506" s="15"/>
      <c r="V506" s="15"/>
      <c r="W506" s="15"/>
    </row>
    <row r="507">
      <c r="A507" s="65"/>
      <c r="B507" s="71"/>
      <c r="C507" s="72"/>
      <c r="D507" s="72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15"/>
      <c r="U507" s="15"/>
      <c r="V507" s="15"/>
      <c r="W507" s="15"/>
    </row>
    <row r="508">
      <c r="A508" s="61"/>
      <c r="B508" s="69"/>
      <c r="C508" s="70"/>
      <c r="D508" s="70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15"/>
      <c r="U508" s="15"/>
      <c r="V508" s="15"/>
      <c r="W508" s="15"/>
    </row>
    <row r="509">
      <c r="A509" s="65"/>
      <c r="B509" s="71"/>
      <c r="C509" s="72"/>
      <c r="D509" s="72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15"/>
      <c r="U509" s="15"/>
      <c r="V509" s="15"/>
      <c r="W509" s="15"/>
    </row>
    <row r="510">
      <c r="A510" s="61"/>
      <c r="B510" s="69"/>
      <c r="C510" s="70"/>
      <c r="D510" s="70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15"/>
      <c r="U510" s="15"/>
      <c r="V510" s="15"/>
      <c r="W510" s="15"/>
    </row>
    <row r="511">
      <c r="A511" s="65"/>
      <c r="B511" s="71"/>
      <c r="C511" s="72"/>
      <c r="D511" s="72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15"/>
      <c r="U511" s="15"/>
      <c r="V511" s="15"/>
      <c r="W511" s="15"/>
    </row>
    <row r="512">
      <c r="A512" s="61"/>
      <c r="B512" s="69"/>
      <c r="C512" s="70"/>
      <c r="D512" s="70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15"/>
      <c r="U512" s="15"/>
      <c r="V512" s="15"/>
      <c r="W512" s="15"/>
    </row>
    <row r="513">
      <c r="A513" s="65"/>
      <c r="B513" s="71"/>
      <c r="C513" s="72"/>
      <c r="D513" s="72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15"/>
      <c r="U513" s="15"/>
      <c r="V513" s="15"/>
      <c r="W513" s="15"/>
    </row>
    <row r="514">
      <c r="A514" s="61"/>
      <c r="B514" s="69"/>
      <c r="C514" s="70"/>
      <c r="D514" s="70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15"/>
      <c r="U514" s="15"/>
      <c r="V514" s="15"/>
      <c r="W514" s="15"/>
    </row>
    <row r="515">
      <c r="A515" s="65"/>
      <c r="B515" s="71"/>
      <c r="C515" s="72"/>
      <c r="D515" s="72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15"/>
      <c r="U515" s="15"/>
      <c r="V515" s="15"/>
      <c r="W515" s="15"/>
    </row>
    <row r="516">
      <c r="A516" s="61"/>
      <c r="B516" s="69"/>
      <c r="C516" s="70"/>
      <c r="D516" s="70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15"/>
      <c r="U516" s="15"/>
      <c r="V516" s="15"/>
      <c r="W516" s="15"/>
    </row>
    <row r="517">
      <c r="A517" s="65"/>
      <c r="B517" s="71"/>
      <c r="C517" s="72"/>
      <c r="D517" s="72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15"/>
      <c r="U517" s="15"/>
      <c r="V517" s="15"/>
      <c r="W517" s="15"/>
    </row>
    <row r="518">
      <c r="A518" s="61"/>
      <c r="B518" s="69"/>
      <c r="C518" s="70"/>
      <c r="D518" s="70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15"/>
      <c r="U518" s="15"/>
      <c r="V518" s="15"/>
      <c r="W518" s="15"/>
    </row>
    <row r="519">
      <c r="A519" s="65"/>
      <c r="B519" s="71"/>
      <c r="C519" s="72"/>
      <c r="D519" s="72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15"/>
      <c r="U519" s="15"/>
      <c r="V519" s="15"/>
      <c r="W519" s="15"/>
    </row>
    <row r="520">
      <c r="A520" s="61"/>
      <c r="B520" s="69"/>
      <c r="C520" s="70"/>
      <c r="D520" s="70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15"/>
      <c r="U520" s="15"/>
      <c r="V520" s="15"/>
      <c r="W520" s="15"/>
    </row>
    <row r="521">
      <c r="A521" s="65"/>
      <c r="B521" s="71"/>
      <c r="C521" s="72"/>
      <c r="D521" s="72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15"/>
      <c r="U521" s="15"/>
      <c r="V521" s="15"/>
      <c r="W521" s="15"/>
    </row>
    <row r="522">
      <c r="A522" s="61"/>
      <c r="B522" s="69"/>
      <c r="C522" s="70"/>
      <c r="D522" s="70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15"/>
      <c r="U522" s="15"/>
      <c r="V522" s="15"/>
      <c r="W522" s="15"/>
    </row>
    <row r="523">
      <c r="A523" s="65"/>
      <c r="B523" s="71"/>
      <c r="C523" s="72"/>
      <c r="D523" s="72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15"/>
      <c r="U523" s="15"/>
      <c r="V523" s="15"/>
      <c r="W523" s="15"/>
    </row>
    <row r="524">
      <c r="A524" s="61"/>
      <c r="B524" s="69"/>
      <c r="C524" s="70"/>
      <c r="D524" s="70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15"/>
      <c r="U524" s="15"/>
      <c r="V524" s="15"/>
      <c r="W524" s="15"/>
    </row>
    <row r="525">
      <c r="A525" s="65"/>
      <c r="B525" s="71"/>
      <c r="C525" s="72"/>
      <c r="D525" s="72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15"/>
      <c r="U525" s="15"/>
      <c r="V525" s="15"/>
      <c r="W525" s="15"/>
    </row>
    <row r="526">
      <c r="A526" s="61"/>
      <c r="B526" s="69"/>
      <c r="C526" s="70"/>
      <c r="D526" s="70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15"/>
      <c r="U526" s="15"/>
      <c r="V526" s="15"/>
      <c r="W526" s="15"/>
    </row>
    <row r="527">
      <c r="A527" s="65"/>
      <c r="B527" s="71"/>
      <c r="C527" s="72"/>
      <c r="D527" s="72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15"/>
      <c r="U527" s="15"/>
      <c r="V527" s="15"/>
      <c r="W527" s="15"/>
    </row>
    <row r="528">
      <c r="A528" s="61"/>
      <c r="B528" s="69"/>
      <c r="C528" s="70"/>
      <c r="D528" s="70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15"/>
      <c r="U528" s="15"/>
      <c r="V528" s="15"/>
      <c r="W528" s="15"/>
    </row>
    <row r="529">
      <c r="A529" s="74"/>
      <c r="B529" s="71"/>
      <c r="C529" s="72"/>
      <c r="D529" s="72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15"/>
      <c r="U529" s="15"/>
      <c r="V529" s="15"/>
      <c r="W529" s="15"/>
    </row>
    <row r="530">
      <c r="A530" s="73"/>
      <c r="B530" s="69"/>
      <c r="C530" s="70"/>
      <c r="D530" s="70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15"/>
      <c r="U530" s="15"/>
      <c r="V530" s="15"/>
      <c r="W530" s="15"/>
    </row>
    <row r="531">
      <c r="A531" s="74"/>
      <c r="B531" s="71"/>
      <c r="C531" s="72"/>
      <c r="D531" s="72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15"/>
      <c r="U531" s="15"/>
      <c r="V531" s="15"/>
      <c r="W531" s="15"/>
    </row>
    <row r="532">
      <c r="A532" s="73"/>
      <c r="B532" s="69"/>
      <c r="C532" s="70"/>
      <c r="D532" s="70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15"/>
      <c r="U532" s="15"/>
      <c r="V532" s="15"/>
      <c r="W532" s="15"/>
    </row>
    <row r="533">
      <c r="A533" s="74"/>
      <c r="B533" s="71"/>
      <c r="C533" s="72"/>
      <c r="D533" s="72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15"/>
      <c r="U533" s="15"/>
      <c r="V533" s="15"/>
      <c r="W533" s="15"/>
    </row>
    <row r="534">
      <c r="A534" s="73"/>
      <c r="B534" s="69"/>
      <c r="C534" s="70"/>
      <c r="D534" s="70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15"/>
      <c r="U534" s="15"/>
      <c r="V534" s="15"/>
      <c r="W534" s="15"/>
    </row>
    <row r="535">
      <c r="A535" s="74"/>
      <c r="B535" s="71"/>
      <c r="C535" s="72"/>
      <c r="D535" s="72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15"/>
      <c r="U535" s="15"/>
      <c r="V535" s="15"/>
      <c r="W535" s="15"/>
    </row>
    <row r="536">
      <c r="A536" s="73"/>
      <c r="B536" s="69"/>
      <c r="C536" s="70"/>
      <c r="D536" s="70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15"/>
      <c r="U536" s="15"/>
      <c r="V536" s="15"/>
      <c r="W536" s="15"/>
    </row>
    <row r="537">
      <c r="A537" s="74"/>
      <c r="B537" s="71"/>
      <c r="C537" s="72"/>
      <c r="D537" s="72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15"/>
      <c r="U537" s="15"/>
      <c r="V537" s="15"/>
      <c r="W537" s="15"/>
    </row>
    <row r="538">
      <c r="A538" s="73"/>
      <c r="B538" s="69"/>
      <c r="C538" s="70"/>
      <c r="D538" s="70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15"/>
      <c r="U538" s="15"/>
      <c r="V538" s="15"/>
      <c r="W538" s="15"/>
    </row>
    <row r="539">
      <c r="A539" s="74"/>
      <c r="B539" s="71"/>
      <c r="C539" s="72"/>
      <c r="D539" s="72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15"/>
      <c r="U539" s="15"/>
      <c r="V539" s="15"/>
      <c r="W539" s="15"/>
    </row>
    <row r="540">
      <c r="A540" s="73"/>
      <c r="B540" s="69"/>
      <c r="C540" s="70"/>
      <c r="D540" s="70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15"/>
      <c r="U540" s="15"/>
      <c r="V540" s="15"/>
      <c r="W540" s="15"/>
    </row>
    <row r="541">
      <c r="A541" s="74"/>
      <c r="B541" s="71"/>
      <c r="C541" s="72"/>
      <c r="D541" s="72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15"/>
      <c r="U541" s="15"/>
      <c r="V541" s="15"/>
      <c r="W541" s="15"/>
    </row>
    <row r="542">
      <c r="A542" s="73"/>
      <c r="B542" s="69"/>
      <c r="C542" s="70"/>
      <c r="D542" s="70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15"/>
      <c r="U542" s="15"/>
      <c r="V542" s="15"/>
      <c r="W542" s="15"/>
    </row>
    <row r="543">
      <c r="A543" s="74"/>
      <c r="B543" s="71"/>
      <c r="C543" s="72"/>
      <c r="D543" s="72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15"/>
      <c r="U543" s="15"/>
      <c r="V543" s="15"/>
      <c r="W543" s="15"/>
    </row>
    <row r="544">
      <c r="A544" s="73"/>
      <c r="B544" s="69"/>
      <c r="C544" s="70"/>
      <c r="D544" s="70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15"/>
      <c r="U544" s="15"/>
      <c r="V544" s="15"/>
      <c r="W544" s="15"/>
    </row>
    <row r="545">
      <c r="A545" s="74"/>
      <c r="B545" s="71"/>
      <c r="C545" s="72"/>
      <c r="D545" s="72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15"/>
      <c r="U545" s="15"/>
      <c r="V545" s="15"/>
      <c r="W545" s="15"/>
    </row>
    <row r="546">
      <c r="A546" s="73"/>
      <c r="B546" s="69"/>
      <c r="C546" s="70"/>
      <c r="D546" s="70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15"/>
      <c r="U546" s="15"/>
      <c r="V546" s="15"/>
      <c r="W546" s="15"/>
    </row>
    <row r="547">
      <c r="A547" s="74"/>
      <c r="B547" s="71"/>
      <c r="C547" s="72"/>
      <c r="D547" s="72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15"/>
      <c r="U547" s="15"/>
      <c r="V547" s="15"/>
      <c r="W547" s="15"/>
    </row>
    <row r="548">
      <c r="A548" s="61"/>
      <c r="B548" s="69"/>
      <c r="C548" s="70"/>
      <c r="D548" s="70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15"/>
      <c r="U548" s="15"/>
      <c r="V548" s="15"/>
      <c r="W548" s="15"/>
    </row>
    <row r="549">
      <c r="A549" s="65"/>
      <c r="B549" s="71"/>
      <c r="C549" s="72"/>
      <c r="D549" s="72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15"/>
      <c r="U549" s="15"/>
      <c r="V549" s="15"/>
      <c r="W549" s="15"/>
    </row>
    <row r="550">
      <c r="A550" s="61"/>
      <c r="B550" s="69"/>
      <c r="C550" s="70"/>
      <c r="D550" s="70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15"/>
      <c r="U550" s="15"/>
      <c r="V550" s="15"/>
      <c r="W550" s="15"/>
    </row>
    <row r="551">
      <c r="A551" s="65"/>
      <c r="B551" s="71"/>
      <c r="C551" s="72"/>
      <c r="D551" s="72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15"/>
      <c r="U551" s="15"/>
      <c r="V551" s="15"/>
      <c r="W551" s="15"/>
    </row>
    <row r="552">
      <c r="A552" s="61"/>
      <c r="B552" s="69"/>
      <c r="C552" s="70"/>
      <c r="D552" s="70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15"/>
      <c r="U552" s="15"/>
      <c r="V552" s="15"/>
      <c r="W552" s="15"/>
    </row>
    <row r="553">
      <c r="A553" s="65"/>
      <c r="B553" s="71"/>
      <c r="C553" s="72"/>
      <c r="D553" s="72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15"/>
      <c r="U553" s="15"/>
      <c r="V553" s="15"/>
      <c r="W553" s="15"/>
    </row>
    <row r="554">
      <c r="A554" s="61"/>
      <c r="B554" s="69"/>
      <c r="C554" s="70"/>
      <c r="D554" s="70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15"/>
      <c r="U554" s="15"/>
      <c r="V554" s="15"/>
      <c r="W554" s="15"/>
    </row>
    <row r="555">
      <c r="A555" s="65"/>
      <c r="B555" s="71"/>
      <c r="C555" s="72"/>
      <c r="D555" s="72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15"/>
      <c r="U555" s="15"/>
      <c r="V555" s="15"/>
      <c r="W555" s="15"/>
    </row>
    <row r="556">
      <c r="A556" s="61"/>
      <c r="B556" s="69"/>
      <c r="C556" s="70"/>
      <c r="D556" s="70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15"/>
      <c r="U556" s="15"/>
      <c r="V556" s="15"/>
      <c r="W556" s="15"/>
    </row>
    <row r="557">
      <c r="A557" s="65"/>
      <c r="B557" s="71"/>
      <c r="C557" s="72"/>
      <c r="D557" s="72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15"/>
      <c r="U557" s="15"/>
      <c r="V557" s="15"/>
      <c r="W557" s="15"/>
    </row>
    <row r="558">
      <c r="A558" s="61"/>
      <c r="B558" s="69"/>
      <c r="C558" s="70"/>
      <c r="D558" s="70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15"/>
      <c r="U558" s="15"/>
      <c r="V558" s="15"/>
      <c r="W558" s="15"/>
    </row>
    <row r="559">
      <c r="A559" s="65"/>
      <c r="B559" s="71"/>
      <c r="C559" s="72"/>
      <c r="D559" s="72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15"/>
      <c r="U559" s="15"/>
      <c r="V559" s="15"/>
      <c r="W559" s="15"/>
    </row>
    <row r="560">
      <c r="A560" s="61"/>
      <c r="B560" s="69"/>
      <c r="C560" s="70"/>
      <c r="D560" s="70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15"/>
      <c r="U560" s="15"/>
      <c r="V560" s="15"/>
      <c r="W560" s="15"/>
    </row>
    <row r="561">
      <c r="A561" s="65"/>
      <c r="B561" s="71"/>
      <c r="C561" s="72"/>
      <c r="D561" s="72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15"/>
      <c r="U561" s="15"/>
      <c r="V561" s="15"/>
      <c r="W561" s="15"/>
    </row>
    <row r="562">
      <c r="A562" s="61"/>
      <c r="B562" s="69"/>
      <c r="C562" s="70"/>
      <c r="D562" s="70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15"/>
      <c r="U562" s="15"/>
      <c r="V562" s="15"/>
      <c r="W562" s="15"/>
    </row>
    <row r="563">
      <c r="A563" s="65"/>
      <c r="B563" s="71"/>
      <c r="C563" s="72"/>
      <c r="D563" s="72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15"/>
      <c r="U563" s="15"/>
      <c r="V563" s="15"/>
      <c r="W563" s="15"/>
    </row>
    <row r="564">
      <c r="A564" s="61"/>
      <c r="B564" s="69"/>
      <c r="C564" s="70"/>
      <c r="D564" s="70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15"/>
      <c r="U564" s="15"/>
      <c r="V564" s="15"/>
      <c r="W564" s="15"/>
    </row>
    <row r="565">
      <c r="A565" s="65"/>
      <c r="B565" s="71"/>
      <c r="C565" s="72"/>
      <c r="D565" s="72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15"/>
      <c r="U565" s="15"/>
      <c r="V565" s="15"/>
      <c r="W565" s="15"/>
    </row>
    <row r="566">
      <c r="A566" s="73"/>
      <c r="B566" s="69"/>
      <c r="C566" s="70"/>
      <c r="D566" s="70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15"/>
      <c r="U566" s="15"/>
      <c r="V566" s="15"/>
      <c r="W566" s="15"/>
    </row>
    <row r="567">
      <c r="A567" s="74"/>
      <c r="B567" s="71"/>
      <c r="C567" s="72"/>
      <c r="D567" s="72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15"/>
      <c r="U567" s="15"/>
      <c r="V567" s="15"/>
      <c r="W567" s="15"/>
    </row>
    <row r="568">
      <c r="A568" s="73"/>
      <c r="B568" s="69"/>
      <c r="C568" s="70"/>
      <c r="D568" s="70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15"/>
      <c r="U568" s="15"/>
      <c r="V568" s="15"/>
      <c r="W568" s="15"/>
    </row>
    <row r="569">
      <c r="A569" s="74"/>
      <c r="B569" s="71"/>
      <c r="C569" s="72"/>
      <c r="D569" s="72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15"/>
      <c r="U569" s="15"/>
      <c r="V569" s="15"/>
      <c r="W569" s="15"/>
    </row>
    <row r="570">
      <c r="A570" s="73"/>
      <c r="B570" s="69"/>
      <c r="C570" s="70"/>
      <c r="D570" s="70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15"/>
      <c r="U570" s="15"/>
      <c r="V570" s="15"/>
      <c r="W570" s="15"/>
    </row>
    <row r="571">
      <c r="A571" s="74"/>
      <c r="B571" s="71"/>
      <c r="C571" s="72"/>
      <c r="D571" s="72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15"/>
      <c r="U571" s="15"/>
      <c r="V571" s="15"/>
      <c r="W571" s="15"/>
    </row>
    <row r="572">
      <c r="A572" s="73"/>
      <c r="B572" s="69"/>
      <c r="C572" s="70"/>
      <c r="D572" s="70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15"/>
      <c r="U572" s="15"/>
      <c r="V572" s="15"/>
      <c r="W572" s="15"/>
    </row>
    <row r="573">
      <c r="A573" s="74"/>
      <c r="B573" s="71"/>
      <c r="C573" s="72"/>
      <c r="D573" s="72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15"/>
      <c r="U573" s="15"/>
      <c r="V573" s="15"/>
      <c r="W573" s="15"/>
    </row>
    <row r="574">
      <c r="A574" s="73"/>
      <c r="B574" s="69"/>
      <c r="C574" s="70"/>
      <c r="D574" s="70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15"/>
      <c r="U574" s="15"/>
      <c r="V574" s="15"/>
      <c r="W574" s="15"/>
    </row>
    <row r="575">
      <c r="A575" s="74"/>
      <c r="B575" s="71"/>
      <c r="C575" s="72"/>
      <c r="D575" s="72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15"/>
      <c r="U575" s="15"/>
      <c r="V575" s="15"/>
      <c r="W575" s="15"/>
    </row>
    <row r="576">
      <c r="A576" s="73"/>
      <c r="B576" s="69"/>
      <c r="C576" s="70"/>
      <c r="D576" s="70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15"/>
      <c r="U576" s="15"/>
      <c r="V576" s="15"/>
      <c r="W576" s="15"/>
    </row>
    <row r="577">
      <c r="A577" s="74"/>
      <c r="B577" s="71"/>
      <c r="C577" s="72"/>
      <c r="D577" s="72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15"/>
      <c r="U577" s="15"/>
      <c r="V577" s="15"/>
      <c r="W577" s="15"/>
    </row>
    <row r="578">
      <c r="A578" s="73"/>
      <c r="B578" s="69"/>
      <c r="C578" s="70"/>
      <c r="D578" s="70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15"/>
      <c r="U578" s="15"/>
      <c r="V578" s="15"/>
      <c r="W578" s="15"/>
    </row>
    <row r="579">
      <c r="A579" s="74"/>
      <c r="B579" s="71"/>
      <c r="C579" s="72"/>
      <c r="D579" s="72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15"/>
      <c r="U579" s="15"/>
      <c r="V579" s="15"/>
      <c r="W579" s="15"/>
    </row>
    <row r="580">
      <c r="A580" s="73"/>
      <c r="B580" s="69"/>
      <c r="C580" s="70"/>
      <c r="D580" s="70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15"/>
      <c r="U580" s="15"/>
      <c r="V580" s="15"/>
      <c r="W580" s="15"/>
    </row>
    <row r="581">
      <c r="A581" s="74"/>
      <c r="B581" s="71"/>
      <c r="C581" s="72"/>
      <c r="D581" s="72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15"/>
      <c r="U581" s="15"/>
      <c r="V581" s="15"/>
      <c r="W581" s="15"/>
    </row>
    <row r="582">
      <c r="A582" s="73"/>
      <c r="B582" s="69"/>
      <c r="C582" s="70"/>
      <c r="D582" s="70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15"/>
      <c r="U582" s="15"/>
      <c r="V582" s="15"/>
      <c r="W582" s="15"/>
    </row>
    <row r="583">
      <c r="A583" s="74"/>
      <c r="B583" s="71"/>
      <c r="C583" s="72"/>
      <c r="D583" s="72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15"/>
      <c r="U583" s="15"/>
      <c r="V583" s="15"/>
      <c r="W583" s="15"/>
    </row>
    <row r="584">
      <c r="A584" s="73"/>
      <c r="B584" s="69"/>
      <c r="C584" s="70"/>
      <c r="D584" s="70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15"/>
      <c r="U584" s="15"/>
      <c r="V584" s="15"/>
      <c r="W584" s="15"/>
    </row>
    <row r="585">
      <c r="A585" s="65"/>
      <c r="B585" s="71"/>
      <c r="C585" s="72"/>
      <c r="D585" s="72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15"/>
      <c r="U585" s="15"/>
      <c r="V585" s="15"/>
      <c r="W585" s="15"/>
    </row>
    <row r="586">
      <c r="A586" s="61"/>
      <c r="B586" s="69"/>
      <c r="C586" s="70"/>
      <c r="D586" s="70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15"/>
      <c r="U586" s="15"/>
      <c r="V586" s="15"/>
      <c r="W586" s="15"/>
    </row>
    <row r="587">
      <c r="A587" s="65"/>
      <c r="B587" s="71"/>
      <c r="C587" s="72"/>
      <c r="D587" s="72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15"/>
      <c r="U587" s="15"/>
      <c r="V587" s="15"/>
      <c r="W587" s="15"/>
    </row>
    <row r="588">
      <c r="A588" s="61"/>
      <c r="B588" s="69"/>
      <c r="C588" s="70"/>
      <c r="D588" s="70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15"/>
      <c r="U588" s="15"/>
      <c r="V588" s="15"/>
      <c r="W588" s="15"/>
    </row>
    <row r="589">
      <c r="A589" s="65"/>
      <c r="B589" s="71"/>
      <c r="C589" s="72"/>
      <c r="D589" s="72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15"/>
      <c r="U589" s="15"/>
      <c r="V589" s="15"/>
      <c r="W589" s="15"/>
    </row>
    <row r="590">
      <c r="A590" s="61"/>
      <c r="B590" s="69"/>
      <c r="C590" s="70"/>
      <c r="D590" s="70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15"/>
      <c r="U590" s="15"/>
      <c r="V590" s="15"/>
      <c r="W590" s="15"/>
    </row>
    <row r="591">
      <c r="A591" s="65"/>
      <c r="B591" s="71"/>
      <c r="C591" s="72"/>
      <c r="D591" s="72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15"/>
      <c r="U591" s="15"/>
      <c r="V591" s="15"/>
      <c r="W591" s="15"/>
    </row>
    <row r="592">
      <c r="A592" s="61"/>
      <c r="B592" s="69"/>
      <c r="C592" s="70"/>
      <c r="D592" s="70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15"/>
      <c r="U592" s="15"/>
      <c r="V592" s="15"/>
      <c r="W592" s="15"/>
    </row>
    <row r="593">
      <c r="A593" s="65"/>
      <c r="B593" s="71"/>
      <c r="C593" s="72"/>
      <c r="D593" s="72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15"/>
      <c r="U593" s="15"/>
      <c r="V593" s="15"/>
      <c r="W593" s="15"/>
    </row>
    <row r="594">
      <c r="A594" s="61"/>
      <c r="B594" s="69"/>
      <c r="C594" s="70"/>
      <c r="D594" s="70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15"/>
      <c r="U594" s="15"/>
      <c r="V594" s="15"/>
      <c r="W594" s="15"/>
    </row>
    <row r="595">
      <c r="A595" s="65"/>
      <c r="B595" s="71"/>
      <c r="C595" s="72"/>
      <c r="D595" s="72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15"/>
      <c r="U595" s="15"/>
      <c r="V595" s="15"/>
      <c r="W595" s="15"/>
    </row>
    <row r="596">
      <c r="A596" s="61"/>
      <c r="B596" s="69"/>
      <c r="C596" s="70"/>
      <c r="D596" s="70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15"/>
      <c r="U596" s="15"/>
      <c r="V596" s="15"/>
      <c r="W596" s="15"/>
    </row>
    <row r="597">
      <c r="A597" s="65"/>
      <c r="B597" s="71"/>
      <c r="C597" s="72"/>
      <c r="D597" s="72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15"/>
      <c r="U597" s="15"/>
      <c r="V597" s="15"/>
      <c r="W597" s="15"/>
    </row>
    <row r="598">
      <c r="A598" s="61"/>
      <c r="B598" s="69"/>
      <c r="C598" s="70"/>
      <c r="D598" s="70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15"/>
      <c r="U598" s="15"/>
      <c r="V598" s="15"/>
      <c r="W598" s="15"/>
    </row>
    <row r="599">
      <c r="A599" s="65"/>
      <c r="B599" s="71"/>
      <c r="C599" s="72"/>
      <c r="D599" s="72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15"/>
      <c r="U599" s="15"/>
      <c r="V599" s="15"/>
      <c r="W599" s="15"/>
    </row>
    <row r="600">
      <c r="A600" s="61"/>
      <c r="B600" s="69"/>
      <c r="C600" s="70"/>
      <c r="D600" s="70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15"/>
      <c r="U600" s="15"/>
      <c r="V600" s="15"/>
      <c r="W600" s="15"/>
    </row>
    <row r="601">
      <c r="A601" s="65"/>
      <c r="B601" s="71"/>
      <c r="C601" s="72"/>
      <c r="D601" s="72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15"/>
      <c r="U601" s="15"/>
      <c r="V601" s="15"/>
      <c r="W601" s="15"/>
    </row>
    <row r="602">
      <c r="A602" s="61"/>
      <c r="B602" s="69"/>
      <c r="C602" s="70"/>
      <c r="D602" s="70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15"/>
      <c r="U602" s="15"/>
      <c r="V602" s="15"/>
      <c r="W602" s="15"/>
    </row>
    <row r="603">
      <c r="A603" s="65"/>
      <c r="B603" s="71"/>
      <c r="C603" s="72"/>
      <c r="D603" s="72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15"/>
      <c r="U603" s="15"/>
      <c r="V603" s="15"/>
      <c r="W603" s="15"/>
    </row>
    <row r="604">
      <c r="A604" s="61"/>
      <c r="B604" s="69"/>
      <c r="C604" s="70"/>
      <c r="D604" s="70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15"/>
      <c r="U604" s="15"/>
      <c r="V604" s="15"/>
      <c r="W604" s="15"/>
    </row>
    <row r="605">
      <c r="A605" s="65"/>
      <c r="B605" s="71"/>
      <c r="C605" s="72"/>
      <c r="D605" s="72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15"/>
      <c r="U605" s="15"/>
      <c r="V605" s="15"/>
      <c r="W605" s="15"/>
    </row>
    <row r="606">
      <c r="A606" s="61"/>
      <c r="B606" s="69"/>
      <c r="C606" s="70"/>
      <c r="D606" s="70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15"/>
      <c r="U606" s="15"/>
      <c r="V606" s="15"/>
      <c r="W606" s="15"/>
    </row>
    <row r="607">
      <c r="A607" s="65"/>
      <c r="B607" s="71"/>
      <c r="C607" s="72"/>
      <c r="D607" s="72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15"/>
      <c r="U607" s="15"/>
      <c r="V607" s="15"/>
      <c r="W607" s="15"/>
    </row>
    <row r="608">
      <c r="A608" s="61"/>
      <c r="B608" s="69"/>
      <c r="C608" s="70"/>
      <c r="D608" s="70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15"/>
      <c r="U608" s="15"/>
      <c r="V608" s="15"/>
      <c r="W608" s="15"/>
    </row>
    <row r="609">
      <c r="A609" s="65"/>
      <c r="B609" s="71"/>
      <c r="C609" s="72"/>
      <c r="D609" s="72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15"/>
      <c r="U609" s="15"/>
      <c r="V609" s="15"/>
      <c r="W609" s="15"/>
    </row>
    <row r="610">
      <c r="A610" s="61"/>
      <c r="B610" s="69"/>
      <c r="C610" s="70"/>
      <c r="D610" s="70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15"/>
      <c r="U610" s="15"/>
      <c r="V610" s="15"/>
      <c r="W610" s="15"/>
    </row>
    <row r="611">
      <c r="A611" s="65"/>
      <c r="B611" s="71"/>
      <c r="C611" s="72"/>
      <c r="D611" s="72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15"/>
      <c r="U611" s="15"/>
      <c r="V611" s="15"/>
      <c r="W611" s="15"/>
    </row>
    <row r="612">
      <c r="A612" s="73"/>
      <c r="B612" s="69"/>
      <c r="C612" s="70"/>
      <c r="D612" s="70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15"/>
      <c r="U612" s="15"/>
      <c r="V612" s="15"/>
      <c r="W612" s="15"/>
    </row>
    <row r="613">
      <c r="A613" s="74"/>
      <c r="B613" s="71"/>
      <c r="C613" s="72"/>
      <c r="D613" s="72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15"/>
      <c r="U613" s="15"/>
      <c r="V613" s="15"/>
      <c r="W613" s="15"/>
    </row>
    <row r="614">
      <c r="A614" s="73"/>
      <c r="B614" s="69"/>
      <c r="C614" s="70"/>
      <c r="D614" s="70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15"/>
      <c r="U614" s="15"/>
      <c r="V614" s="15"/>
      <c r="W614" s="15"/>
    </row>
    <row r="615">
      <c r="A615" s="74"/>
      <c r="B615" s="71"/>
      <c r="C615" s="72"/>
      <c r="D615" s="72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15"/>
      <c r="U615" s="15"/>
      <c r="V615" s="15"/>
      <c r="W615" s="15"/>
    </row>
    <row r="616">
      <c r="A616" s="73"/>
      <c r="B616" s="69"/>
      <c r="C616" s="70"/>
      <c r="D616" s="70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15"/>
      <c r="U616" s="15"/>
      <c r="V616" s="15"/>
      <c r="W616" s="15"/>
    </row>
    <row r="617">
      <c r="A617" s="74"/>
      <c r="B617" s="71"/>
      <c r="C617" s="72"/>
      <c r="D617" s="72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15"/>
      <c r="U617" s="15"/>
      <c r="V617" s="15"/>
      <c r="W617" s="15"/>
    </row>
    <row r="618">
      <c r="A618" s="73"/>
      <c r="B618" s="69"/>
      <c r="C618" s="70"/>
      <c r="D618" s="70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15"/>
      <c r="U618" s="15"/>
      <c r="V618" s="15"/>
      <c r="W618" s="15"/>
    </row>
    <row r="619">
      <c r="A619" s="74"/>
      <c r="B619" s="71"/>
      <c r="C619" s="72"/>
      <c r="D619" s="72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15"/>
      <c r="U619" s="15"/>
      <c r="V619" s="15"/>
      <c r="W619" s="15"/>
    </row>
    <row r="620">
      <c r="A620" s="73"/>
      <c r="B620" s="69"/>
      <c r="C620" s="70"/>
      <c r="D620" s="70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15"/>
      <c r="U620" s="15"/>
      <c r="V620" s="15"/>
      <c r="W620" s="15"/>
    </row>
    <row r="621">
      <c r="A621" s="74"/>
      <c r="B621" s="71"/>
      <c r="C621" s="72"/>
      <c r="D621" s="72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15"/>
      <c r="U621" s="15"/>
      <c r="V621" s="15"/>
      <c r="W621" s="15"/>
    </row>
    <row r="622">
      <c r="A622" s="73"/>
      <c r="B622" s="69"/>
      <c r="C622" s="70"/>
      <c r="D622" s="70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15"/>
      <c r="U622" s="15"/>
      <c r="V622" s="15"/>
      <c r="W622" s="15"/>
    </row>
    <row r="623">
      <c r="A623" s="74"/>
      <c r="B623" s="71"/>
      <c r="C623" s="72"/>
      <c r="D623" s="72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15"/>
      <c r="U623" s="15"/>
      <c r="V623" s="15"/>
      <c r="W623" s="15"/>
    </row>
    <row r="624">
      <c r="A624" s="73"/>
      <c r="B624" s="69"/>
      <c r="C624" s="70"/>
      <c r="D624" s="70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15"/>
      <c r="U624" s="15"/>
      <c r="V624" s="15"/>
      <c r="W624" s="15"/>
    </row>
    <row r="625">
      <c r="A625" s="74"/>
      <c r="B625" s="71"/>
      <c r="C625" s="72"/>
      <c r="D625" s="72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15"/>
      <c r="U625" s="15"/>
      <c r="V625" s="15"/>
      <c r="W625" s="15"/>
    </row>
    <row r="626">
      <c r="A626" s="73"/>
      <c r="B626" s="69"/>
      <c r="C626" s="70"/>
      <c r="D626" s="70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15"/>
      <c r="U626" s="15"/>
      <c r="V626" s="15"/>
      <c r="W626" s="15"/>
    </row>
    <row r="627">
      <c r="A627" s="74"/>
      <c r="B627" s="71"/>
      <c r="C627" s="72"/>
      <c r="D627" s="72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15"/>
      <c r="U627" s="15"/>
      <c r="V627" s="15"/>
      <c r="W627" s="15"/>
    </row>
    <row r="628">
      <c r="A628" s="73"/>
      <c r="B628" s="69"/>
      <c r="C628" s="70"/>
      <c r="D628" s="70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15"/>
      <c r="U628" s="15"/>
      <c r="V628" s="15"/>
      <c r="W628" s="15"/>
    </row>
    <row r="629">
      <c r="A629" s="74"/>
      <c r="B629" s="71"/>
      <c r="C629" s="72"/>
      <c r="D629" s="72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15"/>
      <c r="U629" s="15"/>
      <c r="V629" s="15"/>
      <c r="W629" s="15"/>
    </row>
    <row r="630">
      <c r="A630" s="73"/>
      <c r="B630" s="69"/>
      <c r="C630" s="70"/>
      <c r="D630" s="70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15"/>
      <c r="U630" s="15"/>
      <c r="V630" s="15"/>
      <c r="W630" s="15"/>
    </row>
    <row r="631">
      <c r="A631" s="65"/>
      <c r="B631" s="71"/>
      <c r="C631" s="72"/>
      <c r="D631" s="72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15"/>
      <c r="U631" s="15"/>
      <c r="V631" s="15"/>
      <c r="W631" s="15"/>
    </row>
    <row r="632">
      <c r="A632" s="61"/>
      <c r="B632" s="69"/>
      <c r="C632" s="70"/>
      <c r="D632" s="70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15"/>
      <c r="U632" s="15"/>
      <c r="V632" s="15"/>
      <c r="W632" s="15"/>
    </row>
    <row r="633">
      <c r="A633" s="65"/>
      <c r="B633" s="71"/>
      <c r="C633" s="72"/>
      <c r="D633" s="72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15"/>
      <c r="U633" s="15"/>
      <c r="V633" s="15"/>
      <c r="W633" s="15"/>
    </row>
    <row r="634">
      <c r="A634" s="61"/>
      <c r="B634" s="69"/>
      <c r="C634" s="70"/>
      <c r="D634" s="70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15"/>
      <c r="U634" s="15"/>
      <c r="V634" s="15"/>
      <c r="W634" s="15"/>
    </row>
    <row r="635">
      <c r="A635" s="65"/>
      <c r="B635" s="71"/>
      <c r="C635" s="72"/>
      <c r="D635" s="72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15"/>
      <c r="U635" s="15"/>
      <c r="V635" s="15"/>
      <c r="W635" s="15"/>
    </row>
    <row r="636">
      <c r="A636" s="61"/>
      <c r="B636" s="69"/>
      <c r="C636" s="70"/>
      <c r="D636" s="70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15"/>
      <c r="U636" s="15"/>
      <c r="V636" s="15"/>
      <c r="W636" s="15"/>
    </row>
    <row r="637">
      <c r="A637" s="65"/>
      <c r="B637" s="71"/>
      <c r="C637" s="72"/>
      <c r="D637" s="72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15"/>
      <c r="U637" s="15"/>
      <c r="V637" s="15"/>
      <c r="W637" s="15"/>
    </row>
    <row r="638">
      <c r="A638" s="61"/>
      <c r="B638" s="69"/>
      <c r="C638" s="70"/>
      <c r="D638" s="70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15"/>
      <c r="U638" s="15"/>
      <c r="V638" s="15"/>
      <c r="W638" s="15"/>
    </row>
    <row r="639">
      <c r="A639" s="65"/>
      <c r="B639" s="71"/>
      <c r="C639" s="72"/>
      <c r="D639" s="72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15"/>
      <c r="U639" s="15"/>
      <c r="V639" s="15"/>
      <c r="W639" s="15"/>
    </row>
    <row r="640">
      <c r="A640" s="61"/>
      <c r="B640" s="69"/>
      <c r="C640" s="70"/>
      <c r="D640" s="70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15"/>
      <c r="U640" s="15"/>
      <c r="V640" s="15"/>
      <c r="W640" s="15"/>
    </row>
    <row r="641">
      <c r="A641" s="65"/>
      <c r="B641" s="71"/>
      <c r="C641" s="72"/>
      <c r="D641" s="72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15"/>
      <c r="U641" s="15"/>
      <c r="V641" s="15"/>
      <c r="W641" s="15"/>
    </row>
    <row r="642">
      <c r="A642" s="61"/>
      <c r="B642" s="69"/>
      <c r="C642" s="70"/>
      <c r="D642" s="70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15"/>
      <c r="U642" s="15"/>
      <c r="V642" s="15"/>
      <c r="W642" s="15"/>
    </row>
    <row r="643">
      <c r="A643" s="65"/>
      <c r="B643" s="71"/>
      <c r="C643" s="72"/>
      <c r="D643" s="72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15"/>
      <c r="U643" s="15"/>
      <c r="V643" s="15"/>
      <c r="W643" s="15"/>
    </row>
    <row r="644">
      <c r="A644" s="61"/>
      <c r="B644" s="69"/>
      <c r="C644" s="70"/>
      <c r="D644" s="70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15"/>
      <c r="U644" s="15"/>
      <c r="V644" s="15"/>
      <c r="W644" s="15"/>
    </row>
    <row r="645">
      <c r="A645" s="65"/>
      <c r="B645" s="71"/>
      <c r="C645" s="72"/>
      <c r="D645" s="72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15"/>
      <c r="U645" s="15"/>
      <c r="V645" s="15"/>
      <c r="W645" s="15"/>
    </row>
    <row r="646">
      <c r="A646" s="61"/>
      <c r="B646" s="69"/>
      <c r="C646" s="70"/>
      <c r="D646" s="70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15"/>
      <c r="U646" s="15"/>
      <c r="V646" s="15"/>
      <c r="W646" s="15"/>
    </row>
    <row r="647">
      <c r="A647" s="65"/>
      <c r="B647" s="71"/>
      <c r="C647" s="72"/>
      <c r="D647" s="72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15"/>
      <c r="U647" s="15"/>
      <c r="V647" s="15"/>
      <c r="W647" s="15"/>
    </row>
    <row r="648">
      <c r="A648" s="61"/>
      <c r="B648" s="69"/>
      <c r="C648" s="70"/>
      <c r="D648" s="70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15"/>
      <c r="U648" s="15"/>
      <c r="V648" s="15"/>
      <c r="W648" s="15"/>
    </row>
    <row r="649">
      <c r="A649" s="74"/>
      <c r="B649" s="71"/>
      <c r="C649" s="72"/>
      <c r="D649" s="72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15"/>
      <c r="U649" s="15"/>
      <c r="V649" s="15"/>
      <c r="W649" s="15"/>
    </row>
    <row r="650">
      <c r="A650" s="73"/>
      <c r="B650" s="69"/>
      <c r="C650" s="70"/>
      <c r="D650" s="70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15"/>
      <c r="U650" s="15"/>
      <c r="V650" s="15"/>
      <c r="W650" s="15"/>
    </row>
    <row r="651">
      <c r="A651" s="74"/>
      <c r="B651" s="71"/>
      <c r="C651" s="72"/>
      <c r="D651" s="72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15"/>
      <c r="U651" s="15"/>
      <c r="V651" s="15"/>
      <c r="W651" s="15"/>
    </row>
    <row r="652">
      <c r="A652" s="73"/>
      <c r="B652" s="69"/>
      <c r="C652" s="70"/>
      <c r="D652" s="70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15"/>
      <c r="U652" s="15"/>
      <c r="V652" s="15"/>
      <c r="W652" s="15"/>
    </row>
    <row r="653">
      <c r="A653" s="74"/>
      <c r="B653" s="71"/>
      <c r="C653" s="72"/>
      <c r="D653" s="72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15"/>
      <c r="U653" s="15"/>
      <c r="V653" s="15"/>
      <c r="W653" s="15"/>
    </row>
    <row r="654">
      <c r="A654" s="73"/>
      <c r="B654" s="69"/>
      <c r="C654" s="70"/>
      <c r="D654" s="70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15"/>
      <c r="U654" s="15"/>
      <c r="V654" s="15"/>
      <c r="W654" s="15"/>
    </row>
    <row r="655">
      <c r="A655" s="74"/>
      <c r="B655" s="71"/>
      <c r="C655" s="72"/>
      <c r="D655" s="72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15"/>
      <c r="U655" s="15"/>
      <c r="V655" s="15"/>
      <c r="W655" s="15"/>
    </row>
    <row r="656">
      <c r="A656" s="73"/>
      <c r="B656" s="69"/>
      <c r="C656" s="70"/>
      <c r="D656" s="70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15"/>
      <c r="U656" s="15"/>
      <c r="V656" s="15"/>
      <c r="W656" s="15"/>
    </row>
    <row r="657">
      <c r="A657" s="74"/>
      <c r="B657" s="71"/>
      <c r="C657" s="72"/>
      <c r="D657" s="72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15"/>
      <c r="U657" s="15"/>
      <c r="V657" s="15"/>
      <c r="W657" s="15"/>
    </row>
    <row r="658">
      <c r="A658" s="73"/>
      <c r="B658" s="69"/>
      <c r="C658" s="70"/>
      <c r="D658" s="70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15"/>
      <c r="U658" s="15"/>
      <c r="V658" s="15"/>
      <c r="W658" s="15"/>
    </row>
    <row r="659">
      <c r="A659" s="74"/>
      <c r="B659" s="71"/>
      <c r="C659" s="72"/>
      <c r="D659" s="72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15"/>
      <c r="U659" s="15"/>
      <c r="V659" s="15"/>
      <c r="W659" s="15"/>
    </row>
    <row r="660">
      <c r="A660" s="73"/>
      <c r="B660" s="69"/>
      <c r="C660" s="70"/>
      <c r="D660" s="70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15"/>
      <c r="U660" s="15"/>
      <c r="V660" s="15"/>
      <c r="W660" s="15"/>
    </row>
    <row r="661">
      <c r="A661" s="74"/>
      <c r="B661" s="71"/>
      <c r="C661" s="72"/>
      <c r="D661" s="72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15"/>
      <c r="U661" s="15"/>
      <c r="V661" s="15"/>
      <c r="W661" s="15"/>
    </row>
    <row r="662">
      <c r="A662" s="73"/>
      <c r="B662" s="69"/>
      <c r="C662" s="70"/>
      <c r="D662" s="70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15"/>
      <c r="U662" s="15"/>
      <c r="V662" s="15"/>
      <c r="W662" s="15"/>
    </row>
    <row r="663">
      <c r="A663" s="74"/>
      <c r="B663" s="71"/>
      <c r="C663" s="72"/>
      <c r="D663" s="72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15"/>
      <c r="U663" s="15"/>
      <c r="V663" s="15"/>
      <c r="W663" s="15"/>
    </row>
    <row r="664">
      <c r="A664" s="73"/>
      <c r="B664" s="69"/>
      <c r="C664" s="70"/>
      <c r="D664" s="70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15"/>
      <c r="U664" s="15"/>
      <c r="V664" s="15"/>
      <c r="W664" s="15"/>
    </row>
    <row r="665">
      <c r="A665" s="74"/>
      <c r="B665" s="71"/>
      <c r="C665" s="72"/>
      <c r="D665" s="72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15"/>
      <c r="U665" s="15"/>
      <c r="V665" s="15"/>
      <c r="W665" s="15"/>
    </row>
    <row r="666">
      <c r="A666" s="73"/>
      <c r="B666" s="69"/>
      <c r="C666" s="70"/>
      <c r="D666" s="70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15"/>
      <c r="U666" s="15"/>
      <c r="V666" s="15"/>
      <c r="W666" s="15"/>
    </row>
    <row r="667">
      <c r="A667" s="74"/>
      <c r="B667" s="71"/>
      <c r="C667" s="72"/>
      <c r="D667" s="72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15"/>
      <c r="U667" s="15"/>
      <c r="V667" s="15"/>
      <c r="W667" s="15"/>
    </row>
    <row r="668">
      <c r="A668" s="61"/>
      <c r="B668" s="69"/>
      <c r="C668" s="70"/>
      <c r="D668" s="70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15"/>
      <c r="U668" s="15"/>
      <c r="V668" s="15"/>
      <c r="W668" s="15"/>
    </row>
    <row r="669">
      <c r="A669" s="65"/>
      <c r="B669" s="71"/>
      <c r="C669" s="72"/>
      <c r="D669" s="72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15"/>
      <c r="U669" s="15"/>
      <c r="V669" s="15"/>
      <c r="W669" s="15"/>
    </row>
    <row r="670">
      <c r="A670" s="61"/>
      <c r="B670" s="69"/>
      <c r="C670" s="70"/>
      <c r="D670" s="70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15"/>
      <c r="U670" s="15"/>
      <c r="V670" s="15"/>
      <c r="W670" s="15"/>
    </row>
    <row r="671">
      <c r="A671" s="65"/>
      <c r="B671" s="71"/>
      <c r="C671" s="72"/>
      <c r="D671" s="72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15"/>
      <c r="U671" s="15"/>
      <c r="V671" s="15"/>
      <c r="W671" s="15"/>
    </row>
    <row r="672">
      <c r="A672" s="61"/>
      <c r="B672" s="69"/>
      <c r="C672" s="70"/>
      <c r="D672" s="70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15"/>
      <c r="U672" s="15"/>
      <c r="V672" s="15"/>
      <c r="W672" s="15"/>
    </row>
    <row r="673">
      <c r="A673" s="65"/>
      <c r="B673" s="71"/>
      <c r="C673" s="72"/>
      <c r="D673" s="72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15"/>
      <c r="U673" s="15"/>
      <c r="V673" s="15"/>
      <c r="W673" s="15"/>
    </row>
    <row r="674">
      <c r="A674" s="61"/>
      <c r="B674" s="69"/>
      <c r="C674" s="70"/>
      <c r="D674" s="70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15"/>
      <c r="U674" s="15"/>
      <c r="V674" s="15"/>
      <c r="W674" s="15"/>
    </row>
    <row r="675">
      <c r="A675" s="65"/>
      <c r="B675" s="71"/>
      <c r="C675" s="72"/>
      <c r="D675" s="72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15"/>
      <c r="U675" s="15"/>
      <c r="V675" s="15"/>
      <c r="W675" s="15"/>
    </row>
    <row r="676">
      <c r="A676" s="61"/>
      <c r="B676" s="69"/>
      <c r="C676" s="70"/>
      <c r="D676" s="70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15"/>
      <c r="U676" s="15"/>
      <c r="V676" s="15"/>
      <c r="W676" s="15"/>
    </row>
    <row r="677">
      <c r="A677" s="65"/>
      <c r="B677" s="71"/>
      <c r="C677" s="72"/>
      <c r="D677" s="72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15"/>
      <c r="U677" s="15"/>
      <c r="V677" s="15"/>
      <c r="W677" s="15"/>
    </row>
    <row r="678">
      <c r="A678" s="61"/>
      <c r="B678" s="69"/>
      <c r="C678" s="70"/>
      <c r="D678" s="70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15"/>
      <c r="U678" s="15"/>
      <c r="V678" s="15"/>
      <c r="W678" s="15"/>
    </row>
    <row r="679">
      <c r="A679" s="65"/>
      <c r="B679" s="71"/>
      <c r="C679" s="72"/>
      <c r="D679" s="72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15"/>
      <c r="U679" s="15"/>
      <c r="V679" s="15"/>
      <c r="W679" s="15"/>
    </row>
    <row r="680">
      <c r="A680" s="61"/>
      <c r="B680" s="69"/>
      <c r="C680" s="70"/>
      <c r="D680" s="70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15"/>
      <c r="U680" s="15"/>
      <c r="V680" s="15"/>
      <c r="W680" s="15"/>
    </row>
    <row r="681">
      <c r="A681" s="65"/>
      <c r="B681" s="71"/>
      <c r="C681" s="72"/>
      <c r="D681" s="72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15"/>
      <c r="U681" s="15"/>
      <c r="V681" s="15"/>
      <c r="W681" s="15"/>
    </row>
    <row r="682">
      <c r="A682" s="61"/>
      <c r="B682" s="69"/>
      <c r="C682" s="70"/>
      <c r="D682" s="70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15"/>
      <c r="U682" s="15"/>
      <c r="V682" s="15"/>
      <c r="W682" s="15"/>
    </row>
    <row r="683">
      <c r="A683" s="65"/>
      <c r="B683" s="71"/>
      <c r="C683" s="72"/>
      <c r="D683" s="72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15"/>
      <c r="U683" s="15"/>
      <c r="V683" s="15"/>
      <c r="W683" s="15"/>
    </row>
    <row r="684">
      <c r="A684" s="61"/>
      <c r="B684" s="69"/>
      <c r="C684" s="70"/>
      <c r="D684" s="70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15"/>
      <c r="U684" s="15"/>
      <c r="V684" s="15"/>
      <c r="W684" s="15"/>
    </row>
    <row r="685">
      <c r="A685" s="65"/>
      <c r="B685" s="71"/>
      <c r="C685" s="72"/>
      <c r="D685" s="72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15"/>
      <c r="U685" s="15"/>
      <c r="V685" s="15"/>
      <c r="W685" s="15"/>
    </row>
    <row r="686">
      <c r="A686" s="61"/>
      <c r="B686" s="69"/>
      <c r="C686" s="70"/>
      <c r="D686" s="70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15"/>
      <c r="U686" s="15"/>
      <c r="V686" s="15"/>
      <c r="W686" s="15"/>
    </row>
    <row r="687">
      <c r="A687" s="65"/>
      <c r="B687" s="71"/>
      <c r="C687" s="72"/>
      <c r="D687" s="72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15"/>
      <c r="U687" s="15"/>
      <c r="V687" s="15"/>
      <c r="W687" s="15"/>
    </row>
    <row r="688">
      <c r="A688" s="61"/>
      <c r="B688" s="69"/>
      <c r="C688" s="70"/>
      <c r="D688" s="70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15"/>
      <c r="U688" s="15"/>
      <c r="V688" s="15"/>
      <c r="W688" s="15"/>
    </row>
    <row r="689">
      <c r="A689" s="65"/>
      <c r="B689" s="71"/>
      <c r="C689" s="72"/>
      <c r="D689" s="72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15"/>
      <c r="U689" s="15"/>
      <c r="V689" s="15"/>
      <c r="W689" s="15"/>
    </row>
    <row r="690">
      <c r="A690" s="61"/>
      <c r="B690" s="69"/>
      <c r="C690" s="70"/>
      <c r="D690" s="70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15"/>
      <c r="U690" s="15"/>
      <c r="V690" s="15"/>
      <c r="W690" s="15"/>
    </row>
    <row r="691">
      <c r="A691" s="65"/>
      <c r="B691" s="71"/>
      <c r="C691" s="72"/>
      <c r="D691" s="72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15"/>
      <c r="U691" s="15"/>
      <c r="V691" s="15"/>
      <c r="W691" s="15"/>
    </row>
    <row r="692">
      <c r="A692" s="61"/>
      <c r="B692" s="69"/>
      <c r="C692" s="70"/>
      <c r="D692" s="70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15"/>
      <c r="U692" s="15"/>
      <c r="V692" s="15"/>
      <c r="W692" s="15"/>
    </row>
    <row r="693">
      <c r="A693" s="65"/>
      <c r="B693" s="71"/>
      <c r="C693" s="72"/>
      <c r="D693" s="72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15"/>
      <c r="U693" s="15"/>
      <c r="V693" s="15"/>
      <c r="W693" s="15"/>
    </row>
    <row r="694">
      <c r="A694" s="61"/>
      <c r="B694" s="69"/>
      <c r="C694" s="70"/>
      <c r="D694" s="70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15"/>
      <c r="U694" s="15"/>
      <c r="V694" s="15"/>
      <c r="W694" s="15"/>
    </row>
    <row r="695">
      <c r="A695" s="74"/>
      <c r="B695" s="71"/>
      <c r="C695" s="72"/>
      <c r="D695" s="72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15"/>
      <c r="U695" s="15"/>
      <c r="V695" s="15"/>
      <c r="W695" s="15"/>
    </row>
    <row r="696">
      <c r="A696" s="73"/>
      <c r="B696" s="69"/>
      <c r="C696" s="70"/>
      <c r="D696" s="70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15"/>
      <c r="U696" s="15"/>
      <c r="V696" s="15"/>
      <c r="W696" s="15"/>
    </row>
    <row r="697">
      <c r="A697" s="74"/>
      <c r="B697" s="71"/>
      <c r="C697" s="72"/>
      <c r="D697" s="72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15"/>
      <c r="U697" s="15"/>
      <c r="V697" s="15"/>
      <c r="W697" s="15"/>
    </row>
    <row r="698">
      <c r="A698" s="73"/>
      <c r="B698" s="69"/>
      <c r="C698" s="70"/>
      <c r="D698" s="70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15"/>
      <c r="U698" s="15"/>
      <c r="V698" s="15"/>
      <c r="W698" s="15"/>
    </row>
    <row r="699">
      <c r="A699" s="74"/>
      <c r="B699" s="71"/>
      <c r="C699" s="72"/>
      <c r="D699" s="72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15"/>
      <c r="U699" s="15"/>
      <c r="V699" s="15"/>
      <c r="W699" s="15"/>
    </row>
    <row r="700">
      <c r="A700" s="73"/>
      <c r="B700" s="69"/>
      <c r="C700" s="70"/>
      <c r="D700" s="70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15"/>
      <c r="U700" s="15"/>
      <c r="V700" s="15"/>
      <c r="W700" s="15"/>
    </row>
    <row r="701">
      <c r="A701" s="74"/>
      <c r="B701" s="71"/>
      <c r="C701" s="72"/>
      <c r="D701" s="72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15"/>
      <c r="U701" s="15"/>
      <c r="V701" s="15"/>
      <c r="W701" s="15"/>
    </row>
    <row r="702">
      <c r="A702" s="73"/>
      <c r="B702" s="69"/>
      <c r="C702" s="70"/>
      <c r="D702" s="70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15"/>
      <c r="U702" s="15"/>
      <c r="V702" s="15"/>
      <c r="W702" s="15"/>
    </row>
    <row r="703">
      <c r="A703" s="74"/>
      <c r="B703" s="71"/>
      <c r="C703" s="72"/>
      <c r="D703" s="72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15"/>
      <c r="U703" s="15"/>
      <c r="V703" s="15"/>
      <c r="W703" s="15"/>
    </row>
    <row r="704">
      <c r="A704" s="73"/>
      <c r="B704" s="69"/>
      <c r="C704" s="70"/>
      <c r="D704" s="70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15"/>
      <c r="U704" s="15"/>
      <c r="V704" s="15"/>
      <c r="W704" s="15"/>
    </row>
    <row r="705">
      <c r="A705" s="74"/>
      <c r="B705" s="71"/>
      <c r="C705" s="72"/>
      <c r="D705" s="72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15"/>
      <c r="U705" s="15"/>
      <c r="V705" s="15"/>
      <c r="W705" s="15"/>
    </row>
    <row r="706">
      <c r="A706" s="73"/>
      <c r="B706" s="69"/>
      <c r="C706" s="70"/>
      <c r="D706" s="70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15"/>
      <c r="U706" s="15"/>
      <c r="V706" s="15"/>
      <c r="W706" s="15"/>
    </row>
    <row r="707">
      <c r="A707" s="74"/>
      <c r="B707" s="71"/>
      <c r="C707" s="72"/>
      <c r="D707" s="72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15"/>
      <c r="U707" s="15"/>
      <c r="V707" s="15"/>
      <c r="W707" s="15"/>
    </row>
    <row r="708">
      <c r="A708" s="73"/>
      <c r="B708" s="69"/>
      <c r="C708" s="70"/>
      <c r="D708" s="70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15"/>
      <c r="U708" s="15"/>
      <c r="V708" s="15"/>
      <c r="W708" s="15"/>
    </row>
    <row r="709">
      <c r="A709" s="74"/>
      <c r="B709" s="71"/>
      <c r="C709" s="72"/>
      <c r="D709" s="72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15"/>
      <c r="U709" s="15"/>
      <c r="V709" s="15"/>
      <c r="W709" s="15"/>
    </row>
    <row r="710">
      <c r="A710" s="73"/>
      <c r="B710" s="69"/>
      <c r="C710" s="70"/>
      <c r="D710" s="70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15"/>
      <c r="U710" s="15"/>
      <c r="V710" s="15"/>
      <c r="W710" s="15"/>
    </row>
    <row r="711">
      <c r="A711" s="74"/>
      <c r="B711" s="71"/>
      <c r="C711" s="72"/>
      <c r="D711" s="72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15"/>
      <c r="U711" s="15"/>
      <c r="V711" s="15"/>
      <c r="W711" s="15"/>
    </row>
    <row r="712">
      <c r="A712" s="73"/>
      <c r="B712" s="69"/>
      <c r="C712" s="70"/>
      <c r="D712" s="70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15"/>
      <c r="U712" s="15"/>
      <c r="V712" s="15"/>
      <c r="W712" s="15"/>
    </row>
    <row r="713">
      <c r="A713" s="74"/>
      <c r="B713" s="71"/>
      <c r="C713" s="72"/>
      <c r="D713" s="72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15"/>
      <c r="U713" s="15"/>
      <c r="V713" s="15"/>
      <c r="W713" s="15"/>
    </row>
    <row r="714">
      <c r="A714" s="61"/>
      <c r="B714" s="69"/>
      <c r="C714" s="70"/>
      <c r="D714" s="70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15"/>
      <c r="U714" s="15"/>
      <c r="V714" s="15"/>
      <c r="W714" s="15"/>
    </row>
    <row r="715">
      <c r="A715" s="65"/>
      <c r="B715" s="71"/>
      <c r="C715" s="72"/>
      <c r="D715" s="72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15"/>
      <c r="U715" s="15"/>
      <c r="V715" s="15"/>
      <c r="W715" s="15"/>
    </row>
    <row r="716">
      <c r="A716" s="61"/>
      <c r="B716" s="69"/>
      <c r="C716" s="70"/>
      <c r="D716" s="70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15"/>
      <c r="U716" s="15"/>
      <c r="V716" s="15"/>
      <c r="W716" s="15"/>
    </row>
    <row r="717">
      <c r="A717" s="65"/>
      <c r="B717" s="71"/>
      <c r="C717" s="72"/>
      <c r="D717" s="72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15"/>
      <c r="U717" s="15"/>
      <c r="V717" s="15"/>
      <c r="W717" s="15"/>
    </row>
    <row r="718">
      <c r="A718" s="61"/>
      <c r="B718" s="69"/>
      <c r="C718" s="70"/>
      <c r="D718" s="70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15"/>
      <c r="U718" s="15"/>
      <c r="V718" s="15"/>
      <c r="W718" s="15"/>
    </row>
    <row r="719">
      <c r="A719" s="65"/>
      <c r="B719" s="71"/>
      <c r="C719" s="72"/>
      <c r="D719" s="72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15"/>
      <c r="U719" s="15"/>
      <c r="V719" s="15"/>
      <c r="W719" s="15"/>
    </row>
    <row r="720">
      <c r="A720" s="61"/>
      <c r="B720" s="69"/>
      <c r="C720" s="70"/>
      <c r="D720" s="70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15"/>
      <c r="U720" s="15"/>
      <c r="V720" s="15"/>
      <c r="W720" s="15"/>
    </row>
    <row r="721">
      <c r="A721" s="65"/>
      <c r="B721" s="71"/>
      <c r="C721" s="72"/>
      <c r="D721" s="72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15"/>
      <c r="U721" s="15"/>
      <c r="V721" s="15"/>
      <c r="W721" s="15"/>
    </row>
    <row r="722">
      <c r="A722" s="61"/>
      <c r="B722" s="69"/>
      <c r="C722" s="70"/>
      <c r="D722" s="70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15"/>
      <c r="U722" s="15"/>
      <c r="V722" s="15"/>
      <c r="W722" s="15"/>
    </row>
    <row r="723">
      <c r="A723" s="65"/>
      <c r="B723" s="71"/>
      <c r="C723" s="72"/>
      <c r="D723" s="72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15"/>
      <c r="U723" s="15"/>
      <c r="V723" s="15"/>
      <c r="W723" s="15"/>
    </row>
    <row r="724">
      <c r="A724" s="61"/>
      <c r="B724" s="69"/>
      <c r="C724" s="70"/>
      <c r="D724" s="70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15"/>
      <c r="U724" s="15"/>
      <c r="V724" s="15"/>
      <c r="W724" s="15"/>
    </row>
    <row r="725">
      <c r="A725" s="65"/>
      <c r="B725" s="71"/>
      <c r="C725" s="72"/>
      <c r="D725" s="72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15"/>
      <c r="U725" s="15"/>
      <c r="V725" s="15"/>
      <c r="W725" s="15"/>
    </row>
    <row r="726">
      <c r="A726" s="61"/>
      <c r="B726" s="69"/>
      <c r="C726" s="70"/>
      <c r="D726" s="70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15"/>
      <c r="U726" s="15"/>
      <c r="V726" s="15"/>
      <c r="W726" s="15"/>
    </row>
    <row r="727">
      <c r="A727" s="65"/>
      <c r="B727" s="71"/>
      <c r="C727" s="72"/>
      <c r="D727" s="72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15"/>
      <c r="U727" s="15"/>
      <c r="V727" s="15"/>
      <c r="W727" s="15"/>
    </row>
    <row r="728">
      <c r="A728" s="61"/>
      <c r="B728" s="69"/>
      <c r="C728" s="70"/>
      <c r="D728" s="70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15"/>
      <c r="U728" s="15"/>
      <c r="V728" s="15"/>
      <c r="W728" s="15"/>
    </row>
    <row r="729">
      <c r="A729" s="65"/>
      <c r="B729" s="71"/>
      <c r="C729" s="72"/>
      <c r="D729" s="72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15"/>
      <c r="U729" s="15"/>
      <c r="V729" s="15"/>
      <c r="W729" s="15"/>
    </row>
    <row r="730">
      <c r="A730" s="61"/>
      <c r="B730" s="69"/>
      <c r="C730" s="70"/>
      <c r="D730" s="70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15"/>
      <c r="U730" s="15"/>
      <c r="V730" s="15"/>
      <c r="W730" s="15"/>
    </row>
    <row r="731">
      <c r="A731" s="65"/>
      <c r="B731" s="71"/>
      <c r="C731" s="72"/>
      <c r="D731" s="72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15"/>
      <c r="U731" s="15"/>
      <c r="V731" s="15"/>
      <c r="W731" s="15"/>
    </row>
    <row r="732">
      <c r="A732" s="73"/>
      <c r="B732" s="69"/>
      <c r="C732" s="70"/>
      <c r="D732" s="70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15"/>
      <c r="U732" s="15"/>
      <c r="V732" s="15"/>
      <c r="W732" s="15"/>
    </row>
    <row r="733">
      <c r="A733" s="74"/>
      <c r="B733" s="71"/>
      <c r="C733" s="72"/>
      <c r="D733" s="72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15"/>
      <c r="U733" s="15"/>
      <c r="V733" s="15"/>
      <c r="W733" s="15"/>
    </row>
    <row r="734">
      <c r="A734" s="73"/>
      <c r="B734" s="69"/>
      <c r="C734" s="70"/>
      <c r="D734" s="70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15"/>
      <c r="U734" s="15"/>
      <c r="V734" s="15"/>
      <c r="W734" s="15"/>
    </row>
    <row r="735">
      <c r="A735" s="74"/>
      <c r="B735" s="71"/>
      <c r="C735" s="72"/>
      <c r="D735" s="72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15"/>
      <c r="U735" s="15"/>
      <c r="V735" s="15"/>
      <c r="W735" s="15"/>
    </row>
    <row r="736">
      <c r="A736" s="73"/>
      <c r="B736" s="69"/>
      <c r="C736" s="70"/>
      <c r="D736" s="70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15"/>
      <c r="U736" s="15"/>
      <c r="V736" s="15"/>
      <c r="W736" s="15"/>
    </row>
    <row r="737">
      <c r="A737" s="74"/>
      <c r="B737" s="71"/>
      <c r="C737" s="72"/>
      <c r="D737" s="72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15"/>
      <c r="U737" s="15"/>
      <c r="V737" s="15"/>
      <c r="W737" s="15"/>
    </row>
    <row r="738">
      <c r="A738" s="73"/>
      <c r="B738" s="69"/>
      <c r="C738" s="70"/>
      <c r="D738" s="70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15"/>
      <c r="U738" s="15"/>
      <c r="V738" s="15"/>
      <c r="W738" s="15"/>
    </row>
    <row r="739">
      <c r="A739" s="74"/>
      <c r="B739" s="71"/>
      <c r="C739" s="72"/>
      <c r="D739" s="72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15"/>
      <c r="U739" s="15"/>
      <c r="V739" s="15"/>
      <c r="W739" s="15"/>
    </row>
    <row r="740">
      <c r="A740" s="73"/>
      <c r="B740" s="69"/>
      <c r="C740" s="70"/>
      <c r="D740" s="70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15"/>
      <c r="U740" s="15"/>
      <c r="V740" s="15"/>
      <c r="W740" s="15"/>
    </row>
    <row r="741">
      <c r="A741" s="74"/>
      <c r="B741" s="71"/>
      <c r="C741" s="72"/>
      <c r="D741" s="72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15"/>
      <c r="U741" s="15"/>
      <c r="V741" s="15"/>
      <c r="W741" s="15"/>
    </row>
    <row r="742">
      <c r="A742" s="73"/>
      <c r="B742" s="69"/>
      <c r="C742" s="70"/>
      <c r="D742" s="70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15"/>
      <c r="U742" s="15"/>
      <c r="V742" s="15"/>
      <c r="W742" s="15"/>
    </row>
    <row r="743">
      <c r="A743" s="74"/>
      <c r="B743" s="71"/>
      <c r="C743" s="72"/>
      <c r="D743" s="72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15"/>
      <c r="U743" s="15"/>
      <c r="V743" s="15"/>
      <c r="W743" s="15"/>
    </row>
    <row r="744">
      <c r="A744" s="73"/>
      <c r="B744" s="69"/>
      <c r="C744" s="70"/>
      <c r="D744" s="70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15"/>
      <c r="U744" s="15"/>
      <c r="V744" s="15"/>
      <c r="W744" s="15"/>
    </row>
    <row r="745">
      <c r="A745" s="74"/>
      <c r="B745" s="71"/>
      <c r="C745" s="72"/>
      <c r="D745" s="72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15"/>
      <c r="U745" s="15"/>
      <c r="V745" s="15"/>
      <c r="W745" s="15"/>
    </row>
    <row r="746">
      <c r="A746" s="73"/>
      <c r="B746" s="69"/>
      <c r="C746" s="70"/>
      <c r="D746" s="70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15"/>
      <c r="U746" s="15"/>
      <c r="V746" s="15"/>
      <c r="W746" s="15"/>
    </row>
    <row r="747">
      <c r="A747" s="74"/>
      <c r="B747" s="71"/>
      <c r="C747" s="72"/>
      <c r="D747" s="72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15"/>
      <c r="U747" s="15"/>
      <c r="V747" s="15"/>
      <c r="W747" s="15"/>
    </row>
    <row r="748">
      <c r="A748" s="73"/>
      <c r="B748" s="69"/>
      <c r="C748" s="70"/>
      <c r="D748" s="70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15"/>
      <c r="U748" s="15"/>
      <c r="V748" s="15"/>
      <c r="W748" s="15"/>
    </row>
    <row r="749">
      <c r="A749" s="74"/>
      <c r="B749" s="71"/>
      <c r="C749" s="72"/>
      <c r="D749" s="72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15"/>
      <c r="U749" s="15"/>
      <c r="V749" s="15"/>
      <c r="W749" s="15"/>
    </row>
    <row r="750">
      <c r="A750" s="73"/>
      <c r="B750" s="69"/>
      <c r="C750" s="70"/>
      <c r="D750" s="70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15"/>
      <c r="U750" s="15"/>
      <c r="V750" s="15"/>
      <c r="W750" s="15"/>
    </row>
    <row r="751">
      <c r="A751" s="65"/>
      <c r="B751" s="71"/>
      <c r="C751" s="72"/>
      <c r="D751" s="72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15"/>
      <c r="U751" s="15"/>
      <c r="V751" s="15"/>
      <c r="W751" s="15"/>
    </row>
    <row r="752">
      <c r="A752" s="61"/>
      <c r="B752" s="69"/>
      <c r="C752" s="70"/>
      <c r="D752" s="70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15"/>
      <c r="U752" s="15"/>
      <c r="V752" s="15"/>
      <c r="W752" s="15"/>
    </row>
    <row r="753">
      <c r="A753" s="65"/>
      <c r="B753" s="71"/>
      <c r="C753" s="72"/>
      <c r="D753" s="72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15"/>
      <c r="U753" s="15"/>
      <c r="V753" s="15"/>
      <c r="W753" s="15"/>
    </row>
    <row r="754">
      <c r="A754" s="61"/>
      <c r="B754" s="69"/>
      <c r="C754" s="70"/>
      <c r="D754" s="70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15"/>
      <c r="U754" s="15"/>
      <c r="V754" s="15"/>
      <c r="W754" s="15"/>
    </row>
    <row r="755">
      <c r="A755" s="65"/>
      <c r="B755" s="71"/>
      <c r="C755" s="72"/>
      <c r="D755" s="72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15"/>
      <c r="U755" s="15"/>
      <c r="V755" s="15"/>
      <c r="W755" s="15"/>
    </row>
    <row r="756">
      <c r="A756" s="61"/>
      <c r="B756" s="69"/>
      <c r="C756" s="70"/>
      <c r="D756" s="70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15"/>
      <c r="U756" s="15"/>
      <c r="V756" s="15"/>
      <c r="W756" s="15"/>
    </row>
    <row r="757">
      <c r="A757" s="65"/>
      <c r="B757" s="71"/>
      <c r="C757" s="72"/>
      <c r="D757" s="72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15"/>
      <c r="U757" s="15"/>
      <c r="V757" s="15"/>
      <c r="W757" s="15"/>
    </row>
    <row r="758">
      <c r="A758" s="61"/>
      <c r="B758" s="69"/>
      <c r="C758" s="70"/>
      <c r="D758" s="70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15"/>
      <c r="U758" s="15"/>
      <c r="V758" s="15"/>
      <c r="W758" s="15"/>
    </row>
    <row r="759">
      <c r="A759" s="65"/>
      <c r="B759" s="71"/>
      <c r="C759" s="72"/>
      <c r="D759" s="72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15"/>
      <c r="U759" s="15"/>
      <c r="V759" s="15"/>
      <c r="W759" s="15"/>
    </row>
    <row r="760">
      <c r="A760" s="61"/>
      <c r="B760" s="69"/>
      <c r="C760" s="70"/>
      <c r="D760" s="70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15"/>
      <c r="U760" s="15"/>
      <c r="V760" s="15"/>
      <c r="W760" s="15"/>
    </row>
    <row r="761">
      <c r="A761" s="65"/>
      <c r="B761" s="71"/>
      <c r="C761" s="72"/>
      <c r="D761" s="72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15"/>
      <c r="U761" s="15"/>
      <c r="V761" s="15"/>
      <c r="W761" s="15"/>
    </row>
    <row r="762">
      <c r="A762" s="61"/>
      <c r="B762" s="69"/>
      <c r="C762" s="70"/>
      <c r="D762" s="70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15"/>
      <c r="U762" s="15"/>
      <c r="V762" s="15"/>
      <c r="W762" s="15"/>
    </row>
    <row r="763">
      <c r="A763" s="65"/>
      <c r="B763" s="71"/>
      <c r="C763" s="72"/>
      <c r="D763" s="72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15"/>
      <c r="U763" s="15"/>
      <c r="V763" s="15"/>
      <c r="W763" s="15"/>
    </row>
    <row r="764">
      <c r="A764" s="61"/>
      <c r="B764" s="69"/>
      <c r="C764" s="70"/>
      <c r="D764" s="70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15"/>
      <c r="U764" s="15"/>
      <c r="V764" s="15"/>
      <c r="W764" s="15"/>
    </row>
    <row r="765">
      <c r="A765" s="65"/>
      <c r="B765" s="71"/>
      <c r="C765" s="72"/>
      <c r="D765" s="72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15"/>
      <c r="U765" s="15"/>
      <c r="V765" s="15"/>
      <c r="W765" s="15"/>
    </row>
    <row r="766">
      <c r="A766" s="61"/>
      <c r="B766" s="69"/>
      <c r="C766" s="70"/>
      <c r="D766" s="70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15"/>
      <c r="U766" s="15"/>
      <c r="V766" s="15"/>
      <c r="W766" s="15"/>
    </row>
    <row r="767">
      <c r="A767" s="65"/>
      <c r="B767" s="71"/>
      <c r="C767" s="72"/>
      <c r="D767" s="72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15"/>
      <c r="U767" s="15"/>
      <c r="V767" s="15"/>
      <c r="W767" s="15"/>
    </row>
    <row r="768">
      <c r="A768" s="61"/>
      <c r="B768" s="69"/>
      <c r="C768" s="70"/>
      <c r="D768" s="70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15"/>
      <c r="U768" s="15"/>
      <c r="V768" s="15"/>
      <c r="W768" s="15"/>
    </row>
    <row r="769">
      <c r="A769" s="65"/>
      <c r="B769" s="71"/>
      <c r="C769" s="72"/>
      <c r="D769" s="72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15"/>
      <c r="U769" s="15"/>
      <c r="V769" s="15"/>
      <c r="W769" s="15"/>
    </row>
    <row r="770">
      <c r="A770" s="61"/>
      <c r="B770" s="69"/>
      <c r="C770" s="70"/>
      <c r="D770" s="70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15"/>
      <c r="U770" s="15"/>
      <c r="V770" s="15"/>
      <c r="W770" s="15"/>
    </row>
    <row r="771">
      <c r="A771" s="65"/>
      <c r="B771" s="71"/>
      <c r="C771" s="72"/>
      <c r="D771" s="72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15"/>
      <c r="U771" s="15"/>
      <c r="V771" s="15"/>
      <c r="W771" s="15"/>
    </row>
    <row r="772">
      <c r="A772" s="61"/>
      <c r="B772" s="69"/>
      <c r="C772" s="70"/>
      <c r="D772" s="70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15"/>
      <c r="U772" s="15"/>
      <c r="V772" s="15"/>
      <c r="W772" s="15"/>
    </row>
    <row r="773">
      <c r="A773" s="65"/>
      <c r="B773" s="71"/>
      <c r="C773" s="72"/>
      <c r="D773" s="72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15"/>
      <c r="U773" s="15"/>
      <c r="V773" s="15"/>
      <c r="W773" s="15"/>
    </row>
    <row r="774">
      <c r="A774" s="61"/>
      <c r="B774" s="69"/>
      <c r="C774" s="70"/>
      <c r="D774" s="70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15"/>
      <c r="U774" s="15"/>
      <c r="V774" s="15"/>
      <c r="W774" s="15"/>
    </row>
    <row r="775">
      <c r="A775" s="65"/>
      <c r="B775" s="71"/>
      <c r="C775" s="72"/>
      <c r="D775" s="72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15"/>
      <c r="U775" s="15"/>
      <c r="V775" s="15"/>
      <c r="W775" s="15"/>
    </row>
    <row r="776">
      <c r="A776" s="61"/>
      <c r="B776" s="69"/>
      <c r="C776" s="70"/>
      <c r="D776" s="70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15"/>
      <c r="U776" s="15"/>
      <c r="V776" s="15"/>
      <c r="W776" s="15"/>
    </row>
    <row r="777">
      <c r="A777" s="65"/>
      <c r="B777" s="71"/>
      <c r="C777" s="72"/>
      <c r="D777" s="72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15"/>
      <c r="U777" s="15"/>
      <c r="V777" s="15"/>
      <c r="W777" s="15"/>
    </row>
    <row r="778">
      <c r="A778" s="73"/>
      <c r="B778" s="69"/>
      <c r="C778" s="70"/>
      <c r="D778" s="70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15"/>
      <c r="U778" s="15"/>
      <c r="V778" s="15"/>
      <c r="W778" s="15"/>
    </row>
    <row r="779">
      <c r="A779" s="74"/>
      <c r="B779" s="71"/>
      <c r="C779" s="72"/>
      <c r="D779" s="72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15"/>
      <c r="U779" s="15"/>
      <c r="V779" s="15"/>
      <c r="W779" s="15"/>
    </row>
    <row r="780">
      <c r="A780" s="73"/>
      <c r="B780" s="69"/>
      <c r="C780" s="70"/>
      <c r="D780" s="70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15"/>
      <c r="U780" s="15"/>
      <c r="V780" s="15"/>
      <c r="W780" s="15"/>
    </row>
    <row r="781">
      <c r="A781" s="74"/>
      <c r="B781" s="71"/>
      <c r="C781" s="72"/>
      <c r="D781" s="72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15"/>
      <c r="U781" s="15"/>
      <c r="V781" s="15"/>
      <c r="W781" s="15"/>
    </row>
    <row r="782">
      <c r="A782" s="73"/>
      <c r="B782" s="69"/>
      <c r="C782" s="70"/>
      <c r="D782" s="70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15"/>
      <c r="U782" s="15"/>
      <c r="V782" s="15"/>
      <c r="W782" s="15"/>
    </row>
    <row r="783">
      <c r="A783" s="74"/>
      <c r="B783" s="71"/>
      <c r="C783" s="72"/>
      <c r="D783" s="72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15"/>
      <c r="U783" s="15"/>
      <c r="V783" s="15"/>
      <c r="W783" s="15"/>
    </row>
    <row r="784">
      <c r="A784" s="73"/>
      <c r="B784" s="69"/>
      <c r="C784" s="70"/>
      <c r="D784" s="70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15"/>
      <c r="U784" s="15"/>
      <c r="V784" s="15"/>
      <c r="W784" s="15"/>
    </row>
    <row r="785">
      <c r="A785" s="74"/>
      <c r="B785" s="71"/>
      <c r="C785" s="72"/>
      <c r="D785" s="72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15"/>
      <c r="U785" s="15"/>
      <c r="V785" s="15"/>
      <c r="W785" s="15"/>
    </row>
    <row r="786">
      <c r="A786" s="73"/>
      <c r="B786" s="69"/>
      <c r="C786" s="70"/>
      <c r="D786" s="70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15"/>
      <c r="U786" s="15"/>
      <c r="V786" s="15"/>
      <c r="W786" s="15"/>
    </row>
    <row r="787">
      <c r="A787" s="74"/>
      <c r="B787" s="71"/>
      <c r="C787" s="72"/>
      <c r="D787" s="72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15"/>
      <c r="U787" s="15"/>
      <c r="V787" s="15"/>
      <c r="W787" s="15"/>
    </row>
    <row r="788">
      <c r="A788" s="73"/>
      <c r="B788" s="69"/>
      <c r="C788" s="70"/>
      <c r="D788" s="70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15"/>
      <c r="U788" s="15"/>
      <c r="V788" s="15"/>
      <c r="W788" s="15"/>
    </row>
    <row r="789">
      <c r="A789" s="74"/>
      <c r="B789" s="71"/>
      <c r="C789" s="72"/>
      <c r="D789" s="72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15"/>
      <c r="U789" s="15"/>
      <c r="V789" s="15"/>
      <c r="W789" s="15"/>
    </row>
    <row r="790">
      <c r="A790" s="73"/>
      <c r="B790" s="69"/>
      <c r="C790" s="70"/>
      <c r="D790" s="70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15"/>
      <c r="U790" s="15"/>
      <c r="V790" s="15"/>
      <c r="W790" s="15"/>
    </row>
    <row r="791">
      <c r="A791" s="74"/>
      <c r="B791" s="71"/>
      <c r="C791" s="72"/>
      <c r="D791" s="72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15"/>
      <c r="U791" s="15"/>
      <c r="V791" s="15"/>
      <c r="W791" s="15"/>
    </row>
    <row r="792">
      <c r="A792" s="73"/>
      <c r="B792" s="69"/>
      <c r="C792" s="70"/>
      <c r="D792" s="70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15"/>
      <c r="U792" s="15"/>
      <c r="V792" s="15"/>
      <c r="W792" s="15"/>
    </row>
    <row r="793">
      <c r="A793" s="74"/>
      <c r="B793" s="71"/>
      <c r="C793" s="72"/>
      <c r="D793" s="72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15"/>
      <c r="U793" s="15"/>
      <c r="V793" s="15"/>
      <c r="W793" s="15"/>
    </row>
    <row r="794">
      <c r="A794" s="73"/>
      <c r="B794" s="69"/>
      <c r="C794" s="70"/>
      <c r="D794" s="70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15"/>
      <c r="U794" s="15"/>
      <c r="V794" s="15"/>
      <c r="W794" s="15"/>
    </row>
    <row r="795">
      <c r="A795" s="74"/>
      <c r="B795" s="71"/>
      <c r="C795" s="72"/>
      <c r="D795" s="72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15"/>
      <c r="U795" s="15"/>
      <c r="V795" s="15"/>
      <c r="W795" s="15"/>
    </row>
    <row r="796">
      <c r="A796" s="73"/>
      <c r="B796" s="69"/>
      <c r="C796" s="70"/>
      <c r="D796" s="70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15"/>
      <c r="U796" s="15"/>
      <c r="V796" s="15"/>
      <c r="W796" s="15"/>
    </row>
    <row r="797">
      <c r="A797" s="65"/>
      <c r="B797" s="71"/>
      <c r="C797" s="72"/>
      <c r="D797" s="72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15"/>
      <c r="U797" s="15"/>
      <c r="V797" s="15"/>
      <c r="W797" s="15"/>
    </row>
    <row r="798">
      <c r="A798" s="61"/>
      <c r="B798" s="69"/>
      <c r="C798" s="70"/>
      <c r="D798" s="70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15"/>
      <c r="U798" s="15"/>
      <c r="V798" s="15"/>
      <c r="W798" s="15"/>
    </row>
    <row r="799">
      <c r="A799" s="65"/>
      <c r="B799" s="71"/>
      <c r="C799" s="72"/>
      <c r="D799" s="72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15"/>
      <c r="U799" s="15"/>
      <c r="V799" s="15"/>
      <c r="W799" s="15"/>
    </row>
    <row r="800">
      <c r="A800" s="61"/>
      <c r="B800" s="69"/>
      <c r="C800" s="70"/>
      <c r="D800" s="70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15"/>
      <c r="U800" s="15"/>
      <c r="V800" s="15"/>
      <c r="W800" s="15"/>
    </row>
    <row r="801">
      <c r="A801" s="65"/>
      <c r="B801" s="71"/>
      <c r="C801" s="72"/>
      <c r="D801" s="72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15"/>
      <c r="U801" s="15"/>
      <c r="V801" s="15"/>
      <c r="W801" s="15"/>
    </row>
    <row r="802">
      <c r="A802" s="61"/>
      <c r="B802" s="69"/>
      <c r="C802" s="70"/>
      <c r="D802" s="70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15"/>
      <c r="U802" s="15"/>
      <c r="V802" s="15"/>
      <c r="W802" s="15"/>
    </row>
    <row r="803">
      <c r="A803" s="65"/>
      <c r="B803" s="71"/>
      <c r="C803" s="72"/>
      <c r="D803" s="72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15"/>
      <c r="U803" s="15"/>
      <c r="V803" s="15"/>
      <c r="W803" s="15"/>
    </row>
    <row r="804">
      <c r="A804" s="61"/>
      <c r="B804" s="69"/>
      <c r="C804" s="70"/>
      <c r="D804" s="70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15"/>
      <c r="U804" s="15"/>
      <c r="V804" s="15"/>
      <c r="W804" s="15"/>
    </row>
    <row r="805">
      <c r="A805" s="65"/>
      <c r="B805" s="71"/>
      <c r="C805" s="72"/>
      <c r="D805" s="72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15"/>
      <c r="U805" s="15"/>
      <c r="V805" s="15"/>
      <c r="W805" s="15"/>
    </row>
    <row r="806">
      <c r="A806" s="61"/>
      <c r="B806" s="69"/>
      <c r="C806" s="70"/>
      <c r="D806" s="70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15"/>
      <c r="U806" s="15"/>
      <c r="V806" s="15"/>
      <c r="W806" s="15"/>
    </row>
    <row r="807">
      <c r="A807" s="65"/>
      <c r="B807" s="71"/>
      <c r="C807" s="72"/>
      <c r="D807" s="72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15"/>
      <c r="U807" s="15"/>
      <c r="V807" s="15"/>
      <c r="W807" s="15"/>
    </row>
    <row r="808">
      <c r="A808" s="61"/>
      <c r="B808" s="69"/>
      <c r="C808" s="70"/>
      <c r="D808" s="70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15"/>
      <c r="U808" s="15"/>
      <c r="V808" s="15"/>
      <c r="W808" s="15"/>
    </row>
    <row r="809">
      <c r="A809" s="65"/>
      <c r="B809" s="71"/>
      <c r="C809" s="72"/>
      <c r="D809" s="72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15"/>
      <c r="U809" s="15"/>
      <c r="V809" s="15"/>
      <c r="W809" s="15"/>
    </row>
    <row r="810">
      <c r="A810" s="61"/>
      <c r="B810" s="69"/>
      <c r="C810" s="70"/>
      <c r="D810" s="70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15"/>
      <c r="U810" s="15"/>
      <c r="V810" s="15"/>
      <c r="W810" s="15"/>
    </row>
    <row r="811">
      <c r="A811" s="65"/>
      <c r="B811" s="71"/>
      <c r="C811" s="72"/>
      <c r="D811" s="72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15"/>
      <c r="U811" s="15"/>
      <c r="V811" s="15"/>
      <c r="W811" s="15"/>
    </row>
    <row r="812">
      <c r="A812" s="61"/>
      <c r="B812" s="69"/>
      <c r="C812" s="70"/>
      <c r="D812" s="70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15"/>
      <c r="U812" s="15"/>
      <c r="V812" s="15"/>
      <c r="W812" s="15"/>
    </row>
    <row r="813">
      <c r="A813" s="65"/>
      <c r="B813" s="71"/>
      <c r="C813" s="72"/>
      <c r="D813" s="72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15"/>
      <c r="U813" s="15"/>
      <c r="V813" s="15"/>
      <c r="W813" s="15"/>
    </row>
    <row r="814">
      <c r="A814" s="61"/>
      <c r="B814" s="69"/>
      <c r="C814" s="70"/>
      <c r="D814" s="70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15"/>
      <c r="U814" s="15"/>
      <c r="V814" s="15"/>
      <c r="W814" s="15"/>
    </row>
    <row r="815">
      <c r="A815" s="74"/>
      <c r="B815" s="71"/>
      <c r="C815" s="72"/>
      <c r="D815" s="72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15"/>
      <c r="U815" s="15"/>
      <c r="V815" s="15"/>
      <c r="W815" s="15"/>
    </row>
    <row r="816">
      <c r="A816" s="73"/>
      <c r="B816" s="69"/>
      <c r="C816" s="70"/>
      <c r="D816" s="70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15"/>
      <c r="U816" s="15"/>
      <c r="V816" s="15"/>
      <c r="W816" s="15"/>
    </row>
    <row r="817">
      <c r="A817" s="74"/>
      <c r="B817" s="71"/>
      <c r="C817" s="72"/>
      <c r="D817" s="72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15"/>
      <c r="U817" s="15"/>
      <c r="V817" s="15"/>
      <c r="W817" s="15"/>
    </row>
    <row r="818">
      <c r="A818" s="73"/>
      <c r="B818" s="69"/>
      <c r="C818" s="70"/>
      <c r="D818" s="70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15"/>
      <c r="U818" s="15"/>
      <c r="V818" s="15"/>
      <c r="W818" s="15"/>
    </row>
    <row r="819">
      <c r="A819" s="74"/>
      <c r="B819" s="71"/>
      <c r="C819" s="72"/>
      <c r="D819" s="72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15"/>
      <c r="U819" s="15"/>
      <c r="V819" s="15"/>
      <c r="W819" s="15"/>
    </row>
    <row r="820">
      <c r="A820" s="73"/>
      <c r="B820" s="69"/>
      <c r="C820" s="70"/>
      <c r="D820" s="70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15"/>
      <c r="U820" s="15"/>
      <c r="V820" s="15"/>
      <c r="W820" s="15"/>
    </row>
    <row r="821">
      <c r="A821" s="74"/>
      <c r="B821" s="71"/>
      <c r="C821" s="72"/>
      <c r="D821" s="72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15"/>
      <c r="U821" s="15"/>
      <c r="V821" s="15"/>
      <c r="W821" s="15"/>
    </row>
    <row r="822">
      <c r="A822" s="73"/>
      <c r="B822" s="69"/>
      <c r="C822" s="70"/>
      <c r="D822" s="70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15"/>
      <c r="U822" s="15"/>
      <c r="V822" s="15"/>
      <c r="W822" s="15"/>
    </row>
    <row r="823">
      <c r="A823" s="74"/>
      <c r="B823" s="71"/>
      <c r="C823" s="72"/>
      <c r="D823" s="72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15"/>
      <c r="U823" s="15"/>
      <c r="V823" s="15"/>
      <c r="W823" s="15"/>
    </row>
    <row r="824">
      <c r="A824" s="73"/>
      <c r="B824" s="69"/>
      <c r="C824" s="70"/>
      <c r="D824" s="70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15"/>
      <c r="U824" s="15"/>
      <c r="V824" s="15"/>
      <c r="W824" s="15"/>
    </row>
    <row r="825">
      <c r="A825" s="74"/>
      <c r="B825" s="71"/>
      <c r="C825" s="72"/>
      <c r="D825" s="72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15"/>
      <c r="U825" s="15"/>
      <c r="V825" s="15"/>
      <c r="W825" s="15"/>
    </row>
    <row r="826">
      <c r="A826" s="73"/>
      <c r="B826" s="69"/>
      <c r="C826" s="70"/>
      <c r="D826" s="70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15"/>
      <c r="U826" s="15"/>
      <c r="V826" s="15"/>
      <c r="W826" s="15"/>
    </row>
    <row r="827">
      <c r="A827" s="74"/>
      <c r="B827" s="71"/>
      <c r="C827" s="72"/>
      <c r="D827" s="72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15"/>
      <c r="U827" s="15"/>
      <c r="V827" s="15"/>
      <c r="W827" s="15"/>
    </row>
    <row r="828">
      <c r="A828" s="73"/>
      <c r="B828" s="69"/>
      <c r="C828" s="70"/>
      <c r="D828" s="70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15"/>
      <c r="U828" s="15"/>
      <c r="V828" s="15"/>
      <c r="W828" s="15"/>
    </row>
    <row r="829">
      <c r="A829" s="74"/>
      <c r="B829" s="71"/>
      <c r="C829" s="72"/>
      <c r="D829" s="72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15"/>
      <c r="U829" s="15"/>
      <c r="V829" s="15"/>
      <c r="W829" s="15"/>
    </row>
    <row r="830">
      <c r="A830" s="73"/>
      <c r="B830" s="69"/>
      <c r="C830" s="70"/>
      <c r="D830" s="70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15"/>
      <c r="U830" s="15"/>
      <c r="V830" s="15"/>
      <c r="W830" s="15"/>
    </row>
    <row r="831">
      <c r="A831" s="74"/>
      <c r="B831" s="71"/>
      <c r="C831" s="72"/>
      <c r="D831" s="72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15"/>
      <c r="U831" s="15"/>
      <c r="V831" s="15"/>
      <c r="W831" s="15"/>
    </row>
    <row r="832">
      <c r="A832" s="73"/>
      <c r="B832" s="69"/>
      <c r="C832" s="70"/>
      <c r="D832" s="70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15"/>
      <c r="U832" s="15"/>
      <c r="V832" s="15"/>
      <c r="W832" s="15"/>
    </row>
    <row r="833">
      <c r="A833" s="74"/>
      <c r="B833" s="71"/>
      <c r="C833" s="72"/>
      <c r="D833" s="72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15"/>
      <c r="U833" s="15"/>
      <c r="V833" s="15"/>
      <c r="W833" s="15"/>
    </row>
    <row r="834">
      <c r="A834" s="61"/>
      <c r="B834" s="69"/>
      <c r="C834" s="70"/>
      <c r="D834" s="70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15"/>
      <c r="U834" s="15"/>
      <c r="V834" s="15"/>
      <c r="W834" s="15"/>
    </row>
    <row r="835">
      <c r="A835" s="65"/>
      <c r="B835" s="71"/>
      <c r="C835" s="72"/>
      <c r="D835" s="72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15"/>
      <c r="U835" s="15"/>
      <c r="V835" s="15"/>
      <c r="W835" s="15"/>
    </row>
    <row r="836">
      <c r="A836" s="61"/>
      <c r="B836" s="69"/>
      <c r="C836" s="70"/>
      <c r="D836" s="70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15"/>
      <c r="U836" s="15"/>
      <c r="V836" s="15"/>
      <c r="W836" s="15"/>
    </row>
    <row r="837">
      <c r="A837" s="65"/>
      <c r="B837" s="71"/>
      <c r="C837" s="72"/>
      <c r="D837" s="72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15"/>
      <c r="U837" s="15"/>
      <c r="V837" s="15"/>
      <c r="W837" s="15"/>
    </row>
    <row r="838">
      <c r="A838" s="61"/>
      <c r="B838" s="69"/>
      <c r="C838" s="70"/>
      <c r="D838" s="70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15"/>
      <c r="U838" s="15"/>
      <c r="V838" s="15"/>
      <c r="W838" s="15"/>
    </row>
    <row r="839">
      <c r="A839" s="65"/>
      <c r="B839" s="71"/>
      <c r="C839" s="72"/>
      <c r="D839" s="72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15"/>
      <c r="U839" s="15"/>
      <c r="V839" s="15"/>
      <c r="W839" s="15"/>
    </row>
    <row r="840">
      <c r="A840" s="61"/>
      <c r="B840" s="69"/>
      <c r="C840" s="70"/>
      <c r="D840" s="70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15"/>
      <c r="U840" s="15"/>
      <c r="V840" s="15"/>
      <c r="W840" s="15"/>
    </row>
    <row r="841">
      <c r="A841" s="65"/>
      <c r="B841" s="71"/>
      <c r="C841" s="72"/>
      <c r="D841" s="72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15"/>
      <c r="U841" s="15"/>
      <c r="V841" s="15"/>
      <c r="W841" s="15"/>
    </row>
    <row r="842">
      <c r="A842" s="61"/>
      <c r="B842" s="69"/>
      <c r="C842" s="70"/>
      <c r="D842" s="70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15"/>
      <c r="U842" s="15"/>
      <c r="V842" s="15"/>
      <c r="W842" s="15"/>
    </row>
    <row r="843">
      <c r="A843" s="65"/>
      <c r="B843" s="71"/>
      <c r="C843" s="72"/>
      <c r="D843" s="72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15"/>
      <c r="U843" s="15"/>
      <c r="V843" s="15"/>
      <c r="W843" s="15"/>
    </row>
    <row r="844">
      <c r="A844" s="61"/>
      <c r="B844" s="69"/>
      <c r="C844" s="70"/>
      <c r="D844" s="70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15"/>
      <c r="U844" s="15"/>
      <c r="V844" s="15"/>
      <c r="W844" s="15"/>
    </row>
    <row r="845">
      <c r="A845" s="65"/>
      <c r="B845" s="71"/>
      <c r="C845" s="72"/>
      <c r="D845" s="72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15"/>
      <c r="U845" s="15"/>
      <c r="V845" s="15"/>
      <c r="W845" s="15"/>
    </row>
    <row r="846">
      <c r="A846" s="61"/>
      <c r="B846" s="69"/>
      <c r="C846" s="70"/>
      <c r="D846" s="70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15"/>
      <c r="U846" s="15"/>
      <c r="V846" s="15"/>
      <c r="W846" s="15"/>
    </row>
    <row r="847">
      <c r="A847" s="65"/>
      <c r="B847" s="71"/>
      <c r="C847" s="72"/>
      <c r="D847" s="72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15"/>
      <c r="U847" s="15"/>
      <c r="V847" s="15"/>
      <c r="W847" s="15"/>
    </row>
    <row r="848">
      <c r="A848" s="61"/>
      <c r="B848" s="69"/>
      <c r="C848" s="70"/>
      <c r="D848" s="70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15"/>
      <c r="U848" s="15"/>
      <c r="V848" s="15"/>
      <c r="W848" s="15"/>
    </row>
    <row r="849">
      <c r="A849" s="65"/>
      <c r="B849" s="71"/>
      <c r="C849" s="72"/>
      <c r="D849" s="72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15"/>
      <c r="U849" s="15"/>
      <c r="V849" s="15"/>
      <c r="W849" s="15"/>
    </row>
    <row r="850">
      <c r="A850" s="61"/>
      <c r="B850" s="69"/>
      <c r="C850" s="70"/>
      <c r="D850" s="70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15"/>
      <c r="U850" s="15"/>
      <c r="V850" s="15"/>
      <c r="W850" s="15"/>
    </row>
    <row r="851">
      <c r="A851" s="65"/>
      <c r="B851" s="71"/>
      <c r="C851" s="72"/>
      <c r="D851" s="72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15"/>
      <c r="U851" s="15"/>
      <c r="V851" s="15"/>
      <c r="W851" s="15"/>
    </row>
    <row r="852">
      <c r="A852" s="61"/>
      <c r="B852" s="69"/>
      <c r="C852" s="70"/>
      <c r="D852" s="70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15"/>
      <c r="U852" s="15"/>
      <c r="V852" s="15"/>
      <c r="W852" s="15"/>
    </row>
    <row r="853">
      <c r="A853" s="65"/>
      <c r="B853" s="71"/>
      <c r="C853" s="72"/>
      <c r="D853" s="72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15"/>
      <c r="U853" s="15"/>
      <c r="V853" s="15"/>
      <c r="W853" s="15"/>
    </row>
    <row r="854">
      <c r="A854" s="61"/>
      <c r="B854" s="69"/>
      <c r="C854" s="70"/>
      <c r="D854" s="70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15"/>
      <c r="U854" s="15"/>
      <c r="V854" s="15"/>
      <c r="W854" s="15"/>
    </row>
    <row r="855">
      <c r="A855" s="65"/>
      <c r="B855" s="71"/>
      <c r="C855" s="72"/>
      <c r="D855" s="72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15"/>
      <c r="U855" s="15"/>
      <c r="V855" s="15"/>
      <c r="W855" s="15"/>
    </row>
    <row r="856">
      <c r="A856" s="61"/>
      <c r="B856" s="69"/>
      <c r="C856" s="70"/>
      <c r="D856" s="70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15"/>
      <c r="U856" s="15"/>
      <c r="V856" s="15"/>
      <c r="W856" s="15"/>
    </row>
    <row r="857">
      <c r="A857" s="65"/>
      <c r="B857" s="71"/>
      <c r="C857" s="72"/>
      <c r="D857" s="72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15"/>
      <c r="U857" s="15"/>
      <c r="V857" s="15"/>
      <c r="W857" s="15"/>
    </row>
    <row r="858">
      <c r="A858" s="61"/>
      <c r="B858" s="69"/>
      <c r="C858" s="70"/>
      <c r="D858" s="70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15"/>
      <c r="U858" s="15"/>
      <c r="V858" s="15"/>
      <c r="W858" s="15"/>
    </row>
    <row r="859">
      <c r="A859" s="65"/>
      <c r="B859" s="71"/>
      <c r="C859" s="72"/>
      <c r="D859" s="72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15"/>
      <c r="U859" s="15"/>
      <c r="V859" s="15"/>
      <c r="W859" s="15"/>
    </row>
    <row r="860">
      <c r="A860" s="61"/>
      <c r="B860" s="69"/>
      <c r="C860" s="70"/>
      <c r="D860" s="70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15"/>
      <c r="U860" s="15"/>
      <c r="V860" s="15"/>
      <c r="W860" s="15"/>
    </row>
    <row r="861">
      <c r="A861" s="74"/>
      <c r="B861" s="71"/>
      <c r="C861" s="72"/>
      <c r="D861" s="72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15"/>
      <c r="U861" s="15"/>
      <c r="V861" s="15"/>
      <c r="W861" s="15"/>
    </row>
    <row r="862">
      <c r="A862" s="73"/>
      <c r="B862" s="69"/>
      <c r="C862" s="70"/>
      <c r="D862" s="70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15"/>
      <c r="U862" s="15"/>
      <c r="V862" s="15"/>
      <c r="W862" s="15"/>
    </row>
    <row r="863">
      <c r="A863" s="74"/>
      <c r="B863" s="71"/>
      <c r="C863" s="72"/>
      <c r="D863" s="72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15"/>
      <c r="U863" s="15"/>
      <c r="V863" s="15"/>
      <c r="W863" s="15"/>
    </row>
    <row r="864">
      <c r="A864" s="73"/>
      <c r="B864" s="69"/>
      <c r="C864" s="70"/>
      <c r="D864" s="70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15"/>
      <c r="U864" s="15"/>
      <c r="V864" s="15"/>
      <c r="W864" s="15"/>
    </row>
    <row r="865">
      <c r="A865" s="74"/>
      <c r="B865" s="71"/>
      <c r="C865" s="72"/>
      <c r="D865" s="72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15"/>
      <c r="U865" s="15"/>
      <c r="V865" s="15"/>
      <c r="W865" s="15"/>
    </row>
    <row r="866">
      <c r="A866" s="73"/>
      <c r="B866" s="69"/>
      <c r="C866" s="70"/>
      <c r="D866" s="70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15"/>
      <c r="U866" s="15"/>
      <c r="V866" s="15"/>
      <c r="W866" s="15"/>
    </row>
    <row r="867">
      <c r="A867" s="74"/>
      <c r="B867" s="71"/>
      <c r="C867" s="72"/>
      <c r="D867" s="72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15"/>
      <c r="U867" s="15"/>
      <c r="V867" s="15"/>
      <c r="W867" s="15"/>
    </row>
    <row r="868">
      <c r="A868" s="73"/>
      <c r="B868" s="69"/>
      <c r="C868" s="70"/>
      <c r="D868" s="70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15"/>
      <c r="U868" s="15"/>
      <c r="V868" s="15"/>
      <c r="W868" s="15"/>
    </row>
    <row r="869">
      <c r="A869" s="74"/>
      <c r="B869" s="71"/>
      <c r="C869" s="72"/>
      <c r="D869" s="72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15"/>
      <c r="U869" s="15"/>
      <c r="V869" s="15"/>
      <c r="W869" s="15"/>
    </row>
    <row r="870">
      <c r="A870" s="73"/>
      <c r="B870" s="69"/>
      <c r="C870" s="70"/>
      <c r="D870" s="70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15"/>
      <c r="U870" s="15"/>
      <c r="V870" s="15"/>
      <c r="W870" s="15"/>
    </row>
    <row r="871">
      <c r="A871" s="74"/>
      <c r="B871" s="71"/>
      <c r="C871" s="72"/>
      <c r="D871" s="72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15"/>
      <c r="U871" s="15"/>
      <c r="V871" s="15"/>
      <c r="W871" s="15"/>
    </row>
    <row r="872">
      <c r="A872" s="73"/>
      <c r="B872" s="69"/>
      <c r="C872" s="70"/>
      <c r="D872" s="70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15"/>
      <c r="U872" s="15"/>
      <c r="V872" s="15"/>
      <c r="W872" s="15"/>
    </row>
    <row r="873">
      <c r="A873" s="74"/>
      <c r="B873" s="71"/>
      <c r="C873" s="72"/>
      <c r="D873" s="72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15"/>
      <c r="U873" s="15"/>
      <c r="V873" s="15"/>
      <c r="W873" s="15"/>
    </row>
    <row r="874">
      <c r="A874" s="73"/>
      <c r="B874" s="69"/>
      <c r="C874" s="70"/>
      <c r="D874" s="70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15"/>
      <c r="U874" s="15"/>
      <c r="V874" s="15"/>
      <c r="W874" s="15"/>
    </row>
    <row r="875">
      <c r="A875" s="74"/>
      <c r="B875" s="71"/>
      <c r="C875" s="72"/>
      <c r="D875" s="72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15"/>
      <c r="U875" s="15"/>
      <c r="V875" s="15"/>
      <c r="W875" s="15"/>
    </row>
    <row r="876">
      <c r="A876" s="73"/>
      <c r="B876" s="69"/>
      <c r="C876" s="70"/>
      <c r="D876" s="70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15"/>
      <c r="U876" s="15"/>
      <c r="V876" s="15"/>
      <c r="W876" s="15"/>
    </row>
    <row r="877">
      <c r="A877" s="74"/>
      <c r="B877" s="71"/>
      <c r="C877" s="72"/>
      <c r="D877" s="72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15"/>
      <c r="U877" s="15"/>
      <c r="V877" s="15"/>
      <c r="W877" s="15"/>
    </row>
    <row r="878">
      <c r="A878" s="73"/>
      <c r="B878" s="69"/>
      <c r="C878" s="70"/>
      <c r="D878" s="70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15"/>
      <c r="U878" s="15"/>
      <c r="V878" s="15"/>
      <c r="W878" s="15"/>
    </row>
    <row r="879">
      <c r="A879" s="74"/>
      <c r="B879" s="71"/>
      <c r="C879" s="72"/>
      <c r="D879" s="72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15"/>
      <c r="U879" s="15"/>
      <c r="V879" s="15"/>
      <c r="W879" s="15"/>
    </row>
    <row r="880">
      <c r="A880" s="61"/>
      <c r="B880" s="69"/>
      <c r="C880" s="70"/>
      <c r="D880" s="70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15"/>
      <c r="U880" s="15"/>
      <c r="V880" s="15"/>
      <c r="W880" s="15"/>
    </row>
    <row r="881">
      <c r="A881" s="65"/>
      <c r="B881" s="71"/>
      <c r="C881" s="72"/>
      <c r="D881" s="72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15"/>
      <c r="U881" s="15"/>
      <c r="V881" s="15"/>
      <c r="W881" s="15"/>
    </row>
    <row r="882">
      <c r="A882" s="61"/>
      <c r="B882" s="69"/>
      <c r="C882" s="70"/>
      <c r="D882" s="70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15"/>
      <c r="U882" s="15"/>
      <c r="V882" s="15"/>
      <c r="W882" s="15"/>
    </row>
    <row r="883">
      <c r="A883" s="65"/>
      <c r="B883" s="71"/>
      <c r="C883" s="72"/>
      <c r="D883" s="72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15"/>
      <c r="U883" s="15"/>
      <c r="V883" s="15"/>
      <c r="W883" s="15"/>
    </row>
    <row r="884">
      <c r="A884" s="61"/>
      <c r="B884" s="69"/>
      <c r="C884" s="70"/>
      <c r="D884" s="70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15"/>
      <c r="U884" s="15"/>
      <c r="V884" s="15"/>
      <c r="W884" s="15"/>
    </row>
    <row r="885">
      <c r="A885" s="65"/>
      <c r="B885" s="71"/>
      <c r="C885" s="72"/>
      <c r="D885" s="72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15"/>
      <c r="U885" s="15"/>
      <c r="V885" s="15"/>
      <c r="W885" s="15"/>
    </row>
    <row r="886">
      <c r="A886" s="61"/>
      <c r="B886" s="69"/>
      <c r="C886" s="70"/>
      <c r="D886" s="70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15"/>
      <c r="U886" s="15"/>
      <c r="V886" s="15"/>
      <c r="W886" s="15"/>
    </row>
    <row r="887">
      <c r="A887" s="65"/>
      <c r="B887" s="71"/>
      <c r="C887" s="72"/>
      <c r="D887" s="72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15"/>
      <c r="U887" s="15"/>
      <c r="V887" s="15"/>
      <c r="W887" s="15"/>
    </row>
    <row r="888">
      <c r="A888" s="61"/>
      <c r="B888" s="69"/>
      <c r="C888" s="70"/>
      <c r="D888" s="70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15"/>
      <c r="U888" s="15"/>
      <c r="V888" s="15"/>
      <c r="W888" s="15"/>
    </row>
    <row r="889">
      <c r="A889" s="65"/>
      <c r="B889" s="71"/>
      <c r="C889" s="72"/>
      <c r="D889" s="72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15"/>
      <c r="U889" s="15"/>
      <c r="V889" s="15"/>
      <c r="W889" s="15"/>
    </row>
    <row r="890">
      <c r="A890" s="61"/>
      <c r="B890" s="69"/>
      <c r="C890" s="70"/>
      <c r="D890" s="70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15"/>
      <c r="U890" s="15"/>
      <c r="V890" s="15"/>
      <c r="W890" s="15"/>
    </row>
    <row r="891">
      <c r="A891" s="65"/>
      <c r="B891" s="71"/>
      <c r="C891" s="72"/>
      <c r="D891" s="72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15"/>
      <c r="U891" s="15"/>
      <c r="V891" s="15"/>
      <c r="W891" s="15"/>
    </row>
    <row r="892">
      <c r="A892" s="61"/>
      <c r="B892" s="69"/>
      <c r="C892" s="70"/>
      <c r="D892" s="70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15"/>
      <c r="U892" s="15"/>
      <c r="V892" s="15"/>
      <c r="W892" s="15"/>
    </row>
    <row r="893">
      <c r="A893" s="65"/>
      <c r="B893" s="71"/>
      <c r="C893" s="72"/>
      <c r="D893" s="72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15"/>
      <c r="U893" s="15"/>
      <c r="V893" s="15"/>
      <c r="W893" s="15"/>
    </row>
    <row r="894">
      <c r="A894" s="61"/>
      <c r="B894" s="69"/>
      <c r="C894" s="70"/>
      <c r="D894" s="70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15"/>
      <c r="U894" s="15"/>
      <c r="V894" s="15"/>
      <c r="W894" s="15"/>
    </row>
    <row r="895">
      <c r="A895" s="65"/>
      <c r="B895" s="71"/>
      <c r="C895" s="72"/>
      <c r="D895" s="72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15"/>
      <c r="U895" s="15"/>
      <c r="V895" s="15"/>
      <c r="W895" s="15"/>
    </row>
    <row r="896">
      <c r="A896" s="61"/>
      <c r="B896" s="69"/>
      <c r="C896" s="70"/>
      <c r="D896" s="70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15"/>
      <c r="U896" s="15"/>
      <c r="V896" s="15"/>
      <c r="W896" s="15"/>
    </row>
    <row r="897">
      <c r="A897" s="65"/>
      <c r="B897" s="71"/>
      <c r="C897" s="72"/>
      <c r="D897" s="72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15"/>
      <c r="U897" s="15"/>
      <c r="V897" s="15"/>
      <c r="W897" s="15"/>
    </row>
    <row r="898">
      <c r="A898" s="73"/>
      <c r="B898" s="69"/>
      <c r="C898" s="70"/>
      <c r="D898" s="70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15"/>
      <c r="U898" s="15"/>
      <c r="V898" s="15"/>
      <c r="W898" s="15"/>
    </row>
    <row r="899">
      <c r="A899" s="74"/>
      <c r="B899" s="71"/>
      <c r="C899" s="72"/>
      <c r="D899" s="72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15"/>
      <c r="U899" s="15"/>
      <c r="V899" s="15"/>
      <c r="W899" s="15"/>
    </row>
    <row r="900">
      <c r="A900" s="73"/>
      <c r="B900" s="69"/>
      <c r="C900" s="70"/>
      <c r="D900" s="70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15"/>
      <c r="U900" s="15"/>
      <c r="V900" s="15"/>
      <c r="W900" s="15"/>
    </row>
    <row r="901">
      <c r="A901" s="74"/>
      <c r="B901" s="71"/>
      <c r="C901" s="72"/>
      <c r="D901" s="72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15"/>
      <c r="U901" s="15"/>
      <c r="V901" s="15"/>
      <c r="W901" s="15"/>
    </row>
    <row r="902">
      <c r="A902" s="73"/>
      <c r="B902" s="69"/>
      <c r="C902" s="70"/>
      <c r="D902" s="70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15"/>
      <c r="U902" s="15"/>
      <c r="V902" s="15"/>
      <c r="W902" s="15"/>
    </row>
    <row r="903">
      <c r="A903" s="74"/>
      <c r="B903" s="71"/>
      <c r="C903" s="72"/>
      <c r="D903" s="72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15"/>
      <c r="U903" s="15"/>
      <c r="V903" s="15"/>
      <c r="W903" s="15"/>
    </row>
    <row r="904">
      <c r="A904" s="73"/>
      <c r="B904" s="69"/>
      <c r="C904" s="70"/>
      <c r="D904" s="70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15"/>
      <c r="U904" s="15"/>
      <c r="V904" s="15"/>
      <c r="W904" s="15"/>
    </row>
    <row r="905">
      <c r="A905" s="74"/>
      <c r="B905" s="71"/>
      <c r="C905" s="72"/>
      <c r="D905" s="72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15"/>
      <c r="U905" s="15"/>
      <c r="V905" s="15"/>
      <c r="W905" s="15"/>
    </row>
    <row r="906">
      <c r="A906" s="73"/>
      <c r="B906" s="69"/>
      <c r="C906" s="70"/>
      <c r="D906" s="70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15"/>
      <c r="U906" s="15"/>
      <c r="V906" s="15"/>
      <c r="W906" s="15"/>
    </row>
    <row r="907">
      <c r="A907" s="74"/>
      <c r="B907" s="71"/>
      <c r="C907" s="72"/>
      <c r="D907" s="72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15"/>
      <c r="U907" s="15"/>
      <c r="V907" s="15"/>
      <c r="W907" s="15"/>
    </row>
    <row r="908">
      <c r="A908" s="73"/>
      <c r="B908" s="69"/>
      <c r="C908" s="70"/>
      <c r="D908" s="70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15"/>
      <c r="U908" s="15"/>
      <c r="V908" s="15"/>
      <c r="W908" s="15"/>
    </row>
    <row r="909">
      <c r="A909" s="74"/>
      <c r="B909" s="71"/>
      <c r="C909" s="72"/>
      <c r="D909" s="72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15"/>
      <c r="U909" s="15"/>
      <c r="V909" s="15"/>
      <c r="W909" s="15"/>
    </row>
    <row r="910">
      <c r="A910" s="73"/>
      <c r="B910" s="69"/>
      <c r="C910" s="70"/>
      <c r="D910" s="70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15"/>
      <c r="U910" s="15"/>
      <c r="V910" s="15"/>
      <c r="W910" s="15"/>
    </row>
    <row r="911">
      <c r="A911" s="74"/>
      <c r="B911" s="71"/>
      <c r="C911" s="72"/>
      <c r="D911" s="72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15"/>
      <c r="U911" s="15"/>
      <c r="V911" s="15"/>
      <c r="W911" s="15"/>
    </row>
    <row r="912">
      <c r="A912" s="73"/>
      <c r="B912" s="69"/>
      <c r="C912" s="70"/>
      <c r="D912" s="70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15"/>
      <c r="U912" s="15"/>
      <c r="V912" s="15"/>
      <c r="W912" s="15"/>
    </row>
    <row r="913">
      <c r="A913" s="74"/>
      <c r="B913" s="71"/>
      <c r="C913" s="72"/>
      <c r="D913" s="72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15"/>
      <c r="U913" s="15"/>
      <c r="V913" s="15"/>
      <c r="W913" s="15"/>
    </row>
    <row r="914">
      <c r="A914" s="73"/>
      <c r="B914" s="69"/>
      <c r="C914" s="70"/>
      <c r="D914" s="70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15"/>
      <c r="U914" s="15"/>
      <c r="V914" s="15"/>
      <c r="W914" s="15"/>
    </row>
    <row r="915">
      <c r="A915" s="74"/>
      <c r="B915" s="71"/>
      <c r="C915" s="72"/>
      <c r="D915" s="72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15"/>
      <c r="U915" s="15"/>
      <c r="V915" s="15"/>
      <c r="W915" s="15"/>
    </row>
    <row r="916">
      <c r="A916" s="73"/>
      <c r="B916" s="69"/>
      <c r="C916" s="70"/>
      <c r="D916" s="70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15"/>
      <c r="U916" s="15"/>
      <c r="V916" s="15"/>
      <c r="W916" s="15"/>
    </row>
    <row r="917">
      <c r="A917" s="65"/>
      <c r="B917" s="71"/>
      <c r="C917" s="72"/>
      <c r="D917" s="72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15"/>
      <c r="U917" s="15"/>
      <c r="V917" s="15"/>
      <c r="W917" s="15"/>
    </row>
    <row r="918">
      <c r="A918" s="61"/>
      <c r="B918" s="69"/>
      <c r="C918" s="70"/>
      <c r="D918" s="70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15"/>
      <c r="U918" s="15"/>
      <c r="V918" s="15"/>
      <c r="W918" s="15"/>
    </row>
    <row r="919">
      <c r="A919" s="65"/>
      <c r="B919" s="71"/>
      <c r="C919" s="72"/>
      <c r="D919" s="72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15"/>
      <c r="U919" s="15"/>
      <c r="V919" s="15"/>
      <c r="W919" s="15"/>
    </row>
    <row r="920">
      <c r="A920" s="61"/>
      <c r="B920" s="69"/>
      <c r="C920" s="70"/>
      <c r="D920" s="70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15"/>
      <c r="U920" s="15"/>
      <c r="V920" s="15"/>
      <c r="W920" s="15"/>
    </row>
    <row r="921">
      <c r="A921" s="65"/>
      <c r="B921" s="71"/>
      <c r="C921" s="72"/>
      <c r="D921" s="72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15"/>
      <c r="U921" s="15"/>
      <c r="V921" s="15"/>
      <c r="W921" s="15"/>
    </row>
    <row r="922">
      <c r="A922" s="61"/>
      <c r="B922" s="69"/>
      <c r="C922" s="70"/>
      <c r="D922" s="70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15"/>
      <c r="U922" s="15"/>
      <c r="V922" s="15"/>
      <c r="W922" s="15"/>
    </row>
    <row r="923">
      <c r="A923" s="65"/>
      <c r="B923" s="71"/>
      <c r="C923" s="72"/>
      <c r="D923" s="72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15"/>
      <c r="U923" s="15"/>
      <c r="V923" s="15"/>
      <c r="W923" s="15"/>
    </row>
    <row r="924">
      <c r="A924" s="61"/>
      <c r="B924" s="69"/>
      <c r="C924" s="70"/>
      <c r="D924" s="70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15"/>
      <c r="U924" s="15"/>
      <c r="V924" s="15"/>
      <c r="W924" s="15"/>
    </row>
    <row r="925">
      <c r="A925" s="65"/>
      <c r="B925" s="71"/>
      <c r="C925" s="72"/>
      <c r="D925" s="72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15"/>
      <c r="U925" s="15"/>
      <c r="V925" s="15"/>
      <c r="W925" s="15"/>
    </row>
    <row r="926">
      <c r="A926" s="61"/>
      <c r="B926" s="69"/>
      <c r="C926" s="70"/>
      <c r="D926" s="70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15"/>
      <c r="U926" s="15"/>
      <c r="V926" s="15"/>
      <c r="W926" s="15"/>
    </row>
    <row r="927">
      <c r="A927" s="65"/>
      <c r="B927" s="71"/>
      <c r="C927" s="72"/>
      <c r="D927" s="72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15"/>
      <c r="U927" s="15"/>
      <c r="V927" s="15"/>
      <c r="W927" s="15"/>
    </row>
    <row r="928">
      <c r="A928" s="61"/>
      <c r="B928" s="69"/>
      <c r="C928" s="70"/>
      <c r="D928" s="70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15"/>
      <c r="U928" s="15"/>
      <c r="V928" s="15"/>
      <c r="W928" s="15"/>
    </row>
    <row r="929">
      <c r="A929" s="65"/>
      <c r="B929" s="71"/>
      <c r="C929" s="72"/>
      <c r="D929" s="72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15"/>
      <c r="U929" s="15"/>
      <c r="V929" s="15"/>
      <c r="W929" s="15"/>
    </row>
    <row r="930">
      <c r="A930" s="61"/>
      <c r="B930" s="69"/>
      <c r="C930" s="70"/>
      <c r="D930" s="70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15"/>
      <c r="U930" s="15"/>
      <c r="V930" s="15"/>
      <c r="W930" s="15"/>
    </row>
    <row r="931">
      <c r="A931" s="65"/>
      <c r="B931" s="71"/>
      <c r="C931" s="72"/>
      <c r="D931" s="72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15"/>
      <c r="U931" s="15"/>
      <c r="V931" s="15"/>
      <c r="W931" s="15"/>
    </row>
    <row r="932">
      <c r="A932" s="61"/>
      <c r="B932" s="69"/>
      <c r="C932" s="70"/>
      <c r="D932" s="70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15"/>
      <c r="U932" s="15"/>
      <c r="V932" s="15"/>
      <c r="W932" s="15"/>
    </row>
    <row r="933">
      <c r="A933" s="65"/>
      <c r="B933" s="71"/>
      <c r="C933" s="72"/>
      <c r="D933" s="72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15"/>
      <c r="U933" s="15"/>
      <c r="V933" s="15"/>
      <c r="W933" s="15"/>
    </row>
    <row r="934">
      <c r="A934" s="61"/>
      <c r="B934" s="69"/>
      <c r="C934" s="70"/>
      <c r="D934" s="70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15"/>
      <c r="U934" s="15"/>
      <c r="V934" s="15"/>
      <c r="W934" s="15"/>
    </row>
    <row r="935">
      <c r="A935" s="65"/>
      <c r="B935" s="71"/>
      <c r="C935" s="72"/>
      <c r="D935" s="72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15"/>
      <c r="U935" s="15"/>
      <c r="V935" s="15"/>
      <c r="W935" s="15"/>
    </row>
    <row r="936">
      <c r="A936" s="61"/>
      <c r="B936" s="69"/>
      <c r="C936" s="70"/>
      <c r="D936" s="70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15"/>
      <c r="U936" s="15"/>
      <c r="V936" s="15"/>
      <c r="W936" s="15"/>
    </row>
    <row r="937">
      <c r="A937" s="65"/>
      <c r="B937" s="71"/>
      <c r="C937" s="72"/>
      <c r="D937" s="72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15"/>
      <c r="U937" s="15"/>
      <c r="V937" s="15"/>
      <c r="W937" s="15"/>
    </row>
    <row r="938">
      <c r="A938" s="61"/>
      <c r="B938" s="69"/>
      <c r="C938" s="70"/>
      <c r="D938" s="70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15"/>
      <c r="U938" s="15"/>
      <c r="V938" s="15"/>
      <c r="W938" s="15"/>
    </row>
    <row r="939">
      <c r="A939" s="65"/>
      <c r="B939" s="71"/>
      <c r="C939" s="72"/>
      <c r="D939" s="72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15"/>
      <c r="U939" s="15"/>
      <c r="V939" s="15"/>
      <c r="W939" s="15"/>
    </row>
    <row r="940">
      <c r="A940" s="61"/>
      <c r="B940" s="69"/>
      <c r="C940" s="70"/>
      <c r="D940" s="70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15"/>
      <c r="U940" s="15"/>
      <c r="V940" s="15"/>
      <c r="W940" s="15"/>
    </row>
    <row r="941">
      <c r="A941" s="65"/>
      <c r="B941" s="71"/>
      <c r="C941" s="72"/>
      <c r="D941" s="72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15"/>
      <c r="U941" s="15"/>
      <c r="V941" s="15"/>
      <c r="W941" s="15"/>
    </row>
    <row r="942">
      <c r="A942" s="61"/>
      <c r="B942" s="69"/>
      <c r="C942" s="70"/>
      <c r="D942" s="70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15"/>
      <c r="U942" s="15"/>
      <c r="V942" s="15"/>
      <c r="W942" s="15"/>
    </row>
    <row r="943">
      <c r="A943" s="65"/>
      <c r="B943" s="71"/>
      <c r="C943" s="72"/>
      <c r="D943" s="72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15"/>
      <c r="U943" s="15"/>
      <c r="V943" s="15"/>
      <c r="W943" s="15"/>
    </row>
    <row r="944">
      <c r="A944" s="73"/>
      <c r="B944" s="69"/>
      <c r="C944" s="70"/>
      <c r="D944" s="70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15"/>
      <c r="U944" s="15"/>
      <c r="V944" s="15"/>
      <c r="W944" s="15"/>
    </row>
    <row r="945">
      <c r="A945" s="74"/>
      <c r="B945" s="71"/>
      <c r="C945" s="72"/>
      <c r="D945" s="72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15"/>
      <c r="U945" s="15"/>
      <c r="V945" s="15"/>
      <c r="W945" s="15"/>
    </row>
    <row r="946">
      <c r="A946" s="73"/>
      <c r="B946" s="69"/>
      <c r="C946" s="70"/>
      <c r="D946" s="70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15"/>
      <c r="U946" s="15"/>
      <c r="V946" s="15"/>
      <c r="W946" s="15"/>
    </row>
    <row r="947">
      <c r="A947" s="74"/>
      <c r="B947" s="71"/>
      <c r="C947" s="72"/>
      <c r="D947" s="72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15"/>
      <c r="U947" s="15"/>
      <c r="V947" s="15"/>
      <c r="W947" s="15"/>
    </row>
    <row r="948">
      <c r="A948" s="73"/>
      <c r="B948" s="69"/>
      <c r="C948" s="70"/>
      <c r="D948" s="70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15"/>
      <c r="U948" s="15"/>
      <c r="V948" s="15"/>
      <c r="W948" s="15"/>
    </row>
    <row r="949">
      <c r="A949" s="74"/>
      <c r="B949" s="71"/>
      <c r="C949" s="72"/>
      <c r="D949" s="72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15"/>
      <c r="U949" s="15"/>
      <c r="V949" s="15"/>
      <c r="W949" s="15"/>
    </row>
    <row r="950">
      <c r="A950" s="73"/>
      <c r="B950" s="69"/>
      <c r="C950" s="70"/>
      <c r="D950" s="70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15"/>
      <c r="U950" s="15"/>
      <c r="V950" s="15"/>
      <c r="W950" s="15"/>
    </row>
    <row r="951">
      <c r="A951" s="74"/>
      <c r="B951" s="71"/>
      <c r="C951" s="72"/>
      <c r="D951" s="72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15"/>
      <c r="U951" s="15"/>
      <c r="V951" s="15"/>
      <c r="W951" s="15"/>
    </row>
    <row r="952">
      <c r="A952" s="73"/>
      <c r="B952" s="69"/>
      <c r="C952" s="70"/>
      <c r="D952" s="70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15"/>
      <c r="U952" s="15"/>
      <c r="V952" s="15"/>
      <c r="W952" s="15"/>
    </row>
    <row r="953">
      <c r="A953" s="74"/>
      <c r="B953" s="71"/>
      <c r="C953" s="72"/>
      <c r="D953" s="72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15"/>
      <c r="U953" s="15"/>
      <c r="V953" s="15"/>
      <c r="W953" s="15"/>
    </row>
    <row r="954">
      <c r="A954" s="73"/>
      <c r="B954" s="69"/>
      <c r="C954" s="70"/>
      <c r="D954" s="70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15"/>
      <c r="U954" s="15"/>
      <c r="V954" s="15"/>
      <c r="W954" s="15"/>
    </row>
    <row r="955">
      <c r="A955" s="74"/>
      <c r="B955" s="71"/>
      <c r="C955" s="72"/>
      <c r="D955" s="72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15"/>
      <c r="U955" s="15"/>
      <c r="V955" s="15"/>
      <c r="W955" s="15"/>
    </row>
    <row r="956">
      <c r="A956" s="73"/>
      <c r="B956" s="69"/>
      <c r="C956" s="70"/>
      <c r="D956" s="70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15"/>
      <c r="U956" s="15"/>
      <c r="V956" s="15"/>
      <c r="W956" s="15"/>
    </row>
    <row r="957">
      <c r="A957" s="74"/>
      <c r="B957" s="71"/>
      <c r="C957" s="72"/>
      <c r="D957" s="72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15"/>
      <c r="U957" s="15"/>
      <c r="V957" s="15"/>
      <c r="W957" s="15"/>
    </row>
    <row r="958">
      <c r="A958" s="73"/>
      <c r="B958" s="69"/>
      <c r="C958" s="70"/>
      <c r="D958" s="70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15"/>
      <c r="U958" s="15"/>
      <c r="V958" s="15"/>
      <c r="W958" s="15"/>
    </row>
    <row r="959">
      <c r="A959" s="74"/>
      <c r="B959" s="71"/>
      <c r="C959" s="72"/>
      <c r="D959" s="72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15"/>
      <c r="U959" s="15"/>
      <c r="V959" s="15"/>
      <c r="W959" s="15"/>
    </row>
    <row r="960">
      <c r="A960" s="73"/>
      <c r="B960" s="69"/>
      <c r="C960" s="70"/>
      <c r="D960" s="70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15"/>
      <c r="U960" s="15"/>
      <c r="V960" s="15"/>
      <c r="W960" s="15"/>
    </row>
    <row r="961">
      <c r="A961" s="74"/>
      <c r="B961" s="71"/>
      <c r="C961" s="72"/>
      <c r="D961" s="72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15"/>
      <c r="U961" s="15"/>
      <c r="V961" s="15"/>
      <c r="W961" s="15"/>
    </row>
    <row r="962">
      <c r="A962" s="73"/>
      <c r="B962" s="69"/>
      <c r="C962" s="70"/>
      <c r="D962" s="70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15"/>
      <c r="U962" s="15"/>
      <c r="V962" s="15"/>
      <c r="W962" s="15"/>
    </row>
    <row r="963">
      <c r="A963" s="65"/>
      <c r="B963" s="71"/>
      <c r="C963" s="72"/>
      <c r="D963" s="72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15"/>
      <c r="U963" s="15"/>
      <c r="V963" s="15"/>
      <c r="W963" s="15"/>
    </row>
    <row r="964">
      <c r="A964" s="61"/>
      <c r="B964" s="69"/>
      <c r="C964" s="70"/>
      <c r="D964" s="70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15"/>
      <c r="U964" s="15"/>
      <c r="V964" s="15"/>
      <c r="W964" s="15"/>
    </row>
    <row r="965">
      <c r="A965" s="65"/>
      <c r="B965" s="71"/>
      <c r="C965" s="72"/>
      <c r="D965" s="72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15"/>
      <c r="U965" s="15"/>
      <c r="V965" s="15"/>
      <c r="W965" s="15"/>
    </row>
    <row r="966">
      <c r="A966" s="61"/>
      <c r="B966" s="69"/>
      <c r="C966" s="70"/>
      <c r="D966" s="70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15"/>
      <c r="U966" s="15"/>
      <c r="V966" s="15"/>
      <c r="W966" s="15"/>
    </row>
    <row r="967">
      <c r="A967" s="65"/>
      <c r="B967" s="71"/>
      <c r="C967" s="72"/>
      <c r="D967" s="72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15"/>
      <c r="U967" s="15"/>
      <c r="V967" s="15"/>
      <c r="W967" s="15"/>
    </row>
    <row r="968">
      <c r="A968" s="61"/>
      <c r="B968" s="69"/>
      <c r="C968" s="70"/>
      <c r="D968" s="70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15"/>
      <c r="U968" s="15"/>
      <c r="V968" s="15"/>
      <c r="W968" s="15"/>
    </row>
    <row r="969">
      <c r="A969" s="65"/>
      <c r="B969" s="71"/>
      <c r="C969" s="72"/>
      <c r="D969" s="72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15"/>
      <c r="U969" s="15"/>
      <c r="V969" s="15"/>
      <c r="W969" s="15"/>
    </row>
    <row r="970">
      <c r="A970" s="61"/>
      <c r="B970" s="69"/>
      <c r="C970" s="70"/>
      <c r="D970" s="70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15"/>
      <c r="U970" s="15"/>
      <c r="V970" s="15"/>
      <c r="W970" s="15"/>
    </row>
    <row r="971">
      <c r="A971" s="65"/>
      <c r="B971" s="71"/>
      <c r="C971" s="72"/>
      <c r="D971" s="72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15"/>
      <c r="U971" s="15"/>
      <c r="V971" s="15"/>
      <c r="W971" s="15"/>
    </row>
    <row r="972">
      <c r="A972" s="61"/>
      <c r="B972" s="69"/>
      <c r="C972" s="70"/>
      <c r="D972" s="70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15"/>
      <c r="U972" s="15"/>
      <c r="V972" s="15"/>
      <c r="W972" s="15"/>
    </row>
    <row r="973">
      <c r="A973" s="65"/>
      <c r="B973" s="71"/>
      <c r="C973" s="72"/>
      <c r="D973" s="72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15"/>
      <c r="U973" s="15"/>
      <c r="V973" s="15"/>
      <c r="W973" s="15"/>
    </row>
    <row r="974">
      <c r="A974" s="61"/>
      <c r="B974" s="69"/>
      <c r="C974" s="70"/>
      <c r="D974" s="70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15"/>
      <c r="U974" s="15"/>
      <c r="V974" s="15"/>
      <c r="W974" s="15"/>
    </row>
    <row r="975">
      <c r="A975" s="65"/>
      <c r="B975" s="71"/>
      <c r="C975" s="72"/>
      <c r="D975" s="72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15"/>
      <c r="U975" s="15"/>
      <c r="V975" s="15"/>
      <c r="W975" s="15"/>
    </row>
    <row r="976">
      <c r="A976" s="61"/>
      <c r="B976" s="69"/>
      <c r="C976" s="70"/>
      <c r="D976" s="70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15"/>
      <c r="U976" s="15"/>
      <c r="V976" s="15"/>
      <c r="W976" s="15"/>
    </row>
    <row r="977">
      <c r="A977" s="65"/>
      <c r="B977" s="71"/>
      <c r="C977" s="72"/>
      <c r="D977" s="72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15"/>
      <c r="U977" s="15"/>
      <c r="V977" s="15"/>
      <c r="W977" s="15"/>
    </row>
    <row r="978">
      <c r="A978" s="61"/>
      <c r="B978" s="69"/>
      <c r="C978" s="70"/>
      <c r="D978" s="70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15"/>
      <c r="U978" s="15"/>
      <c r="V978" s="15"/>
      <c r="W978" s="15"/>
    </row>
    <row r="979">
      <c r="A979" s="65"/>
      <c r="B979" s="71"/>
      <c r="C979" s="72"/>
      <c r="D979" s="72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15"/>
      <c r="U979" s="15"/>
      <c r="V979" s="15"/>
      <c r="W979" s="15"/>
    </row>
    <row r="980">
      <c r="A980" s="61"/>
      <c r="B980" s="69"/>
      <c r="C980" s="70"/>
      <c r="D980" s="70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15"/>
      <c r="U980" s="15"/>
      <c r="V980" s="15"/>
      <c r="W980" s="15"/>
    </row>
    <row r="981">
      <c r="A981" s="74"/>
      <c r="B981" s="71"/>
      <c r="C981" s="72"/>
      <c r="D981" s="72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15"/>
      <c r="U981" s="15"/>
      <c r="V981" s="15"/>
      <c r="W981" s="15"/>
    </row>
    <row r="982">
      <c r="A982" s="73"/>
      <c r="B982" s="69"/>
      <c r="C982" s="70"/>
      <c r="D982" s="70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15"/>
      <c r="U982" s="15"/>
      <c r="V982" s="15"/>
      <c r="W982" s="15"/>
    </row>
    <row r="983">
      <c r="A983" s="74"/>
      <c r="B983" s="71"/>
      <c r="C983" s="72"/>
      <c r="D983" s="72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15"/>
      <c r="U983" s="15"/>
      <c r="V983" s="15"/>
      <c r="W983" s="15"/>
    </row>
    <row r="984">
      <c r="A984" s="73"/>
      <c r="B984" s="69"/>
      <c r="C984" s="70"/>
      <c r="D984" s="70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15"/>
      <c r="U984" s="15"/>
      <c r="V984" s="15"/>
      <c r="W984" s="15"/>
    </row>
    <row r="985">
      <c r="A985" s="74"/>
      <c r="B985" s="71"/>
      <c r="C985" s="72"/>
      <c r="D985" s="72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15"/>
      <c r="U985" s="15"/>
      <c r="V985" s="15"/>
      <c r="W985" s="15"/>
    </row>
    <row r="986">
      <c r="A986" s="73"/>
      <c r="B986" s="69"/>
      <c r="C986" s="70"/>
      <c r="D986" s="70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15"/>
      <c r="U986" s="15"/>
      <c r="V986" s="15"/>
      <c r="W986" s="15"/>
    </row>
    <row r="987">
      <c r="A987" s="74"/>
      <c r="B987" s="71"/>
      <c r="C987" s="72"/>
      <c r="D987" s="72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15"/>
      <c r="U987" s="15"/>
      <c r="V987" s="15"/>
      <c r="W987" s="15"/>
    </row>
    <row r="988">
      <c r="A988" s="73"/>
      <c r="B988" s="69"/>
      <c r="C988" s="70"/>
      <c r="D988" s="70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15"/>
      <c r="U988" s="15"/>
      <c r="V988" s="15"/>
      <c r="W988" s="15"/>
    </row>
    <row r="989">
      <c r="A989" s="74"/>
      <c r="B989" s="71"/>
      <c r="C989" s="72"/>
      <c r="D989" s="72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15"/>
      <c r="U989" s="15"/>
      <c r="V989" s="15"/>
      <c r="W989" s="15"/>
    </row>
    <row r="990">
      <c r="A990" s="73"/>
      <c r="B990" s="69"/>
      <c r="C990" s="70"/>
      <c r="D990" s="70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15"/>
      <c r="U990" s="15"/>
      <c r="V990" s="15"/>
      <c r="W990" s="15"/>
    </row>
    <row r="991">
      <c r="A991" s="74"/>
      <c r="B991" s="71"/>
      <c r="C991" s="72"/>
      <c r="D991" s="72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15"/>
      <c r="U991" s="15"/>
      <c r="V991" s="15"/>
      <c r="W991" s="15"/>
    </row>
    <row r="992">
      <c r="A992" s="73"/>
      <c r="B992" s="69"/>
      <c r="C992" s="70"/>
      <c r="D992" s="70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15"/>
      <c r="U992" s="15"/>
      <c r="V992" s="15"/>
      <c r="W992" s="15"/>
    </row>
    <row r="993">
      <c r="A993" s="74"/>
      <c r="B993" s="71"/>
      <c r="C993" s="72"/>
      <c r="D993" s="72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15"/>
      <c r="U993" s="15"/>
      <c r="V993" s="15"/>
      <c r="W993" s="15"/>
    </row>
    <row r="994">
      <c r="A994" s="73"/>
      <c r="B994" s="69"/>
      <c r="C994" s="70"/>
      <c r="D994" s="70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15"/>
      <c r="U994" s="15"/>
      <c r="V994" s="15"/>
      <c r="W994" s="15"/>
    </row>
    <row r="995">
      <c r="A995" s="74"/>
      <c r="B995" s="71"/>
      <c r="C995" s="72"/>
      <c r="D995" s="72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15"/>
      <c r="U995" s="15"/>
      <c r="V995" s="15"/>
      <c r="W995" s="15"/>
    </row>
    <row r="996">
      <c r="A996" s="73"/>
      <c r="B996" s="69"/>
      <c r="C996" s="70"/>
      <c r="D996" s="70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15"/>
      <c r="U996" s="15"/>
      <c r="V996" s="15"/>
      <c r="W996" s="15"/>
    </row>
    <row r="997">
      <c r="A997" s="74"/>
      <c r="B997" s="71"/>
      <c r="C997" s="72"/>
      <c r="D997" s="72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15"/>
      <c r="U997" s="15"/>
      <c r="V997" s="15"/>
      <c r="W997" s="15"/>
    </row>
    <row r="998">
      <c r="A998" s="73"/>
      <c r="B998" s="69"/>
      <c r="C998" s="70"/>
      <c r="D998" s="70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15"/>
      <c r="U998" s="15"/>
      <c r="V998" s="15"/>
      <c r="W998" s="15"/>
    </row>
    <row r="999">
      <c r="A999" s="74"/>
      <c r="B999" s="71"/>
      <c r="C999" s="72"/>
      <c r="D999" s="72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15"/>
      <c r="U999" s="15"/>
      <c r="V999" s="15"/>
      <c r="W999" s="15"/>
    </row>
    <row r="1000">
      <c r="A1000" s="69"/>
      <c r="B1000" s="69"/>
      <c r="C1000" s="70"/>
      <c r="D1000" s="70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15"/>
      <c r="U1000" s="15"/>
      <c r="V1000" s="15"/>
      <c r="W1000" s="15"/>
    </row>
    <row r="1001">
      <c r="A1001" s="71"/>
      <c r="B1001" s="71"/>
      <c r="C1001" s="72"/>
      <c r="D1001" s="72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15"/>
      <c r="U1001" s="15"/>
      <c r="V1001" s="15"/>
      <c r="W1001" s="15"/>
    </row>
    <row r="1002">
      <c r="A1002" s="69"/>
      <c r="B1002" s="69"/>
      <c r="C1002" s="70"/>
      <c r="D1002" s="70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15"/>
      <c r="U1002" s="15"/>
      <c r="V1002" s="15"/>
      <c r="W1002" s="15"/>
    </row>
    <row r="1003">
      <c r="A1003" s="71"/>
      <c r="B1003" s="71"/>
      <c r="C1003" s="72"/>
      <c r="D1003" s="72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15"/>
      <c r="U1003" s="15"/>
      <c r="V1003" s="15"/>
      <c r="W1003" s="15"/>
    </row>
    <row r="1004">
      <c r="A1004" s="69"/>
      <c r="B1004" s="69"/>
      <c r="C1004" s="70"/>
      <c r="D1004" s="70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15"/>
      <c r="U1004" s="15"/>
      <c r="V1004" s="15"/>
      <c r="W1004" s="15"/>
    </row>
    <row r="1005">
      <c r="A1005" s="71"/>
      <c r="B1005" s="71"/>
      <c r="C1005" s="72"/>
      <c r="D1005" s="72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15"/>
      <c r="U1005" s="15"/>
      <c r="V1005" s="15"/>
      <c r="W1005" s="15"/>
    </row>
    <row r="1006">
      <c r="A1006" s="69"/>
      <c r="B1006" s="69"/>
      <c r="C1006" s="70"/>
      <c r="D1006" s="70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15"/>
      <c r="U1006" s="15"/>
      <c r="V1006" s="15"/>
      <c r="W1006" s="15"/>
    </row>
    <row r="1007">
      <c r="A1007" s="71"/>
      <c r="B1007" s="71"/>
      <c r="C1007" s="72"/>
      <c r="D1007" s="72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15"/>
      <c r="U1007" s="15"/>
      <c r="V1007" s="15"/>
      <c r="W1007" s="15"/>
    </row>
    <row r="1008">
      <c r="A1008" s="69"/>
      <c r="B1008" s="69"/>
      <c r="C1008" s="70"/>
      <c r="D1008" s="70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15"/>
      <c r="U1008" s="15"/>
      <c r="V1008" s="15"/>
      <c r="W1008" s="15"/>
    </row>
    <row r="1009">
      <c r="A1009" s="71"/>
      <c r="B1009" s="71"/>
      <c r="C1009" s="72"/>
      <c r="D1009" s="72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15"/>
      <c r="U1009" s="15"/>
      <c r="V1009" s="15"/>
      <c r="W1009" s="15"/>
    </row>
    <row r="1010">
      <c r="A1010" s="69"/>
      <c r="B1010" s="69"/>
      <c r="C1010" s="70"/>
      <c r="D1010" s="70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15"/>
      <c r="U1010" s="15"/>
      <c r="V1010" s="15"/>
      <c r="W1010" s="15"/>
    </row>
    <row r="1011">
      <c r="A1011" s="71"/>
      <c r="B1011" s="71"/>
      <c r="C1011" s="72"/>
      <c r="D1011" s="72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15"/>
      <c r="U1011" s="15"/>
      <c r="V1011" s="15"/>
      <c r="W1011" s="15"/>
    </row>
    <row r="1012">
      <c r="A1012" s="69"/>
      <c r="B1012" s="69"/>
      <c r="C1012" s="70"/>
      <c r="D1012" s="70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15"/>
      <c r="U1012" s="15"/>
      <c r="V1012" s="15"/>
      <c r="W1012" s="15"/>
    </row>
    <row r="1013">
      <c r="A1013" s="71"/>
      <c r="B1013" s="71"/>
      <c r="C1013" s="72"/>
      <c r="D1013" s="72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15"/>
      <c r="U1013" s="15"/>
      <c r="V1013" s="15"/>
      <c r="W1013" s="15"/>
    </row>
    <row r="1014">
      <c r="A1014" s="69"/>
      <c r="B1014" s="69"/>
      <c r="C1014" s="70"/>
      <c r="D1014" s="70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69"/>
      <c r="T1014" s="15"/>
      <c r="U1014" s="15"/>
      <c r="V1014" s="15"/>
      <c r="W1014" s="15"/>
    </row>
    <row r="1015">
      <c r="A1015" s="71"/>
      <c r="B1015" s="71"/>
      <c r="C1015" s="72"/>
      <c r="D1015" s="72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15"/>
      <c r="U1015" s="15"/>
      <c r="V1015" s="15"/>
      <c r="W1015" s="15"/>
    </row>
    <row r="1016">
      <c r="A1016" s="69"/>
      <c r="B1016" s="69"/>
      <c r="C1016" s="70"/>
      <c r="D1016" s="70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69"/>
      <c r="T1016" s="15"/>
      <c r="U1016" s="15"/>
      <c r="V1016" s="15"/>
      <c r="W1016" s="15"/>
    </row>
    <row r="1017">
      <c r="A1017" s="71"/>
      <c r="B1017" s="71"/>
      <c r="C1017" s="72"/>
      <c r="D1017" s="72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15"/>
      <c r="U1017" s="15"/>
      <c r="V1017" s="15"/>
      <c r="W1017" s="15"/>
    </row>
    <row r="1018">
      <c r="A1018" s="69"/>
      <c r="B1018" s="69"/>
      <c r="C1018" s="70"/>
      <c r="D1018" s="70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69"/>
      <c r="T1018" s="15"/>
      <c r="U1018" s="15"/>
      <c r="V1018" s="15"/>
      <c r="W1018" s="15"/>
    </row>
    <row r="1019">
      <c r="A1019" s="71"/>
      <c r="B1019" s="71"/>
      <c r="C1019" s="72"/>
      <c r="D1019" s="72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15"/>
      <c r="U1019" s="15"/>
      <c r="V1019" s="15"/>
      <c r="W1019" s="15"/>
    </row>
    <row r="1020">
      <c r="A1020" s="69"/>
      <c r="B1020" s="69"/>
      <c r="C1020" s="70"/>
      <c r="D1020" s="70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69"/>
      <c r="T1020" s="15"/>
      <c r="U1020" s="15"/>
      <c r="V1020" s="15"/>
      <c r="W1020" s="15"/>
    </row>
    <row r="1021">
      <c r="A1021" s="71"/>
      <c r="B1021" s="71"/>
      <c r="C1021" s="72"/>
      <c r="D1021" s="72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15"/>
      <c r="U1021" s="15"/>
      <c r="V1021" s="15"/>
      <c r="W1021" s="15"/>
    </row>
    <row r="1022">
      <c r="A1022" s="69"/>
      <c r="B1022" s="69"/>
      <c r="C1022" s="70"/>
      <c r="D1022" s="70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15"/>
      <c r="U1022" s="15"/>
      <c r="V1022" s="15"/>
      <c r="W1022" s="15"/>
    </row>
    <row r="1023">
      <c r="A1023" s="71"/>
      <c r="B1023" s="71"/>
      <c r="C1023" s="72"/>
      <c r="D1023" s="72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15"/>
      <c r="U1023" s="15"/>
      <c r="V1023" s="15"/>
      <c r="W1023" s="15"/>
    </row>
    <row r="1024">
      <c r="A1024" s="69"/>
      <c r="B1024" s="69"/>
      <c r="C1024" s="70"/>
      <c r="D1024" s="70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69"/>
      <c r="T1024" s="15"/>
      <c r="U1024" s="15"/>
      <c r="V1024" s="15"/>
      <c r="W1024" s="15"/>
    </row>
    <row r="1025">
      <c r="A1025" s="71"/>
      <c r="B1025" s="71"/>
      <c r="C1025" s="72"/>
      <c r="D1025" s="72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15"/>
      <c r="U1025" s="15"/>
      <c r="V1025" s="15"/>
      <c r="W1025" s="15"/>
    </row>
    <row r="1026">
      <c r="A1026" s="69"/>
      <c r="B1026" s="69"/>
      <c r="C1026" s="70"/>
      <c r="D1026" s="70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69"/>
      <c r="T1026" s="15"/>
      <c r="U1026" s="15"/>
      <c r="V1026" s="15"/>
      <c r="W1026" s="15"/>
    </row>
    <row r="1027">
      <c r="A1027" s="71"/>
      <c r="B1027" s="71"/>
      <c r="C1027" s="72"/>
      <c r="D1027" s="72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15"/>
      <c r="U1027" s="15"/>
      <c r="V1027" s="15"/>
      <c r="W1027" s="15"/>
    </row>
    <row r="1028">
      <c r="A1028" s="69"/>
      <c r="B1028" s="69"/>
      <c r="C1028" s="70"/>
      <c r="D1028" s="70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69"/>
      <c r="T1028" s="15"/>
      <c r="U1028" s="15"/>
      <c r="V1028" s="15"/>
      <c r="W1028" s="15"/>
    </row>
    <row r="1029">
      <c r="A1029" s="71"/>
      <c r="B1029" s="71"/>
      <c r="C1029" s="72"/>
      <c r="D1029" s="72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15"/>
      <c r="U1029" s="15"/>
      <c r="V1029" s="15"/>
      <c r="W1029" s="15"/>
    </row>
    <row r="1030">
      <c r="A1030" s="69"/>
      <c r="B1030" s="69"/>
      <c r="C1030" s="70"/>
      <c r="D1030" s="70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15"/>
      <c r="U1030" s="15"/>
      <c r="V1030" s="15"/>
      <c r="W1030" s="15"/>
    </row>
    <row r="1031">
      <c r="A1031" s="71"/>
      <c r="B1031" s="71"/>
      <c r="C1031" s="72"/>
      <c r="D1031" s="72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15"/>
      <c r="U1031" s="15"/>
      <c r="V1031" s="15"/>
      <c r="W1031" s="15"/>
    </row>
    <row r="1032">
      <c r="A1032" s="69"/>
      <c r="B1032" s="69"/>
      <c r="C1032" s="70"/>
      <c r="D1032" s="70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69"/>
      <c r="T1032" s="15"/>
      <c r="U1032" s="15"/>
      <c r="V1032" s="15"/>
      <c r="W1032" s="15"/>
    </row>
    <row r="1033">
      <c r="A1033" s="71"/>
      <c r="B1033" s="71"/>
      <c r="C1033" s="72"/>
      <c r="D1033" s="72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15"/>
      <c r="U1033" s="15"/>
      <c r="V1033" s="15"/>
      <c r="W1033" s="15"/>
    </row>
    <row r="1034">
      <c r="A1034" s="69"/>
      <c r="B1034" s="69"/>
      <c r="C1034" s="70"/>
      <c r="D1034" s="70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  <c r="T1034" s="15"/>
      <c r="U1034" s="15"/>
      <c r="V1034" s="15"/>
      <c r="W1034" s="15"/>
    </row>
    <row r="1035">
      <c r="A1035" s="71"/>
      <c r="B1035" s="71"/>
      <c r="C1035" s="72"/>
      <c r="D1035" s="72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15"/>
      <c r="U1035" s="15"/>
      <c r="V1035" s="15"/>
      <c r="W1035" s="15"/>
    </row>
    <row r="1036">
      <c r="A1036" s="69"/>
      <c r="B1036" s="69"/>
      <c r="C1036" s="70"/>
      <c r="D1036" s="70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  <c r="T1036" s="15"/>
      <c r="U1036" s="15"/>
      <c r="V1036" s="15"/>
      <c r="W1036" s="15"/>
    </row>
    <row r="1037">
      <c r="A1037" s="71"/>
      <c r="B1037" s="71"/>
      <c r="C1037" s="72"/>
      <c r="D1037" s="72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15"/>
      <c r="U1037" s="15"/>
      <c r="V1037" s="15"/>
      <c r="W1037" s="15"/>
    </row>
    <row r="1038">
      <c r="A1038" s="69"/>
      <c r="B1038" s="69"/>
      <c r="C1038" s="70"/>
      <c r="D1038" s="70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69"/>
      <c r="T1038" s="15"/>
      <c r="U1038" s="15"/>
      <c r="V1038" s="15"/>
      <c r="W1038" s="15"/>
    </row>
    <row r="1039">
      <c r="A1039" s="71"/>
      <c r="B1039" s="71"/>
      <c r="C1039" s="72"/>
      <c r="D1039" s="72"/>
      <c r="E1039" s="71"/>
      <c r="F1039" s="71"/>
      <c r="G1039" s="71"/>
      <c r="H1039" s="71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15"/>
      <c r="U1039" s="15"/>
      <c r="V1039" s="15"/>
      <c r="W1039" s="15"/>
    </row>
    <row r="1040">
      <c r="A1040" s="69"/>
      <c r="B1040" s="69"/>
      <c r="C1040" s="70"/>
      <c r="D1040" s="70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15"/>
      <c r="U1040" s="15"/>
      <c r="V1040" s="15"/>
      <c r="W1040" s="15"/>
    </row>
    <row r="1041">
      <c r="A1041" s="71"/>
      <c r="B1041" s="71"/>
      <c r="C1041" s="72"/>
      <c r="D1041" s="72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15"/>
      <c r="U1041" s="15"/>
      <c r="V1041" s="15"/>
      <c r="W1041" s="15"/>
    </row>
    <row r="1042">
      <c r="A1042" s="69"/>
      <c r="B1042" s="69"/>
      <c r="C1042" s="70"/>
      <c r="D1042" s="70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  <c r="T1042" s="15"/>
      <c r="U1042" s="15"/>
      <c r="V1042" s="15"/>
      <c r="W1042" s="15"/>
    </row>
    <row r="1043">
      <c r="A1043" s="71"/>
      <c r="B1043" s="71"/>
      <c r="C1043" s="72"/>
      <c r="D1043" s="72"/>
      <c r="E1043" s="71"/>
      <c r="F1043" s="71"/>
      <c r="G1043" s="71"/>
      <c r="H1043" s="71"/>
      <c r="I1043" s="71"/>
      <c r="J1043" s="71"/>
      <c r="K1043" s="71"/>
      <c r="L1043" s="71"/>
      <c r="M1043" s="71"/>
      <c r="N1043" s="71"/>
      <c r="O1043" s="71"/>
      <c r="P1043" s="71"/>
      <c r="Q1043" s="71"/>
      <c r="R1043" s="71"/>
      <c r="S1043" s="71"/>
      <c r="T1043" s="15"/>
      <c r="U1043" s="15"/>
      <c r="V1043" s="15"/>
      <c r="W1043" s="15"/>
    </row>
    <row r="1044">
      <c r="A1044" s="69"/>
      <c r="B1044" s="69"/>
      <c r="C1044" s="70"/>
      <c r="D1044" s="70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  <c r="T1044" s="15"/>
      <c r="U1044" s="15"/>
      <c r="V1044" s="15"/>
      <c r="W1044" s="15"/>
    </row>
    <row r="1045">
      <c r="A1045" s="71"/>
      <c r="B1045" s="71"/>
      <c r="C1045" s="72"/>
      <c r="D1045" s="72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1"/>
      <c r="P1045" s="71"/>
      <c r="Q1045" s="71"/>
      <c r="R1045" s="71"/>
      <c r="S1045" s="71"/>
      <c r="T1045" s="15"/>
      <c r="U1045" s="15"/>
      <c r="V1045" s="15"/>
      <c r="W1045" s="15"/>
    </row>
    <row r="1046">
      <c r="A1046" s="69"/>
      <c r="B1046" s="69"/>
      <c r="C1046" s="70"/>
      <c r="D1046" s="70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15"/>
      <c r="U1046" s="15"/>
      <c r="V1046" s="15"/>
      <c r="W1046" s="15"/>
    </row>
    <row r="1047">
      <c r="A1047" s="71"/>
      <c r="B1047" s="71"/>
      <c r="C1047" s="72"/>
      <c r="D1047" s="72"/>
      <c r="E1047" s="71"/>
      <c r="F1047" s="71"/>
      <c r="G1047" s="71"/>
      <c r="H1047" s="71"/>
      <c r="I1047" s="71"/>
      <c r="J1047" s="71"/>
      <c r="K1047" s="71"/>
      <c r="L1047" s="71"/>
      <c r="M1047" s="71"/>
      <c r="N1047" s="71"/>
      <c r="O1047" s="71"/>
      <c r="P1047" s="71"/>
      <c r="Q1047" s="71"/>
      <c r="R1047" s="71"/>
      <c r="S1047" s="71"/>
      <c r="T1047" s="15"/>
      <c r="U1047" s="15"/>
      <c r="V1047" s="15"/>
      <c r="W1047" s="15"/>
    </row>
    <row r="1048">
      <c r="A1048" s="69"/>
      <c r="B1048" s="69"/>
      <c r="C1048" s="70"/>
      <c r="D1048" s="70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69"/>
      <c r="T1048" s="15"/>
      <c r="U1048" s="15"/>
      <c r="V1048" s="15"/>
      <c r="W1048" s="15"/>
    </row>
    <row r="1049">
      <c r="A1049" s="71"/>
      <c r="B1049" s="71"/>
      <c r="C1049" s="72"/>
      <c r="D1049" s="72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15"/>
      <c r="U1049" s="15"/>
      <c r="V1049" s="15"/>
      <c r="W1049" s="15"/>
    </row>
    <row r="1050">
      <c r="A1050" s="69"/>
      <c r="B1050" s="69"/>
      <c r="C1050" s="70"/>
      <c r="D1050" s="70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  <c r="T1050" s="15"/>
      <c r="U1050" s="15"/>
      <c r="V1050" s="15"/>
      <c r="W1050" s="15"/>
    </row>
    <row r="1051">
      <c r="A1051" s="71"/>
      <c r="B1051" s="71"/>
      <c r="C1051" s="72"/>
      <c r="D1051" s="72"/>
      <c r="E1051" s="71"/>
      <c r="F1051" s="71"/>
      <c r="G1051" s="71"/>
      <c r="H1051" s="71"/>
      <c r="I1051" s="71"/>
      <c r="J1051" s="71"/>
      <c r="K1051" s="71"/>
      <c r="L1051" s="71"/>
      <c r="M1051" s="71"/>
      <c r="N1051" s="71"/>
      <c r="O1051" s="71"/>
      <c r="P1051" s="71"/>
      <c r="Q1051" s="71"/>
      <c r="R1051" s="71"/>
      <c r="S1051" s="71"/>
      <c r="T1051" s="15"/>
      <c r="U1051" s="15"/>
      <c r="V1051" s="15"/>
      <c r="W1051" s="15"/>
    </row>
    <row r="1052">
      <c r="A1052" s="69"/>
      <c r="B1052" s="69"/>
      <c r="C1052" s="70"/>
      <c r="D1052" s="70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69"/>
      <c r="T1052" s="15"/>
      <c r="U1052" s="15"/>
      <c r="V1052" s="15"/>
      <c r="W1052" s="15"/>
    </row>
    <row r="1053">
      <c r="A1053" s="71"/>
      <c r="B1053" s="71"/>
      <c r="C1053" s="72"/>
      <c r="D1053" s="72"/>
      <c r="E1053" s="71"/>
      <c r="F1053" s="71"/>
      <c r="G1053" s="71"/>
      <c r="H1053" s="71"/>
      <c r="I1053" s="71"/>
      <c r="J1053" s="71"/>
      <c r="K1053" s="71"/>
      <c r="L1053" s="71"/>
      <c r="M1053" s="71"/>
      <c r="N1053" s="71"/>
      <c r="O1053" s="71"/>
      <c r="P1053" s="71"/>
      <c r="Q1053" s="71"/>
      <c r="R1053" s="71"/>
      <c r="S1053" s="71"/>
      <c r="T1053" s="15"/>
      <c r="U1053" s="15"/>
      <c r="V1053" s="15"/>
      <c r="W1053" s="15"/>
    </row>
    <row r="1054">
      <c r="A1054" s="69"/>
      <c r="B1054" s="69"/>
      <c r="C1054" s="70"/>
      <c r="D1054" s="70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15"/>
      <c r="U1054" s="15"/>
      <c r="V1054" s="15"/>
      <c r="W1054" s="15"/>
    </row>
    <row r="1055">
      <c r="A1055" s="71"/>
      <c r="B1055" s="71"/>
      <c r="C1055" s="72"/>
      <c r="D1055" s="72"/>
      <c r="E1055" s="71"/>
      <c r="F1055" s="71"/>
      <c r="G1055" s="71"/>
      <c r="H1055" s="71"/>
      <c r="I1055" s="71"/>
      <c r="J1055" s="71"/>
      <c r="K1055" s="71"/>
      <c r="L1055" s="71"/>
      <c r="M1055" s="71"/>
      <c r="N1055" s="71"/>
      <c r="O1055" s="71"/>
      <c r="P1055" s="71"/>
      <c r="Q1055" s="71"/>
      <c r="R1055" s="71"/>
      <c r="S1055" s="71"/>
      <c r="T1055" s="15"/>
      <c r="U1055" s="15"/>
      <c r="V1055" s="15"/>
      <c r="W1055" s="15"/>
    </row>
    <row r="1056">
      <c r="A1056" s="69"/>
      <c r="B1056" s="69"/>
      <c r="C1056" s="70"/>
      <c r="D1056" s="70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69"/>
      <c r="T1056" s="15"/>
      <c r="U1056" s="15"/>
      <c r="V1056" s="15"/>
      <c r="W1056" s="15"/>
    </row>
    <row r="1057">
      <c r="A1057" s="71"/>
      <c r="B1057" s="71"/>
      <c r="C1057" s="72"/>
      <c r="D1057" s="72"/>
      <c r="E1057" s="71"/>
      <c r="F1057" s="71"/>
      <c r="G1057" s="71"/>
      <c r="H1057" s="71"/>
      <c r="I1057" s="71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15"/>
      <c r="U1057" s="15"/>
      <c r="V1057" s="15"/>
      <c r="W1057" s="15"/>
    </row>
    <row r="1058">
      <c r="A1058" s="69"/>
      <c r="B1058" s="69"/>
      <c r="C1058" s="70"/>
      <c r="D1058" s="70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15"/>
      <c r="U1058" s="15"/>
      <c r="V1058" s="15"/>
      <c r="W1058" s="15"/>
    </row>
    <row r="1059">
      <c r="A1059" s="71"/>
      <c r="B1059" s="71"/>
      <c r="C1059" s="72"/>
      <c r="D1059" s="72"/>
      <c r="E1059" s="71"/>
      <c r="F1059" s="71"/>
      <c r="G1059" s="71"/>
      <c r="H1059" s="71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15"/>
      <c r="U1059" s="15"/>
      <c r="V1059" s="15"/>
      <c r="W1059" s="15"/>
    </row>
    <row r="1060">
      <c r="A1060" s="69"/>
      <c r="B1060" s="69"/>
      <c r="C1060" s="70"/>
      <c r="D1060" s="70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  <c r="T1060" s="15"/>
      <c r="U1060" s="15"/>
      <c r="V1060" s="15"/>
      <c r="W1060" s="15"/>
    </row>
    <row r="1061">
      <c r="A1061" s="71"/>
      <c r="B1061" s="71"/>
      <c r="C1061" s="72"/>
      <c r="D1061" s="72"/>
      <c r="E1061" s="71"/>
      <c r="F1061" s="71"/>
      <c r="G1061" s="71"/>
      <c r="H1061" s="71"/>
      <c r="I1061" s="71"/>
      <c r="J1061" s="71"/>
      <c r="K1061" s="71"/>
      <c r="L1061" s="71"/>
      <c r="M1061" s="71"/>
      <c r="N1061" s="71"/>
      <c r="O1061" s="71"/>
      <c r="P1061" s="71"/>
      <c r="Q1061" s="71"/>
      <c r="R1061" s="71"/>
      <c r="S1061" s="71"/>
      <c r="T1061" s="15"/>
      <c r="U1061" s="15"/>
      <c r="V1061" s="15"/>
      <c r="W1061" s="15"/>
    </row>
    <row r="1062">
      <c r="A1062" s="69"/>
      <c r="B1062" s="69"/>
      <c r="C1062" s="70"/>
      <c r="D1062" s="70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69"/>
      <c r="T1062" s="15"/>
      <c r="U1062" s="15"/>
      <c r="V1062" s="15"/>
      <c r="W1062" s="15"/>
    </row>
    <row r="1063">
      <c r="A1063" s="71"/>
      <c r="B1063" s="71"/>
      <c r="C1063" s="72"/>
      <c r="D1063" s="72"/>
      <c r="E1063" s="71"/>
      <c r="F1063" s="71"/>
      <c r="G1063" s="71"/>
      <c r="H1063" s="71"/>
      <c r="I1063" s="71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15"/>
      <c r="U1063" s="15"/>
      <c r="V1063" s="15"/>
      <c r="W1063" s="15"/>
    </row>
    <row r="1064">
      <c r="A1064" s="69"/>
      <c r="B1064" s="69"/>
      <c r="C1064" s="70"/>
      <c r="D1064" s="70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69"/>
      <c r="T1064" s="15"/>
      <c r="U1064" s="15"/>
      <c r="V1064" s="15"/>
      <c r="W1064" s="15"/>
    </row>
    <row r="1065">
      <c r="A1065" s="71"/>
      <c r="B1065" s="71"/>
      <c r="C1065" s="72"/>
      <c r="D1065" s="72"/>
      <c r="E1065" s="71"/>
      <c r="F1065" s="71"/>
      <c r="G1065" s="71"/>
      <c r="H1065" s="71"/>
      <c r="I1065" s="71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15"/>
      <c r="U1065" s="15"/>
      <c r="V1065" s="15"/>
      <c r="W1065" s="15"/>
    </row>
    <row r="1066">
      <c r="A1066" s="69"/>
      <c r="B1066" s="69"/>
      <c r="C1066" s="70"/>
      <c r="D1066" s="70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  <c r="T1066" s="15"/>
      <c r="U1066" s="15"/>
      <c r="V1066" s="15"/>
      <c r="W1066" s="15"/>
    </row>
    <row r="1067">
      <c r="A1067" s="71"/>
      <c r="B1067" s="71"/>
      <c r="C1067" s="72"/>
      <c r="D1067" s="72"/>
      <c r="E1067" s="71"/>
      <c r="F1067" s="71"/>
      <c r="G1067" s="71"/>
      <c r="H1067" s="71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15"/>
      <c r="U1067" s="15"/>
      <c r="V1067" s="15"/>
      <c r="W1067" s="15"/>
    </row>
    <row r="1068">
      <c r="A1068" s="69"/>
      <c r="B1068" s="69"/>
      <c r="C1068" s="70"/>
      <c r="D1068" s="70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15"/>
      <c r="U1068" s="15"/>
      <c r="V1068" s="15"/>
      <c r="W1068" s="15"/>
    </row>
    <row r="1069">
      <c r="A1069" s="71"/>
      <c r="B1069" s="71"/>
      <c r="C1069" s="72"/>
      <c r="D1069" s="72"/>
      <c r="E1069" s="71"/>
      <c r="F1069" s="71"/>
      <c r="G1069" s="71"/>
      <c r="H1069" s="71"/>
      <c r="I1069" s="71"/>
      <c r="J1069" s="71"/>
      <c r="K1069" s="71"/>
      <c r="L1069" s="71"/>
      <c r="M1069" s="71"/>
      <c r="N1069" s="71"/>
      <c r="O1069" s="71"/>
      <c r="P1069" s="71"/>
      <c r="Q1069" s="71"/>
      <c r="R1069" s="71"/>
      <c r="S1069" s="71"/>
      <c r="T1069" s="15"/>
      <c r="U1069" s="15"/>
      <c r="V1069" s="15"/>
      <c r="W1069" s="15"/>
    </row>
    <row r="1070">
      <c r="A1070" s="69"/>
      <c r="B1070" s="69"/>
      <c r="C1070" s="70"/>
      <c r="D1070" s="70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  <c r="T1070" s="15"/>
      <c r="U1070" s="15"/>
      <c r="V1070" s="15"/>
      <c r="W1070" s="15"/>
    </row>
    <row r="1071">
      <c r="A1071" s="71"/>
      <c r="B1071" s="71"/>
      <c r="C1071" s="72"/>
      <c r="D1071" s="72"/>
      <c r="E1071" s="71"/>
      <c r="F1071" s="71"/>
      <c r="G1071" s="71"/>
      <c r="H1071" s="71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15"/>
      <c r="U1071" s="15"/>
      <c r="V1071" s="15"/>
      <c r="W1071" s="15"/>
    </row>
    <row r="1072">
      <c r="A1072" s="69"/>
      <c r="B1072" s="69"/>
      <c r="C1072" s="70"/>
      <c r="D1072" s="70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  <c r="T1072" s="15"/>
      <c r="U1072" s="15"/>
      <c r="V1072" s="15"/>
      <c r="W1072" s="15"/>
    </row>
    <row r="1073">
      <c r="A1073" s="71"/>
      <c r="B1073" s="71"/>
      <c r="C1073" s="72"/>
      <c r="D1073" s="72"/>
      <c r="E1073" s="71"/>
      <c r="F1073" s="71"/>
      <c r="G1073" s="71"/>
      <c r="H1073" s="71"/>
      <c r="I1073" s="71"/>
      <c r="J1073" s="71"/>
      <c r="K1073" s="71"/>
      <c r="L1073" s="71"/>
      <c r="M1073" s="71"/>
      <c r="N1073" s="71"/>
      <c r="O1073" s="71"/>
      <c r="P1073" s="71"/>
      <c r="Q1073" s="71"/>
      <c r="R1073" s="71"/>
      <c r="S1073" s="71"/>
      <c r="T1073" s="15"/>
      <c r="U1073" s="15"/>
      <c r="V1073" s="15"/>
      <c r="W1073" s="15"/>
    </row>
    <row r="1074">
      <c r="A1074" s="69"/>
      <c r="B1074" s="69"/>
      <c r="C1074" s="70"/>
      <c r="D1074" s="70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69"/>
      <c r="T1074" s="15"/>
      <c r="U1074" s="15"/>
      <c r="V1074" s="15"/>
      <c r="W1074" s="15"/>
    </row>
    <row r="1075">
      <c r="A1075" s="71"/>
      <c r="B1075" s="71"/>
      <c r="C1075" s="72"/>
      <c r="D1075" s="72"/>
      <c r="E1075" s="71"/>
      <c r="F1075" s="71"/>
      <c r="G1075" s="71"/>
      <c r="H1075" s="71"/>
      <c r="I1075" s="71"/>
      <c r="J1075" s="71"/>
      <c r="K1075" s="71"/>
      <c r="L1075" s="71"/>
      <c r="M1075" s="71"/>
      <c r="N1075" s="71"/>
      <c r="O1075" s="71"/>
      <c r="P1075" s="71"/>
      <c r="Q1075" s="71"/>
      <c r="R1075" s="71"/>
      <c r="S1075" s="71"/>
      <c r="T1075" s="15"/>
      <c r="U1075" s="15"/>
      <c r="V1075" s="15"/>
      <c r="W1075" s="15"/>
    </row>
    <row r="1076">
      <c r="A1076" s="69"/>
      <c r="B1076" s="69"/>
      <c r="C1076" s="70"/>
      <c r="D1076" s="70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15"/>
      <c r="U1076" s="15"/>
      <c r="V1076" s="15"/>
      <c r="W1076" s="15"/>
    </row>
    <row r="1077">
      <c r="A1077" s="71"/>
      <c r="B1077" s="71"/>
      <c r="C1077" s="72"/>
      <c r="D1077" s="72"/>
      <c r="E1077" s="71"/>
      <c r="F1077" s="71"/>
      <c r="G1077" s="71"/>
      <c r="H1077" s="71"/>
      <c r="I1077" s="71"/>
      <c r="J1077" s="71"/>
      <c r="K1077" s="71"/>
      <c r="L1077" s="71"/>
      <c r="M1077" s="71"/>
      <c r="N1077" s="71"/>
      <c r="O1077" s="71"/>
      <c r="P1077" s="71"/>
      <c r="Q1077" s="71"/>
      <c r="R1077" s="71"/>
      <c r="S1077" s="71"/>
      <c r="T1077" s="15"/>
      <c r="U1077" s="15"/>
      <c r="V1077" s="15"/>
      <c r="W1077" s="15"/>
    </row>
    <row r="1078">
      <c r="A1078" s="69"/>
      <c r="B1078" s="69"/>
      <c r="C1078" s="70"/>
      <c r="D1078" s="70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  <c r="T1078" s="15"/>
      <c r="U1078" s="15"/>
      <c r="V1078" s="15"/>
      <c r="W1078" s="15"/>
    </row>
    <row r="1079">
      <c r="A1079" s="71"/>
      <c r="B1079" s="71"/>
      <c r="C1079" s="72"/>
      <c r="D1079" s="72"/>
      <c r="E1079" s="71"/>
      <c r="F1079" s="71"/>
      <c r="G1079" s="71"/>
      <c r="H1079" s="71"/>
      <c r="I1079" s="71"/>
      <c r="J1079" s="71"/>
      <c r="K1079" s="71"/>
      <c r="L1079" s="71"/>
      <c r="M1079" s="71"/>
      <c r="N1079" s="71"/>
      <c r="O1079" s="71"/>
      <c r="P1079" s="71"/>
      <c r="Q1079" s="71"/>
      <c r="R1079" s="71"/>
      <c r="S1079" s="71"/>
      <c r="T1079" s="15"/>
      <c r="U1079" s="15"/>
      <c r="V1079" s="15"/>
      <c r="W1079" s="15"/>
    </row>
    <row r="1080">
      <c r="A1080" s="69"/>
      <c r="B1080" s="69"/>
      <c r="C1080" s="70"/>
      <c r="D1080" s="70"/>
      <c r="E1080" s="69"/>
      <c r="F1080" s="69"/>
      <c r="G1080" s="69"/>
      <c r="H1080" s="69"/>
      <c r="I1080" s="69"/>
      <c r="J1080" s="69"/>
      <c r="K1080" s="69"/>
      <c r="L1080" s="69"/>
      <c r="M1080" s="69"/>
      <c r="N1080" s="69"/>
      <c r="O1080" s="69"/>
      <c r="P1080" s="69"/>
      <c r="Q1080" s="69"/>
      <c r="R1080" s="69"/>
      <c r="S1080" s="69"/>
      <c r="T1080" s="15"/>
      <c r="U1080" s="15"/>
      <c r="V1080" s="15"/>
      <c r="W1080" s="15"/>
    </row>
    <row r="1081">
      <c r="A1081" s="71"/>
      <c r="B1081" s="71"/>
      <c r="C1081" s="72"/>
      <c r="D1081" s="72"/>
      <c r="E1081" s="71"/>
      <c r="F1081" s="71"/>
      <c r="G1081" s="71"/>
      <c r="H1081" s="71"/>
      <c r="I1081" s="71"/>
      <c r="J1081" s="71"/>
      <c r="K1081" s="71"/>
      <c r="L1081" s="71"/>
      <c r="M1081" s="71"/>
      <c r="N1081" s="71"/>
      <c r="O1081" s="71"/>
      <c r="P1081" s="71"/>
      <c r="Q1081" s="71"/>
      <c r="R1081" s="71"/>
      <c r="S1081" s="71"/>
      <c r="T1081" s="15"/>
      <c r="U1081" s="15"/>
      <c r="V1081" s="15"/>
      <c r="W1081" s="15"/>
    </row>
    <row r="1082">
      <c r="A1082" s="69"/>
      <c r="B1082" s="69"/>
      <c r="C1082" s="70"/>
      <c r="D1082" s="70"/>
      <c r="E1082" s="69"/>
      <c r="F1082" s="69"/>
      <c r="G1082" s="69"/>
      <c r="H1082" s="69"/>
      <c r="I1082" s="69"/>
      <c r="J1082" s="69"/>
      <c r="K1082" s="69"/>
      <c r="L1082" s="69"/>
      <c r="M1082" s="69"/>
      <c r="N1082" s="69"/>
      <c r="O1082" s="69"/>
      <c r="P1082" s="69"/>
      <c r="Q1082" s="69"/>
      <c r="R1082" s="69"/>
      <c r="S1082" s="69"/>
      <c r="T1082" s="15"/>
      <c r="U1082" s="15"/>
      <c r="V1082" s="15"/>
      <c r="W1082" s="15"/>
    </row>
    <row r="1083">
      <c r="A1083" s="71"/>
      <c r="B1083" s="71"/>
      <c r="C1083" s="72"/>
      <c r="D1083" s="72"/>
      <c r="E1083" s="71"/>
      <c r="F1083" s="71"/>
      <c r="G1083" s="71"/>
      <c r="H1083" s="71"/>
      <c r="I1083" s="71"/>
      <c r="J1083" s="71"/>
      <c r="K1083" s="71"/>
      <c r="L1083" s="71"/>
      <c r="M1083" s="71"/>
      <c r="N1083" s="71"/>
      <c r="O1083" s="71"/>
      <c r="P1083" s="71"/>
      <c r="Q1083" s="71"/>
      <c r="R1083" s="71"/>
      <c r="S1083" s="71"/>
      <c r="T1083" s="15"/>
      <c r="U1083" s="15"/>
      <c r="V1083" s="15"/>
      <c r="W1083" s="15"/>
    </row>
    <row r="1084">
      <c r="A1084" s="69"/>
      <c r="B1084" s="69"/>
      <c r="C1084" s="70"/>
      <c r="D1084" s="70"/>
      <c r="E1084" s="69"/>
      <c r="F1084" s="69"/>
      <c r="G1084" s="69"/>
      <c r="H1084" s="69"/>
      <c r="I1084" s="69"/>
      <c r="J1084" s="69"/>
      <c r="K1084" s="69"/>
      <c r="L1084" s="69"/>
      <c r="M1084" s="69"/>
      <c r="N1084" s="69"/>
      <c r="O1084" s="69"/>
      <c r="P1084" s="69"/>
      <c r="Q1084" s="69"/>
      <c r="R1084" s="69"/>
      <c r="S1084" s="69"/>
      <c r="T1084" s="15"/>
      <c r="U1084" s="15"/>
      <c r="V1084" s="15"/>
      <c r="W1084" s="15"/>
    </row>
    <row r="1085">
      <c r="A1085" s="71"/>
      <c r="B1085" s="71"/>
      <c r="C1085" s="72"/>
      <c r="D1085" s="72"/>
      <c r="E1085" s="71"/>
      <c r="F1085" s="71"/>
      <c r="G1085" s="71"/>
      <c r="H1085" s="71"/>
      <c r="I1085" s="71"/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15"/>
      <c r="U1085" s="15"/>
      <c r="V1085" s="15"/>
      <c r="W1085" s="15"/>
    </row>
    <row r="1086">
      <c r="A1086" s="69"/>
      <c r="B1086" s="69"/>
      <c r="C1086" s="70"/>
      <c r="D1086" s="70"/>
      <c r="E1086" s="69"/>
      <c r="F1086" s="69"/>
      <c r="G1086" s="69"/>
      <c r="H1086" s="69"/>
      <c r="I1086" s="69"/>
      <c r="J1086" s="69"/>
      <c r="K1086" s="69"/>
      <c r="L1086" s="69"/>
      <c r="M1086" s="69"/>
      <c r="N1086" s="69"/>
      <c r="O1086" s="69"/>
      <c r="P1086" s="69"/>
      <c r="Q1086" s="69"/>
      <c r="R1086" s="69"/>
      <c r="S1086" s="69"/>
      <c r="T1086" s="15"/>
      <c r="U1086" s="15"/>
      <c r="V1086" s="15"/>
      <c r="W1086" s="15"/>
    </row>
    <row r="1087">
      <c r="A1087" s="71"/>
      <c r="B1087" s="71"/>
      <c r="C1087" s="72"/>
      <c r="D1087" s="72"/>
      <c r="E1087" s="71"/>
      <c r="F1087" s="71"/>
      <c r="G1087" s="71"/>
      <c r="H1087" s="71"/>
      <c r="I1087" s="71"/>
      <c r="J1087" s="71"/>
      <c r="K1087" s="71"/>
      <c r="L1087" s="71"/>
      <c r="M1087" s="71"/>
      <c r="N1087" s="71"/>
      <c r="O1087" s="71"/>
      <c r="P1087" s="71"/>
      <c r="Q1087" s="71"/>
      <c r="R1087" s="71"/>
      <c r="S1087" s="71"/>
      <c r="T1087" s="15"/>
      <c r="U1087" s="15"/>
      <c r="V1087" s="15"/>
      <c r="W1087" s="15"/>
    </row>
    <row r="1088">
      <c r="A1088" s="69"/>
      <c r="B1088" s="69"/>
      <c r="C1088" s="70"/>
      <c r="D1088" s="70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69"/>
      <c r="T1088" s="15"/>
      <c r="U1088" s="15"/>
      <c r="V1088" s="15"/>
      <c r="W1088" s="15"/>
    </row>
    <row r="1089">
      <c r="A1089" s="71"/>
      <c r="B1089" s="71"/>
      <c r="C1089" s="72"/>
      <c r="D1089" s="72"/>
      <c r="E1089" s="71"/>
      <c r="F1089" s="71"/>
      <c r="G1089" s="71"/>
      <c r="H1089" s="71"/>
      <c r="I1089" s="71"/>
      <c r="J1089" s="71"/>
      <c r="K1089" s="71"/>
      <c r="L1089" s="71"/>
      <c r="M1089" s="71"/>
      <c r="N1089" s="71"/>
      <c r="O1089" s="71"/>
      <c r="P1089" s="71"/>
      <c r="Q1089" s="71"/>
      <c r="R1089" s="71"/>
      <c r="S1089" s="71"/>
      <c r="T1089" s="15"/>
      <c r="U1089" s="15"/>
      <c r="V1089" s="15"/>
      <c r="W1089" s="15"/>
    </row>
    <row r="1090">
      <c r="A1090" s="69"/>
      <c r="B1090" s="69"/>
      <c r="C1090" s="70"/>
      <c r="D1090" s="70"/>
      <c r="E1090" s="69"/>
      <c r="F1090" s="69"/>
      <c r="G1090" s="69"/>
      <c r="H1090" s="69"/>
      <c r="I1090" s="69"/>
      <c r="J1090" s="69"/>
      <c r="K1090" s="69"/>
      <c r="L1090" s="69"/>
      <c r="M1090" s="69"/>
      <c r="N1090" s="69"/>
      <c r="O1090" s="69"/>
      <c r="P1090" s="69"/>
      <c r="Q1090" s="69"/>
      <c r="R1090" s="69"/>
      <c r="S1090" s="69"/>
      <c r="T1090" s="15"/>
      <c r="U1090" s="15"/>
      <c r="V1090" s="15"/>
      <c r="W1090" s="15"/>
    </row>
    <row r="1091">
      <c r="A1091" s="71"/>
      <c r="B1091" s="71"/>
      <c r="C1091" s="72"/>
      <c r="D1091" s="72"/>
      <c r="E1091" s="71"/>
      <c r="F1091" s="71"/>
      <c r="G1091" s="71"/>
      <c r="H1091" s="71"/>
      <c r="I1091" s="71"/>
      <c r="J1091" s="71"/>
      <c r="K1091" s="71"/>
      <c r="L1091" s="71"/>
      <c r="M1091" s="71"/>
      <c r="N1091" s="71"/>
      <c r="O1091" s="71"/>
      <c r="P1091" s="71"/>
      <c r="Q1091" s="71"/>
      <c r="R1091" s="71"/>
      <c r="S1091" s="71"/>
      <c r="T1091" s="15"/>
      <c r="U1091" s="15"/>
      <c r="V1091" s="15"/>
      <c r="W1091" s="15"/>
    </row>
    <row r="1092">
      <c r="A1092" s="69"/>
      <c r="B1092" s="69"/>
      <c r="C1092" s="70"/>
      <c r="D1092" s="70"/>
      <c r="E1092" s="69"/>
      <c r="F1092" s="69"/>
      <c r="G1092" s="69"/>
      <c r="H1092" s="69"/>
      <c r="I1092" s="69"/>
      <c r="J1092" s="69"/>
      <c r="K1092" s="69"/>
      <c r="L1092" s="69"/>
      <c r="M1092" s="69"/>
      <c r="N1092" s="69"/>
      <c r="O1092" s="69"/>
      <c r="P1092" s="69"/>
      <c r="Q1092" s="69"/>
      <c r="R1092" s="69"/>
      <c r="S1092" s="69"/>
      <c r="T1092" s="15"/>
      <c r="U1092" s="15"/>
      <c r="V1092" s="15"/>
      <c r="W1092" s="15"/>
    </row>
    <row r="1093">
      <c r="A1093" s="71"/>
      <c r="B1093" s="71"/>
      <c r="C1093" s="72"/>
      <c r="D1093" s="72"/>
      <c r="E1093" s="71"/>
      <c r="F1093" s="71"/>
      <c r="G1093" s="71"/>
      <c r="H1093" s="71"/>
      <c r="I1093" s="71"/>
      <c r="J1093" s="71"/>
      <c r="K1093" s="71"/>
      <c r="L1093" s="71"/>
      <c r="M1093" s="71"/>
      <c r="N1093" s="71"/>
      <c r="O1093" s="71"/>
      <c r="P1093" s="71"/>
      <c r="Q1093" s="71"/>
      <c r="R1093" s="71"/>
      <c r="S1093" s="71"/>
      <c r="T1093" s="15"/>
      <c r="U1093" s="15"/>
      <c r="V1093" s="15"/>
      <c r="W1093" s="15"/>
    </row>
    <row r="1094">
      <c r="A1094" s="69"/>
      <c r="B1094" s="69"/>
      <c r="C1094" s="70"/>
      <c r="D1094" s="70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  <c r="T1094" s="15"/>
      <c r="U1094" s="15"/>
      <c r="V1094" s="15"/>
      <c r="W1094" s="15"/>
    </row>
    <row r="1095">
      <c r="A1095" s="71"/>
      <c r="B1095" s="71"/>
      <c r="C1095" s="72"/>
      <c r="D1095" s="72"/>
      <c r="E1095" s="71"/>
      <c r="F1095" s="71"/>
      <c r="G1095" s="71"/>
      <c r="H1095" s="71"/>
      <c r="I1095" s="71"/>
      <c r="J1095" s="71"/>
      <c r="K1095" s="71"/>
      <c r="L1095" s="71"/>
      <c r="M1095" s="71"/>
      <c r="N1095" s="71"/>
      <c r="O1095" s="71"/>
      <c r="P1095" s="71"/>
      <c r="Q1095" s="71"/>
      <c r="R1095" s="71"/>
      <c r="S1095" s="71"/>
      <c r="T1095" s="15"/>
      <c r="U1095" s="15"/>
      <c r="V1095" s="15"/>
      <c r="W1095" s="15"/>
    </row>
    <row r="1096">
      <c r="A1096" s="69"/>
      <c r="B1096" s="69"/>
      <c r="C1096" s="70"/>
      <c r="D1096" s="70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69"/>
      <c r="T1096" s="15"/>
      <c r="U1096" s="15"/>
      <c r="V1096" s="15"/>
      <c r="W1096" s="15"/>
    </row>
    <row r="1097">
      <c r="A1097" s="71"/>
      <c r="B1097" s="71"/>
      <c r="C1097" s="72"/>
      <c r="D1097" s="72"/>
      <c r="E1097" s="71"/>
      <c r="F1097" s="71"/>
      <c r="G1097" s="71"/>
      <c r="H1097" s="71"/>
      <c r="I1097" s="71"/>
      <c r="J1097" s="71"/>
      <c r="K1097" s="71"/>
      <c r="L1097" s="71"/>
      <c r="M1097" s="71"/>
      <c r="N1097" s="71"/>
      <c r="O1097" s="71"/>
      <c r="P1097" s="71"/>
      <c r="Q1097" s="71"/>
      <c r="R1097" s="71"/>
      <c r="S1097" s="71"/>
      <c r="T1097" s="15"/>
      <c r="U1097" s="15"/>
      <c r="V1097" s="15"/>
      <c r="W1097" s="15"/>
    </row>
    <row r="1098">
      <c r="A1098" s="69"/>
      <c r="B1098" s="69"/>
      <c r="C1098" s="70"/>
      <c r="D1098" s="70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  <c r="T1098" s="15"/>
      <c r="U1098" s="15"/>
      <c r="V1098" s="15"/>
      <c r="W1098" s="15"/>
    </row>
    <row r="1099">
      <c r="A1099" s="71"/>
      <c r="B1099" s="71"/>
      <c r="C1099" s="72"/>
      <c r="D1099" s="72"/>
      <c r="E1099" s="71"/>
      <c r="F1099" s="71"/>
      <c r="G1099" s="71"/>
      <c r="H1099" s="71"/>
      <c r="I1099" s="71"/>
      <c r="J1099" s="71"/>
      <c r="K1099" s="71"/>
      <c r="L1099" s="71"/>
      <c r="M1099" s="71"/>
      <c r="N1099" s="71"/>
      <c r="O1099" s="71"/>
      <c r="P1099" s="71"/>
      <c r="Q1099" s="71"/>
      <c r="R1099" s="71"/>
      <c r="S1099" s="71"/>
      <c r="T1099" s="15"/>
      <c r="U1099" s="15"/>
      <c r="V1099" s="15"/>
      <c r="W1099" s="15"/>
    </row>
    <row r="1100">
      <c r="A1100" s="69"/>
      <c r="B1100" s="69"/>
      <c r="C1100" s="70"/>
      <c r="D1100" s="70"/>
      <c r="E1100" s="69"/>
      <c r="F1100" s="69"/>
      <c r="G1100" s="69"/>
      <c r="H1100" s="69"/>
      <c r="I1100" s="69"/>
      <c r="J1100" s="69"/>
      <c r="K1100" s="69"/>
      <c r="L1100" s="69"/>
      <c r="M1100" s="69"/>
      <c r="N1100" s="69"/>
      <c r="O1100" s="69"/>
      <c r="P1100" s="69"/>
      <c r="Q1100" s="69"/>
      <c r="R1100" s="69"/>
      <c r="S1100" s="69"/>
      <c r="T1100" s="15"/>
      <c r="U1100" s="15"/>
      <c r="V1100" s="15"/>
      <c r="W1100" s="15"/>
    </row>
    <row r="1101">
      <c r="A1101" s="71"/>
      <c r="B1101" s="71"/>
      <c r="C1101" s="72"/>
      <c r="D1101" s="72"/>
      <c r="E1101" s="71"/>
      <c r="F1101" s="71"/>
      <c r="G1101" s="71"/>
      <c r="H1101" s="71"/>
      <c r="I1101" s="71"/>
      <c r="J1101" s="71"/>
      <c r="K1101" s="71"/>
      <c r="L1101" s="71"/>
      <c r="M1101" s="71"/>
      <c r="N1101" s="71"/>
      <c r="O1101" s="71"/>
      <c r="P1101" s="71"/>
      <c r="Q1101" s="71"/>
      <c r="R1101" s="71"/>
      <c r="S1101" s="71"/>
      <c r="T1101" s="15"/>
      <c r="U1101" s="15"/>
      <c r="V1101" s="15"/>
      <c r="W1101" s="15"/>
    </row>
    <row r="1102">
      <c r="A1102" s="69"/>
      <c r="B1102" s="69"/>
      <c r="C1102" s="70"/>
      <c r="D1102" s="70"/>
      <c r="E1102" s="69"/>
      <c r="F1102" s="69"/>
      <c r="G1102" s="69"/>
      <c r="H1102" s="69"/>
      <c r="I1102" s="69"/>
      <c r="J1102" s="69"/>
      <c r="K1102" s="69"/>
      <c r="L1102" s="69"/>
      <c r="M1102" s="69"/>
      <c r="N1102" s="69"/>
      <c r="O1102" s="69"/>
      <c r="P1102" s="69"/>
      <c r="Q1102" s="69"/>
      <c r="R1102" s="69"/>
      <c r="S1102" s="69"/>
      <c r="T1102" s="15"/>
      <c r="U1102" s="15"/>
      <c r="V1102" s="15"/>
      <c r="W1102" s="15"/>
    </row>
    <row r="1103">
      <c r="A1103" s="71"/>
      <c r="B1103" s="71"/>
      <c r="C1103" s="72"/>
      <c r="D1103" s="72"/>
      <c r="E1103" s="71"/>
      <c r="F1103" s="71"/>
      <c r="G1103" s="71"/>
      <c r="H1103" s="71"/>
      <c r="I1103" s="71"/>
      <c r="J1103" s="71"/>
      <c r="K1103" s="71"/>
      <c r="L1103" s="71"/>
      <c r="M1103" s="71"/>
      <c r="N1103" s="71"/>
      <c r="O1103" s="71"/>
      <c r="P1103" s="71"/>
      <c r="Q1103" s="71"/>
      <c r="R1103" s="71"/>
      <c r="S1103" s="71"/>
      <c r="T1103" s="15"/>
      <c r="U1103" s="15"/>
      <c r="V1103" s="15"/>
      <c r="W1103" s="15"/>
    </row>
    <row r="1104">
      <c r="A1104" s="69"/>
      <c r="B1104" s="69"/>
      <c r="C1104" s="70"/>
      <c r="D1104" s="70"/>
      <c r="E1104" s="69"/>
      <c r="F1104" s="69"/>
      <c r="G1104" s="69"/>
      <c r="H1104" s="69"/>
      <c r="I1104" s="69"/>
      <c r="J1104" s="69"/>
      <c r="K1104" s="69"/>
      <c r="L1104" s="69"/>
      <c r="M1104" s="69"/>
      <c r="N1104" s="69"/>
      <c r="O1104" s="69"/>
      <c r="P1104" s="69"/>
      <c r="Q1104" s="69"/>
      <c r="R1104" s="69"/>
      <c r="S1104" s="69"/>
      <c r="T1104" s="15"/>
      <c r="U1104" s="15"/>
      <c r="V1104" s="15"/>
      <c r="W1104" s="15"/>
    </row>
    <row r="1105">
      <c r="A1105" s="71"/>
      <c r="B1105" s="71"/>
      <c r="C1105" s="72"/>
      <c r="D1105" s="72"/>
      <c r="E1105" s="71"/>
      <c r="F1105" s="71"/>
      <c r="G1105" s="71"/>
      <c r="H1105" s="71"/>
      <c r="I1105" s="71"/>
      <c r="J1105" s="71"/>
      <c r="K1105" s="71"/>
      <c r="L1105" s="71"/>
      <c r="M1105" s="71"/>
      <c r="N1105" s="71"/>
      <c r="O1105" s="71"/>
      <c r="P1105" s="71"/>
      <c r="Q1105" s="71"/>
      <c r="R1105" s="71"/>
      <c r="S1105" s="71"/>
      <c r="T1105" s="15"/>
      <c r="U1105" s="15"/>
      <c r="V1105" s="15"/>
      <c r="W1105" s="15"/>
    </row>
    <row r="1106">
      <c r="A1106" s="69"/>
      <c r="B1106" s="69"/>
      <c r="C1106" s="70"/>
      <c r="D1106" s="70"/>
      <c r="E1106" s="69"/>
      <c r="F1106" s="69"/>
      <c r="G1106" s="69"/>
      <c r="H1106" s="69"/>
      <c r="I1106" s="69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15"/>
      <c r="U1106" s="15"/>
      <c r="V1106" s="15"/>
      <c r="W1106" s="15"/>
    </row>
    <row r="1107">
      <c r="A1107" s="71"/>
      <c r="B1107" s="71"/>
      <c r="C1107" s="72"/>
      <c r="D1107" s="72"/>
      <c r="E1107" s="71"/>
      <c r="F1107" s="71"/>
      <c r="G1107" s="71"/>
      <c r="H1107" s="71"/>
      <c r="I1107" s="71"/>
      <c r="J1107" s="71"/>
      <c r="K1107" s="71"/>
      <c r="L1107" s="71"/>
      <c r="M1107" s="71"/>
      <c r="N1107" s="71"/>
      <c r="O1107" s="71"/>
      <c r="P1107" s="71"/>
      <c r="Q1107" s="71"/>
      <c r="R1107" s="71"/>
      <c r="S1107" s="71"/>
      <c r="T1107" s="15"/>
      <c r="U1107" s="15"/>
      <c r="V1107" s="15"/>
      <c r="W1107" s="15"/>
    </row>
    <row r="1108">
      <c r="A1108" s="69"/>
      <c r="B1108" s="69"/>
      <c r="C1108" s="70"/>
      <c r="D1108" s="70"/>
      <c r="E1108" s="69"/>
      <c r="F1108" s="69"/>
      <c r="G1108" s="69"/>
      <c r="H1108" s="69"/>
      <c r="I1108" s="69"/>
      <c r="J1108" s="69"/>
      <c r="K1108" s="69"/>
      <c r="L1108" s="69"/>
      <c r="M1108" s="69"/>
      <c r="N1108" s="69"/>
      <c r="O1108" s="69"/>
      <c r="P1108" s="69"/>
      <c r="Q1108" s="69"/>
      <c r="R1108" s="69"/>
      <c r="S1108" s="69"/>
      <c r="T1108" s="15"/>
      <c r="U1108" s="15"/>
      <c r="V1108" s="15"/>
      <c r="W1108" s="15"/>
    </row>
    <row r="1109">
      <c r="A1109" s="71"/>
      <c r="B1109" s="71"/>
      <c r="C1109" s="72"/>
      <c r="D1109" s="72"/>
      <c r="E1109" s="71"/>
      <c r="F1109" s="71"/>
      <c r="G1109" s="71"/>
      <c r="H1109" s="71"/>
      <c r="I1109" s="71"/>
      <c r="J1109" s="71"/>
      <c r="K1109" s="71"/>
      <c r="L1109" s="71"/>
      <c r="M1109" s="71"/>
      <c r="N1109" s="71"/>
      <c r="O1109" s="71"/>
      <c r="P1109" s="71"/>
      <c r="Q1109" s="71"/>
      <c r="R1109" s="71"/>
      <c r="S1109" s="71"/>
      <c r="T1109" s="15"/>
      <c r="U1109" s="15"/>
      <c r="V1109" s="15"/>
      <c r="W1109" s="15"/>
    </row>
    <row r="1110">
      <c r="A1110" s="69"/>
      <c r="B1110" s="69"/>
      <c r="C1110" s="70"/>
      <c r="D1110" s="70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69"/>
      <c r="T1110" s="15"/>
      <c r="U1110" s="15"/>
      <c r="V1110" s="15"/>
      <c r="W1110" s="15"/>
    </row>
    <row r="1111">
      <c r="A1111" s="71"/>
      <c r="B1111" s="71"/>
      <c r="C1111" s="72"/>
      <c r="D1111" s="72"/>
      <c r="E1111" s="71"/>
      <c r="F1111" s="71"/>
      <c r="G1111" s="71"/>
      <c r="H1111" s="71"/>
      <c r="I1111" s="71"/>
      <c r="J1111" s="71"/>
      <c r="K1111" s="71"/>
      <c r="L1111" s="71"/>
      <c r="M1111" s="71"/>
      <c r="N1111" s="71"/>
      <c r="O1111" s="71"/>
      <c r="P1111" s="71"/>
      <c r="Q1111" s="71"/>
      <c r="R1111" s="71"/>
      <c r="S1111" s="71"/>
      <c r="T1111" s="15"/>
      <c r="U1111" s="15"/>
      <c r="V1111" s="15"/>
      <c r="W1111" s="15"/>
    </row>
    <row r="1112">
      <c r="A1112" s="69"/>
      <c r="B1112" s="69"/>
      <c r="C1112" s="70"/>
      <c r="D1112" s="70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  <c r="T1112" s="15"/>
      <c r="U1112" s="15"/>
      <c r="V1112" s="15"/>
      <c r="W1112" s="15"/>
    </row>
    <row r="1113">
      <c r="A1113" s="71"/>
      <c r="B1113" s="71"/>
      <c r="C1113" s="72"/>
      <c r="D1113" s="72"/>
      <c r="E1113" s="71"/>
      <c r="F1113" s="71"/>
      <c r="G1113" s="71"/>
      <c r="H1113" s="71"/>
      <c r="I1113" s="71"/>
      <c r="J1113" s="71"/>
      <c r="K1113" s="71"/>
      <c r="L1113" s="71"/>
      <c r="M1113" s="71"/>
      <c r="N1113" s="71"/>
      <c r="O1113" s="71"/>
      <c r="P1113" s="71"/>
      <c r="Q1113" s="71"/>
      <c r="R1113" s="71"/>
      <c r="S1113" s="71"/>
      <c r="T1113" s="15"/>
      <c r="U1113" s="15"/>
      <c r="V1113" s="15"/>
      <c r="W1113" s="15"/>
    </row>
    <row r="1114">
      <c r="A1114" s="69"/>
      <c r="B1114" s="69"/>
      <c r="C1114" s="70"/>
      <c r="D1114" s="70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69"/>
      <c r="T1114" s="15"/>
      <c r="U1114" s="15"/>
      <c r="V1114" s="15"/>
      <c r="W1114" s="15"/>
    </row>
    <row r="1115">
      <c r="A1115" s="71"/>
      <c r="B1115" s="71"/>
      <c r="C1115" s="72"/>
      <c r="D1115" s="72"/>
      <c r="E1115" s="71"/>
      <c r="F1115" s="71"/>
      <c r="G1115" s="71"/>
      <c r="H1115" s="71"/>
      <c r="I1115" s="71"/>
      <c r="J1115" s="71"/>
      <c r="K1115" s="71"/>
      <c r="L1115" s="71"/>
      <c r="M1115" s="71"/>
      <c r="N1115" s="71"/>
      <c r="O1115" s="71"/>
      <c r="P1115" s="71"/>
      <c r="Q1115" s="71"/>
      <c r="R1115" s="71"/>
      <c r="S1115" s="71"/>
      <c r="T1115" s="15"/>
      <c r="U1115" s="15"/>
      <c r="V1115" s="15"/>
      <c r="W1115" s="15"/>
    </row>
    <row r="1116">
      <c r="A1116" s="69"/>
      <c r="B1116" s="69"/>
      <c r="C1116" s="70"/>
      <c r="D1116" s="70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69"/>
      <c r="T1116" s="15"/>
      <c r="U1116" s="15"/>
      <c r="V1116" s="15"/>
      <c r="W1116" s="15"/>
    </row>
    <row r="1117">
      <c r="A1117" s="71"/>
      <c r="B1117" s="71"/>
      <c r="C1117" s="72"/>
      <c r="D1117" s="72"/>
      <c r="E1117" s="71"/>
      <c r="F1117" s="71"/>
      <c r="G1117" s="71"/>
      <c r="H1117" s="71"/>
      <c r="I1117" s="71"/>
      <c r="J1117" s="71"/>
      <c r="K1117" s="71"/>
      <c r="L1117" s="71"/>
      <c r="M1117" s="71"/>
      <c r="N1117" s="71"/>
      <c r="O1117" s="71"/>
      <c r="P1117" s="71"/>
      <c r="Q1117" s="71"/>
      <c r="R1117" s="71"/>
      <c r="S1117" s="71"/>
      <c r="T1117" s="15"/>
      <c r="U1117" s="15"/>
      <c r="V1117" s="15"/>
      <c r="W1117" s="15"/>
    </row>
    <row r="1118">
      <c r="A1118" s="69"/>
      <c r="B1118" s="69"/>
      <c r="C1118" s="70"/>
      <c r="D1118" s="70"/>
      <c r="E1118" s="69"/>
      <c r="F1118" s="69"/>
      <c r="G1118" s="69"/>
      <c r="H1118" s="69"/>
      <c r="I1118" s="69"/>
      <c r="J1118" s="69"/>
      <c r="K1118" s="69"/>
      <c r="L1118" s="69"/>
      <c r="M1118" s="69"/>
      <c r="N1118" s="69"/>
      <c r="O1118" s="69"/>
      <c r="P1118" s="69"/>
      <c r="Q1118" s="69"/>
      <c r="R1118" s="69"/>
      <c r="S1118" s="69"/>
      <c r="T1118" s="15"/>
      <c r="U1118" s="15"/>
      <c r="V1118" s="15"/>
      <c r="W1118" s="15"/>
    </row>
    <row r="1119">
      <c r="A1119" s="71"/>
      <c r="B1119" s="71"/>
      <c r="C1119" s="72"/>
      <c r="D1119" s="72"/>
      <c r="E1119" s="71"/>
      <c r="F1119" s="71"/>
      <c r="G1119" s="71"/>
      <c r="H1119" s="71"/>
      <c r="I1119" s="71"/>
      <c r="J1119" s="71"/>
      <c r="K1119" s="71"/>
      <c r="L1119" s="71"/>
      <c r="M1119" s="71"/>
      <c r="N1119" s="71"/>
      <c r="O1119" s="71"/>
      <c r="P1119" s="71"/>
      <c r="Q1119" s="71"/>
      <c r="R1119" s="71"/>
      <c r="S1119" s="71"/>
      <c r="T1119" s="15"/>
      <c r="U1119" s="15"/>
      <c r="V1119" s="15"/>
      <c r="W1119" s="15"/>
    </row>
    <row r="1120">
      <c r="A1120" s="69"/>
      <c r="B1120" s="69"/>
      <c r="C1120" s="70"/>
      <c r="D1120" s="70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/>
      <c r="P1120" s="69"/>
      <c r="Q1120" s="69"/>
      <c r="R1120" s="69"/>
      <c r="S1120" s="69"/>
      <c r="T1120" s="15"/>
      <c r="U1120" s="15"/>
      <c r="V1120" s="15"/>
      <c r="W1120" s="15"/>
    </row>
    <row r="1121">
      <c r="A1121" s="71"/>
      <c r="B1121" s="71"/>
      <c r="C1121" s="72"/>
      <c r="D1121" s="72"/>
      <c r="E1121" s="71"/>
      <c r="F1121" s="71"/>
      <c r="G1121" s="71"/>
      <c r="H1121" s="71"/>
      <c r="I1121" s="71"/>
      <c r="J1121" s="71"/>
      <c r="K1121" s="71"/>
      <c r="L1121" s="71"/>
      <c r="M1121" s="71"/>
      <c r="N1121" s="71"/>
      <c r="O1121" s="71"/>
      <c r="P1121" s="71"/>
      <c r="Q1121" s="71"/>
      <c r="R1121" s="71"/>
      <c r="S1121" s="71"/>
      <c r="T1121" s="15"/>
      <c r="U1121" s="15"/>
      <c r="V1121" s="15"/>
      <c r="W1121" s="15"/>
    </row>
    <row r="1122">
      <c r="A1122" s="69"/>
      <c r="B1122" s="69"/>
      <c r="C1122" s="70"/>
      <c r="D1122" s="70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/>
      <c r="O1122" s="69"/>
      <c r="P1122" s="69"/>
      <c r="Q1122" s="69"/>
      <c r="R1122" s="69"/>
      <c r="S1122" s="69"/>
      <c r="T1122" s="15"/>
      <c r="U1122" s="15"/>
      <c r="V1122" s="15"/>
      <c r="W1122" s="15"/>
    </row>
    <row r="1123">
      <c r="A1123" s="71"/>
      <c r="B1123" s="71"/>
      <c r="C1123" s="72"/>
      <c r="D1123" s="72"/>
      <c r="E1123" s="71"/>
      <c r="F1123" s="71"/>
      <c r="G1123" s="71"/>
      <c r="H1123" s="71"/>
      <c r="I1123" s="71"/>
      <c r="J1123" s="71"/>
      <c r="K1123" s="71"/>
      <c r="L1123" s="71"/>
      <c r="M1123" s="71"/>
      <c r="N1123" s="71"/>
      <c r="O1123" s="71"/>
      <c r="P1123" s="71"/>
      <c r="Q1123" s="71"/>
      <c r="R1123" s="71"/>
      <c r="S1123" s="71"/>
      <c r="T1123" s="15"/>
      <c r="U1123" s="15"/>
      <c r="V1123" s="15"/>
      <c r="W1123" s="15"/>
    </row>
    <row r="1124">
      <c r="A1124" s="69"/>
      <c r="B1124" s="69"/>
      <c r="C1124" s="70"/>
      <c r="D1124" s="70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/>
      <c r="P1124" s="69"/>
      <c r="Q1124" s="69"/>
      <c r="R1124" s="69"/>
      <c r="S1124" s="69"/>
      <c r="T1124" s="15"/>
      <c r="U1124" s="15"/>
      <c r="V1124" s="15"/>
      <c r="W1124" s="15"/>
    </row>
    <row r="1125">
      <c r="A1125" s="71"/>
      <c r="B1125" s="71"/>
      <c r="C1125" s="72"/>
      <c r="D1125" s="72"/>
      <c r="E1125" s="71"/>
      <c r="F1125" s="71"/>
      <c r="G1125" s="71"/>
      <c r="H1125" s="71"/>
      <c r="I1125" s="71"/>
      <c r="J1125" s="71"/>
      <c r="K1125" s="71"/>
      <c r="L1125" s="71"/>
      <c r="M1125" s="71"/>
      <c r="N1125" s="71"/>
      <c r="O1125" s="71"/>
      <c r="P1125" s="71"/>
      <c r="Q1125" s="71"/>
      <c r="R1125" s="71"/>
      <c r="S1125" s="71"/>
      <c r="T1125" s="15"/>
      <c r="U1125" s="15"/>
      <c r="V1125" s="15"/>
      <c r="W1125" s="15"/>
    </row>
    <row r="1126">
      <c r="A1126" s="69"/>
      <c r="B1126" s="69"/>
      <c r="C1126" s="70"/>
      <c r="D1126" s="70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/>
      <c r="P1126" s="69"/>
      <c r="Q1126" s="69"/>
      <c r="R1126" s="69"/>
      <c r="S1126" s="69"/>
      <c r="T1126" s="15"/>
      <c r="U1126" s="15"/>
      <c r="V1126" s="15"/>
      <c r="W1126" s="15"/>
    </row>
    <row r="1127">
      <c r="A1127" s="71"/>
      <c r="B1127" s="71"/>
      <c r="C1127" s="72"/>
      <c r="D1127" s="72"/>
      <c r="E1127" s="71"/>
      <c r="F1127" s="71"/>
      <c r="G1127" s="71"/>
      <c r="H1127" s="71"/>
      <c r="I1127" s="71"/>
      <c r="J1127" s="71"/>
      <c r="K1127" s="71"/>
      <c r="L1127" s="71"/>
      <c r="M1127" s="71"/>
      <c r="N1127" s="71"/>
      <c r="O1127" s="71"/>
      <c r="P1127" s="71"/>
      <c r="Q1127" s="71"/>
      <c r="R1127" s="71"/>
      <c r="S1127" s="71"/>
      <c r="T1127" s="15"/>
      <c r="U1127" s="15"/>
      <c r="V1127" s="15"/>
      <c r="W1127" s="15"/>
    </row>
    <row r="1128">
      <c r="A1128" s="69"/>
      <c r="B1128" s="69"/>
      <c r="C1128" s="70"/>
      <c r="D1128" s="70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69"/>
      <c r="T1128" s="15"/>
      <c r="U1128" s="15"/>
      <c r="V1128" s="15"/>
      <c r="W1128" s="15"/>
    </row>
    <row r="1129">
      <c r="A1129" s="71"/>
      <c r="B1129" s="71"/>
      <c r="C1129" s="72"/>
      <c r="D1129" s="72"/>
      <c r="E1129" s="71"/>
      <c r="F1129" s="71"/>
      <c r="G1129" s="71"/>
      <c r="H1129" s="71"/>
      <c r="I1129" s="71"/>
      <c r="J1129" s="71"/>
      <c r="K1129" s="71"/>
      <c r="L1129" s="71"/>
      <c r="M1129" s="71"/>
      <c r="N1129" s="71"/>
      <c r="O1129" s="71"/>
      <c r="P1129" s="71"/>
      <c r="Q1129" s="71"/>
      <c r="R1129" s="71"/>
      <c r="S1129" s="71"/>
      <c r="T1129" s="15"/>
      <c r="U1129" s="15"/>
      <c r="V1129" s="15"/>
      <c r="W1129" s="15"/>
    </row>
    <row r="1130">
      <c r="A1130" s="69"/>
      <c r="B1130" s="69"/>
      <c r="C1130" s="70"/>
      <c r="D1130" s="70"/>
      <c r="E1130" s="69"/>
      <c r="F1130" s="69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  <c r="T1130" s="15"/>
      <c r="U1130" s="15"/>
      <c r="V1130" s="15"/>
      <c r="W1130" s="15"/>
    </row>
    <row r="1131">
      <c r="A1131" s="71"/>
      <c r="B1131" s="71"/>
      <c r="C1131" s="72"/>
      <c r="D1131" s="72"/>
      <c r="E1131" s="71"/>
      <c r="F1131" s="71"/>
      <c r="G1131" s="71"/>
      <c r="H1131" s="71"/>
      <c r="I1131" s="71"/>
      <c r="J1131" s="71"/>
      <c r="K1131" s="71"/>
      <c r="L1131" s="71"/>
      <c r="M1131" s="71"/>
      <c r="N1131" s="71"/>
      <c r="O1131" s="71"/>
      <c r="P1131" s="71"/>
      <c r="Q1131" s="71"/>
      <c r="R1131" s="71"/>
      <c r="S1131" s="71"/>
      <c r="T1131" s="15"/>
      <c r="U1131" s="15"/>
      <c r="V1131" s="15"/>
      <c r="W1131" s="15"/>
    </row>
    <row r="1132">
      <c r="A1132" s="69"/>
      <c r="B1132" s="69"/>
      <c r="C1132" s="70"/>
      <c r="D1132" s="70"/>
      <c r="E1132" s="69"/>
      <c r="F1132" s="69"/>
      <c r="G1132" s="69"/>
      <c r="H1132" s="69"/>
      <c r="I1132" s="69"/>
      <c r="J1132" s="69"/>
      <c r="K1132" s="69"/>
      <c r="L1132" s="69"/>
      <c r="M1132" s="69"/>
      <c r="N1132" s="69"/>
      <c r="O1132" s="69"/>
      <c r="P1132" s="69"/>
      <c r="Q1132" s="69"/>
      <c r="R1132" s="69"/>
      <c r="S1132" s="69"/>
      <c r="T1132" s="15"/>
      <c r="U1132" s="15"/>
      <c r="V1132" s="15"/>
      <c r="W1132" s="15"/>
    </row>
    <row r="1133">
      <c r="A1133" s="71"/>
      <c r="B1133" s="71"/>
      <c r="C1133" s="72"/>
      <c r="D1133" s="72"/>
      <c r="E1133" s="71"/>
      <c r="F1133" s="71"/>
      <c r="G1133" s="71"/>
      <c r="H1133" s="71"/>
      <c r="I1133" s="71"/>
      <c r="J1133" s="71"/>
      <c r="K1133" s="71"/>
      <c r="L1133" s="71"/>
      <c r="M1133" s="71"/>
      <c r="N1133" s="71"/>
      <c r="O1133" s="71"/>
      <c r="P1133" s="71"/>
      <c r="Q1133" s="71"/>
      <c r="R1133" s="71"/>
      <c r="S1133" s="71"/>
      <c r="T1133" s="15"/>
      <c r="U1133" s="15"/>
      <c r="V1133" s="15"/>
      <c r="W1133" s="15"/>
    </row>
    <row r="1134">
      <c r="A1134" s="69"/>
      <c r="B1134" s="69"/>
      <c r="C1134" s="70"/>
      <c r="D1134" s="70"/>
      <c r="E1134" s="69"/>
      <c r="F1134" s="69"/>
      <c r="G1134" s="69"/>
      <c r="H1134" s="69"/>
      <c r="I1134" s="69"/>
      <c r="J1134" s="69"/>
      <c r="K1134" s="69"/>
      <c r="L1134" s="69"/>
      <c r="M1134" s="69"/>
      <c r="N1134" s="69"/>
      <c r="O1134" s="69"/>
      <c r="P1134" s="69"/>
      <c r="Q1134" s="69"/>
      <c r="R1134" s="69"/>
      <c r="S1134" s="69"/>
      <c r="T1134" s="15"/>
      <c r="U1134" s="15"/>
      <c r="V1134" s="15"/>
      <c r="W1134" s="15"/>
    </row>
    <row r="1135">
      <c r="A1135" s="71"/>
      <c r="B1135" s="71"/>
      <c r="C1135" s="72"/>
      <c r="D1135" s="72"/>
      <c r="E1135" s="71"/>
      <c r="F1135" s="71"/>
      <c r="G1135" s="71"/>
      <c r="H1135" s="71"/>
      <c r="I1135" s="71"/>
      <c r="J1135" s="71"/>
      <c r="K1135" s="71"/>
      <c r="L1135" s="71"/>
      <c r="M1135" s="71"/>
      <c r="N1135" s="71"/>
      <c r="O1135" s="71"/>
      <c r="P1135" s="71"/>
      <c r="Q1135" s="71"/>
      <c r="R1135" s="71"/>
      <c r="S1135" s="71"/>
      <c r="T1135" s="15"/>
      <c r="U1135" s="15"/>
      <c r="V1135" s="15"/>
      <c r="W1135" s="15"/>
    </row>
    <row r="1136">
      <c r="A1136" s="69"/>
      <c r="B1136" s="69"/>
      <c r="C1136" s="70"/>
      <c r="D1136" s="70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69"/>
      <c r="T1136" s="15"/>
      <c r="U1136" s="15"/>
      <c r="V1136" s="15"/>
      <c r="W1136" s="15"/>
    </row>
    <row r="1137">
      <c r="A1137" s="71"/>
      <c r="B1137" s="71"/>
      <c r="C1137" s="72"/>
      <c r="D1137" s="72"/>
      <c r="E1137" s="71"/>
      <c r="F1137" s="71"/>
      <c r="G1137" s="71"/>
      <c r="H1137" s="71"/>
      <c r="I1137" s="71"/>
      <c r="J1137" s="71"/>
      <c r="K1137" s="71"/>
      <c r="L1137" s="71"/>
      <c r="M1137" s="71"/>
      <c r="N1137" s="71"/>
      <c r="O1137" s="71"/>
      <c r="P1137" s="71"/>
      <c r="Q1137" s="71"/>
      <c r="R1137" s="71"/>
      <c r="S1137" s="71"/>
      <c r="T1137" s="15"/>
      <c r="U1137" s="15"/>
      <c r="V1137" s="15"/>
      <c r="W1137" s="15"/>
    </row>
    <row r="1138">
      <c r="A1138" s="69"/>
      <c r="B1138" s="69"/>
      <c r="C1138" s="70"/>
      <c r="D1138" s="70"/>
      <c r="E1138" s="69"/>
      <c r="F1138" s="69"/>
      <c r="G1138" s="69"/>
      <c r="H1138" s="69"/>
      <c r="I1138" s="69"/>
      <c r="J1138" s="69"/>
      <c r="K1138" s="69"/>
      <c r="L1138" s="69"/>
      <c r="M1138" s="69"/>
      <c r="N1138" s="69"/>
      <c r="O1138" s="69"/>
      <c r="P1138" s="69"/>
      <c r="Q1138" s="69"/>
      <c r="R1138" s="69"/>
      <c r="S1138" s="69"/>
      <c r="T1138" s="15"/>
      <c r="U1138" s="15"/>
      <c r="V1138" s="15"/>
      <c r="W1138" s="15"/>
    </row>
    <row r="1139">
      <c r="A1139" s="71"/>
      <c r="B1139" s="71"/>
      <c r="C1139" s="72"/>
      <c r="D1139" s="72"/>
      <c r="E1139" s="71"/>
      <c r="F1139" s="71"/>
      <c r="G1139" s="71"/>
      <c r="H1139" s="71"/>
      <c r="I1139" s="71"/>
      <c r="J1139" s="71"/>
      <c r="K1139" s="71"/>
      <c r="L1139" s="71"/>
      <c r="M1139" s="71"/>
      <c r="N1139" s="71"/>
      <c r="O1139" s="71"/>
      <c r="P1139" s="71"/>
      <c r="Q1139" s="71"/>
      <c r="R1139" s="71"/>
      <c r="S1139" s="71"/>
      <c r="T1139" s="15"/>
      <c r="U1139" s="15"/>
      <c r="V1139" s="15"/>
      <c r="W1139" s="15"/>
    </row>
    <row r="1140">
      <c r="A1140" s="69"/>
      <c r="B1140" s="69"/>
      <c r="C1140" s="70"/>
      <c r="D1140" s="70"/>
      <c r="E1140" s="69"/>
      <c r="F1140" s="69"/>
      <c r="G1140" s="69"/>
      <c r="H1140" s="69"/>
      <c r="I1140" s="69"/>
      <c r="J1140" s="69"/>
      <c r="K1140" s="69"/>
      <c r="L1140" s="69"/>
      <c r="M1140" s="69"/>
      <c r="N1140" s="69"/>
      <c r="O1140" s="69"/>
      <c r="P1140" s="69"/>
      <c r="Q1140" s="69"/>
      <c r="R1140" s="69"/>
      <c r="S1140" s="69"/>
      <c r="T1140" s="15"/>
      <c r="U1140" s="15"/>
      <c r="V1140" s="15"/>
      <c r="W1140" s="15"/>
    </row>
    <row r="1141">
      <c r="A1141" s="71"/>
      <c r="B1141" s="71"/>
      <c r="C1141" s="72"/>
      <c r="D1141" s="72"/>
      <c r="E1141" s="71"/>
      <c r="F1141" s="71"/>
      <c r="G1141" s="71"/>
      <c r="H1141" s="71"/>
      <c r="I1141" s="71"/>
      <c r="J1141" s="71"/>
      <c r="K1141" s="71"/>
      <c r="L1141" s="71"/>
      <c r="M1141" s="71"/>
      <c r="N1141" s="71"/>
      <c r="O1141" s="71"/>
      <c r="P1141" s="71"/>
      <c r="Q1141" s="71"/>
      <c r="R1141" s="71"/>
      <c r="S1141" s="71"/>
      <c r="T1141" s="15"/>
      <c r="U1141" s="15"/>
      <c r="V1141" s="15"/>
      <c r="W1141" s="15"/>
    </row>
    <row r="1142">
      <c r="A1142" s="69"/>
      <c r="B1142" s="69"/>
      <c r="C1142" s="70"/>
      <c r="D1142" s="70"/>
      <c r="E1142" s="69"/>
      <c r="F1142" s="69"/>
      <c r="G1142" s="69"/>
      <c r="H1142" s="69"/>
      <c r="I1142" s="69"/>
      <c r="J1142" s="69"/>
      <c r="K1142" s="69"/>
      <c r="L1142" s="69"/>
      <c r="M1142" s="69"/>
      <c r="N1142" s="69"/>
      <c r="O1142" s="69"/>
      <c r="P1142" s="69"/>
      <c r="Q1142" s="69"/>
      <c r="R1142" s="69"/>
      <c r="S1142" s="69"/>
      <c r="T1142" s="15"/>
      <c r="U1142" s="15"/>
      <c r="V1142" s="15"/>
      <c r="W1142" s="15"/>
    </row>
    <row r="1143">
      <c r="A1143" s="71"/>
      <c r="B1143" s="71"/>
      <c r="C1143" s="72"/>
      <c r="D1143" s="72"/>
      <c r="E1143" s="71"/>
      <c r="F1143" s="71"/>
      <c r="G1143" s="71"/>
      <c r="H1143" s="71"/>
      <c r="I1143" s="71"/>
      <c r="J1143" s="71"/>
      <c r="K1143" s="71"/>
      <c r="L1143" s="71"/>
      <c r="M1143" s="71"/>
      <c r="N1143" s="71"/>
      <c r="O1143" s="71"/>
      <c r="P1143" s="71"/>
      <c r="Q1143" s="71"/>
      <c r="R1143" s="71"/>
      <c r="S1143" s="71"/>
      <c r="T1143" s="15"/>
      <c r="U1143" s="15"/>
      <c r="V1143" s="15"/>
      <c r="W1143" s="15"/>
    </row>
    <row r="1144">
      <c r="A1144" s="69"/>
      <c r="B1144" s="69"/>
      <c r="C1144" s="70"/>
      <c r="D1144" s="70"/>
      <c r="E1144" s="69"/>
      <c r="F1144" s="69"/>
      <c r="G1144" s="69"/>
      <c r="H1144" s="69"/>
      <c r="I1144" s="69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15"/>
      <c r="U1144" s="15"/>
      <c r="V1144" s="15"/>
      <c r="W1144" s="15"/>
    </row>
    <row r="1145">
      <c r="A1145" s="71"/>
      <c r="B1145" s="71"/>
      <c r="C1145" s="72"/>
      <c r="D1145" s="72"/>
      <c r="E1145" s="71"/>
      <c r="F1145" s="71"/>
      <c r="G1145" s="71"/>
      <c r="H1145" s="71"/>
      <c r="I1145" s="71"/>
      <c r="J1145" s="71"/>
      <c r="K1145" s="71"/>
      <c r="L1145" s="71"/>
      <c r="M1145" s="71"/>
      <c r="N1145" s="71"/>
      <c r="O1145" s="71"/>
      <c r="P1145" s="71"/>
      <c r="Q1145" s="71"/>
      <c r="R1145" s="71"/>
      <c r="S1145" s="71"/>
      <c r="T1145" s="15"/>
      <c r="U1145" s="15"/>
      <c r="V1145" s="15"/>
      <c r="W1145" s="15"/>
    </row>
    <row r="1146">
      <c r="A1146" s="69"/>
      <c r="B1146" s="69"/>
      <c r="C1146" s="70"/>
      <c r="D1146" s="70"/>
      <c r="E1146" s="69"/>
      <c r="F1146" s="69"/>
      <c r="G1146" s="69"/>
      <c r="H1146" s="69"/>
      <c r="I1146" s="69"/>
      <c r="J1146" s="69"/>
      <c r="K1146" s="69"/>
      <c r="L1146" s="69"/>
      <c r="M1146" s="69"/>
      <c r="N1146" s="69"/>
      <c r="O1146" s="69"/>
      <c r="P1146" s="69"/>
      <c r="Q1146" s="69"/>
      <c r="R1146" s="69"/>
      <c r="S1146" s="69"/>
      <c r="T1146" s="15"/>
      <c r="U1146" s="15"/>
      <c r="V1146" s="15"/>
      <c r="W1146" s="15"/>
    </row>
    <row r="1147">
      <c r="A1147" s="71"/>
      <c r="B1147" s="71"/>
      <c r="C1147" s="72"/>
      <c r="D1147" s="72"/>
      <c r="E1147" s="71"/>
      <c r="F1147" s="71"/>
      <c r="G1147" s="71"/>
      <c r="H1147" s="71"/>
      <c r="I1147" s="71"/>
      <c r="J1147" s="71"/>
      <c r="K1147" s="71"/>
      <c r="L1147" s="71"/>
      <c r="M1147" s="71"/>
      <c r="N1147" s="71"/>
      <c r="O1147" s="71"/>
      <c r="P1147" s="71"/>
      <c r="Q1147" s="71"/>
      <c r="R1147" s="71"/>
      <c r="S1147" s="71"/>
      <c r="T1147" s="15"/>
      <c r="U1147" s="15"/>
      <c r="V1147" s="15"/>
      <c r="W1147" s="15"/>
    </row>
    <row r="1148">
      <c r="A1148" s="69"/>
      <c r="B1148" s="69"/>
      <c r="C1148" s="70"/>
      <c r="D1148" s="70"/>
      <c r="E1148" s="69"/>
      <c r="F1148" s="69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69"/>
      <c r="T1148" s="15"/>
      <c r="U1148" s="15"/>
      <c r="V1148" s="15"/>
      <c r="W1148" s="15"/>
    </row>
    <row r="1149">
      <c r="A1149" s="71"/>
      <c r="B1149" s="71"/>
      <c r="C1149" s="72"/>
      <c r="D1149" s="72"/>
      <c r="E1149" s="71"/>
      <c r="F1149" s="71"/>
      <c r="G1149" s="71"/>
      <c r="H1149" s="71"/>
      <c r="I1149" s="71"/>
      <c r="J1149" s="71"/>
      <c r="K1149" s="71"/>
      <c r="L1149" s="71"/>
      <c r="M1149" s="71"/>
      <c r="N1149" s="71"/>
      <c r="O1149" s="71"/>
      <c r="P1149" s="71"/>
      <c r="Q1149" s="71"/>
      <c r="R1149" s="71"/>
      <c r="S1149" s="71"/>
      <c r="T1149" s="15"/>
      <c r="U1149" s="15"/>
      <c r="V1149" s="15"/>
      <c r="W1149" s="15"/>
    </row>
    <row r="1150">
      <c r="A1150" s="69"/>
      <c r="B1150" s="69"/>
      <c r="C1150" s="70"/>
      <c r="D1150" s="70"/>
      <c r="E1150" s="69"/>
      <c r="F1150" s="69"/>
      <c r="G1150" s="69"/>
      <c r="H1150" s="69"/>
      <c r="I1150" s="69"/>
      <c r="J1150" s="69"/>
      <c r="K1150" s="69"/>
      <c r="L1150" s="69"/>
      <c r="M1150" s="69"/>
      <c r="N1150" s="69"/>
      <c r="O1150" s="69"/>
      <c r="P1150" s="69"/>
      <c r="Q1150" s="69"/>
      <c r="R1150" s="69"/>
      <c r="S1150" s="69"/>
      <c r="T1150" s="15"/>
      <c r="U1150" s="15"/>
      <c r="V1150" s="15"/>
      <c r="W1150" s="15"/>
    </row>
    <row r="1151">
      <c r="A1151" s="71"/>
      <c r="B1151" s="71"/>
      <c r="C1151" s="72"/>
      <c r="D1151" s="72"/>
      <c r="E1151" s="71"/>
      <c r="F1151" s="71"/>
      <c r="G1151" s="71"/>
      <c r="H1151" s="71"/>
      <c r="I1151" s="71"/>
      <c r="J1151" s="71"/>
      <c r="K1151" s="71"/>
      <c r="L1151" s="71"/>
      <c r="M1151" s="71"/>
      <c r="N1151" s="71"/>
      <c r="O1151" s="71"/>
      <c r="P1151" s="71"/>
      <c r="Q1151" s="71"/>
      <c r="R1151" s="71"/>
      <c r="S1151" s="71"/>
      <c r="T1151" s="15"/>
      <c r="U1151" s="15"/>
      <c r="V1151" s="15"/>
      <c r="W1151" s="15"/>
    </row>
    <row r="1152">
      <c r="A1152" s="69"/>
      <c r="B1152" s="69"/>
      <c r="C1152" s="70"/>
      <c r="D1152" s="70"/>
      <c r="E1152" s="69"/>
      <c r="F1152" s="69"/>
      <c r="G1152" s="69"/>
      <c r="H1152" s="69"/>
      <c r="I1152" s="69"/>
      <c r="J1152" s="69"/>
      <c r="K1152" s="69"/>
      <c r="L1152" s="69"/>
      <c r="M1152" s="69"/>
      <c r="N1152" s="69"/>
      <c r="O1152" s="69"/>
      <c r="P1152" s="69"/>
      <c r="Q1152" s="69"/>
      <c r="R1152" s="69"/>
      <c r="S1152" s="69"/>
      <c r="T1152" s="15"/>
      <c r="U1152" s="15"/>
      <c r="V1152" s="15"/>
      <c r="W1152" s="15"/>
    </row>
    <row r="1153">
      <c r="A1153" s="71"/>
      <c r="B1153" s="71"/>
      <c r="C1153" s="72"/>
      <c r="D1153" s="72"/>
      <c r="E1153" s="71"/>
      <c r="F1153" s="71"/>
      <c r="G1153" s="71"/>
      <c r="H1153" s="71"/>
      <c r="I1153" s="71"/>
      <c r="J1153" s="71"/>
      <c r="K1153" s="71"/>
      <c r="L1153" s="71"/>
      <c r="M1153" s="71"/>
      <c r="N1153" s="71"/>
      <c r="O1153" s="71"/>
      <c r="P1153" s="71"/>
      <c r="Q1153" s="71"/>
      <c r="R1153" s="71"/>
      <c r="S1153" s="71"/>
      <c r="T1153" s="15"/>
      <c r="U1153" s="15"/>
      <c r="V1153" s="15"/>
      <c r="W1153" s="15"/>
    </row>
    <row r="1154">
      <c r="A1154" s="69"/>
      <c r="B1154" s="69"/>
      <c r="C1154" s="70"/>
      <c r="D1154" s="70"/>
      <c r="E1154" s="69"/>
      <c r="F1154" s="69"/>
      <c r="G1154" s="69"/>
      <c r="H1154" s="69"/>
      <c r="I1154" s="69"/>
      <c r="J1154" s="69"/>
      <c r="K1154" s="69"/>
      <c r="L1154" s="69"/>
      <c r="M1154" s="69"/>
      <c r="N1154" s="69"/>
      <c r="O1154" s="69"/>
      <c r="P1154" s="69"/>
      <c r="Q1154" s="69"/>
      <c r="R1154" s="69"/>
      <c r="S1154" s="69"/>
      <c r="T1154" s="15"/>
      <c r="U1154" s="15"/>
      <c r="V1154" s="15"/>
      <c r="W1154" s="15"/>
    </row>
    <row r="1155">
      <c r="A1155" s="71"/>
      <c r="B1155" s="71"/>
      <c r="C1155" s="72"/>
      <c r="D1155" s="72"/>
      <c r="E1155" s="71"/>
      <c r="F1155" s="71"/>
      <c r="G1155" s="71"/>
      <c r="H1155" s="71"/>
      <c r="I1155" s="71"/>
      <c r="J1155" s="71"/>
      <c r="K1155" s="71"/>
      <c r="L1155" s="71"/>
      <c r="M1155" s="71"/>
      <c r="N1155" s="71"/>
      <c r="O1155" s="71"/>
      <c r="P1155" s="71"/>
      <c r="Q1155" s="71"/>
      <c r="R1155" s="71"/>
      <c r="S1155" s="71"/>
      <c r="T1155" s="15"/>
      <c r="U1155" s="15"/>
      <c r="V1155" s="15"/>
      <c r="W1155" s="15"/>
    </row>
    <row r="1156">
      <c r="A1156" s="69"/>
      <c r="B1156" s="69"/>
      <c r="C1156" s="70"/>
      <c r="D1156" s="70"/>
      <c r="E1156" s="69"/>
      <c r="F1156" s="69"/>
      <c r="G1156" s="69"/>
      <c r="H1156" s="69"/>
      <c r="I1156" s="69"/>
      <c r="J1156" s="69"/>
      <c r="K1156" s="69"/>
      <c r="L1156" s="69"/>
      <c r="M1156" s="69"/>
      <c r="N1156" s="69"/>
      <c r="O1156" s="69"/>
      <c r="P1156" s="69"/>
      <c r="Q1156" s="69"/>
      <c r="R1156" s="69"/>
      <c r="S1156" s="69"/>
      <c r="T1156" s="15"/>
      <c r="U1156" s="15"/>
      <c r="V1156" s="15"/>
      <c r="W1156" s="15"/>
    </row>
    <row r="1157">
      <c r="A1157" s="71"/>
      <c r="B1157" s="71"/>
      <c r="C1157" s="72"/>
      <c r="D1157" s="72"/>
      <c r="E1157" s="71"/>
      <c r="F1157" s="71"/>
      <c r="G1157" s="71"/>
      <c r="H1157" s="71"/>
      <c r="I1157" s="71"/>
      <c r="J1157" s="71"/>
      <c r="K1157" s="71"/>
      <c r="L1157" s="71"/>
      <c r="M1157" s="71"/>
      <c r="N1157" s="71"/>
      <c r="O1157" s="71"/>
      <c r="P1157" s="71"/>
      <c r="Q1157" s="71"/>
      <c r="R1157" s="71"/>
      <c r="S1157" s="71"/>
      <c r="T1157" s="15"/>
      <c r="U1157" s="15"/>
      <c r="V1157" s="15"/>
      <c r="W1157" s="15"/>
    </row>
    <row r="1158">
      <c r="A1158" s="69"/>
      <c r="B1158" s="69"/>
      <c r="C1158" s="70"/>
      <c r="D1158" s="70"/>
      <c r="E1158" s="69"/>
      <c r="F1158" s="69"/>
      <c r="G1158" s="69"/>
      <c r="H1158" s="69"/>
      <c r="I1158" s="69"/>
      <c r="J1158" s="69"/>
      <c r="K1158" s="69"/>
      <c r="L1158" s="69"/>
      <c r="M1158" s="69"/>
      <c r="N1158" s="69"/>
      <c r="O1158" s="69"/>
      <c r="P1158" s="69"/>
      <c r="Q1158" s="69"/>
      <c r="R1158" s="69"/>
      <c r="S1158" s="69"/>
      <c r="T1158" s="15"/>
      <c r="U1158" s="15"/>
      <c r="V1158" s="15"/>
      <c r="W1158" s="15"/>
    </row>
    <row r="1159">
      <c r="A1159" s="71"/>
      <c r="B1159" s="71"/>
      <c r="C1159" s="72"/>
      <c r="D1159" s="72"/>
      <c r="E1159" s="71"/>
      <c r="F1159" s="71"/>
      <c r="G1159" s="71"/>
      <c r="H1159" s="71"/>
      <c r="I1159" s="71"/>
      <c r="J1159" s="71"/>
      <c r="K1159" s="71"/>
      <c r="L1159" s="71"/>
      <c r="M1159" s="71"/>
      <c r="N1159" s="71"/>
      <c r="O1159" s="71"/>
      <c r="P1159" s="71"/>
      <c r="Q1159" s="71"/>
      <c r="R1159" s="71"/>
      <c r="S1159" s="71"/>
      <c r="T1159" s="15"/>
      <c r="U1159" s="15"/>
      <c r="V1159" s="15"/>
      <c r="W1159" s="15"/>
    </row>
    <row r="1160">
      <c r="A1160" s="69"/>
      <c r="B1160" s="69"/>
      <c r="C1160" s="70"/>
      <c r="D1160" s="70"/>
      <c r="E1160" s="69"/>
      <c r="F1160" s="69"/>
      <c r="G1160" s="69"/>
      <c r="H1160" s="69"/>
      <c r="I1160" s="69"/>
      <c r="J1160" s="69"/>
      <c r="K1160" s="69"/>
      <c r="L1160" s="69"/>
      <c r="M1160" s="69"/>
      <c r="N1160" s="69"/>
      <c r="O1160" s="69"/>
      <c r="P1160" s="69"/>
      <c r="Q1160" s="69"/>
      <c r="R1160" s="69"/>
      <c r="S1160" s="69"/>
      <c r="T1160" s="15"/>
      <c r="U1160" s="15"/>
      <c r="V1160" s="15"/>
      <c r="W1160" s="15"/>
    </row>
    <row r="1161">
      <c r="A1161" s="71"/>
      <c r="B1161" s="71"/>
      <c r="C1161" s="72"/>
      <c r="D1161" s="72"/>
      <c r="E1161" s="71"/>
      <c r="F1161" s="71"/>
      <c r="G1161" s="71"/>
      <c r="H1161" s="71"/>
      <c r="I1161" s="71"/>
      <c r="J1161" s="71"/>
      <c r="K1161" s="71"/>
      <c r="L1161" s="71"/>
      <c r="M1161" s="71"/>
      <c r="N1161" s="71"/>
      <c r="O1161" s="71"/>
      <c r="P1161" s="71"/>
      <c r="Q1161" s="71"/>
      <c r="R1161" s="71"/>
      <c r="S1161" s="71"/>
      <c r="T1161" s="15"/>
      <c r="U1161" s="15"/>
      <c r="V1161" s="15"/>
      <c r="W1161" s="15"/>
    </row>
    <row r="1162">
      <c r="A1162" s="69"/>
      <c r="B1162" s="69"/>
      <c r="C1162" s="70"/>
      <c r="D1162" s="70"/>
      <c r="E1162" s="69"/>
      <c r="F1162" s="69"/>
      <c r="G1162" s="69"/>
      <c r="H1162" s="69"/>
      <c r="I1162" s="69"/>
      <c r="J1162" s="69"/>
      <c r="K1162" s="69"/>
      <c r="L1162" s="69"/>
      <c r="M1162" s="69"/>
      <c r="N1162" s="69"/>
      <c r="O1162" s="69"/>
      <c r="P1162" s="69"/>
      <c r="Q1162" s="69"/>
      <c r="R1162" s="69"/>
      <c r="S1162" s="69"/>
      <c r="T1162" s="15"/>
      <c r="U1162" s="15"/>
      <c r="V1162" s="15"/>
      <c r="W1162" s="15"/>
    </row>
    <row r="1163">
      <c r="A1163" s="71"/>
      <c r="B1163" s="71"/>
      <c r="C1163" s="72"/>
      <c r="D1163" s="72"/>
      <c r="E1163" s="71"/>
      <c r="F1163" s="71"/>
      <c r="G1163" s="71"/>
      <c r="H1163" s="71"/>
      <c r="I1163" s="71"/>
      <c r="J1163" s="71"/>
      <c r="K1163" s="71"/>
      <c r="L1163" s="71"/>
      <c r="M1163" s="71"/>
      <c r="N1163" s="71"/>
      <c r="O1163" s="71"/>
      <c r="P1163" s="71"/>
      <c r="Q1163" s="71"/>
      <c r="R1163" s="71"/>
      <c r="S1163" s="71"/>
      <c r="T1163" s="15"/>
      <c r="U1163" s="15"/>
      <c r="V1163" s="15"/>
      <c r="W1163" s="15"/>
    </row>
    <row r="1164">
      <c r="A1164" s="69"/>
      <c r="B1164" s="69"/>
      <c r="C1164" s="70"/>
      <c r="D1164" s="70"/>
      <c r="E1164" s="69"/>
      <c r="F1164" s="69"/>
      <c r="G1164" s="69"/>
      <c r="H1164" s="69"/>
      <c r="I1164" s="69"/>
      <c r="J1164" s="69"/>
      <c r="K1164" s="69"/>
      <c r="L1164" s="69"/>
      <c r="M1164" s="69"/>
      <c r="N1164" s="69"/>
      <c r="O1164" s="69"/>
      <c r="P1164" s="69"/>
      <c r="Q1164" s="69"/>
      <c r="R1164" s="69"/>
      <c r="S1164" s="69"/>
      <c r="T1164" s="15"/>
      <c r="U1164" s="15"/>
      <c r="V1164" s="15"/>
      <c r="W1164" s="15"/>
    </row>
    <row r="1165">
      <c r="A1165" s="71"/>
      <c r="B1165" s="71"/>
      <c r="C1165" s="72"/>
      <c r="D1165" s="72"/>
      <c r="E1165" s="71"/>
      <c r="F1165" s="71"/>
      <c r="G1165" s="71"/>
      <c r="H1165" s="71"/>
      <c r="I1165" s="71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15"/>
      <c r="U1165" s="15"/>
      <c r="V1165" s="15"/>
      <c r="W1165" s="15"/>
    </row>
    <row r="1166">
      <c r="A1166" s="69"/>
      <c r="B1166" s="69"/>
      <c r="C1166" s="70"/>
      <c r="D1166" s="70"/>
      <c r="E1166" s="69"/>
      <c r="F1166" s="69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/>
      <c r="T1166" s="15"/>
      <c r="U1166" s="15"/>
      <c r="V1166" s="15"/>
      <c r="W1166" s="15"/>
    </row>
    <row r="1167">
      <c r="A1167" s="71"/>
      <c r="B1167" s="71"/>
      <c r="C1167" s="72"/>
      <c r="D1167" s="72"/>
      <c r="E1167" s="71"/>
      <c r="F1167" s="71"/>
      <c r="G1167" s="71"/>
      <c r="H1167" s="71"/>
      <c r="I1167" s="71"/>
      <c r="J1167" s="71"/>
      <c r="K1167" s="71"/>
      <c r="L1167" s="71"/>
      <c r="M1167" s="71"/>
      <c r="N1167" s="71"/>
      <c r="O1167" s="71"/>
      <c r="P1167" s="71"/>
      <c r="Q1167" s="71"/>
      <c r="R1167" s="71"/>
      <c r="S1167" s="71"/>
      <c r="T1167" s="15"/>
      <c r="U1167" s="15"/>
      <c r="V1167" s="15"/>
      <c r="W1167" s="15"/>
    </row>
    <row r="1168">
      <c r="A1168" s="69"/>
      <c r="B1168" s="69"/>
      <c r="C1168" s="70"/>
      <c r="D1168" s="70"/>
      <c r="E1168" s="69"/>
      <c r="F1168" s="69"/>
      <c r="G1168" s="69"/>
      <c r="H1168" s="69"/>
      <c r="I1168" s="69"/>
      <c r="J1168" s="69"/>
      <c r="K1168" s="69"/>
      <c r="L1168" s="69"/>
      <c r="M1168" s="69"/>
      <c r="N1168" s="69"/>
      <c r="O1168" s="69"/>
      <c r="P1168" s="69"/>
      <c r="Q1168" s="69"/>
      <c r="R1168" s="69"/>
      <c r="S1168" s="69"/>
      <c r="T1168" s="15"/>
      <c r="U1168" s="15"/>
      <c r="V1168" s="15"/>
      <c r="W1168" s="15"/>
    </row>
    <row r="1169">
      <c r="A1169" s="71"/>
      <c r="B1169" s="71"/>
      <c r="C1169" s="72"/>
      <c r="D1169" s="72"/>
      <c r="E1169" s="71"/>
      <c r="F1169" s="71"/>
      <c r="G1169" s="71"/>
      <c r="H1169" s="71"/>
      <c r="I1169" s="71"/>
      <c r="J1169" s="71"/>
      <c r="K1169" s="71"/>
      <c r="L1169" s="71"/>
      <c r="M1169" s="71"/>
      <c r="N1169" s="71"/>
      <c r="O1169" s="71"/>
      <c r="P1169" s="71"/>
      <c r="Q1169" s="71"/>
      <c r="R1169" s="71"/>
      <c r="S1169" s="71"/>
      <c r="T1169" s="15"/>
      <c r="U1169" s="15"/>
      <c r="V1169" s="15"/>
      <c r="W1169" s="15"/>
    </row>
    <row r="1170">
      <c r="A1170" s="69"/>
      <c r="B1170" s="69"/>
      <c r="C1170" s="70"/>
      <c r="D1170" s="70"/>
      <c r="E1170" s="69"/>
      <c r="F1170" s="69"/>
      <c r="G1170" s="69"/>
      <c r="H1170" s="69"/>
      <c r="I1170" s="69"/>
      <c r="J1170" s="69"/>
      <c r="K1170" s="69"/>
      <c r="L1170" s="69"/>
      <c r="M1170" s="69"/>
      <c r="N1170" s="69"/>
      <c r="O1170" s="69"/>
      <c r="P1170" s="69"/>
      <c r="Q1170" s="69"/>
      <c r="R1170" s="69"/>
      <c r="S1170" s="69"/>
      <c r="T1170" s="15"/>
      <c r="U1170" s="15"/>
      <c r="V1170" s="15"/>
      <c r="W1170" s="15"/>
    </row>
    <row r="1171">
      <c r="A1171" s="71"/>
      <c r="B1171" s="71"/>
      <c r="C1171" s="72"/>
      <c r="D1171" s="72"/>
      <c r="E1171" s="71"/>
      <c r="F1171" s="71"/>
      <c r="G1171" s="71"/>
      <c r="H1171" s="71"/>
      <c r="I1171" s="71"/>
      <c r="J1171" s="71"/>
      <c r="K1171" s="71"/>
      <c r="L1171" s="71"/>
      <c r="M1171" s="71"/>
      <c r="N1171" s="71"/>
      <c r="O1171" s="71"/>
      <c r="P1171" s="71"/>
      <c r="Q1171" s="71"/>
      <c r="R1171" s="71"/>
      <c r="S1171" s="71"/>
      <c r="T1171" s="15"/>
      <c r="U1171" s="15"/>
      <c r="V1171" s="15"/>
      <c r="W1171" s="15"/>
    </row>
    <row r="1172">
      <c r="A1172" s="69"/>
      <c r="B1172" s="69"/>
      <c r="C1172" s="70"/>
      <c r="D1172" s="70"/>
      <c r="E1172" s="69"/>
      <c r="F1172" s="69"/>
      <c r="G1172" s="69"/>
      <c r="H1172" s="69"/>
      <c r="I1172" s="69"/>
      <c r="J1172" s="69"/>
      <c r="K1172" s="69"/>
      <c r="L1172" s="69"/>
      <c r="M1172" s="69"/>
      <c r="N1172" s="69"/>
      <c r="O1172" s="69"/>
      <c r="P1172" s="69"/>
      <c r="Q1172" s="69"/>
      <c r="R1172" s="69"/>
      <c r="S1172" s="69"/>
      <c r="T1172" s="15"/>
      <c r="U1172" s="15"/>
      <c r="V1172" s="15"/>
      <c r="W1172" s="15"/>
    </row>
    <row r="1173">
      <c r="A1173" s="71"/>
      <c r="B1173" s="71"/>
      <c r="C1173" s="72"/>
      <c r="D1173" s="72"/>
      <c r="E1173" s="71"/>
      <c r="F1173" s="71"/>
      <c r="G1173" s="71"/>
      <c r="H1173" s="71"/>
      <c r="I1173" s="71"/>
      <c r="J1173" s="71"/>
      <c r="K1173" s="71"/>
      <c r="L1173" s="71"/>
      <c r="M1173" s="71"/>
      <c r="N1173" s="71"/>
      <c r="O1173" s="71"/>
      <c r="P1173" s="71"/>
      <c r="Q1173" s="71"/>
      <c r="R1173" s="71"/>
      <c r="S1173" s="71"/>
      <c r="T1173" s="15"/>
      <c r="U1173" s="15"/>
      <c r="V1173" s="15"/>
      <c r="W1173" s="15"/>
    </row>
    <row r="1174">
      <c r="A1174" s="69"/>
      <c r="B1174" s="69"/>
      <c r="C1174" s="70"/>
      <c r="D1174" s="70"/>
      <c r="E1174" s="69"/>
      <c r="F1174" s="69"/>
      <c r="G1174" s="69"/>
      <c r="H1174" s="69"/>
      <c r="I1174" s="69"/>
      <c r="J1174" s="69"/>
      <c r="K1174" s="69"/>
      <c r="L1174" s="69"/>
      <c r="M1174" s="69"/>
      <c r="N1174" s="69"/>
      <c r="O1174" s="69"/>
      <c r="P1174" s="69"/>
      <c r="Q1174" s="69"/>
      <c r="R1174" s="69"/>
      <c r="S1174" s="69"/>
      <c r="T1174" s="15"/>
      <c r="U1174" s="15"/>
      <c r="V1174" s="15"/>
      <c r="W1174" s="15"/>
    </row>
    <row r="1175">
      <c r="A1175" s="71"/>
      <c r="B1175" s="71"/>
      <c r="C1175" s="72"/>
      <c r="D1175" s="72"/>
      <c r="E1175" s="71"/>
      <c r="F1175" s="71"/>
      <c r="G1175" s="71"/>
      <c r="H1175" s="71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15"/>
      <c r="U1175" s="15"/>
      <c r="V1175" s="15"/>
      <c r="W1175" s="15"/>
    </row>
    <row r="1176">
      <c r="A1176" s="69"/>
      <c r="B1176" s="69"/>
      <c r="C1176" s="70"/>
      <c r="D1176" s="70"/>
      <c r="E1176" s="69"/>
      <c r="F1176" s="69"/>
      <c r="G1176" s="69"/>
      <c r="H1176" s="69"/>
      <c r="I1176" s="69"/>
      <c r="J1176" s="69"/>
      <c r="K1176" s="69"/>
      <c r="L1176" s="69"/>
      <c r="M1176" s="69"/>
      <c r="N1176" s="69"/>
      <c r="O1176" s="69"/>
      <c r="P1176" s="69"/>
      <c r="Q1176" s="69"/>
      <c r="R1176" s="69"/>
      <c r="S1176" s="69"/>
      <c r="T1176" s="15"/>
      <c r="U1176" s="15"/>
      <c r="V1176" s="15"/>
      <c r="W1176" s="15"/>
    </row>
    <row r="1177">
      <c r="A1177" s="71"/>
      <c r="B1177" s="71"/>
      <c r="C1177" s="72"/>
      <c r="D1177" s="72"/>
      <c r="E1177" s="71"/>
      <c r="F1177" s="71"/>
      <c r="G1177" s="71"/>
      <c r="H1177" s="71"/>
      <c r="I1177" s="71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15"/>
      <c r="U1177" s="15"/>
      <c r="V1177" s="15"/>
      <c r="W1177" s="15"/>
    </row>
    <row r="1178">
      <c r="A1178" s="69"/>
      <c r="B1178" s="69"/>
      <c r="C1178" s="70"/>
      <c r="D1178" s="70"/>
      <c r="E1178" s="69"/>
      <c r="F1178" s="69"/>
      <c r="G1178" s="69"/>
      <c r="H1178" s="69"/>
      <c r="I1178" s="69"/>
      <c r="J1178" s="69"/>
      <c r="K1178" s="69"/>
      <c r="L1178" s="69"/>
      <c r="M1178" s="69"/>
      <c r="N1178" s="69"/>
      <c r="O1178" s="69"/>
      <c r="P1178" s="69"/>
      <c r="Q1178" s="69"/>
      <c r="R1178" s="69"/>
      <c r="S1178" s="69"/>
      <c r="T1178" s="15"/>
      <c r="U1178" s="15"/>
      <c r="V1178" s="15"/>
      <c r="W1178" s="15"/>
    </row>
    <row r="1179">
      <c r="A1179" s="71"/>
      <c r="B1179" s="71"/>
      <c r="C1179" s="72"/>
      <c r="D1179" s="72"/>
      <c r="E1179" s="71"/>
      <c r="F1179" s="71"/>
      <c r="G1179" s="71"/>
      <c r="H1179" s="71"/>
      <c r="I1179" s="71"/>
      <c r="J1179" s="71"/>
      <c r="K1179" s="71"/>
      <c r="L1179" s="71"/>
      <c r="M1179" s="71"/>
      <c r="N1179" s="71"/>
      <c r="O1179" s="71"/>
      <c r="P1179" s="71"/>
      <c r="Q1179" s="71"/>
      <c r="R1179" s="71"/>
      <c r="S1179" s="71"/>
      <c r="T1179" s="15"/>
      <c r="U1179" s="15"/>
      <c r="V1179" s="15"/>
      <c r="W1179" s="15"/>
    </row>
    <row r="1180">
      <c r="A1180" s="69"/>
      <c r="B1180" s="69"/>
      <c r="C1180" s="70"/>
      <c r="D1180" s="70"/>
      <c r="E1180" s="69"/>
      <c r="F1180" s="69"/>
      <c r="G1180" s="69"/>
      <c r="H1180" s="69"/>
      <c r="I1180" s="69"/>
      <c r="J1180" s="69"/>
      <c r="K1180" s="69"/>
      <c r="L1180" s="69"/>
      <c r="M1180" s="69"/>
      <c r="N1180" s="69"/>
      <c r="O1180" s="69"/>
      <c r="P1180" s="69"/>
      <c r="Q1180" s="69"/>
      <c r="R1180" s="69"/>
      <c r="S1180" s="69"/>
      <c r="T1180" s="15"/>
      <c r="U1180" s="15"/>
      <c r="V1180" s="15"/>
      <c r="W1180" s="15"/>
    </row>
    <row r="1181">
      <c r="A1181" s="71"/>
      <c r="B1181" s="71"/>
      <c r="C1181" s="72"/>
      <c r="D1181" s="72"/>
      <c r="E1181" s="71"/>
      <c r="F1181" s="71"/>
      <c r="G1181" s="71"/>
      <c r="H1181" s="71"/>
      <c r="I1181" s="71"/>
      <c r="J1181" s="71"/>
      <c r="K1181" s="71"/>
      <c r="L1181" s="71"/>
      <c r="M1181" s="71"/>
      <c r="N1181" s="71"/>
      <c r="O1181" s="71"/>
      <c r="P1181" s="71"/>
      <c r="Q1181" s="71"/>
      <c r="R1181" s="71"/>
      <c r="S1181" s="71"/>
      <c r="T1181" s="15"/>
      <c r="U1181" s="15"/>
      <c r="V1181" s="15"/>
      <c r="W1181" s="15"/>
    </row>
    <row r="1182">
      <c r="A1182" s="69"/>
      <c r="B1182" s="69"/>
      <c r="C1182" s="70"/>
      <c r="D1182" s="70"/>
      <c r="E1182" s="69"/>
      <c r="F1182" s="69"/>
      <c r="G1182" s="69"/>
      <c r="H1182" s="69"/>
      <c r="I1182" s="69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15"/>
      <c r="U1182" s="15"/>
      <c r="V1182" s="15"/>
      <c r="W1182" s="15"/>
    </row>
    <row r="1183">
      <c r="A1183" s="71"/>
      <c r="B1183" s="71"/>
      <c r="C1183" s="72"/>
      <c r="D1183" s="72"/>
      <c r="E1183" s="71"/>
      <c r="F1183" s="71"/>
      <c r="G1183" s="71"/>
      <c r="H1183" s="71"/>
      <c r="I1183" s="71"/>
      <c r="J1183" s="71"/>
      <c r="K1183" s="71"/>
      <c r="L1183" s="71"/>
      <c r="M1183" s="71"/>
      <c r="N1183" s="71"/>
      <c r="O1183" s="71"/>
      <c r="P1183" s="71"/>
      <c r="Q1183" s="71"/>
      <c r="R1183" s="71"/>
      <c r="S1183" s="71"/>
      <c r="T1183" s="15"/>
      <c r="U1183" s="15"/>
      <c r="V1183" s="15"/>
      <c r="W1183" s="15"/>
    </row>
    <row r="1184">
      <c r="A1184" s="69"/>
      <c r="B1184" s="69"/>
      <c r="C1184" s="70"/>
      <c r="D1184" s="70"/>
      <c r="E1184" s="69"/>
      <c r="F1184" s="69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  <c r="T1184" s="15"/>
      <c r="U1184" s="15"/>
      <c r="V1184" s="15"/>
      <c r="W1184" s="15"/>
    </row>
    <row r="1185">
      <c r="A1185" s="71"/>
      <c r="B1185" s="71"/>
      <c r="C1185" s="72"/>
      <c r="D1185" s="72"/>
      <c r="E1185" s="71"/>
      <c r="F1185" s="71"/>
      <c r="G1185" s="71"/>
      <c r="H1185" s="71"/>
      <c r="I1185" s="71"/>
      <c r="J1185" s="71"/>
      <c r="K1185" s="71"/>
      <c r="L1185" s="71"/>
      <c r="M1185" s="71"/>
      <c r="N1185" s="71"/>
      <c r="O1185" s="71"/>
      <c r="P1185" s="71"/>
      <c r="Q1185" s="71"/>
      <c r="R1185" s="71"/>
      <c r="S1185" s="71"/>
      <c r="T1185" s="15"/>
      <c r="U1185" s="15"/>
      <c r="V1185" s="15"/>
      <c r="W1185" s="15"/>
    </row>
    <row r="1186">
      <c r="A1186" s="69"/>
      <c r="B1186" s="69"/>
      <c r="C1186" s="70"/>
      <c r="D1186" s="70"/>
      <c r="E1186" s="69"/>
      <c r="F1186" s="69"/>
      <c r="G1186" s="69"/>
      <c r="H1186" s="69"/>
      <c r="I1186" s="69"/>
      <c r="J1186" s="69"/>
      <c r="K1186" s="69"/>
      <c r="L1186" s="69"/>
      <c r="M1186" s="69"/>
      <c r="N1186" s="69"/>
      <c r="O1186" s="69"/>
      <c r="P1186" s="69"/>
      <c r="Q1186" s="69"/>
      <c r="R1186" s="69"/>
      <c r="S1186" s="69"/>
      <c r="T1186" s="15"/>
      <c r="U1186" s="15"/>
      <c r="V1186" s="15"/>
      <c r="W1186" s="15"/>
    </row>
    <row r="1187">
      <c r="A1187" s="71"/>
      <c r="B1187" s="71"/>
      <c r="C1187" s="72"/>
      <c r="D1187" s="72"/>
      <c r="E1187" s="71"/>
      <c r="F1187" s="71"/>
      <c r="G1187" s="71"/>
      <c r="H1187" s="71"/>
      <c r="I1187" s="71"/>
      <c r="J1187" s="71"/>
      <c r="K1187" s="71"/>
      <c r="L1187" s="71"/>
      <c r="M1187" s="71"/>
      <c r="N1187" s="71"/>
      <c r="O1187" s="71"/>
      <c r="P1187" s="71"/>
      <c r="Q1187" s="71"/>
      <c r="R1187" s="71"/>
      <c r="S1187" s="71"/>
      <c r="T1187" s="15"/>
      <c r="U1187" s="15"/>
      <c r="V1187" s="15"/>
      <c r="W1187" s="15"/>
    </row>
    <row r="1188">
      <c r="A1188" s="69"/>
      <c r="B1188" s="69"/>
      <c r="C1188" s="70"/>
      <c r="D1188" s="70"/>
      <c r="E1188" s="69"/>
      <c r="F1188" s="69"/>
      <c r="G1188" s="69"/>
      <c r="H1188" s="69"/>
      <c r="I1188" s="69"/>
      <c r="J1188" s="69"/>
      <c r="K1188" s="69"/>
      <c r="L1188" s="69"/>
      <c r="M1188" s="69"/>
      <c r="N1188" s="69"/>
      <c r="O1188" s="69"/>
      <c r="P1188" s="69"/>
      <c r="Q1188" s="69"/>
      <c r="R1188" s="69"/>
      <c r="S1188" s="69"/>
      <c r="T1188" s="15"/>
      <c r="U1188" s="15"/>
      <c r="V1188" s="15"/>
      <c r="W1188" s="15"/>
    </row>
    <row r="1189">
      <c r="A1189" s="71"/>
      <c r="B1189" s="71"/>
      <c r="C1189" s="72"/>
      <c r="D1189" s="72"/>
      <c r="E1189" s="71"/>
      <c r="F1189" s="71"/>
      <c r="G1189" s="71"/>
      <c r="H1189" s="71"/>
      <c r="I1189" s="71"/>
      <c r="J1189" s="71"/>
      <c r="K1189" s="71"/>
      <c r="L1189" s="71"/>
      <c r="M1189" s="71"/>
      <c r="N1189" s="71"/>
      <c r="O1189" s="71"/>
      <c r="P1189" s="71"/>
      <c r="Q1189" s="71"/>
      <c r="R1189" s="71"/>
      <c r="S1189" s="71"/>
      <c r="T1189" s="15"/>
      <c r="U1189" s="15"/>
      <c r="V1189" s="15"/>
      <c r="W1189" s="15"/>
    </row>
    <row r="1190">
      <c r="A1190" s="69"/>
      <c r="B1190" s="69"/>
      <c r="C1190" s="70"/>
      <c r="D1190" s="70"/>
      <c r="E1190" s="69"/>
      <c r="F1190" s="69"/>
      <c r="G1190" s="69"/>
      <c r="H1190" s="69"/>
      <c r="I1190" s="69"/>
      <c r="J1190" s="69"/>
      <c r="K1190" s="69"/>
      <c r="L1190" s="69"/>
      <c r="M1190" s="69"/>
      <c r="N1190" s="69"/>
      <c r="O1190" s="69"/>
      <c r="P1190" s="69"/>
      <c r="Q1190" s="69"/>
      <c r="R1190" s="69"/>
      <c r="S1190" s="69"/>
      <c r="T1190" s="15"/>
      <c r="U1190" s="15"/>
      <c r="V1190" s="15"/>
      <c r="W1190" s="15"/>
    </row>
    <row r="1191">
      <c r="A1191" s="71"/>
      <c r="B1191" s="71"/>
      <c r="C1191" s="72"/>
      <c r="D1191" s="72"/>
      <c r="E1191" s="71"/>
      <c r="F1191" s="71"/>
      <c r="G1191" s="71"/>
      <c r="H1191" s="71"/>
      <c r="I1191" s="71"/>
      <c r="J1191" s="71"/>
      <c r="K1191" s="71"/>
      <c r="L1191" s="71"/>
      <c r="M1191" s="71"/>
      <c r="N1191" s="71"/>
      <c r="O1191" s="71"/>
      <c r="P1191" s="71"/>
      <c r="Q1191" s="71"/>
      <c r="R1191" s="71"/>
      <c r="S1191" s="71"/>
      <c r="T1191" s="15"/>
      <c r="U1191" s="15"/>
      <c r="V1191" s="15"/>
      <c r="W1191" s="15"/>
    </row>
    <row r="1192">
      <c r="A1192" s="69"/>
      <c r="B1192" s="69"/>
      <c r="C1192" s="70"/>
      <c r="D1192" s="70"/>
      <c r="E1192" s="69"/>
      <c r="F1192" s="69"/>
      <c r="G1192" s="69"/>
      <c r="H1192" s="69"/>
      <c r="I1192" s="69"/>
      <c r="J1192" s="69"/>
      <c r="K1192" s="69"/>
      <c r="L1192" s="69"/>
      <c r="M1192" s="69"/>
      <c r="N1192" s="69"/>
      <c r="O1192" s="69"/>
      <c r="P1192" s="69"/>
      <c r="Q1192" s="69"/>
      <c r="R1192" s="69"/>
      <c r="S1192" s="69"/>
      <c r="T1192" s="15"/>
      <c r="U1192" s="15"/>
      <c r="V1192" s="15"/>
      <c r="W1192" s="15"/>
    </row>
    <row r="1193">
      <c r="A1193" s="71"/>
      <c r="B1193" s="71"/>
      <c r="C1193" s="72"/>
      <c r="D1193" s="72"/>
      <c r="E1193" s="71"/>
      <c r="F1193" s="71"/>
      <c r="G1193" s="71"/>
      <c r="H1193" s="71"/>
      <c r="I1193" s="71"/>
      <c r="J1193" s="71"/>
      <c r="K1193" s="71"/>
      <c r="L1193" s="71"/>
      <c r="M1193" s="71"/>
      <c r="N1193" s="71"/>
      <c r="O1193" s="71"/>
      <c r="P1193" s="71"/>
      <c r="Q1193" s="71"/>
      <c r="R1193" s="71"/>
      <c r="S1193" s="71"/>
      <c r="T1193" s="15"/>
      <c r="U1193" s="15"/>
      <c r="V1193" s="15"/>
      <c r="W1193" s="15"/>
    </row>
    <row r="1194">
      <c r="A1194" s="69"/>
      <c r="B1194" s="69"/>
      <c r="C1194" s="70"/>
      <c r="D1194" s="70"/>
      <c r="E1194" s="69"/>
      <c r="F1194" s="69"/>
      <c r="G1194" s="69"/>
      <c r="H1194" s="69"/>
      <c r="I1194" s="69"/>
      <c r="J1194" s="69"/>
      <c r="K1194" s="69"/>
      <c r="L1194" s="69"/>
      <c r="M1194" s="69"/>
      <c r="N1194" s="69"/>
      <c r="O1194" s="69"/>
      <c r="P1194" s="69"/>
      <c r="Q1194" s="69"/>
      <c r="R1194" s="69"/>
      <c r="S1194" s="69"/>
      <c r="T1194" s="15"/>
      <c r="U1194" s="15"/>
      <c r="V1194" s="15"/>
      <c r="W1194" s="15"/>
    </row>
    <row r="1195">
      <c r="A1195" s="71"/>
      <c r="B1195" s="71"/>
      <c r="C1195" s="72"/>
      <c r="D1195" s="72"/>
      <c r="E1195" s="71"/>
      <c r="F1195" s="71"/>
      <c r="G1195" s="71"/>
      <c r="H1195" s="71"/>
      <c r="I1195" s="71"/>
      <c r="J1195" s="71"/>
      <c r="K1195" s="71"/>
      <c r="L1195" s="71"/>
      <c r="M1195" s="71"/>
      <c r="N1195" s="71"/>
      <c r="O1195" s="71"/>
      <c r="P1195" s="71"/>
      <c r="Q1195" s="71"/>
      <c r="R1195" s="71"/>
      <c r="S1195" s="71"/>
      <c r="T1195" s="15"/>
      <c r="U1195" s="15"/>
      <c r="V1195" s="15"/>
      <c r="W1195" s="15"/>
    </row>
    <row r="1196">
      <c r="A1196" s="69"/>
      <c r="B1196" s="69"/>
      <c r="C1196" s="70"/>
      <c r="D1196" s="70"/>
      <c r="E1196" s="69"/>
      <c r="F1196" s="69"/>
      <c r="G1196" s="69"/>
      <c r="H1196" s="69"/>
      <c r="I1196" s="69"/>
      <c r="J1196" s="69"/>
      <c r="K1196" s="69"/>
      <c r="L1196" s="69"/>
      <c r="M1196" s="69"/>
      <c r="N1196" s="69"/>
      <c r="O1196" s="69"/>
      <c r="P1196" s="69"/>
      <c r="Q1196" s="69"/>
      <c r="R1196" s="69"/>
      <c r="S1196" s="69"/>
      <c r="T1196" s="15"/>
      <c r="U1196" s="15"/>
      <c r="V1196" s="15"/>
      <c r="W1196" s="15"/>
    </row>
    <row r="1197">
      <c r="A1197" s="71"/>
      <c r="B1197" s="71"/>
      <c r="C1197" s="72"/>
      <c r="D1197" s="72"/>
      <c r="E1197" s="71"/>
      <c r="F1197" s="71"/>
      <c r="G1197" s="71"/>
      <c r="H1197" s="71"/>
      <c r="I1197" s="71"/>
      <c r="J1197" s="71"/>
      <c r="K1197" s="71"/>
      <c r="L1197" s="71"/>
      <c r="M1197" s="71"/>
      <c r="N1197" s="71"/>
      <c r="O1197" s="71"/>
      <c r="P1197" s="71"/>
      <c r="Q1197" s="71"/>
      <c r="R1197" s="71"/>
      <c r="S1197" s="71"/>
      <c r="T1197" s="15"/>
      <c r="U1197" s="15"/>
      <c r="V1197" s="15"/>
      <c r="W1197" s="15"/>
    </row>
    <row r="1198">
      <c r="A1198" s="69"/>
      <c r="B1198" s="69"/>
      <c r="C1198" s="70"/>
      <c r="D1198" s="70"/>
      <c r="E1198" s="69"/>
      <c r="F1198" s="69"/>
      <c r="G1198" s="69"/>
      <c r="H1198" s="69"/>
      <c r="I1198" s="69"/>
      <c r="J1198" s="69"/>
      <c r="K1198" s="69"/>
      <c r="L1198" s="69"/>
      <c r="M1198" s="69"/>
      <c r="N1198" s="69"/>
      <c r="O1198" s="69"/>
      <c r="P1198" s="69"/>
      <c r="Q1198" s="69"/>
      <c r="R1198" s="69"/>
      <c r="S1198" s="69"/>
      <c r="T1198" s="15"/>
      <c r="U1198" s="15"/>
      <c r="V1198" s="15"/>
      <c r="W1198" s="15"/>
    </row>
    <row r="1199">
      <c r="A1199" s="71"/>
      <c r="B1199" s="71"/>
      <c r="C1199" s="72"/>
      <c r="D1199" s="72"/>
      <c r="E1199" s="71"/>
      <c r="F1199" s="71"/>
      <c r="G1199" s="71"/>
      <c r="H1199" s="71"/>
      <c r="I1199" s="71"/>
      <c r="J1199" s="71"/>
      <c r="K1199" s="71"/>
      <c r="L1199" s="71"/>
      <c r="M1199" s="71"/>
      <c r="N1199" s="71"/>
      <c r="O1199" s="71"/>
      <c r="P1199" s="71"/>
      <c r="Q1199" s="71"/>
      <c r="R1199" s="71"/>
      <c r="S1199" s="71"/>
      <c r="T1199" s="15"/>
      <c r="U1199" s="15"/>
      <c r="V1199" s="15"/>
      <c r="W1199" s="15"/>
    </row>
    <row r="1200">
      <c r="A1200" s="69"/>
      <c r="B1200" s="69"/>
      <c r="C1200" s="70"/>
      <c r="D1200" s="70"/>
      <c r="E1200" s="69"/>
      <c r="F1200" s="69"/>
      <c r="G1200" s="69"/>
      <c r="H1200" s="69"/>
      <c r="I1200" s="69"/>
      <c r="J1200" s="69"/>
      <c r="K1200" s="69"/>
      <c r="L1200" s="69"/>
      <c r="M1200" s="69"/>
      <c r="N1200" s="69"/>
      <c r="O1200" s="69"/>
      <c r="P1200" s="69"/>
      <c r="Q1200" s="69"/>
      <c r="R1200" s="69"/>
      <c r="S1200" s="69"/>
      <c r="T1200" s="15"/>
      <c r="U1200" s="15"/>
      <c r="V1200" s="15"/>
      <c r="W1200" s="15"/>
    </row>
    <row r="1201">
      <c r="A1201" s="71"/>
      <c r="B1201" s="71"/>
      <c r="C1201" s="72"/>
      <c r="D1201" s="72"/>
      <c r="E1201" s="71"/>
      <c r="F1201" s="71"/>
      <c r="G1201" s="71"/>
      <c r="H1201" s="71"/>
      <c r="I1201" s="71"/>
      <c r="J1201" s="71"/>
      <c r="K1201" s="71"/>
      <c r="L1201" s="71"/>
      <c r="M1201" s="71"/>
      <c r="N1201" s="71"/>
      <c r="O1201" s="71"/>
      <c r="P1201" s="71"/>
      <c r="Q1201" s="71"/>
      <c r="R1201" s="71"/>
      <c r="S1201" s="71"/>
      <c r="T1201" s="15"/>
      <c r="U1201" s="15"/>
      <c r="V1201" s="15"/>
      <c r="W1201" s="15"/>
    </row>
    <row r="1202">
      <c r="A1202" s="69"/>
      <c r="B1202" s="69"/>
      <c r="C1202" s="70"/>
      <c r="D1202" s="70"/>
      <c r="E1202" s="69"/>
      <c r="F1202" s="69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69"/>
      <c r="T1202" s="15"/>
      <c r="U1202" s="15"/>
      <c r="V1202" s="15"/>
      <c r="W1202" s="15"/>
    </row>
    <row r="1203">
      <c r="A1203" s="71"/>
      <c r="B1203" s="71"/>
      <c r="C1203" s="72"/>
      <c r="D1203" s="72"/>
      <c r="E1203" s="71"/>
      <c r="F1203" s="71"/>
      <c r="G1203" s="71"/>
      <c r="H1203" s="71"/>
      <c r="I1203" s="71"/>
      <c r="J1203" s="71"/>
      <c r="K1203" s="71"/>
      <c r="L1203" s="71"/>
      <c r="M1203" s="71"/>
      <c r="N1203" s="71"/>
      <c r="O1203" s="71"/>
      <c r="P1203" s="71"/>
      <c r="Q1203" s="71"/>
      <c r="R1203" s="71"/>
      <c r="S1203" s="71"/>
      <c r="T1203" s="15"/>
      <c r="U1203" s="15"/>
      <c r="V1203" s="15"/>
      <c r="W1203" s="15"/>
    </row>
    <row r="1204">
      <c r="A1204" s="69"/>
      <c r="B1204" s="69"/>
      <c r="C1204" s="70"/>
      <c r="D1204" s="70"/>
      <c r="E1204" s="69"/>
      <c r="F1204" s="69"/>
      <c r="G1204" s="69"/>
      <c r="H1204" s="69"/>
      <c r="I1204" s="69"/>
      <c r="J1204" s="69"/>
      <c r="K1204" s="69"/>
      <c r="L1204" s="69"/>
      <c r="M1204" s="69"/>
      <c r="N1204" s="69"/>
      <c r="O1204" s="69"/>
      <c r="P1204" s="69"/>
      <c r="Q1204" s="69"/>
      <c r="R1204" s="69"/>
      <c r="S1204" s="69"/>
      <c r="T1204" s="15"/>
      <c r="U1204" s="15"/>
      <c r="V1204" s="15"/>
      <c r="W1204" s="15"/>
    </row>
    <row r="1205">
      <c r="A1205" s="71"/>
      <c r="B1205" s="71"/>
      <c r="C1205" s="72"/>
      <c r="D1205" s="72"/>
      <c r="E1205" s="71"/>
      <c r="F1205" s="71"/>
      <c r="G1205" s="71"/>
      <c r="H1205" s="71"/>
      <c r="I1205" s="71"/>
      <c r="J1205" s="71"/>
      <c r="K1205" s="71"/>
      <c r="L1205" s="71"/>
      <c r="M1205" s="71"/>
      <c r="N1205" s="71"/>
      <c r="O1205" s="71"/>
      <c r="P1205" s="71"/>
      <c r="Q1205" s="71"/>
      <c r="R1205" s="71"/>
      <c r="S1205" s="71"/>
      <c r="T1205" s="15"/>
      <c r="U1205" s="15"/>
      <c r="V1205" s="15"/>
      <c r="W1205" s="15"/>
    </row>
    <row r="1206">
      <c r="A1206" s="69"/>
      <c r="B1206" s="69"/>
      <c r="C1206" s="70"/>
      <c r="D1206" s="70"/>
      <c r="E1206" s="69"/>
      <c r="F1206" s="69"/>
      <c r="G1206" s="69"/>
      <c r="H1206" s="69"/>
      <c r="I1206" s="69"/>
      <c r="J1206" s="69"/>
      <c r="K1206" s="69"/>
      <c r="L1206" s="69"/>
      <c r="M1206" s="69"/>
      <c r="N1206" s="69"/>
      <c r="O1206" s="69"/>
      <c r="P1206" s="69"/>
      <c r="Q1206" s="69"/>
      <c r="R1206" s="69"/>
      <c r="S1206" s="69"/>
      <c r="T1206" s="15"/>
      <c r="U1206" s="15"/>
      <c r="V1206" s="15"/>
      <c r="W1206" s="15"/>
    </row>
    <row r="1207">
      <c r="A1207" s="71"/>
      <c r="B1207" s="71"/>
      <c r="C1207" s="72"/>
      <c r="D1207" s="72"/>
      <c r="E1207" s="71"/>
      <c r="F1207" s="71"/>
      <c r="G1207" s="71"/>
      <c r="H1207" s="71"/>
      <c r="I1207" s="71"/>
      <c r="J1207" s="71"/>
      <c r="K1207" s="71"/>
      <c r="L1207" s="71"/>
      <c r="M1207" s="71"/>
      <c r="N1207" s="71"/>
      <c r="O1207" s="71"/>
      <c r="P1207" s="71"/>
      <c r="Q1207" s="71"/>
      <c r="R1207" s="71"/>
      <c r="S1207" s="71"/>
      <c r="T1207" s="15"/>
      <c r="U1207" s="15"/>
      <c r="V1207" s="15"/>
      <c r="W1207" s="15"/>
    </row>
    <row r="1208">
      <c r="A1208" s="69"/>
      <c r="B1208" s="69"/>
      <c r="C1208" s="70"/>
      <c r="D1208" s="70"/>
      <c r="E1208" s="69"/>
      <c r="F1208" s="69"/>
      <c r="G1208" s="69"/>
      <c r="H1208" s="69"/>
      <c r="I1208" s="69"/>
      <c r="J1208" s="69"/>
      <c r="K1208" s="69"/>
      <c r="L1208" s="69"/>
      <c r="M1208" s="69"/>
      <c r="N1208" s="69"/>
      <c r="O1208" s="69"/>
      <c r="P1208" s="69"/>
      <c r="Q1208" s="69"/>
      <c r="R1208" s="69"/>
      <c r="S1208" s="69"/>
      <c r="T1208" s="15"/>
      <c r="U1208" s="15"/>
      <c r="V1208" s="15"/>
      <c r="W1208" s="15"/>
    </row>
    <row r="1209">
      <c r="A1209" s="71"/>
      <c r="B1209" s="71"/>
      <c r="C1209" s="72"/>
      <c r="D1209" s="72"/>
      <c r="E1209" s="71"/>
      <c r="F1209" s="71"/>
      <c r="G1209" s="71"/>
      <c r="H1209" s="71"/>
      <c r="I1209" s="71"/>
      <c r="J1209" s="71"/>
      <c r="K1209" s="71"/>
      <c r="L1209" s="71"/>
      <c r="M1209" s="71"/>
      <c r="N1209" s="71"/>
      <c r="O1209" s="71"/>
      <c r="P1209" s="71"/>
      <c r="Q1209" s="71"/>
      <c r="R1209" s="71"/>
      <c r="S1209" s="71"/>
      <c r="T1209" s="15"/>
      <c r="U1209" s="15"/>
      <c r="V1209" s="15"/>
      <c r="W1209" s="15"/>
    </row>
    <row r="1210">
      <c r="A1210" s="69"/>
      <c r="B1210" s="69"/>
      <c r="C1210" s="70"/>
      <c r="D1210" s="70"/>
      <c r="E1210" s="69"/>
      <c r="F1210" s="69"/>
      <c r="G1210" s="69"/>
      <c r="H1210" s="69"/>
      <c r="I1210" s="69"/>
      <c r="J1210" s="69"/>
      <c r="K1210" s="69"/>
      <c r="L1210" s="69"/>
      <c r="M1210" s="69"/>
      <c r="N1210" s="69"/>
      <c r="O1210" s="69"/>
      <c r="P1210" s="69"/>
      <c r="Q1210" s="69"/>
      <c r="R1210" s="69"/>
      <c r="S1210" s="69"/>
      <c r="T1210" s="15"/>
      <c r="U1210" s="15"/>
      <c r="V1210" s="15"/>
      <c r="W1210" s="15"/>
    </row>
    <row r="1211">
      <c r="A1211" s="71"/>
      <c r="B1211" s="71"/>
      <c r="C1211" s="72"/>
      <c r="D1211" s="72"/>
      <c r="E1211" s="71"/>
      <c r="F1211" s="71"/>
      <c r="G1211" s="71"/>
      <c r="H1211" s="71"/>
      <c r="I1211" s="71"/>
      <c r="J1211" s="71"/>
      <c r="K1211" s="71"/>
      <c r="L1211" s="71"/>
      <c r="M1211" s="71"/>
      <c r="N1211" s="71"/>
      <c r="O1211" s="71"/>
      <c r="P1211" s="71"/>
      <c r="Q1211" s="71"/>
      <c r="R1211" s="71"/>
      <c r="S1211" s="71"/>
      <c r="T1211" s="15"/>
      <c r="U1211" s="15"/>
      <c r="V1211" s="15"/>
      <c r="W1211" s="15"/>
    </row>
    <row r="1212">
      <c r="A1212" s="69"/>
      <c r="B1212" s="69"/>
      <c r="C1212" s="70"/>
      <c r="D1212" s="70"/>
      <c r="E1212" s="69"/>
      <c r="F1212" s="69"/>
      <c r="G1212" s="69"/>
      <c r="H1212" s="69"/>
      <c r="I1212" s="69"/>
      <c r="J1212" s="69"/>
      <c r="K1212" s="69"/>
      <c r="L1212" s="69"/>
      <c r="M1212" s="69"/>
      <c r="N1212" s="69"/>
      <c r="O1212" s="69"/>
      <c r="P1212" s="69"/>
      <c r="Q1212" s="69"/>
      <c r="R1212" s="69"/>
      <c r="S1212" s="69"/>
      <c r="T1212" s="15"/>
      <c r="U1212" s="15"/>
      <c r="V1212" s="15"/>
      <c r="W1212" s="15"/>
    </row>
    <row r="1213">
      <c r="A1213" s="71"/>
      <c r="B1213" s="71"/>
      <c r="C1213" s="72"/>
      <c r="D1213" s="72"/>
      <c r="E1213" s="71"/>
      <c r="F1213" s="71"/>
      <c r="G1213" s="71"/>
      <c r="H1213" s="71"/>
      <c r="I1213" s="71"/>
      <c r="J1213" s="71"/>
      <c r="K1213" s="71"/>
      <c r="L1213" s="71"/>
      <c r="M1213" s="71"/>
      <c r="N1213" s="71"/>
      <c r="O1213" s="71"/>
      <c r="P1213" s="71"/>
      <c r="Q1213" s="71"/>
      <c r="R1213" s="71"/>
      <c r="S1213" s="71"/>
      <c r="T1213" s="15"/>
      <c r="U1213" s="15"/>
      <c r="V1213" s="15"/>
      <c r="W1213" s="15"/>
    </row>
    <row r="1214">
      <c r="A1214" s="69"/>
      <c r="B1214" s="69"/>
      <c r="C1214" s="70"/>
      <c r="D1214" s="70"/>
      <c r="E1214" s="69"/>
      <c r="F1214" s="69"/>
      <c r="G1214" s="69"/>
      <c r="H1214" s="69"/>
      <c r="I1214" s="69"/>
      <c r="J1214" s="69"/>
      <c r="K1214" s="69"/>
      <c r="L1214" s="69"/>
      <c r="M1214" s="69"/>
      <c r="N1214" s="69"/>
      <c r="O1214" s="69"/>
      <c r="P1214" s="69"/>
      <c r="Q1214" s="69"/>
      <c r="R1214" s="69"/>
      <c r="S1214" s="69"/>
      <c r="T1214" s="15"/>
      <c r="U1214" s="15"/>
      <c r="V1214" s="15"/>
      <c r="W1214" s="15"/>
    </row>
    <row r="1215">
      <c r="A1215" s="71"/>
      <c r="B1215" s="71"/>
      <c r="C1215" s="72"/>
      <c r="D1215" s="72"/>
      <c r="E1215" s="71"/>
      <c r="F1215" s="71"/>
      <c r="G1215" s="71"/>
      <c r="H1215" s="71"/>
      <c r="I1215" s="71"/>
      <c r="J1215" s="71"/>
      <c r="K1215" s="71"/>
      <c r="L1215" s="71"/>
      <c r="M1215" s="71"/>
      <c r="N1215" s="71"/>
      <c r="O1215" s="71"/>
      <c r="P1215" s="71"/>
      <c r="Q1215" s="71"/>
      <c r="R1215" s="71"/>
      <c r="S1215" s="71"/>
      <c r="T1215" s="15"/>
      <c r="U1215" s="15"/>
      <c r="V1215" s="15"/>
      <c r="W1215" s="15"/>
    </row>
    <row r="1216">
      <c r="A1216" s="69"/>
      <c r="B1216" s="69"/>
      <c r="C1216" s="70"/>
      <c r="D1216" s="70"/>
      <c r="E1216" s="69"/>
      <c r="F1216" s="69"/>
      <c r="G1216" s="69"/>
      <c r="H1216" s="69"/>
      <c r="I1216" s="69"/>
      <c r="J1216" s="69"/>
      <c r="K1216" s="69"/>
      <c r="L1216" s="69"/>
      <c r="M1216" s="69"/>
      <c r="N1216" s="69"/>
      <c r="O1216" s="69"/>
      <c r="P1216" s="69"/>
      <c r="Q1216" s="69"/>
      <c r="R1216" s="69"/>
      <c r="S1216" s="69"/>
      <c r="T1216" s="15"/>
      <c r="U1216" s="15"/>
      <c r="V1216" s="15"/>
      <c r="W1216" s="15"/>
    </row>
    <row r="1217">
      <c r="A1217" s="71"/>
      <c r="B1217" s="71"/>
      <c r="C1217" s="72"/>
      <c r="D1217" s="72"/>
      <c r="E1217" s="71"/>
      <c r="F1217" s="71"/>
      <c r="G1217" s="71"/>
      <c r="H1217" s="71"/>
      <c r="I1217" s="71"/>
      <c r="J1217" s="71"/>
      <c r="K1217" s="71"/>
      <c r="L1217" s="71"/>
      <c r="M1217" s="71"/>
      <c r="N1217" s="71"/>
      <c r="O1217" s="71"/>
      <c r="P1217" s="71"/>
      <c r="Q1217" s="71"/>
      <c r="R1217" s="71"/>
      <c r="S1217" s="71"/>
      <c r="T1217" s="15"/>
      <c r="U1217" s="15"/>
      <c r="V1217" s="15"/>
      <c r="W1217" s="15"/>
    </row>
    <row r="1218">
      <c r="A1218" s="69"/>
      <c r="B1218" s="69"/>
      <c r="C1218" s="70"/>
      <c r="D1218" s="70"/>
      <c r="E1218" s="69"/>
      <c r="F1218" s="69"/>
      <c r="G1218" s="69"/>
      <c r="H1218" s="69"/>
      <c r="I1218" s="69"/>
      <c r="J1218" s="69"/>
      <c r="K1218" s="69"/>
      <c r="L1218" s="69"/>
      <c r="M1218" s="69"/>
      <c r="N1218" s="69"/>
      <c r="O1218" s="69"/>
      <c r="P1218" s="69"/>
      <c r="Q1218" s="69"/>
      <c r="R1218" s="69"/>
      <c r="S1218" s="69"/>
      <c r="T1218" s="15"/>
      <c r="U1218" s="15"/>
      <c r="V1218" s="15"/>
      <c r="W1218" s="15"/>
    </row>
    <row r="1219">
      <c r="A1219" s="71"/>
      <c r="B1219" s="71"/>
      <c r="C1219" s="72"/>
      <c r="D1219" s="72"/>
      <c r="E1219" s="71"/>
      <c r="F1219" s="71"/>
      <c r="G1219" s="71"/>
      <c r="H1219" s="71"/>
      <c r="I1219" s="71"/>
      <c r="J1219" s="71"/>
      <c r="K1219" s="71"/>
      <c r="L1219" s="71"/>
      <c r="M1219" s="71"/>
      <c r="N1219" s="71"/>
      <c r="O1219" s="71"/>
      <c r="P1219" s="71"/>
      <c r="Q1219" s="71"/>
      <c r="R1219" s="71"/>
      <c r="S1219" s="71"/>
      <c r="T1219" s="15"/>
      <c r="U1219" s="15"/>
      <c r="V1219" s="15"/>
      <c r="W1219" s="15"/>
    </row>
    <row r="1220">
      <c r="A1220" s="69"/>
      <c r="B1220" s="69"/>
      <c r="C1220" s="70"/>
      <c r="D1220" s="70"/>
      <c r="E1220" s="69"/>
      <c r="F1220" s="69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15"/>
      <c r="U1220" s="15"/>
      <c r="V1220" s="15"/>
      <c r="W1220" s="15"/>
    </row>
    <row r="1221">
      <c r="A1221" s="71"/>
      <c r="B1221" s="71"/>
      <c r="C1221" s="72"/>
      <c r="D1221" s="72"/>
      <c r="E1221" s="71"/>
      <c r="F1221" s="71"/>
      <c r="G1221" s="71"/>
      <c r="H1221" s="71"/>
      <c r="I1221" s="71"/>
      <c r="J1221" s="71"/>
      <c r="K1221" s="71"/>
      <c r="L1221" s="71"/>
      <c r="M1221" s="71"/>
      <c r="N1221" s="71"/>
      <c r="O1221" s="71"/>
      <c r="P1221" s="71"/>
      <c r="Q1221" s="71"/>
      <c r="R1221" s="71"/>
      <c r="S1221" s="71"/>
      <c r="T1221" s="15"/>
      <c r="U1221" s="15"/>
      <c r="V1221" s="15"/>
      <c r="W1221" s="15"/>
    </row>
    <row r="1222">
      <c r="A1222" s="69"/>
      <c r="B1222" s="69"/>
      <c r="C1222" s="70"/>
      <c r="D1222" s="70"/>
      <c r="E1222" s="69"/>
      <c r="F1222" s="69"/>
      <c r="G1222" s="69"/>
      <c r="H1222" s="69"/>
      <c r="I1222" s="69"/>
      <c r="J1222" s="69"/>
      <c r="K1222" s="69"/>
      <c r="L1222" s="69"/>
      <c r="M1222" s="69"/>
      <c r="N1222" s="69"/>
      <c r="O1222" s="69"/>
      <c r="P1222" s="69"/>
      <c r="Q1222" s="69"/>
      <c r="R1222" s="69"/>
      <c r="S1222" s="69"/>
      <c r="T1222" s="15"/>
      <c r="U1222" s="15"/>
      <c r="V1222" s="15"/>
      <c r="W1222" s="15"/>
    </row>
    <row r="1223">
      <c r="A1223" s="71"/>
      <c r="B1223" s="71"/>
      <c r="C1223" s="72"/>
      <c r="D1223" s="72"/>
      <c r="E1223" s="71"/>
      <c r="F1223" s="71"/>
      <c r="G1223" s="71"/>
      <c r="H1223" s="71"/>
      <c r="I1223" s="71"/>
      <c r="J1223" s="71"/>
      <c r="K1223" s="71"/>
      <c r="L1223" s="71"/>
      <c r="M1223" s="71"/>
      <c r="N1223" s="71"/>
      <c r="O1223" s="71"/>
      <c r="P1223" s="71"/>
      <c r="Q1223" s="71"/>
      <c r="R1223" s="71"/>
      <c r="S1223" s="71"/>
      <c r="T1223" s="15"/>
      <c r="U1223" s="15"/>
      <c r="V1223" s="15"/>
      <c r="W1223" s="15"/>
    </row>
    <row r="1224">
      <c r="A1224" s="69"/>
      <c r="B1224" s="69"/>
      <c r="C1224" s="70"/>
      <c r="D1224" s="70"/>
      <c r="E1224" s="69"/>
      <c r="F1224" s="69"/>
      <c r="G1224" s="69"/>
      <c r="H1224" s="69"/>
      <c r="I1224" s="69"/>
      <c r="J1224" s="69"/>
      <c r="K1224" s="69"/>
      <c r="L1224" s="69"/>
      <c r="M1224" s="69"/>
      <c r="N1224" s="69"/>
      <c r="O1224" s="69"/>
      <c r="P1224" s="69"/>
      <c r="Q1224" s="69"/>
      <c r="R1224" s="69"/>
      <c r="S1224" s="69"/>
      <c r="T1224" s="15"/>
      <c r="U1224" s="15"/>
      <c r="V1224" s="15"/>
      <c r="W1224" s="15"/>
    </row>
    <row r="1225">
      <c r="A1225" s="71"/>
      <c r="B1225" s="71"/>
      <c r="C1225" s="72"/>
      <c r="D1225" s="72"/>
      <c r="E1225" s="71"/>
      <c r="F1225" s="71"/>
      <c r="G1225" s="71"/>
      <c r="H1225" s="71"/>
      <c r="I1225" s="71"/>
      <c r="J1225" s="71"/>
      <c r="K1225" s="71"/>
      <c r="L1225" s="71"/>
      <c r="M1225" s="71"/>
      <c r="N1225" s="71"/>
      <c r="O1225" s="71"/>
      <c r="P1225" s="71"/>
      <c r="Q1225" s="71"/>
      <c r="R1225" s="71"/>
      <c r="S1225" s="71"/>
      <c r="T1225" s="15"/>
      <c r="U1225" s="15"/>
      <c r="V1225" s="15"/>
      <c r="W1225" s="15"/>
    </row>
    <row r="1226">
      <c r="A1226" s="69"/>
      <c r="B1226" s="69"/>
      <c r="C1226" s="70"/>
      <c r="D1226" s="70"/>
      <c r="E1226" s="69"/>
      <c r="F1226" s="69"/>
      <c r="G1226" s="69"/>
      <c r="H1226" s="69"/>
      <c r="I1226" s="69"/>
      <c r="J1226" s="69"/>
      <c r="K1226" s="69"/>
      <c r="L1226" s="69"/>
      <c r="M1226" s="69"/>
      <c r="N1226" s="69"/>
      <c r="O1226" s="69"/>
      <c r="P1226" s="69"/>
      <c r="Q1226" s="69"/>
      <c r="R1226" s="69"/>
      <c r="S1226" s="69"/>
      <c r="T1226" s="15"/>
      <c r="U1226" s="15"/>
      <c r="V1226" s="15"/>
      <c r="W1226" s="15"/>
    </row>
    <row r="1227">
      <c r="A1227" s="71"/>
      <c r="B1227" s="71"/>
      <c r="C1227" s="72"/>
      <c r="D1227" s="72"/>
      <c r="E1227" s="71"/>
      <c r="F1227" s="71"/>
      <c r="G1227" s="71"/>
      <c r="H1227" s="71"/>
      <c r="I1227" s="71"/>
      <c r="J1227" s="71"/>
      <c r="K1227" s="71"/>
      <c r="L1227" s="71"/>
      <c r="M1227" s="71"/>
      <c r="N1227" s="71"/>
      <c r="O1227" s="71"/>
      <c r="P1227" s="71"/>
      <c r="Q1227" s="71"/>
      <c r="R1227" s="71"/>
      <c r="S1227" s="71"/>
      <c r="T1227" s="15"/>
      <c r="U1227" s="15"/>
      <c r="V1227" s="15"/>
      <c r="W1227" s="15"/>
    </row>
    <row r="1228">
      <c r="A1228" s="69"/>
      <c r="B1228" s="69"/>
      <c r="C1228" s="70"/>
      <c r="D1228" s="70"/>
      <c r="E1228" s="69"/>
      <c r="F1228" s="69"/>
      <c r="G1228" s="69"/>
      <c r="H1228" s="69"/>
      <c r="I1228" s="69"/>
      <c r="J1228" s="69"/>
      <c r="K1228" s="69"/>
      <c r="L1228" s="69"/>
      <c r="M1228" s="69"/>
      <c r="N1228" s="69"/>
      <c r="O1228" s="69"/>
      <c r="P1228" s="69"/>
      <c r="Q1228" s="69"/>
      <c r="R1228" s="69"/>
      <c r="S1228" s="69"/>
      <c r="T1228" s="15"/>
      <c r="U1228" s="15"/>
      <c r="V1228" s="15"/>
      <c r="W1228" s="15"/>
    </row>
    <row r="1229">
      <c r="A1229" s="71"/>
      <c r="B1229" s="71"/>
      <c r="C1229" s="72"/>
      <c r="D1229" s="72"/>
      <c r="E1229" s="71"/>
      <c r="F1229" s="71"/>
      <c r="G1229" s="71"/>
      <c r="H1229" s="71"/>
      <c r="I1229" s="71"/>
      <c r="J1229" s="71"/>
      <c r="K1229" s="71"/>
      <c r="L1229" s="71"/>
      <c r="M1229" s="71"/>
      <c r="N1229" s="71"/>
      <c r="O1229" s="71"/>
      <c r="P1229" s="71"/>
      <c r="Q1229" s="71"/>
      <c r="R1229" s="71"/>
      <c r="S1229" s="71"/>
      <c r="T1229" s="15"/>
      <c r="U1229" s="15"/>
      <c r="V1229" s="15"/>
      <c r="W1229" s="15"/>
    </row>
    <row r="1230">
      <c r="A1230" s="69"/>
      <c r="B1230" s="69"/>
      <c r="C1230" s="70"/>
      <c r="D1230" s="70"/>
      <c r="E1230" s="69"/>
      <c r="F1230" s="69"/>
      <c r="G1230" s="69"/>
      <c r="H1230" s="69"/>
      <c r="I1230" s="69"/>
      <c r="J1230" s="69"/>
      <c r="K1230" s="69"/>
      <c r="L1230" s="69"/>
      <c r="M1230" s="69"/>
      <c r="N1230" s="69"/>
      <c r="O1230" s="69"/>
      <c r="P1230" s="69"/>
      <c r="Q1230" s="69"/>
      <c r="R1230" s="69"/>
      <c r="S1230" s="69"/>
      <c r="T1230" s="15"/>
      <c r="U1230" s="15"/>
      <c r="V1230" s="15"/>
      <c r="W1230" s="15"/>
    </row>
    <row r="1231">
      <c r="A1231" s="71"/>
      <c r="B1231" s="71"/>
      <c r="C1231" s="72"/>
      <c r="D1231" s="72"/>
      <c r="E1231" s="71"/>
      <c r="F1231" s="71"/>
      <c r="G1231" s="71"/>
      <c r="H1231" s="71"/>
      <c r="I1231" s="71"/>
      <c r="J1231" s="71"/>
      <c r="K1231" s="71"/>
      <c r="L1231" s="71"/>
      <c r="M1231" s="71"/>
      <c r="N1231" s="71"/>
      <c r="O1231" s="71"/>
      <c r="P1231" s="71"/>
      <c r="Q1231" s="71"/>
      <c r="R1231" s="71"/>
      <c r="S1231" s="71"/>
      <c r="T1231" s="15"/>
      <c r="U1231" s="15"/>
      <c r="V1231" s="15"/>
      <c r="W1231" s="15"/>
    </row>
    <row r="1232">
      <c r="A1232" s="69"/>
      <c r="B1232" s="69"/>
      <c r="C1232" s="70"/>
      <c r="D1232" s="70"/>
      <c r="E1232" s="69"/>
      <c r="F1232" s="69"/>
      <c r="G1232" s="69"/>
      <c r="H1232" s="69"/>
      <c r="I1232" s="69"/>
      <c r="J1232" s="69"/>
      <c r="K1232" s="69"/>
      <c r="L1232" s="69"/>
      <c r="M1232" s="69"/>
      <c r="N1232" s="69"/>
      <c r="O1232" s="69"/>
      <c r="P1232" s="69"/>
      <c r="Q1232" s="69"/>
      <c r="R1232" s="69"/>
      <c r="S1232" s="69"/>
      <c r="T1232" s="15"/>
      <c r="U1232" s="15"/>
      <c r="V1232" s="15"/>
      <c r="W1232" s="15"/>
    </row>
    <row r="1233">
      <c r="A1233" s="71"/>
      <c r="B1233" s="71"/>
      <c r="C1233" s="72"/>
      <c r="D1233" s="72"/>
      <c r="E1233" s="71"/>
      <c r="F1233" s="71"/>
      <c r="G1233" s="71"/>
      <c r="H1233" s="71"/>
      <c r="I1233" s="71"/>
      <c r="J1233" s="71"/>
      <c r="K1233" s="71"/>
      <c r="L1233" s="71"/>
      <c r="M1233" s="71"/>
      <c r="N1233" s="71"/>
      <c r="O1233" s="71"/>
      <c r="P1233" s="71"/>
      <c r="Q1233" s="71"/>
      <c r="R1233" s="71"/>
      <c r="S1233" s="71"/>
      <c r="T1233" s="15"/>
      <c r="U1233" s="15"/>
      <c r="V1233" s="15"/>
      <c r="W1233" s="15"/>
    </row>
    <row r="1234">
      <c r="A1234" s="69"/>
      <c r="B1234" s="69"/>
      <c r="C1234" s="70"/>
      <c r="D1234" s="70"/>
      <c r="E1234" s="69"/>
      <c r="F1234" s="69"/>
      <c r="G1234" s="69"/>
      <c r="H1234" s="69"/>
      <c r="I1234" s="69"/>
      <c r="J1234" s="69"/>
      <c r="K1234" s="69"/>
      <c r="L1234" s="69"/>
      <c r="M1234" s="69"/>
      <c r="N1234" s="69"/>
      <c r="O1234" s="69"/>
      <c r="P1234" s="69"/>
      <c r="Q1234" s="69"/>
      <c r="R1234" s="69"/>
      <c r="S1234" s="69"/>
      <c r="T1234" s="15"/>
      <c r="U1234" s="15"/>
      <c r="V1234" s="15"/>
      <c r="W1234" s="15"/>
    </row>
    <row r="1235">
      <c r="A1235" s="71"/>
      <c r="B1235" s="71"/>
      <c r="C1235" s="72"/>
      <c r="D1235" s="72"/>
      <c r="E1235" s="71"/>
      <c r="F1235" s="71"/>
      <c r="G1235" s="71"/>
      <c r="H1235" s="71"/>
      <c r="I1235" s="71"/>
      <c r="J1235" s="71"/>
      <c r="K1235" s="71"/>
      <c r="L1235" s="71"/>
      <c r="M1235" s="71"/>
      <c r="N1235" s="71"/>
      <c r="O1235" s="71"/>
      <c r="P1235" s="71"/>
      <c r="Q1235" s="71"/>
      <c r="R1235" s="71"/>
      <c r="S1235" s="71"/>
      <c r="T1235" s="15"/>
      <c r="U1235" s="15"/>
      <c r="V1235" s="15"/>
      <c r="W1235" s="15"/>
    </row>
    <row r="1236">
      <c r="A1236" s="69"/>
      <c r="B1236" s="69"/>
      <c r="C1236" s="70"/>
      <c r="D1236" s="70"/>
      <c r="E1236" s="69"/>
      <c r="F1236" s="69"/>
      <c r="G1236" s="69"/>
      <c r="H1236" s="69"/>
      <c r="I1236" s="69"/>
      <c r="J1236" s="69"/>
      <c r="K1236" s="69"/>
      <c r="L1236" s="69"/>
      <c r="M1236" s="69"/>
      <c r="N1236" s="69"/>
      <c r="O1236" s="69"/>
      <c r="P1236" s="69"/>
      <c r="Q1236" s="69"/>
      <c r="R1236" s="69"/>
      <c r="S1236" s="69"/>
      <c r="T1236" s="15"/>
      <c r="U1236" s="15"/>
      <c r="V1236" s="15"/>
      <c r="W1236" s="15"/>
    </row>
    <row r="1237">
      <c r="A1237" s="71"/>
      <c r="B1237" s="71"/>
      <c r="C1237" s="72"/>
      <c r="D1237" s="72"/>
      <c r="E1237" s="71"/>
      <c r="F1237" s="71"/>
      <c r="G1237" s="71"/>
      <c r="H1237" s="71"/>
      <c r="I1237" s="71"/>
      <c r="J1237" s="71"/>
      <c r="K1237" s="71"/>
      <c r="L1237" s="71"/>
      <c r="M1237" s="71"/>
      <c r="N1237" s="71"/>
      <c r="O1237" s="71"/>
      <c r="P1237" s="71"/>
      <c r="Q1237" s="71"/>
      <c r="R1237" s="71"/>
      <c r="S1237" s="71"/>
      <c r="T1237" s="15"/>
      <c r="U1237" s="15"/>
      <c r="V1237" s="15"/>
      <c r="W1237" s="15"/>
    </row>
    <row r="1238">
      <c r="A1238" s="69"/>
      <c r="B1238" s="69"/>
      <c r="C1238" s="70"/>
      <c r="D1238" s="70"/>
      <c r="E1238" s="69"/>
      <c r="F1238" s="69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69"/>
      <c r="T1238" s="15"/>
      <c r="U1238" s="15"/>
      <c r="V1238" s="15"/>
      <c r="W1238" s="15"/>
    </row>
    <row r="1239">
      <c r="A1239" s="71"/>
      <c r="B1239" s="71"/>
      <c r="C1239" s="72"/>
      <c r="D1239" s="72"/>
      <c r="E1239" s="71"/>
      <c r="F1239" s="71"/>
      <c r="G1239" s="71"/>
      <c r="H1239" s="71"/>
      <c r="I1239" s="71"/>
      <c r="J1239" s="71"/>
      <c r="K1239" s="71"/>
      <c r="L1239" s="71"/>
      <c r="M1239" s="71"/>
      <c r="N1239" s="71"/>
      <c r="O1239" s="71"/>
      <c r="P1239" s="71"/>
      <c r="Q1239" s="71"/>
      <c r="R1239" s="71"/>
      <c r="S1239" s="71"/>
      <c r="T1239" s="15"/>
      <c r="U1239" s="15"/>
      <c r="V1239" s="15"/>
      <c r="W1239" s="15"/>
    </row>
    <row r="1240">
      <c r="A1240" s="69"/>
      <c r="B1240" s="69"/>
      <c r="C1240" s="70"/>
      <c r="D1240" s="70"/>
      <c r="E1240" s="69"/>
      <c r="F1240" s="69"/>
      <c r="G1240" s="69"/>
      <c r="H1240" s="69"/>
      <c r="I1240" s="69"/>
      <c r="J1240" s="69"/>
      <c r="K1240" s="69"/>
      <c r="L1240" s="69"/>
      <c r="M1240" s="69"/>
      <c r="N1240" s="69"/>
      <c r="O1240" s="69"/>
      <c r="P1240" s="69"/>
      <c r="Q1240" s="69"/>
      <c r="R1240" s="69"/>
      <c r="S1240" s="69"/>
      <c r="T1240" s="15"/>
      <c r="U1240" s="15"/>
      <c r="V1240" s="15"/>
      <c r="W1240" s="15"/>
    </row>
    <row r="1241">
      <c r="A1241" s="71"/>
      <c r="B1241" s="71"/>
      <c r="C1241" s="72"/>
      <c r="D1241" s="72"/>
      <c r="E1241" s="71"/>
      <c r="F1241" s="71"/>
      <c r="G1241" s="71"/>
      <c r="H1241" s="71"/>
      <c r="I1241" s="71"/>
      <c r="J1241" s="71"/>
      <c r="K1241" s="71"/>
      <c r="L1241" s="71"/>
      <c r="M1241" s="71"/>
      <c r="N1241" s="71"/>
      <c r="O1241" s="71"/>
      <c r="P1241" s="71"/>
      <c r="Q1241" s="71"/>
      <c r="R1241" s="71"/>
      <c r="S1241" s="71"/>
      <c r="T1241" s="15"/>
      <c r="U1241" s="15"/>
      <c r="V1241" s="15"/>
      <c r="W1241" s="15"/>
    </row>
    <row r="1242">
      <c r="A1242" s="69"/>
      <c r="B1242" s="69"/>
      <c r="C1242" s="70"/>
      <c r="D1242" s="70"/>
      <c r="E1242" s="69"/>
      <c r="F1242" s="69"/>
      <c r="G1242" s="69"/>
      <c r="H1242" s="69"/>
      <c r="I1242" s="69"/>
      <c r="J1242" s="69"/>
      <c r="K1242" s="69"/>
      <c r="L1242" s="69"/>
      <c r="M1242" s="69"/>
      <c r="N1242" s="69"/>
      <c r="O1242" s="69"/>
      <c r="P1242" s="69"/>
      <c r="Q1242" s="69"/>
      <c r="R1242" s="69"/>
      <c r="S1242" s="69"/>
      <c r="T1242" s="15"/>
      <c r="U1242" s="15"/>
      <c r="V1242" s="15"/>
      <c r="W1242" s="15"/>
    </row>
    <row r="1243">
      <c r="A1243" s="71"/>
      <c r="B1243" s="71"/>
      <c r="C1243" s="72"/>
      <c r="D1243" s="72"/>
      <c r="E1243" s="71"/>
      <c r="F1243" s="71"/>
      <c r="G1243" s="71"/>
      <c r="H1243" s="71"/>
      <c r="I1243" s="71"/>
      <c r="J1243" s="71"/>
      <c r="K1243" s="71"/>
      <c r="L1243" s="71"/>
      <c r="M1243" s="71"/>
      <c r="N1243" s="71"/>
      <c r="O1243" s="71"/>
      <c r="P1243" s="71"/>
      <c r="Q1243" s="71"/>
      <c r="R1243" s="71"/>
      <c r="S1243" s="71"/>
      <c r="T1243" s="15"/>
      <c r="U1243" s="15"/>
      <c r="V1243" s="15"/>
      <c r="W1243" s="15"/>
    </row>
    <row r="1244">
      <c r="A1244" s="69"/>
      <c r="B1244" s="69"/>
      <c r="C1244" s="70"/>
      <c r="D1244" s="70"/>
      <c r="E1244" s="69"/>
      <c r="F1244" s="69"/>
      <c r="G1244" s="69"/>
      <c r="H1244" s="69"/>
      <c r="I1244" s="69"/>
      <c r="J1244" s="69"/>
      <c r="K1244" s="69"/>
      <c r="L1244" s="69"/>
      <c r="M1244" s="69"/>
      <c r="N1244" s="69"/>
      <c r="O1244" s="69"/>
      <c r="P1244" s="69"/>
      <c r="Q1244" s="69"/>
      <c r="R1244" s="69"/>
      <c r="S1244" s="69"/>
      <c r="T1244" s="15"/>
      <c r="U1244" s="15"/>
      <c r="V1244" s="15"/>
      <c r="W1244" s="15"/>
    </row>
    <row r="1245">
      <c r="A1245" s="71"/>
      <c r="B1245" s="71"/>
      <c r="C1245" s="72"/>
      <c r="D1245" s="72"/>
      <c r="E1245" s="71"/>
      <c r="F1245" s="71"/>
      <c r="G1245" s="71"/>
      <c r="H1245" s="71"/>
      <c r="I1245" s="71"/>
      <c r="J1245" s="71"/>
      <c r="K1245" s="71"/>
      <c r="L1245" s="71"/>
      <c r="M1245" s="71"/>
      <c r="N1245" s="71"/>
      <c r="O1245" s="71"/>
      <c r="P1245" s="71"/>
      <c r="Q1245" s="71"/>
      <c r="R1245" s="71"/>
      <c r="S1245" s="71"/>
      <c r="T1245" s="15"/>
      <c r="U1245" s="15"/>
      <c r="V1245" s="15"/>
      <c r="W1245" s="15"/>
    </row>
    <row r="1246">
      <c r="A1246" s="69"/>
      <c r="B1246" s="69"/>
      <c r="C1246" s="70"/>
      <c r="D1246" s="70"/>
      <c r="E1246" s="69"/>
      <c r="F1246" s="69"/>
      <c r="G1246" s="69"/>
      <c r="H1246" s="69"/>
      <c r="I1246" s="69"/>
      <c r="J1246" s="69"/>
      <c r="K1246" s="69"/>
      <c r="L1246" s="69"/>
      <c r="M1246" s="69"/>
      <c r="N1246" s="69"/>
      <c r="O1246" s="69"/>
      <c r="P1246" s="69"/>
      <c r="Q1246" s="69"/>
      <c r="R1246" s="69"/>
      <c r="S1246" s="69"/>
      <c r="T1246" s="15"/>
      <c r="U1246" s="15"/>
      <c r="V1246" s="15"/>
      <c r="W1246" s="15"/>
    </row>
    <row r="1247">
      <c r="A1247" s="71"/>
      <c r="B1247" s="71"/>
      <c r="C1247" s="72"/>
      <c r="D1247" s="72"/>
      <c r="E1247" s="71"/>
      <c r="F1247" s="71"/>
      <c r="G1247" s="71"/>
      <c r="H1247" s="71"/>
      <c r="I1247" s="71"/>
      <c r="J1247" s="71"/>
      <c r="K1247" s="71"/>
      <c r="L1247" s="71"/>
      <c r="M1247" s="71"/>
      <c r="N1247" s="71"/>
      <c r="O1247" s="71"/>
      <c r="P1247" s="71"/>
      <c r="Q1247" s="71"/>
      <c r="R1247" s="71"/>
      <c r="S1247" s="71"/>
      <c r="T1247" s="15"/>
      <c r="U1247" s="15"/>
      <c r="V1247" s="15"/>
      <c r="W1247" s="15"/>
    </row>
    <row r="1248">
      <c r="A1248" s="69"/>
      <c r="B1248" s="69"/>
      <c r="C1248" s="70"/>
      <c r="D1248" s="70"/>
      <c r="E1248" s="69"/>
      <c r="F1248" s="69"/>
      <c r="G1248" s="69"/>
      <c r="H1248" s="69"/>
      <c r="I1248" s="69"/>
      <c r="J1248" s="69"/>
      <c r="K1248" s="69"/>
      <c r="L1248" s="69"/>
      <c r="M1248" s="69"/>
      <c r="N1248" s="69"/>
      <c r="O1248" s="69"/>
      <c r="P1248" s="69"/>
      <c r="Q1248" s="69"/>
      <c r="R1248" s="69"/>
      <c r="S1248" s="69"/>
      <c r="T1248" s="15"/>
      <c r="U1248" s="15"/>
      <c r="V1248" s="15"/>
      <c r="W1248" s="15"/>
    </row>
    <row r="1249">
      <c r="A1249" s="71"/>
      <c r="B1249" s="71"/>
      <c r="C1249" s="72"/>
      <c r="D1249" s="72"/>
      <c r="E1249" s="71"/>
      <c r="F1249" s="71"/>
      <c r="G1249" s="71"/>
      <c r="H1249" s="71"/>
      <c r="I1249" s="71"/>
      <c r="J1249" s="71"/>
      <c r="K1249" s="71"/>
      <c r="L1249" s="71"/>
      <c r="M1249" s="71"/>
      <c r="N1249" s="71"/>
      <c r="O1249" s="71"/>
      <c r="P1249" s="71"/>
      <c r="Q1249" s="71"/>
      <c r="R1249" s="71"/>
      <c r="S1249" s="71"/>
      <c r="T1249" s="15"/>
      <c r="U1249" s="15"/>
      <c r="V1249" s="15"/>
      <c r="W1249" s="15"/>
    </row>
    <row r="1250">
      <c r="A1250" s="69"/>
      <c r="B1250" s="69"/>
      <c r="C1250" s="70"/>
      <c r="D1250" s="70"/>
      <c r="E1250" s="69"/>
      <c r="F1250" s="69"/>
      <c r="G1250" s="69"/>
      <c r="H1250" s="69"/>
      <c r="I1250" s="69"/>
      <c r="J1250" s="69"/>
      <c r="K1250" s="69"/>
      <c r="L1250" s="69"/>
      <c r="M1250" s="69"/>
      <c r="N1250" s="69"/>
      <c r="O1250" s="69"/>
      <c r="P1250" s="69"/>
      <c r="Q1250" s="69"/>
      <c r="R1250" s="69"/>
      <c r="S1250" s="69"/>
      <c r="T1250" s="15"/>
      <c r="U1250" s="15"/>
      <c r="V1250" s="15"/>
      <c r="W1250" s="15"/>
    </row>
    <row r="1251">
      <c r="A1251" s="71"/>
      <c r="B1251" s="71"/>
      <c r="C1251" s="72"/>
      <c r="D1251" s="72"/>
      <c r="E1251" s="71"/>
      <c r="F1251" s="71"/>
      <c r="G1251" s="71"/>
      <c r="H1251" s="71"/>
      <c r="I1251" s="71"/>
      <c r="J1251" s="71"/>
      <c r="K1251" s="71"/>
      <c r="L1251" s="71"/>
      <c r="M1251" s="71"/>
      <c r="N1251" s="71"/>
      <c r="O1251" s="71"/>
      <c r="P1251" s="71"/>
      <c r="Q1251" s="71"/>
      <c r="R1251" s="71"/>
      <c r="S1251" s="71"/>
      <c r="T1251" s="15"/>
      <c r="U1251" s="15"/>
      <c r="V1251" s="15"/>
      <c r="W1251" s="15"/>
    </row>
    <row r="1252">
      <c r="A1252" s="69"/>
      <c r="B1252" s="69"/>
      <c r="C1252" s="70"/>
      <c r="D1252" s="70"/>
      <c r="E1252" s="69"/>
      <c r="F1252" s="69"/>
      <c r="G1252" s="69"/>
      <c r="H1252" s="69"/>
      <c r="I1252" s="69"/>
      <c r="J1252" s="69"/>
      <c r="K1252" s="69"/>
      <c r="L1252" s="69"/>
      <c r="M1252" s="69"/>
      <c r="N1252" s="69"/>
      <c r="O1252" s="69"/>
      <c r="P1252" s="69"/>
      <c r="Q1252" s="69"/>
      <c r="R1252" s="69"/>
      <c r="S1252" s="69"/>
      <c r="T1252" s="15"/>
      <c r="U1252" s="15"/>
      <c r="V1252" s="15"/>
      <c r="W1252" s="15"/>
    </row>
    <row r="1253">
      <c r="A1253" s="71"/>
      <c r="B1253" s="71"/>
      <c r="C1253" s="72"/>
      <c r="D1253" s="72"/>
      <c r="E1253" s="71"/>
      <c r="F1253" s="71"/>
      <c r="G1253" s="71"/>
      <c r="H1253" s="71"/>
      <c r="I1253" s="71"/>
      <c r="J1253" s="71"/>
      <c r="K1253" s="71"/>
      <c r="L1253" s="71"/>
      <c r="M1253" s="71"/>
      <c r="N1253" s="71"/>
      <c r="O1253" s="71"/>
      <c r="P1253" s="71"/>
      <c r="Q1253" s="71"/>
      <c r="R1253" s="71"/>
      <c r="S1253" s="71"/>
      <c r="T1253" s="15"/>
      <c r="U1253" s="15"/>
      <c r="V1253" s="15"/>
      <c r="W1253" s="15"/>
    </row>
    <row r="1254">
      <c r="A1254" s="69"/>
      <c r="B1254" s="69"/>
      <c r="C1254" s="70"/>
      <c r="D1254" s="70"/>
      <c r="E1254" s="69"/>
      <c r="F1254" s="69"/>
      <c r="G1254" s="69"/>
      <c r="H1254" s="69"/>
      <c r="I1254" s="69"/>
      <c r="J1254" s="69"/>
      <c r="K1254" s="69"/>
      <c r="L1254" s="69"/>
      <c r="M1254" s="69"/>
      <c r="N1254" s="69"/>
      <c r="O1254" s="69"/>
      <c r="P1254" s="69"/>
      <c r="Q1254" s="69"/>
      <c r="R1254" s="69"/>
      <c r="S1254" s="69"/>
      <c r="T1254" s="15"/>
      <c r="U1254" s="15"/>
      <c r="V1254" s="15"/>
      <c r="W1254" s="15"/>
    </row>
    <row r="1255">
      <c r="A1255" s="71"/>
      <c r="B1255" s="71"/>
      <c r="C1255" s="72"/>
      <c r="D1255" s="72"/>
      <c r="E1255" s="71"/>
      <c r="F1255" s="71"/>
      <c r="G1255" s="71"/>
      <c r="H1255" s="71"/>
      <c r="I1255" s="71"/>
      <c r="J1255" s="71"/>
      <c r="K1255" s="71"/>
      <c r="L1255" s="71"/>
      <c r="M1255" s="71"/>
      <c r="N1255" s="71"/>
      <c r="O1255" s="71"/>
      <c r="P1255" s="71"/>
      <c r="Q1255" s="71"/>
      <c r="R1255" s="71"/>
      <c r="S1255" s="71"/>
      <c r="T1255" s="15"/>
      <c r="U1255" s="15"/>
      <c r="V1255" s="15"/>
      <c r="W1255" s="15"/>
    </row>
    <row r="1256">
      <c r="A1256" s="69"/>
      <c r="B1256" s="69"/>
      <c r="C1256" s="70"/>
      <c r="D1256" s="70"/>
      <c r="E1256" s="69"/>
      <c r="F1256" s="69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69"/>
      <c r="T1256" s="15"/>
      <c r="U1256" s="15"/>
      <c r="V1256" s="15"/>
      <c r="W1256" s="15"/>
    </row>
    <row r="1257">
      <c r="A1257" s="71"/>
      <c r="B1257" s="71"/>
      <c r="C1257" s="72"/>
      <c r="D1257" s="72"/>
      <c r="E1257" s="71"/>
      <c r="F1257" s="71"/>
      <c r="G1257" s="71"/>
      <c r="H1257" s="71"/>
      <c r="I1257" s="71"/>
      <c r="J1257" s="71"/>
      <c r="K1257" s="71"/>
      <c r="L1257" s="71"/>
      <c r="M1257" s="71"/>
      <c r="N1257" s="71"/>
      <c r="O1257" s="71"/>
      <c r="P1257" s="71"/>
      <c r="Q1257" s="71"/>
      <c r="R1257" s="71"/>
      <c r="S1257" s="71"/>
      <c r="T1257" s="15"/>
      <c r="U1257" s="15"/>
      <c r="V1257" s="15"/>
      <c r="W1257" s="15"/>
    </row>
    <row r="1258">
      <c r="A1258" s="69"/>
      <c r="B1258" s="69"/>
      <c r="C1258" s="70"/>
      <c r="D1258" s="70"/>
      <c r="E1258" s="69"/>
      <c r="F1258" s="69"/>
      <c r="G1258" s="69"/>
      <c r="H1258" s="69"/>
      <c r="I1258" s="69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15"/>
      <c r="U1258" s="15"/>
      <c r="V1258" s="15"/>
      <c r="W1258" s="15"/>
    </row>
    <row r="1259">
      <c r="A1259" s="71"/>
      <c r="B1259" s="71"/>
      <c r="C1259" s="72"/>
      <c r="D1259" s="72"/>
      <c r="E1259" s="71"/>
      <c r="F1259" s="71"/>
      <c r="G1259" s="71"/>
      <c r="H1259" s="71"/>
      <c r="I1259" s="71"/>
      <c r="J1259" s="71"/>
      <c r="K1259" s="71"/>
      <c r="L1259" s="71"/>
      <c r="M1259" s="71"/>
      <c r="N1259" s="71"/>
      <c r="O1259" s="71"/>
      <c r="P1259" s="71"/>
      <c r="Q1259" s="71"/>
      <c r="R1259" s="71"/>
      <c r="S1259" s="71"/>
      <c r="T1259" s="15"/>
      <c r="U1259" s="15"/>
      <c r="V1259" s="15"/>
      <c r="W1259" s="15"/>
    </row>
    <row r="1260">
      <c r="A1260" s="69"/>
      <c r="B1260" s="69"/>
      <c r="C1260" s="70"/>
      <c r="D1260" s="70"/>
      <c r="E1260" s="69"/>
      <c r="F1260" s="69"/>
      <c r="G1260" s="69"/>
      <c r="H1260" s="69"/>
      <c r="I1260" s="69"/>
      <c r="J1260" s="69"/>
      <c r="K1260" s="69"/>
      <c r="L1260" s="69"/>
      <c r="M1260" s="69"/>
      <c r="N1260" s="69"/>
      <c r="O1260" s="69"/>
      <c r="P1260" s="69"/>
      <c r="Q1260" s="69"/>
      <c r="R1260" s="69"/>
      <c r="S1260" s="69"/>
      <c r="T1260" s="15"/>
      <c r="U1260" s="15"/>
      <c r="V1260" s="15"/>
      <c r="W1260" s="15"/>
    </row>
    <row r="1261">
      <c r="A1261" s="71"/>
      <c r="B1261" s="71"/>
      <c r="C1261" s="72"/>
      <c r="D1261" s="72"/>
      <c r="E1261" s="71"/>
      <c r="F1261" s="71"/>
      <c r="G1261" s="71"/>
      <c r="H1261" s="71"/>
      <c r="I1261" s="71"/>
      <c r="J1261" s="71"/>
      <c r="K1261" s="71"/>
      <c r="L1261" s="71"/>
      <c r="M1261" s="71"/>
      <c r="N1261" s="71"/>
      <c r="O1261" s="71"/>
      <c r="P1261" s="71"/>
      <c r="Q1261" s="71"/>
      <c r="R1261" s="71"/>
      <c r="S1261" s="71"/>
      <c r="T1261" s="15"/>
      <c r="U1261" s="15"/>
      <c r="V1261" s="15"/>
      <c r="W1261" s="15"/>
    </row>
    <row r="1262">
      <c r="A1262" s="69"/>
      <c r="B1262" s="69"/>
      <c r="C1262" s="70"/>
      <c r="D1262" s="70"/>
      <c r="E1262" s="69"/>
      <c r="F1262" s="69"/>
      <c r="G1262" s="69"/>
      <c r="H1262" s="69"/>
      <c r="I1262" s="69"/>
      <c r="J1262" s="69"/>
      <c r="K1262" s="69"/>
      <c r="L1262" s="69"/>
      <c r="M1262" s="69"/>
      <c r="N1262" s="69"/>
      <c r="O1262" s="69"/>
      <c r="P1262" s="69"/>
      <c r="Q1262" s="69"/>
      <c r="R1262" s="69"/>
      <c r="S1262" s="69"/>
      <c r="T1262" s="15"/>
      <c r="U1262" s="15"/>
      <c r="V1262" s="15"/>
      <c r="W1262" s="15"/>
    </row>
    <row r="1263">
      <c r="A1263" s="71"/>
      <c r="B1263" s="71"/>
      <c r="C1263" s="72"/>
      <c r="D1263" s="72"/>
      <c r="E1263" s="71"/>
      <c r="F1263" s="71"/>
      <c r="G1263" s="71"/>
      <c r="H1263" s="71"/>
      <c r="I1263" s="71"/>
      <c r="J1263" s="71"/>
      <c r="K1263" s="71"/>
      <c r="L1263" s="71"/>
      <c r="M1263" s="71"/>
      <c r="N1263" s="71"/>
      <c r="O1263" s="71"/>
      <c r="P1263" s="71"/>
      <c r="Q1263" s="71"/>
      <c r="R1263" s="71"/>
      <c r="S1263" s="71"/>
      <c r="T1263" s="15"/>
      <c r="U1263" s="15"/>
      <c r="V1263" s="15"/>
      <c r="W1263" s="15"/>
    </row>
    <row r="1264">
      <c r="A1264" s="69"/>
      <c r="B1264" s="69"/>
      <c r="C1264" s="70"/>
      <c r="D1264" s="70"/>
      <c r="E1264" s="69"/>
      <c r="F1264" s="69"/>
      <c r="G1264" s="69"/>
      <c r="H1264" s="69"/>
      <c r="I1264" s="69"/>
      <c r="J1264" s="69"/>
      <c r="K1264" s="69"/>
      <c r="L1264" s="69"/>
      <c r="M1264" s="69"/>
      <c r="N1264" s="69"/>
      <c r="O1264" s="69"/>
      <c r="P1264" s="69"/>
      <c r="Q1264" s="69"/>
      <c r="R1264" s="69"/>
      <c r="S1264" s="69"/>
      <c r="T1264" s="15"/>
      <c r="U1264" s="15"/>
      <c r="V1264" s="15"/>
      <c r="W1264" s="15"/>
    </row>
    <row r="1265">
      <c r="A1265" s="71"/>
      <c r="B1265" s="71"/>
      <c r="C1265" s="72"/>
      <c r="D1265" s="72"/>
      <c r="E1265" s="71"/>
      <c r="F1265" s="71"/>
      <c r="G1265" s="71"/>
      <c r="H1265" s="71"/>
      <c r="I1265" s="71"/>
      <c r="J1265" s="71"/>
      <c r="K1265" s="71"/>
      <c r="L1265" s="71"/>
      <c r="M1265" s="71"/>
      <c r="N1265" s="71"/>
      <c r="O1265" s="71"/>
      <c r="P1265" s="71"/>
      <c r="Q1265" s="71"/>
      <c r="R1265" s="71"/>
      <c r="S1265" s="71"/>
      <c r="T1265" s="15"/>
      <c r="U1265" s="15"/>
      <c r="V1265" s="15"/>
      <c r="W1265" s="15"/>
    </row>
    <row r="1266">
      <c r="A1266" s="69"/>
      <c r="B1266" s="69"/>
      <c r="C1266" s="70"/>
      <c r="D1266" s="70"/>
      <c r="E1266" s="69"/>
      <c r="F1266" s="69"/>
      <c r="G1266" s="69"/>
      <c r="H1266" s="69"/>
      <c r="I1266" s="69"/>
      <c r="J1266" s="69"/>
      <c r="K1266" s="69"/>
      <c r="L1266" s="69"/>
      <c r="M1266" s="69"/>
      <c r="N1266" s="69"/>
      <c r="O1266" s="69"/>
      <c r="P1266" s="69"/>
      <c r="Q1266" s="69"/>
      <c r="R1266" s="69"/>
      <c r="S1266" s="69"/>
      <c r="T1266" s="15"/>
      <c r="U1266" s="15"/>
      <c r="V1266" s="15"/>
      <c r="W1266" s="15"/>
    </row>
    <row r="1267">
      <c r="A1267" s="71"/>
      <c r="B1267" s="71"/>
      <c r="C1267" s="72"/>
      <c r="D1267" s="72"/>
      <c r="E1267" s="71"/>
      <c r="F1267" s="71"/>
      <c r="G1267" s="71"/>
      <c r="H1267" s="71"/>
      <c r="I1267" s="71"/>
      <c r="J1267" s="71"/>
      <c r="K1267" s="71"/>
      <c r="L1267" s="71"/>
      <c r="M1267" s="71"/>
      <c r="N1267" s="71"/>
      <c r="O1267" s="71"/>
      <c r="P1267" s="71"/>
      <c r="Q1267" s="71"/>
      <c r="R1267" s="71"/>
      <c r="S1267" s="71"/>
      <c r="T1267" s="15"/>
      <c r="U1267" s="15"/>
      <c r="V1267" s="15"/>
      <c r="W1267" s="15"/>
    </row>
    <row r="1268">
      <c r="A1268" s="69"/>
      <c r="B1268" s="69"/>
      <c r="C1268" s="70"/>
      <c r="D1268" s="70"/>
      <c r="E1268" s="69"/>
      <c r="F1268" s="69"/>
      <c r="G1268" s="69"/>
      <c r="H1268" s="69"/>
      <c r="I1268" s="69"/>
      <c r="J1268" s="69"/>
      <c r="K1268" s="69"/>
      <c r="L1268" s="69"/>
      <c r="M1268" s="69"/>
      <c r="N1268" s="69"/>
      <c r="O1268" s="69"/>
      <c r="P1268" s="69"/>
      <c r="Q1268" s="69"/>
      <c r="R1268" s="69"/>
      <c r="S1268" s="69"/>
      <c r="T1268" s="15"/>
      <c r="U1268" s="15"/>
      <c r="V1268" s="15"/>
      <c r="W1268" s="15"/>
    </row>
    <row r="1269">
      <c r="A1269" s="71"/>
      <c r="B1269" s="71"/>
      <c r="C1269" s="72"/>
      <c r="D1269" s="72"/>
      <c r="E1269" s="71"/>
      <c r="F1269" s="71"/>
      <c r="G1269" s="71"/>
      <c r="H1269" s="71"/>
      <c r="I1269" s="71"/>
      <c r="J1269" s="71"/>
      <c r="K1269" s="71"/>
      <c r="L1269" s="71"/>
      <c r="M1269" s="71"/>
      <c r="N1269" s="71"/>
      <c r="O1269" s="71"/>
      <c r="P1269" s="71"/>
      <c r="Q1269" s="71"/>
      <c r="R1269" s="71"/>
      <c r="S1269" s="71"/>
      <c r="T1269" s="15"/>
      <c r="U1269" s="15"/>
      <c r="V1269" s="15"/>
      <c r="W1269" s="15"/>
    </row>
    <row r="1270">
      <c r="A1270" s="69"/>
      <c r="B1270" s="69"/>
      <c r="C1270" s="70"/>
      <c r="D1270" s="70"/>
      <c r="E1270" s="69"/>
      <c r="F1270" s="69"/>
      <c r="G1270" s="69"/>
      <c r="H1270" s="69"/>
      <c r="I1270" s="69"/>
      <c r="J1270" s="69"/>
      <c r="K1270" s="69"/>
      <c r="L1270" s="69"/>
      <c r="M1270" s="69"/>
      <c r="N1270" s="69"/>
      <c r="O1270" s="69"/>
      <c r="P1270" s="69"/>
      <c r="Q1270" s="69"/>
      <c r="R1270" s="69"/>
      <c r="S1270" s="69"/>
      <c r="T1270" s="15"/>
      <c r="U1270" s="15"/>
      <c r="V1270" s="15"/>
      <c r="W1270" s="15"/>
    </row>
    <row r="1271">
      <c r="A1271" s="71"/>
      <c r="B1271" s="71"/>
      <c r="C1271" s="72"/>
      <c r="D1271" s="72"/>
      <c r="E1271" s="71"/>
      <c r="F1271" s="71"/>
      <c r="G1271" s="71"/>
      <c r="H1271" s="71"/>
      <c r="I1271" s="71"/>
      <c r="J1271" s="71"/>
      <c r="K1271" s="71"/>
      <c r="L1271" s="71"/>
      <c r="M1271" s="71"/>
      <c r="N1271" s="71"/>
      <c r="O1271" s="71"/>
      <c r="P1271" s="71"/>
      <c r="Q1271" s="71"/>
      <c r="R1271" s="71"/>
      <c r="S1271" s="71"/>
      <c r="T1271" s="15"/>
      <c r="U1271" s="15"/>
      <c r="V1271" s="15"/>
      <c r="W1271" s="15"/>
    </row>
    <row r="1272">
      <c r="A1272" s="69"/>
      <c r="B1272" s="69"/>
      <c r="C1272" s="70"/>
      <c r="D1272" s="70"/>
      <c r="E1272" s="69"/>
      <c r="F1272" s="69"/>
      <c r="G1272" s="69"/>
      <c r="H1272" s="69"/>
      <c r="I1272" s="69"/>
      <c r="J1272" s="69"/>
      <c r="K1272" s="69"/>
      <c r="L1272" s="69"/>
      <c r="M1272" s="69"/>
      <c r="N1272" s="69"/>
      <c r="O1272" s="69"/>
      <c r="P1272" s="69"/>
      <c r="Q1272" s="69"/>
      <c r="R1272" s="69"/>
      <c r="S1272" s="69"/>
      <c r="T1272" s="15"/>
      <c r="U1272" s="15"/>
      <c r="V1272" s="15"/>
      <c r="W1272" s="15"/>
    </row>
    <row r="1273">
      <c r="A1273" s="71"/>
      <c r="B1273" s="71"/>
      <c r="C1273" s="72"/>
      <c r="D1273" s="72"/>
      <c r="E1273" s="71"/>
      <c r="F1273" s="71"/>
      <c r="G1273" s="71"/>
      <c r="H1273" s="71"/>
      <c r="I1273" s="71"/>
      <c r="J1273" s="71"/>
      <c r="K1273" s="71"/>
      <c r="L1273" s="71"/>
      <c r="M1273" s="71"/>
      <c r="N1273" s="71"/>
      <c r="O1273" s="71"/>
      <c r="P1273" s="71"/>
      <c r="Q1273" s="71"/>
      <c r="R1273" s="71"/>
      <c r="S1273" s="71"/>
      <c r="T1273" s="15"/>
      <c r="U1273" s="15"/>
      <c r="V1273" s="15"/>
      <c r="W1273" s="15"/>
    </row>
    <row r="1274">
      <c r="A1274" s="69"/>
      <c r="B1274" s="69"/>
      <c r="C1274" s="70"/>
      <c r="D1274" s="70"/>
      <c r="E1274" s="69"/>
      <c r="F1274" s="69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69"/>
      <c r="T1274" s="15"/>
      <c r="U1274" s="15"/>
      <c r="V1274" s="15"/>
      <c r="W1274" s="15"/>
    </row>
    <row r="1275">
      <c r="A1275" s="71"/>
      <c r="B1275" s="71"/>
      <c r="C1275" s="72"/>
      <c r="D1275" s="72"/>
      <c r="E1275" s="71"/>
      <c r="F1275" s="71"/>
      <c r="G1275" s="71"/>
      <c r="H1275" s="71"/>
      <c r="I1275" s="71"/>
      <c r="J1275" s="71"/>
      <c r="K1275" s="71"/>
      <c r="L1275" s="71"/>
      <c r="M1275" s="71"/>
      <c r="N1275" s="71"/>
      <c r="O1275" s="71"/>
      <c r="P1275" s="71"/>
      <c r="Q1275" s="71"/>
      <c r="R1275" s="71"/>
      <c r="S1275" s="71"/>
      <c r="T1275" s="15"/>
      <c r="U1275" s="15"/>
      <c r="V1275" s="15"/>
      <c r="W1275" s="15"/>
    </row>
    <row r="1276">
      <c r="A1276" s="69"/>
      <c r="B1276" s="69"/>
      <c r="C1276" s="70"/>
      <c r="D1276" s="70"/>
      <c r="E1276" s="69"/>
      <c r="F1276" s="69"/>
      <c r="G1276" s="69"/>
      <c r="H1276" s="69"/>
      <c r="I1276" s="69"/>
      <c r="J1276" s="69"/>
      <c r="K1276" s="69"/>
      <c r="L1276" s="69"/>
      <c r="M1276" s="69"/>
      <c r="N1276" s="69"/>
      <c r="O1276" s="69"/>
      <c r="P1276" s="69"/>
      <c r="Q1276" s="69"/>
      <c r="R1276" s="69"/>
      <c r="S1276" s="69"/>
      <c r="T1276" s="15"/>
      <c r="U1276" s="15"/>
      <c r="V1276" s="15"/>
      <c r="W1276" s="15"/>
    </row>
    <row r="1277">
      <c r="A1277" s="71"/>
      <c r="B1277" s="71"/>
      <c r="C1277" s="72"/>
      <c r="D1277" s="72"/>
      <c r="E1277" s="71"/>
      <c r="F1277" s="71"/>
      <c r="G1277" s="71"/>
      <c r="H1277" s="71"/>
      <c r="I1277" s="71"/>
      <c r="J1277" s="71"/>
      <c r="K1277" s="71"/>
      <c r="L1277" s="71"/>
      <c r="M1277" s="71"/>
      <c r="N1277" s="71"/>
      <c r="O1277" s="71"/>
      <c r="P1277" s="71"/>
      <c r="Q1277" s="71"/>
      <c r="R1277" s="71"/>
      <c r="S1277" s="71"/>
      <c r="T1277" s="15"/>
      <c r="U1277" s="15"/>
      <c r="V1277" s="15"/>
      <c r="W1277" s="15"/>
    </row>
    <row r="1278">
      <c r="A1278" s="69"/>
      <c r="B1278" s="69"/>
      <c r="C1278" s="70"/>
      <c r="D1278" s="70"/>
      <c r="E1278" s="69"/>
      <c r="F1278" s="69"/>
      <c r="G1278" s="69"/>
      <c r="H1278" s="69"/>
      <c r="I1278" s="69"/>
      <c r="J1278" s="69"/>
      <c r="K1278" s="69"/>
      <c r="L1278" s="69"/>
      <c r="M1278" s="69"/>
      <c r="N1278" s="69"/>
      <c r="O1278" s="69"/>
      <c r="P1278" s="69"/>
      <c r="Q1278" s="69"/>
      <c r="R1278" s="69"/>
      <c r="S1278" s="69"/>
      <c r="T1278" s="15"/>
      <c r="U1278" s="15"/>
      <c r="V1278" s="15"/>
      <c r="W1278" s="15"/>
    </row>
    <row r="1279">
      <c r="A1279" s="71"/>
      <c r="B1279" s="71"/>
      <c r="C1279" s="72"/>
      <c r="D1279" s="72"/>
      <c r="E1279" s="71"/>
      <c r="F1279" s="71"/>
      <c r="G1279" s="71"/>
      <c r="H1279" s="71"/>
      <c r="I1279" s="71"/>
      <c r="J1279" s="71"/>
      <c r="K1279" s="71"/>
      <c r="L1279" s="71"/>
      <c r="M1279" s="71"/>
      <c r="N1279" s="71"/>
      <c r="O1279" s="71"/>
      <c r="P1279" s="71"/>
      <c r="Q1279" s="71"/>
      <c r="R1279" s="71"/>
      <c r="S1279" s="71"/>
      <c r="T1279" s="15"/>
      <c r="U1279" s="15"/>
      <c r="V1279" s="15"/>
      <c r="W1279" s="15"/>
    </row>
    <row r="1280">
      <c r="A1280" s="69"/>
      <c r="B1280" s="69"/>
      <c r="C1280" s="70"/>
      <c r="D1280" s="70"/>
      <c r="E1280" s="69"/>
      <c r="F1280" s="69"/>
      <c r="G1280" s="69"/>
      <c r="H1280" s="69"/>
      <c r="I1280" s="69"/>
      <c r="J1280" s="69"/>
      <c r="K1280" s="69"/>
      <c r="L1280" s="69"/>
      <c r="M1280" s="69"/>
      <c r="N1280" s="69"/>
      <c r="O1280" s="69"/>
      <c r="P1280" s="69"/>
      <c r="Q1280" s="69"/>
      <c r="R1280" s="69"/>
      <c r="S1280" s="69"/>
      <c r="T1280" s="15"/>
      <c r="U1280" s="15"/>
      <c r="V1280" s="15"/>
      <c r="W1280" s="15"/>
    </row>
    <row r="1281">
      <c r="A1281" s="71"/>
      <c r="B1281" s="71"/>
      <c r="C1281" s="72"/>
      <c r="D1281" s="72"/>
      <c r="E1281" s="71"/>
      <c r="F1281" s="71"/>
      <c r="G1281" s="71"/>
      <c r="H1281" s="71"/>
      <c r="I1281" s="71"/>
      <c r="J1281" s="71"/>
      <c r="K1281" s="71"/>
      <c r="L1281" s="71"/>
      <c r="M1281" s="71"/>
      <c r="N1281" s="71"/>
      <c r="O1281" s="71"/>
      <c r="P1281" s="71"/>
      <c r="Q1281" s="71"/>
      <c r="R1281" s="71"/>
      <c r="S1281" s="71"/>
      <c r="T1281" s="15"/>
      <c r="U1281" s="15"/>
      <c r="V1281" s="15"/>
      <c r="W1281" s="15"/>
    </row>
    <row r="1282">
      <c r="A1282" s="69"/>
      <c r="B1282" s="69"/>
      <c r="C1282" s="70"/>
      <c r="D1282" s="70"/>
      <c r="E1282" s="69"/>
      <c r="F1282" s="69"/>
      <c r="G1282" s="69"/>
      <c r="H1282" s="69"/>
      <c r="I1282" s="69"/>
      <c r="J1282" s="69"/>
      <c r="K1282" s="69"/>
      <c r="L1282" s="69"/>
      <c r="M1282" s="69"/>
      <c r="N1282" s="69"/>
      <c r="O1282" s="69"/>
      <c r="P1282" s="69"/>
      <c r="Q1282" s="69"/>
      <c r="R1282" s="69"/>
      <c r="S1282" s="69"/>
      <c r="T1282" s="15"/>
      <c r="U1282" s="15"/>
      <c r="V1282" s="15"/>
      <c r="W1282" s="15"/>
    </row>
    <row r="1283">
      <c r="A1283" s="71"/>
      <c r="B1283" s="71"/>
      <c r="C1283" s="72"/>
      <c r="D1283" s="72"/>
      <c r="E1283" s="71"/>
      <c r="F1283" s="71"/>
      <c r="G1283" s="71"/>
      <c r="H1283" s="71"/>
      <c r="I1283" s="71"/>
      <c r="J1283" s="71"/>
      <c r="K1283" s="71"/>
      <c r="L1283" s="71"/>
      <c r="M1283" s="71"/>
      <c r="N1283" s="71"/>
      <c r="O1283" s="71"/>
      <c r="P1283" s="71"/>
      <c r="Q1283" s="71"/>
      <c r="R1283" s="71"/>
      <c r="S1283" s="71"/>
      <c r="T1283" s="15"/>
      <c r="U1283" s="15"/>
      <c r="V1283" s="15"/>
      <c r="W1283" s="15"/>
    </row>
    <row r="1284">
      <c r="A1284" s="69"/>
      <c r="B1284" s="69"/>
      <c r="C1284" s="70"/>
      <c r="D1284" s="70"/>
      <c r="E1284" s="69"/>
      <c r="F1284" s="69"/>
      <c r="G1284" s="69"/>
      <c r="H1284" s="69"/>
      <c r="I1284" s="69"/>
      <c r="J1284" s="69"/>
      <c r="K1284" s="69"/>
      <c r="L1284" s="69"/>
      <c r="M1284" s="69"/>
      <c r="N1284" s="69"/>
      <c r="O1284" s="69"/>
      <c r="P1284" s="69"/>
      <c r="Q1284" s="69"/>
      <c r="R1284" s="69"/>
      <c r="S1284" s="69"/>
      <c r="T1284" s="15"/>
      <c r="U1284" s="15"/>
      <c r="V1284" s="15"/>
      <c r="W1284" s="15"/>
    </row>
    <row r="1285">
      <c r="A1285" s="71"/>
      <c r="B1285" s="71"/>
      <c r="C1285" s="72"/>
      <c r="D1285" s="72"/>
      <c r="E1285" s="71"/>
      <c r="F1285" s="71"/>
      <c r="G1285" s="71"/>
      <c r="H1285" s="71"/>
      <c r="I1285" s="71"/>
      <c r="J1285" s="71"/>
      <c r="K1285" s="71"/>
      <c r="L1285" s="71"/>
      <c r="M1285" s="71"/>
      <c r="N1285" s="71"/>
      <c r="O1285" s="71"/>
      <c r="P1285" s="71"/>
      <c r="Q1285" s="71"/>
      <c r="R1285" s="71"/>
      <c r="S1285" s="71"/>
      <c r="T1285" s="15"/>
      <c r="U1285" s="15"/>
      <c r="V1285" s="15"/>
      <c r="W1285" s="15"/>
    </row>
    <row r="1286">
      <c r="A1286" s="69"/>
      <c r="B1286" s="69"/>
      <c r="C1286" s="70"/>
      <c r="D1286" s="70"/>
      <c r="E1286" s="69"/>
      <c r="F1286" s="69"/>
      <c r="G1286" s="69"/>
      <c r="H1286" s="69"/>
      <c r="I1286" s="69"/>
      <c r="J1286" s="69"/>
      <c r="K1286" s="69"/>
      <c r="L1286" s="69"/>
      <c r="M1286" s="69"/>
      <c r="N1286" s="69"/>
      <c r="O1286" s="69"/>
      <c r="P1286" s="69"/>
      <c r="Q1286" s="69"/>
      <c r="R1286" s="69"/>
      <c r="S1286" s="69"/>
      <c r="T1286" s="15"/>
      <c r="U1286" s="15"/>
      <c r="V1286" s="15"/>
      <c r="W1286" s="15"/>
    </row>
    <row r="1287">
      <c r="A1287" s="71"/>
      <c r="B1287" s="71"/>
      <c r="C1287" s="72"/>
      <c r="D1287" s="72"/>
      <c r="E1287" s="71"/>
      <c r="F1287" s="71"/>
      <c r="G1287" s="71"/>
      <c r="H1287" s="71"/>
      <c r="I1287" s="71"/>
      <c r="J1287" s="71"/>
      <c r="K1287" s="71"/>
      <c r="L1287" s="71"/>
      <c r="M1287" s="71"/>
      <c r="N1287" s="71"/>
      <c r="O1287" s="71"/>
      <c r="P1287" s="71"/>
      <c r="Q1287" s="71"/>
      <c r="R1287" s="71"/>
      <c r="S1287" s="71"/>
      <c r="T1287" s="15"/>
      <c r="U1287" s="15"/>
      <c r="V1287" s="15"/>
      <c r="W1287" s="15"/>
    </row>
    <row r="1288">
      <c r="A1288" s="69"/>
      <c r="B1288" s="69"/>
      <c r="C1288" s="70"/>
      <c r="D1288" s="70"/>
      <c r="E1288" s="69"/>
      <c r="F1288" s="69"/>
      <c r="G1288" s="69"/>
      <c r="H1288" s="69"/>
      <c r="I1288" s="69"/>
      <c r="J1288" s="69"/>
      <c r="K1288" s="69"/>
      <c r="L1288" s="69"/>
      <c r="M1288" s="69"/>
      <c r="N1288" s="69"/>
      <c r="O1288" s="69"/>
      <c r="P1288" s="69"/>
      <c r="Q1288" s="69"/>
      <c r="R1288" s="69"/>
      <c r="S1288" s="69"/>
      <c r="T1288" s="15"/>
      <c r="U1288" s="15"/>
      <c r="V1288" s="15"/>
      <c r="W1288" s="15"/>
    </row>
    <row r="1289">
      <c r="A1289" s="71"/>
      <c r="B1289" s="71"/>
      <c r="C1289" s="72"/>
      <c r="D1289" s="72"/>
      <c r="E1289" s="71"/>
      <c r="F1289" s="71"/>
      <c r="G1289" s="71"/>
      <c r="H1289" s="71"/>
      <c r="I1289" s="71"/>
      <c r="J1289" s="71"/>
      <c r="K1289" s="71"/>
      <c r="L1289" s="71"/>
      <c r="M1289" s="71"/>
      <c r="N1289" s="71"/>
      <c r="O1289" s="71"/>
      <c r="P1289" s="71"/>
      <c r="Q1289" s="71"/>
      <c r="R1289" s="71"/>
      <c r="S1289" s="71"/>
      <c r="T1289" s="15"/>
      <c r="U1289" s="15"/>
      <c r="V1289" s="15"/>
      <c r="W1289" s="15"/>
    </row>
    <row r="1290">
      <c r="A1290" s="69"/>
      <c r="B1290" s="69"/>
      <c r="C1290" s="70"/>
      <c r="D1290" s="70"/>
      <c r="E1290" s="69"/>
      <c r="F1290" s="69"/>
      <c r="G1290" s="69"/>
      <c r="H1290" s="69"/>
      <c r="I1290" s="69"/>
      <c r="J1290" s="69"/>
      <c r="K1290" s="69"/>
      <c r="L1290" s="69"/>
      <c r="M1290" s="69"/>
      <c r="N1290" s="69"/>
      <c r="O1290" s="69"/>
      <c r="P1290" s="69"/>
      <c r="Q1290" s="69"/>
      <c r="R1290" s="69"/>
      <c r="S1290" s="69"/>
      <c r="T1290" s="15"/>
      <c r="U1290" s="15"/>
      <c r="V1290" s="15"/>
      <c r="W1290" s="15"/>
    </row>
    <row r="1291">
      <c r="A1291" s="71"/>
      <c r="B1291" s="71"/>
      <c r="C1291" s="72"/>
      <c r="D1291" s="72"/>
      <c r="E1291" s="71"/>
      <c r="F1291" s="71"/>
      <c r="G1291" s="71"/>
      <c r="H1291" s="71"/>
      <c r="I1291" s="71"/>
      <c r="J1291" s="71"/>
      <c r="K1291" s="71"/>
      <c r="L1291" s="71"/>
      <c r="M1291" s="71"/>
      <c r="N1291" s="71"/>
      <c r="O1291" s="71"/>
      <c r="P1291" s="71"/>
      <c r="Q1291" s="71"/>
      <c r="R1291" s="71"/>
      <c r="S1291" s="71"/>
      <c r="T1291" s="15"/>
      <c r="U1291" s="15"/>
      <c r="V1291" s="15"/>
      <c r="W1291" s="15"/>
    </row>
    <row r="1292">
      <c r="A1292" s="69"/>
      <c r="B1292" s="69"/>
      <c r="C1292" s="70"/>
      <c r="D1292" s="70"/>
      <c r="E1292" s="69"/>
      <c r="F1292" s="69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69"/>
      <c r="T1292" s="15"/>
      <c r="U1292" s="15"/>
      <c r="V1292" s="15"/>
      <c r="W1292" s="15"/>
    </row>
    <row r="1293">
      <c r="A1293" s="71"/>
      <c r="B1293" s="71"/>
      <c r="C1293" s="72"/>
      <c r="D1293" s="72"/>
      <c r="E1293" s="71"/>
      <c r="F1293" s="71"/>
      <c r="G1293" s="71"/>
      <c r="H1293" s="71"/>
      <c r="I1293" s="71"/>
      <c r="J1293" s="71"/>
      <c r="K1293" s="71"/>
      <c r="L1293" s="71"/>
      <c r="M1293" s="71"/>
      <c r="N1293" s="71"/>
      <c r="O1293" s="71"/>
      <c r="P1293" s="71"/>
      <c r="Q1293" s="71"/>
      <c r="R1293" s="71"/>
      <c r="S1293" s="71"/>
      <c r="T1293" s="15"/>
      <c r="U1293" s="15"/>
      <c r="V1293" s="15"/>
      <c r="W1293" s="15"/>
    </row>
    <row r="1294">
      <c r="A1294" s="69"/>
      <c r="B1294" s="69"/>
      <c r="C1294" s="70"/>
      <c r="D1294" s="70"/>
      <c r="E1294" s="69"/>
      <c r="F1294" s="69"/>
      <c r="G1294" s="69"/>
      <c r="H1294" s="69"/>
      <c r="I1294" s="69"/>
      <c r="J1294" s="69"/>
      <c r="K1294" s="69"/>
      <c r="L1294" s="69"/>
      <c r="M1294" s="69"/>
      <c r="N1294" s="69"/>
      <c r="O1294" s="69"/>
      <c r="P1294" s="69"/>
      <c r="Q1294" s="69"/>
      <c r="R1294" s="69"/>
      <c r="S1294" s="69"/>
      <c r="T1294" s="15"/>
      <c r="U1294" s="15"/>
      <c r="V1294" s="15"/>
      <c r="W1294" s="15"/>
    </row>
    <row r="1295">
      <c r="A1295" s="71"/>
      <c r="B1295" s="71"/>
      <c r="C1295" s="72"/>
      <c r="D1295" s="72"/>
      <c r="E1295" s="71"/>
      <c r="F1295" s="71"/>
      <c r="G1295" s="71"/>
      <c r="H1295" s="71"/>
      <c r="I1295" s="71"/>
      <c r="J1295" s="71"/>
      <c r="K1295" s="71"/>
      <c r="L1295" s="71"/>
      <c r="M1295" s="71"/>
      <c r="N1295" s="71"/>
      <c r="O1295" s="71"/>
      <c r="P1295" s="71"/>
      <c r="Q1295" s="71"/>
      <c r="R1295" s="71"/>
      <c r="S1295" s="71"/>
      <c r="T1295" s="15"/>
      <c r="U1295" s="15"/>
      <c r="V1295" s="15"/>
      <c r="W1295" s="15"/>
    </row>
    <row r="1296">
      <c r="A1296" s="69"/>
      <c r="B1296" s="69"/>
      <c r="C1296" s="70"/>
      <c r="D1296" s="70"/>
      <c r="E1296" s="69"/>
      <c r="F1296" s="69"/>
      <c r="G1296" s="69"/>
      <c r="H1296" s="69"/>
      <c r="I1296" s="69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15"/>
      <c r="U1296" s="15"/>
      <c r="V1296" s="15"/>
      <c r="W1296" s="15"/>
    </row>
    <row r="1297">
      <c r="A1297" s="71"/>
      <c r="B1297" s="71"/>
      <c r="C1297" s="72"/>
      <c r="D1297" s="72"/>
      <c r="E1297" s="71"/>
      <c r="F1297" s="71"/>
      <c r="G1297" s="71"/>
      <c r="H1297" s="71"/>
      <c r="I1297" s="71"/>
      <c r="J1297" s="71"/>
      <c r="K1297" s="71"/>
      <c r="L1297" s="71"/>
      <c r="M1297" s="71"/>
      <c r="N1297" s="71"/>
      <c r="O1297" s="71"/>
      <c r="P1297" s="71"/>
      <c r="Q1297" s="71"/>
      <c r="R1297" s="71"/>
      <c r="S1297" s="71"/>
      <c r="T1297" s="15"/>
      <c r="U1297" s="15"/>
      <c r="V1297" s="15"/>
      <c r="W1297" s="15"/>
    </row>
    <row r="1298">
      <c r="A1298" s="69"/>
      <c r="B1298" s="69"/>
      <c r="C1298" s="70"/>
      <c r="D1298" s="70"/>
      <c r="E1298" s="69"/>
      <c r="F1298" s="69"/>
      <c r="G1298" s="69"/>
      <c r="H1298" s="69"/>
      <c r="I1298" s="69"/>
      <c r="J1298" s="69"/>
      <c r="K1298" s="69"/>
      <c r="L1298" s="69"/>
      <c r="M1298" s="69"/>
      <c r="N1298" s="69"/>
      <c r="O1298" s="69"/>
      <c r="P1298" s="69"/>
      <c r="Q1298" s="69"/>
      <c r="R1298" s="69"/>
      <c r="S1298" s="69"/>
      <c r="T1298" s="15"/>
      <c r="U1298" s="15"/>
      <c r="V1298" s="15"/>
      <c r="W1298" s="15"/>
    </row>
    <row r="1299">
      <c r="A1299" s="71"/>
      <c r="B1299" s="71"/>
      <c r="C1299" s="72"/>
      <c r="D1299" s="72"/>
      <c r="E1299" s="71"/>
      <c r="F1299" s="71"/>
      <c r="G1299" s="71"/>
      <c r="H1299" s="71"/>
      <c r="I1299" s="71"/>
      <c r="J1299" s="71"/>
      <c r="K1299" s="71"/>
      <c r="L1299" s="71"/>
      <c r="M1299" s="71"/>
      <c r="N1299" s="71"/>
      <c r="O1299" s="71"/>
      <c r="P1299" s="71"/>
      <c r="Q1299" s="71"/>
      <c r="R1299" s="71"/>
      <c r="S1299" s="71"/>
      <c r="T1299" s="15"/>
      <c r="U1299" s="15"/>
      <c r="V1299" s="15"/>
      <c r="W1299" s="15"/>
    </row>
    <row r="1300">
      <c r="A1300" s="69"/>
      <c r="B1300" s="69"/>
      <c r="C1300" s="70"/>
      <c r="D1300" s="70"/>
      <c r="E1300" s="69"/>
      <c r="F1300" s="69"/>
      <c r="G1300" s="69"/>
      <c r="H1300" s="69"/>
      <c r="I1300" s="69"/>
      <c r="J1300" s="69"/>
      <c r="K1300" s="69"/>
      <c r="L1300" s="69"/>
      <c r="M1300" s="69"/>
      <c r="N1300" s="69"/>
      <c r="O1300" s="69"/>
      <c r="P1300" s="69"/>
      <c r="Q1300" s="69"/>
      <c r="R1300" s="69"/>
      <c r="S1300" s="69"/>
      <c r="T1300" s="15"/>
      <c r="U1300" s="15"/>
      <c r="V1300" s="15"/>
      <c r="W1300" s="15"/>
    </row>
    <row r="1301">
      <c r="A1301" s="71"/>
      <c r="B1301" s="71"/>
      <c r="C1301" s="72"/>
      <c r="D1301" s="72"/>
      <c r="E1301" s="71"/>
      <c r="F1301" s="71"/>
      <c r="G1301" s="71"/>
      <c r="H1301" s="71"/>
      <c r="I1301" s="71"/>
      <c r="J1301" s="71"/>
      <c r="K1301" s="71"/>
      <c r="L1301" s="71"/>
      <c r="M1301" s="71"/>
      <c r="N1301" s="71"/>
      <c r="O1301" s="71"/>
      <c r="P1301" s="71"/>
      <c r="Q1301" s="71"/>
      <c r="R1301" s="71"/>
      <c r="S1301" s="71"/>
      <c r="T1301" s="15"/>
      <c r="U1301" s="15"/>
      <c r="V1301" s="15"/>
      <c r="W1301" s="15"/>
    </row>
    <row r="1302">
      <c r="A1302" s="69"/>
      <c r="B1302" s="69"/>
      <c r="C1302" s="70"/>
      <c r="D1302" s="70"/>
      <c r="E1302" s="69"/>
      <c r="F1302" s="69"/>
      <c r="G1302" s="69"/>
      <c r="H1302" s="69"/>
      <c r="I1302" s="69"/>
      <c r="J1302" s="69"/>
      <c r="K1302" s="69"/>
      <c r="L1302" s="69"/>
      <c r="M1302" s="69"/>
      <c r="N1302" s="69"/>
      <c r="O1302" s="69"/>
      <c r="P1302" s="69"/>
      <c r="Q1302" s="69"/>
      <c r="R1302" s="69"/>
      <c r="S1302" s="69"/>
      <c r="T1302" s="15"/>
      <c r="U1302" s="15"/>
      <c r="V1302" s="15"/>
      <c r="W1302" s="15"/>
    </row>
    <row r="1303">
      <c r="A1303" s="71"/>
      <c r="B1303" s="71"/>
      <c r="C1303" s="72"/>
      <c r="D1303" s="72"/>
      <c r="E1303" s="71"/>
      <c r="F1303" s="71"/>
      <c r="G1303" s="71"/>
      <c r="H1303" s="71"/>
      <c r="I1303" s="71"/>
      <c r="J1303" s="71"/>
      <c r="K1303" s="71"/>
      <c r="L1303" s="71"/>
      <c r="M1303" s="71"/>
      <c r="N1303" s="71"/>
      <c r="O1303" s="71"/>
      <c r="P1303" s="71"/>
      <c r="Q1303" s="71"/>
      <c r="R1303" s="71"/>
      <c r="S1303" s="71"/>
      <c r="T1303" s="15"/>
      <c r="U1303" s="15"/>
      <c r="V1303" s="15"/>
      <c r="W1303" s="15"/>
    </row>
    <row r="1304">
      <c r="A1304" s="69"/>
      <c r="B1304" s="69"/>
      <c r="C1304" s="70"/>
      <c r="D1304" s="70"/>
      <c r="E1304" s="69"/>
      <c r="F1304" s="69"/>
      <c r="G1304" s="69"/>
      <c r="H1304" s="69"/>
      <c r="I1304" s="69"/>
      <c r="J1304" s="69"/>
      <c r="K1304" s="69"/>
      <c r="L1304" s="69"/>
      <c r="M1304" s="69"/>
      <c r="N1304" s="69"/>
      <c r="O1304" s="69"/>
      <c r="P1304" s="69"/>
      <c r="Q1304" s="69"/>
      <c r="R1304" s="69"/>
      <c r="S1304" s="69"/>
      <c r="T1304" s="15"/>
      <c r="U1304" s="15"/>
      <c r="V1304" s="15"/>
      <c r="W1304" s="15"/>
    </row>
    <row r="1305">
      <c r="A1305" s="71"/>
      <c r="B1305" s="71"/>
      <c r="C1305" s="72"/>
      <c r="D1305" s="72"/>
      <c r="E1305" s="71"/>
      <c r="F1305" s="71"/>
      <c r="G1305" s="71"/>
      <c r="H1305" s="71"/>
      <c r="I1305" s="71"/>
      <c r="J1305" s="71"/>
      <c r="K1305" s="71"/>
      <c r="L1305" s="71"/>
      <c r="M1305" s="71"/>
      <c r="N1305" s="71"/>
      <c r="O1305" s="71"/>
      <c r="P1305" s="71"/>
      <c r="Q1305" s="71"/>
      <c r="R1305" s="71"/>
      <c r="S1305" s="71"/>
      <c r="T1305" s="15"/>
      <c r="U1305" s="15"/>
      <c r="V1305" s="15"/>
      <c r="W1305" s="15"/>
    </row>
    <row r="1306">
      <c r="A1306" s="69"/>
      <c r="B1306" s="69"/>
      <c r="C1306" s="70"/>
      <c r="D1306" s="70"/>
      <c r="E1306" s="69"/>
      <c r="F1306" s="69"/>
      <c r="G1306" s="69"/>
      <c r="H1306" s="69"/>
      <c r="I1306" s="69"/>
      <c r="J1306" s="69"/>
      <c r="K1306" s="69"/>
      <c r="L1306" s="69"/>
      <c r="M1306" s="69"/>
      <c r="N1306" s="69"/>
      <c r="O1306" s="69"/>
      <c r="P1306" s="69"/>
      <c r="Q1306" s="69"/>
      <c r="R1306" s="69"/>
      <c r="S1306" s="69"/>
      <c r="T1306" s="15"/>
      <c r="U1306" s="15"/>
      <c r="V1306" s="15"/>
      <c r="W1306" s="15"/>
    </row>
    <row r="1307">
      <c r="A1307" s="71"/>
      <c r="B1307" s="71"/>
      <c r="C1307" s="72"/>
      <c r="D1307" s="72"/>
      <c r="E1307" s="71"/>
      <c r="F1307" s="71"/>
      <c r="G1307" s="71"/>
      <c r="H1307" s="71"/>
      <c r="I1307" s="71"/>
      <c r="J1307" s="71"/>
      <c r="K1307" s="71"/>
      <c r="L1307" s="71"/>
      <c r="M1307" s="71"/>
      <c r="N1307" s="71"/>
      <c r="O1307" s="71"/>
      <c r="P1307" s="71"/>
      <c r="Q1307" s="71"/>
      <c r="R1307" s="71"/>
      <c r="S1307" s="71"/>
      <c r="T1307" s="15"/>
      <c r="U1307" s="15"/>
      <c r="V1307" s="15"/>
      <c r="W1307" s="15"/>
    </row>
    <row r="1308">
      <c r="A1308" s="69"/>
      <c r="B1308" s="69"/>
      <c r="C1308" s="70"/>
      <c r="D1308" s="70"/>
      <c r="E1308" s="69"/>
      <c r="F1308" s="69"/>
      <c r="G1308" s="69"/>
      <c r="H1308" s="69"/>
      <c r="I1308" s="69"/>
      <c r="J1308" s="69"/>
      <c r="K1308" s="69"/>
      <c r="L1308" s="69"/>
      <c r="M1308" s="69"/>
      <c r="N1308" s="69"/>
      <c r="O1308" s="69"/>
      <c r="P1308" s="69"/>
      <c r="Q1308" s="69"/>
      <c r="R1308" s="69"/>
      <c r="S1308" s="69"/>
      <c r="T1308" s="15"/>
      <c r="U1308" s="15"/>
      <c r="V1308" s="15"/>
      <c r="W1308" s="15"/>
    </row>
    <row r="1309">
      <c r="A1309" s="71"/>
      <c r="B1309" s="71"/>
      <c r="C1309" s="72"/>
      <c r="D1309" s="72"/>
      <c r="E1309" s="71"/>
      <c r="F1309" s="71"/>
      <c r="G1309" s="71"/>
      <c r="H1309" s="71"/>
      <c r="I1309" s="71"/>
      <c r="J1309" s="71"/>
      <c r="K1309" s="71"/>
      <c r="L1309" s="71"/>
      <c r="M1309" s="71"/>
      <c r="N1309" s="71"/>
      <c r="O1309" s="71"/>
      <c r="P1309" s="71"/>
      <c r="Q1309" s="71"/>
      <c r="R1309" s="71"/>
      <c r="S1309" s="71"/>
      <c r="T1309" s="15"/>
      <c r="U1309" s="15"/>
      <c r="V1309" s="15"/>
      <c r="W1309" s="15"/>
    </row>
    <row r="1310">
      <c r="A1310" s="69"/>
      <c r="B1310" s="69"/>
      <c r="C1310" s="70"/>
      <c r="D1310" s="70"/>
      <c r="E1310" s="69"/>
      <c r="F1310" s="69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69"/>
      <c r="T1310" s="15"/>
      <c r="U1310" s="15"/>
      <c r="V1310" s="15"/>
      <c r="W1310" s="15"/>
    </row>
    <row r="1311">
      <c r="A1311" s="71"/>
      <c r="B1311" s="71"/>
      <c r="C1311" s="72"/>
      <c r="D1311" s="72"/>
      <c r="E1311" s="71"/>
      <c r="F1311" s="71"/>
      <c r="G1311" s="71"/>
      <c r="H1311" s="71"/>
      <c r="I1311" s="71"/>
      <c r="J1311" s="71"/>
      <c r="K1311" s="71"/>
      <c r="L1311" s="71"/>
      <c r="M1311" s="71"/>
      <c r="N1311" s="71"/>
      <c r="O1311" s="71"/>
      <c r="P1311" s="71"/>
      <c r="Q1311" s="71"/>
      <c r="R1311" s="71"/>
      <c r="S1311" s="71"/>
      <c r="T1311" s="15"/>
      <c r="U1311" s="15"/>
      <c r="V1311" s="15"/>
      <c r="W1311" s="15"/>
    </row>
    <row r="1312">
      <c r="A1312" s="69"/>
      <c r="B1312" s="69"/>
      <c r="C1312" s="70"/>
      <c r="D1312" s="70"/>
      <c r="E1312" s="69"/>
      <c r="F1312" s="69"/>
      <c r="G1312" s="69"/>
      <c r="H1312" s="69"/>
      <c r="I1312" s="69"/>
      <c r="J1312" s="69"/>
      <c r="K1312" s="69"/>
      <c r="L1312" s="69"/>
      <c r="M1312" s="69"/>
      <c r="N1312" s="69"/>
      <c r="O1312" s="69"/>
      <c r="P1312" s="69"/>
      <c r="Q1312" s="69"/>
      <c r="R1312" s="69"/>
      <c r="S1312" s="69"/>
      <c r="T1312" s="15"/>
      <c r="U1312" s="15"/>
      <c r="V1312" s="15"/>
      <c r="W1312" s="15"/>
    </row>
    <row r="1313">
      <c r="A1313" s="71"/>
      <c r="B1313" s="71"/>
      <c r="C1313" s="72"/>
      <c r="D1313" s="72"/>
      <c r="E1313" s="71"/>
      <c r="F1313" s="71"/>
      <c r="G1313" s="71"/>
      <c r="H1313" s="71"/>
      <c r="I1313" s="71"/>
      <c r="J1313" s="71"/>
      <c r="K1313" s="71"/>
      <c r="L1313" s="71"/>
      <c r="M1313" s="71"/>
      <c r="N1313" s="71"/>
      <c r="O1313" s="71"/>
      <c r="P1313" s="71"/>
      <c r="Q1313" s="71"/>
      <c r="R1313" s="71"/>
      <c r="S1313" s="71"/>
      <c r="T1313" s="15"/>
      <c r="U1313" s="15"/>
      <c r="V1313" s="15"/>
      <c r="W1313" s="15"/>
    </row>
    <row r="1314">
      <c r="A1314" s="69"/>
      <c r="B1314" s="69"/>
      <c r="C1314" s="70"/>
      <c r="D1314" s="70"/>
      <c r="E1314" s="69"/>
      <c r="F1314" s="69"/>
      <c r="G1314" s="69"/>
      <c r="H1314" s="69"/>
      <c r="I1314" s="69"/>
      <c r="J1314" s="69"/>
      <c r="K1314" s="69"/>
      <c r="L1314" s="69"/>
      <c r="M1314" s="69"/>
      <c r="N1314" s="69"/>
      <c r="O1314" s="69"/>
      <c r="P1314" s="69"/>
      <c r="Q1314" s="69"/>
      <c r="R1314" s="69"/>
      <c r="S1314" s="69"/>
      <c r="T1314" s="15"/>
      <c r="U1314" s="15"/>
      <c r="V1314" s="15"/>
      <c r="W1314" s="15"/>
    </row>
    <row r="1315">
      <c r="A1315" s="71"/>
      <c r="B1315" s="71"/>
      <c r="C1315" s="72"/>
      <c r="D1315" s="72"/>
      <c r="E1315" s="71"/>
      <c r="F1315" s="71"/>
      <c r="G1315" s="71"/>
      <c r="H1315" s="71"/>
      <c r="I1315" s="71"/>
      <c r="J1315" s="71"/>
      <c r="K1315" s="71"/>
      <c r="L1315" s="71"/>
      <c r="M1315" s="71"/>
      <c r="N1315" s="71"/>
      <c r="O1315" s="71"/>
      <c r="P1315" s="71"/>
      <c r="Q1315" s="71"/>
      <c r="R1315" s="71"/>
      <c r="S1315" s="71"/>
      <c r="T1315" s="15"/>
      <c r="U1315" s="15"/>
      <c r="V1315" s="15"/>
      <c r="W1315" s="15"/>
    </row>
    <row r="1316">
      <c r="A1316" s="69"/>
      <c r="B1316" s="69"/>
      <c r="C1316" s="70"/>
      <c r="D1316" s="70"/>
      <c r="E1316" s="69"/>
      <c r="F1316" s="69"/>
      <c r="G1316" s="69"/>
      <c r="H1316" s="69"/>
      <c r="I1316" s="69"/>
      <c r="J1316" s="69"/>
      <c r="K1316" s="69"/>
      <c r="L1316" s="69"/>
      <c r="M1316" s="69"/>
      <c r="N1316" s="69"/>
      <c r="O1316" s="69"/>
      <c r="P1316" s="69"/>
      <c r="Q1316" s="69"/>
      <c r="R1316" s="69"/>
      <c r="S1316" s="69"/>
      <c r="T1316" s="15"/>
      <c r="U1316" s="15"/>
      <c r="V1316" s="15"/>
      <c r="W1316" s="15"/>
    </row>
    <row r="1317">
      <c r="A1317" s="71"/>
      <c r="B1317" s="71"/>
      <c r="C1317" s="72"/>
      <c r="D1317" s="72"/>
      <c r="E1317" s="71"/>
      <c r="F1317" s="71"/>
      <c r="G1317" s="71"/>
      <c r="H1317" s="71"/>
      <c r="I1317" s="71"/>
      <c r="J1317" s="71"/>
      <c r="K1317" s="71"/>
      <c r="L1317" s="71"/>
      <c r="M1317" s="71"/>
      <c r="N1317" s="71"/>
      <c r="O1317" s="71"/>
      <c r="P1317" s="71"/>
      <c r="Q1317" s="71"/>
      <c r="R1317" s="71"/>
      <c r="S1317" s="71"/>
      <c r="T1317" s="15"/>
      <c r="U1317" s="15"/>
      <c r="V1317" s="15"/>
      <c r="W1317" s="15"/>
    </row>
    <row r="1318">
      <c r="A1318" s="69"/>
      <c r="B1318" s="69"/>
      <c r="C1318" s="70"/>
      <c r="D1318" s="70"/>
      <c r="E1318" s="69"/>
      <c r="F1318" s="69"/>
      <c r="G1318" s="69"/>
      <c r="H1318" s="69"/>
      <c r="I1318" s="69"/>
      <c r="J1318" s="69"/>
      <c r="K1318" s="69"/>
      <c r="L1318" s="69"/>
      <c r="M1318" s="69"/>
      <c r="N1318" s="69"/>
      <c r="O1318" s="69"/>
      <c r="P1318" s="69"/>
      <c r="Q1318" s="69"/>
      <c r="R1318" s="69"/>
      <c r="S1318" s="69"/>
      <c r="T1318" s="15"/>
      <c r="U1318" s="15"/>
      <c r="V1318" s="15"/>
      <c r="W1318" s="15"/>
    </row>
    <row r="1319">
      <c r="A1319" s="71"/>
      <c r="B1319" s="71"/>
      <c r="C1319" s="72"/>
      <c r="D1319" s="72"/>
      <c r="E1319" s="71"/>
      <c r="F1319" s="71"/>
      <c r="G1319" s="71"/>
      <c r="H1319" s="71"/>
      <c r="I1319" s="71"/>
      <c r="J1319" s="71"/>
      <c r="K1319" s="71"/>
      <c r="L1319" s="71"/>
      <c r="M1319" s="71"/>
      <c r="N1319" s="71"/>
      <c r="O1319" s="71"/>
      <c r="P1319" s="71"/>
      <c r="Q1319" s="71"/>
      <c r="R1319" s="71"/>
      <c r="S1319" s="71"/>
      <c r="T1319" s="15"/>
      <c r="U1319" s="15"/>
      <c r="V1319" s="15"/>
      <c r="W1319" s="15"/>
    </row>
    <row r="1320">
      <c r="A1320" s="69"/>
      <c r="B1320" s="69"/>
      <c r="C1320" s="70"/>
      <c r="D1320" s="70"/>
      <c r="E1320" s="69"/>
      <c r="F1320" s="69"/>
      <c r="G1320" s="69"/>
      <c r="H1320" s="69"/>
      <c r="I1320" s="69"/>
      <c r="J1320" s="69"/>
      <c r="K1320" s="69"/>
      <c r="L1320" s="69"/>
      <c r="M1320" s="69"/>
      <c r="N1320" s="69"/>
      <c r="O1320" s="69"/>
      <c r="P1320" s="69"/>
      <c r="Q1320" s="69"/>
      <c r="R1320" s="69"/>
      <c r="S1320" s="69"/>
      <c r="T1320" s="15"/>
      <c r="U1320" s="15"/>
      <c r="V1320" s="15"/>
      <c r="W1320" s="15"/>
    </row>
    <row r="1321">
      <c r="A1321" s="71"/>
      <c r="B1321" s="71"/>
      <c r="C1321" s="72"/>
      <c r="D1321" s="72"/>
      <c r="E1321" s="71"/>
      <c r="F1321" s="71"/>
      <c r="G1321" s="71"/>
      <c r="H1321" s="71"/>
      <c r="I1321" s="71"/>
      <c r="J1321" s="71"/>
      <c r="K1321" s="71"/>
      <c r="L1321" s="71"/>
      <c r="M1321" s="71"/>
      <c r="N1321" s="71"/>
      <c r="O1321" s="71"/>
      <c r="P1321" s="71"/>
      <c r="Q1321" s="71"/>
      <c r="R1321" s="71"/>
      <c r="S1321" s="71"/>
      <c r="T1321" s="15"/>
      <c r="U1321" s="15"/>
      <c r="V1321" s="15"/>
      <c r="W1321" s="15"/>
    </row>
    <row r="1322">
      <c r="A1322" s="69"/>
      <c r="B1322" s="69"/>
      <c r="C1322" s="70"/>
      <c r="D1322" s="70"/>
      <c r="E1322" s="69"/>
      <c r="F1322" s="69"/>
      <c r="G1322" s="69"/>
      <c r="H1322" s="69"/>
      <c r="I1322" s="69"/>
      <c r="J1322" s="69"/>
      <c r="K1322" s="69"/>
      <c r="L1322" s="69"/>
      <c r="M1322" s="69"/>
      <c r="N1322" s="69"/>
      <c r="O1322" s="69"/>
      <c r="P1322" s="69"/>
      <c r="Q1322" s="69"/>
      <c r="R1322" s="69"/>
      <c r="S1322" s="69"/>
      <c r="T1322" s="15"/>
      <c r="U1322" s="15"/>
      <c r="V1322" s="15"/>
      <c r="W1322" s="15"/>
    </row>
    <row r="1323">
      <c r="A1323" s="71"/>
      <c r="B1323" s="71"/>
      <c r="C1323" s="72"/>
      <c r="D1323" s="72"/>
      <c r="E1323" s="71"/>
      <c r="F1323" s="71"/>
      <c r="G1323" s="71"/>
      <c r="H1323" s="71"/>
      <c r="I1323" s="71"/>
      <c r="J1323" s="71"/>
      <c r="K1323" s="71"/>
      <c r="L1323" s="71"/>
      <c r="M1323" s="71"/>
      <c r="N1323" s="71"/>
      <c r="O1323" s="71"/>
      <c r="P1323" s="71"/>
      <c r="Q1323" s="71"/>
      <c r="R1323" s="71"/>
      <c r="S1323" s="71"/>
      <c r="T1323" s="15"/>
      <c r="U1323" s="15"/>
      <c r="V1323" s="15"/>
      <c r="W1323" s="15"/>
    </row>
    <row r="1324">
      <c r="A1324" s="69"/>
      <c r="B1324" s="69"/>
      <c r="C1324" s="70"/>
      <c r="D1324" s="70"/>
      <c r="E1324" s="69"/>
      <c r="F1324" s="69"/>
      <c r="G1324" s="69"/>
      <c r="H1324" s="69"/>
      <c r="I1324" s="69"/>
      <c r="J1324" s="69"/>
      <c r="K1324" s="69"/>
      <c r="L1324" s="69"/>
      <c r="M1324" s="69"/>
      <c r="N1324" s="69"/>
      <c r="O1324" s="69"/>
      <c r="P1324" s="69"/>
      <c r="Q1324" s="69"/>
      <c r="R1324" s="69"/>
      <c r="S1324" s="69"/>
      <c r="T1324" s="15"/>
      <c r="U1324" s="15"/>
      <c r="V1324" s="15"/>
      <c r="W1324" s="15"/>
    </row>
    <row r="1325">
      <c r="A1325" s="71"/>
      <c r="B1325" s="71"/>
      <c r="C1325" s="72"/>
      <c r="D1325" s="72"/>
      <c r="E1325" s="71"/>
      <c r="F1325" s="71"/>
      <c r="G1325" s="71"/>
      <c r="H1325" s="71"/>
      <c r="I1325" s="71"/>
      <c r="J1325" s="71"/>
      <c r="K1325" s="71"/>
      <c r="L1325" s="71"/>
      <c r="M1325" s="71"/>
      <c r="N1325" s="71"/>
      <c r="O1325" s="71"/>
      <c r="P1325" s="71"/>
      <c r="Q1325" s="71"/>
      <c r="R1325" s="71"/>
      <c r="S1325" s="71"/>
      <c r="T1325" s="15"/>
      <c r="U1325" s="15"/>
      <c r="V1325" s="15"/>
      <c r="W1325" s="15"/>
    </row>
    <row r="1326">
      <c r="A1326" s="69"/>
      <c r="B1326" s="69"/>
      <c r="C1326" s="70"/>
      <c r="D1326" s="70"/>
      <c r="E1326" s="69"/>
      <c r="F1326" s="69"/>
      <c r="G1326" s="69"/>
      <c r="H1326" s="69"/>
      <c r="I1326" s="69"/>
      <c r="J1326" s="69"/>
      <c r="K1326" s="69"/>
      <c r="L1326" s="69"/>
      <c r="M1326" s="69"/>
      <c r="N1326" s="69"/>
      <c r="O1326" s="69"/>
      <c r="P1326" s="69"/>
      <c r="Q1326" s="69"/>
      <c r="R1326" s="69"/>
      <c r="S1326" s="69"/>
      <c r="T1326" s="15"/>
      <c r="U1326" s="15"/>
      <c r="V1326" s="15"/>
      <c r="W1326" s="15"/>
    </row>
    <row r="1327">
      <c r="A1327" s="71"/>
      <c r="B1327" s="71"/>
      <c r="C1327" s="72"/>
      <c r="D1327" s="72"/>
      <c r="E1327" s="71"/>
      <c r="F1327" s="71"/>
      <c r="G1327" s="71"/>
      <c r="H1327" s="71"/>
      <c r="I1327" s="71"/>
      <c r="J1327" s="71"/>
      <c r="K1327" s="71"/>
      <c r="L1327" s="71"/>
      <c r="M1327" s="71"/>
      <c r="N1327" s="71"/>
      <c r="O1327" s="71"/>
      <c r="P1327" s="71"/>
      <c r="Q1327" s="71"/>
      <c r="R1327" s="71"/>
      <c r="S1327" s="71"/>
      <c r="T1327" s="15"/>
      <c r="U1327" s="15"/>
      <c r="V1327" s="15"/>
      <c r="W1327" s="15"/>
    </row>
    <row r="1328">
      <c r="A1328" s="69"/>
      <c r="B1328" s="69"/>
      <c r="C1328" s="70"/>
      <c r="D1328" s="70"/>
      <c r="E1328" s="69"/>
      <c r="F1328" s="69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69"/>
      <c r="T1328" s="15"/>
      <c r="U1328" s="15"/>
      <c r="V1328" s="15"/>
      <c r="W1328" s="15"/>
    </row>
    <row r="1329">
      <c r="A1329" s="71"/>
      <c r="B1329" s="71"/>
      <c r="C1329" s="72"/>
      <c r="D1329" s="72"/>
      <c r="E1329" s="71"/>
      <c r="F1329" s="71"/>
      <c r="G1329" s="71"/>
      <c r="H1329" s="71"/>
      <c r="I1329" s="71"/>
      <c r="J1329" s="71"/>
      <c r="K1329" s="71"/>
      <c r="L1329" s="71"/>
      <c r="M1329" s="71"/>
      <c r="N1329" s="71"/>
      <c r="O1329" s="71"/>
      <c r="P1329" s="71"/>
      <c r="Q1329" s="71"/>
      <c r="R1329" s="71"/>
      <c r="S1329" s="71"/>
      <c r="T1329" s="15"/>
      <c r="U1329" s="15"/>
      <c r="V1329" s="15"/>
      <c r="W1329" s="15"/>
    </row>
    <row r="1330">
      <c r="A1330" s="69"/>
      <c r="B1330" s="69"/>
      <c r="C1330" s="70"/>
      <c r="D1330" s="70"/>
      <c r="E1330" s="69"/>
      <c r="F1330" s="69"/>
      <c r="G1330" s="69"/>
      <c r="H1330" s="69"/>
      <c r="I1330" s="69"/>
      <c r="J1330" s="69"/>
      <c r="K1330" s="69"/>
      <c r="L1330" s="69"/>
      <c r="M1330" s="69"/>
      <c r="N1330" s="69"/>
      <c r="O1330" s="69"/>
      <c r="P1330" s="69"/>
      <c r="Q1330" s="69"/>
      <c r="R1330" s="69"/>
      <c r="S1330" s="69"/>
      <c r="T1330" s="15"/>
      <c r="U1330" s="15"/>
      <c r="V1330" s="15"/>
      <c r="W1330" s="15"/>
    </row>
    <row r="1331">
      <c r="A1331" s="71"/>
      <c r="B1331" s="71"/>
      <c r="C1331" s="72"/>
      <c r="D1331" s="72"/>
      <c r="E1331" s="71"/>
      <c r="F1331" s="71"/>
      <c r="G1331" s="71"/>
      <c r="H1331" s="71"/>
      <c r="I1331" s="71"/>
      <c r="J1331" s="71"/>
      <c r="K1331" s="71"/>
      <c r="L1331" s="71"/>
      <c r="M1331" s="71"/>
      <c r="N1331" s="71"/>
      <c r="O1331" s="71"/>
      <c r="P1331" s="71"/>
      <c r="Q1331" s="71"/>
      <c r="R1331" s="71"/>
      <c r="S1331" s="71"/>
      <c r="T1331" s="15"/>
      <c r="U1331" s="15"/>
      <c r="V1331" s="15"/>
      <c r="W1331" s="15"/>
    </row>
    <row r="1332">
      <c r="A1332" s="69"/>
      <c r="B1332" s="69"/>
      <c r="C1332" s="70"/>
      <c r="D1332" s="70"/>
      <c r="E1332" s="69"/>
      <c r="F1332" s="69"/>
      <c r="G1332" s="69"/>
      <c r="H1332" s="69"/>
      <c r="I1332" s="69"/>
      <c r="J1332" s="69"/>
      <c r="K1332" s="69"/>
      <c r="L1332" s="69"/>
      <c r="M1332" s="69"/>
      <c r="N1332" s="69"/>
      <c r="O1332" s="69"/>
      <c r="P1332" s="69"/>
      <c r="Q1332" s="69"/>
      <c r="R1332" s="69"/>
      <c r="S1332" s="69"/>
      <c r="T1332" s="15"/>
      <c r="U1332" s="15"/>
      <c r="V1332" s="15"/>
      <c r="W1332" s="15"/>
    </row>
    <row r="1333">
      <c r="A1333" s="71"/>
      <c r="B1333" s="71"/>
      <c r="C1333" s="72"/>
      <c r="D1333" s="72"/>
      <c r="E1333" s="71"/>
      <c r="F1333" s="71"/>
      <c r="G1333" s="71"/>
      <c r="H1333" s="71"/>
      <c r="I1333" s="71"/>
      <c r="J1333" s="71"/>
      <c r="K1333" s="71"/>
      <c r="L1333" s="71"/>
      <c r="M1333" s="71"/>
      <c r="N1333" s="71"/>
      <c r="O1333" s="71"/>
      <c r="P1333" s="71"/>
      <c r="Q1333" s="71"/>
      <c r="R1333" s="71"/>
      <c r="S1333" s="71"/>
      <c r="T1333" s="15"/>
      <c r="U1333" s="15"/>
      <c r="V1333" s="15"/>
      <c r="W1333" s="15"/>
    </row>
    <row r="1334">
      <c r="A1334" s="69"/>
      <c r="B1334" s="69"/>
      <c r="C1334" s="70"/>
      <c r="D1334" s="70"/>
      <c r="E1334" s="69"/>
      <c r="F1334" s="69"/>
      <c r="G1334" s="69"/>
      <c r="H1334" s="69"/>
      <c r="I1334" s="69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15"/>
      <c r="U1334" s="15"/>
      <c r="V1334" s="15"/>
      <c r="W1334" s="15"/>
    </row>
    <row r="1335">
      <c r="A1335" s="71"/>
      <c r="B1335" s="71"/>
      <c r="C1335" s="72"/>
      <c r="D1335" s="72"/>
      <c r="E1335" s="71"/>
      <c r="F1335" s="71"/>
      <c r="G1335" s="71"/>
      <c r="H1335" s="71"/>
      <c r="I1335" s="71"/>
      <c r="J1335" s="71"/>
      <c r="K1335" s="71"/>
      <c r="L1335" s="71"/>
      <c r="M1335" s="71"/>
      <c r="N1335" s="71"/>
      <c r="O1335" s="71"/>
      <c r="P1335" s="71"/>
      <c r="Q1335" s="71"/>
      <c r="R1335" s="71"/>
      <c r="S1335" s="71"/>
      <c r="T1335" s="15"/>
      <c r="U1335" s="15"/>
      <c r="V1335" s="15"/>
      <c r="W1335" s="15"/>
    </row>
    <row r="1336">
      <c r="A1336" s="69"/>
      <c r="B1336" s="69"/>
      <c r="C1336" s="70"/>
      <c r="D1336" s="70"/>
      <c r="E1336" s="69"/>
      <c r="F1336" s="69"/>
      <c r="G1336" s="69"/>
      <c r="H1336" s="69"/>
      <c r="I1336" s="69"/>
      <c r="J1336" s="69"/>
      <c r="K1336" s="69"/>
      <c r="L1336" s="69"/>
      <c r="M1336" s="69"/>
      <c r="N1336" s="69"/>
      <c r="O1336" s="69"/>
      <c r="P1336" s="69"/>
      <c r="Q1336" s="69"/>
      <c r="R1336" s="69"/>
      <c r="S1336" s="69"/>
      <c r="T1336" s="15"/>
      <c r="U1336" s="15"/>
      <c r="V1336" s="15"/>
      <c r="W1336" s="15"/>
    </row>
    <row r="1337">
      <c r="A1337" s="71"/>
      <c r="B1337" s="71"/>
      <c r="C1337" s="72"/>
      <c r="D1337" s="72"/>
      <c r="E1337" s="71"/>
      <c r="F1337" s="71"/>
      <c r="G1337" s="71"/>
      <c r="H1337" s="71"/>
      <c r="I1337" s="71"/>
      <c r="J1337" s="71"/>
      <c r="K1337" s="71"/>
      <c r="L1337" s="71"/>
      <c r="M1337" s="71"/>
      <c r="N1337" s="71"/>
      <c r="O1337" s="71"/>
      <c r="P1337" s="71"/>
      <c r="Q1337" s="71"/>
      <c r="R1337" s="71"/>
      <c r="S1337" s="71"/>
      <c r="T1337" s="15"/>
      <c r="U1337" s="15"/>
      <c r="V1337" s="15"/>
      <c r="W1337" s="15"/>
    </row>
    <row r="1338">
      <c r="A1338" s="69"/>
      <c r="B1338" s="69"/>
      <c r="C1338" s="70"/>
      <c r="D1338" s="70"/>
      <c r="E1338" s="69"/>
      <c r="F1338" s="69"/>
      <c r="G1338" s="69"/>
      <c r="H1338" s="69"/>
      <c r="I1338" s="69"/>
      <c r="J1338" s="69"/>
      <c r="K1338" s="69"/>
      <c r="L1338" s="69"/>
      <c r="M1338" s="69"/>
      <c r="N1338" s="69"/>
      <c r="O1338" s="69"/>
      <c r="P1338" s="69"/>
      <c r="Q1338" s="69"/>
      <c r="R1338" s="69"/>
      <c r="S1338" s="69"/>
      <c r="T1338" s="15"/>
      <c r="U1338" s="15"/>
      <c r="V1338" s="15"/>
      <c r="W1338" s="15"/>
    </row>
    <row r="1339">
      <c r="A1339" s="71"/>
      <c r="B1339" s="71"/>
      <c r="C1339" s="72"/>
      <c r="D1339" s="72"/>
      <c r="E1339" s="71"/>
      <c r="F1339" s="71"/>
      <c r="G1339" s="71"/>
      <c r="H1339" s="71"/>
      <c r="I1339" s="71"/>
      <c r="J1339" s="71"/>
      <c r="K1339" s="71"/>
      <c r="L1339" s="71"/>
      <c r="M1339" s="71"/>
      <c r="N1339" s="71"/>
      <c r="O1339" s="71"/>
      <c r="P1339" s="71"/>
      <c r="Q1339" s="71"/>
      <c r="R1339" s="71"/>
      <c r="S1339" s="71"/>
      <c r="T1339" s="15"/>
      <c r="U1339" s="15"/>
      <c r="V1339" s="15"/>
      <c r="W1339" s="15"/>
    </row>
    <row r="1340">
      <c r="A1340" s="69"/>
      <c r="B1340" s="69"/>
      <c r="C1340" s="70"/>
      <c r="D1340" s="70"/>
      <c r="E1340" s="69"/>
      <c r="F1340" s="69"/>
      <c r="G1340" s="69"/>
      <c r="H1340" s="69"/>
      <c r="I1340" s="69"/>
      <c r="J1340" s="69"/>
      <c r="K1340" s="69"/>
      <c r="L1340" s="69"/>
      <c r="M1340" s="69"/>
      <c r="N1340" s="69"/>
      <c r="O1340" s="69"/>
      <c r="P1340" s="69"/>
      <c r="Q1340" s="69"/>
      <c r="R1340" s="69"/>
      <c r="S1340" s="69"/>
      <c r="T1340" s="15"/>
      <c r="U1340" s="15"/>
      <c r="V1340" s="15"/>
      <c r="W1340" s="15"/>
    </row>
    <row r="1341">
      <c r="A1341" s="71"/>
      <c r="B1341" s="71"/>
      <c r="C1341" s="72"/>
      <c r="D1341" s="72"/>
      <c r="E1341" s="71"/>
      <c r="F1341" s="71"/>
      <c r="G1341" s="71"/>
      <c r="H1341" s="71"/>
      <c r="I1341" s="71"/>
      <c r="J1341" s="71"/>
      <c r="K1341" s="71"/>
      <c r="L1341" s="71"/>
      <c r="M1341" s="71"/>
      <c r="N1341" s="71"/>
      <c r="O1341" s="71"/>
      <c r="P1341" s="71"/>
      <c r="Q1341" s="71"/>
      <c r="R1341" s="71"/>
      <c r="S1341" s="71"/>
      <c r="T1341" s="15"/>
      <c r="U1341" s="15"/>
      <c r="V1341" s="15"/>
      <c r="W1341" s="15"/>
    </row>
    <row r="1342">
      <c r="A1342" s="69"/>
      <c r="B1342" s="69"/>
      <c r="C1342" s="70"/>
      <c r="D1342" s="70"/>
      <c r="E1342" s="69"/>
      <c r="F1342" s="69"/>
      <c r="G1342" s="69"/>
      <c r="H1342" s="69"/>
      <c r="I1342" s="69"/>
      <c r="J1342" s="69"/>
      <c r="K1342" s="69"/>
      <c r="L1342" s="69"/>
      <c r="M1342" s="69"/>
      <c r="N1342" s="69"/>
      <c r="O1342" s="69"/>
      <c r="P1342" s="69"/>
      <c r="Q1342" s="69"/>
      <c r="R1342" s="69"/>
      <c r="S1342" s="69"/>
      <c r="T1342" s="15"/>
      <c r="U1342" s="15"/>
      <c r="V1342" s="15"/>
      <c r="W1342" s="15"/>
    </row>
    <row r="1343">
      <c r="A1343" s="71"/>
      <c r="B1343" s="71"/>
      <c r="C1343" s="72"/>
      <c r="D1343" s="72"/>
      <c r="E1343" s="71"/>
      <c r="F1343" s="71"/>
      <c r="G1343" s="71"/>
      <c r="H1343" s="71"/>
      <c r="I1343" s="71"/>
      <c r="J1343" s="71"/>
      <c r="K1343" s="71"/>
      <c r="L1343" s="71"/>
      <c r="M1343" s="71"/>
      <c r="N1343" s="71"/>
      <c r="O1343" s="71"/>
      <c r="P1343" s="71"/>
      <c r="Q1343" s="71"/>
      <c r="R1343" s="71"/>
      <c r="S1343" s="71"/>
      <c r="T1343" s="15"/>
      <c r="U1343" s="15"/>
      <c r="V1343" s="15"/>
      <c r="W1343" s="15"/>
    </row>
    <row r="1344">
      <c r="A1344" s="69"/>
      <c r="B1344" s="69"/>
      <c r="C1344" s="70"/>
      <c r="D1344" s="70"/>
      <c r="E1344" s="69"/>
      <c r="F1344" s="69"/>
      <c r="G1344" s="69"/>
      <c r="H1344" s="69"/>
      <c r="I1344" s="69"/>
      <c r="J1344" s="69"/>
      <c r="K1344" s="69"/>
      <c r="L1344" s="69"/>
      <c r="M1344" s="69"/>
      <c r="N1344" s="69"/>
      <c r="O1344" s="69"/>
      <c r="P1344" s="69"/>
      <c r="Q1344" s="69"/>
      <c r="R1344" s="69"/>
      <c r="S1344" s="69"/>
      <c r="T1344" s="15"/>
      <c r="U1344" s="15"/>
      <c r="V1344" s="15"/>
      <c r="W1344" s="15"/>
    </row>
    <row r="1345">
      <c r="A1345" s="71"/>
      <c r="B1345" s="71"/>
      <c r="C1345" s="72"/>
      <c r="D1345" s="72"/>
      <c r="E1345" s="71"/>
      <c r="F1345" s="71"/>
      <c r="G1345" s="71"/>
      <c r="H1345" s="71"/>
      <c r="I1345" s="71"/>
      <c r="J1345" s="71"/>
      <c r="K1345" s="71"/>
      <c r="L1345" s="71"/>
      <c r="M1345" s="71"/>
      <c r="N1345" s="71"/>
      <c r="O1345" s="71"/>
      <c r="P1345" s="71"/>
      <c r="Q1345" s="71"/>
      <c r="R1345" s="71"/>
      <c r="S1345" s="71"/>
      <c r="T1345" s="15"/>
      <c r="U1345" s="15"/>
      <c r="V1345" s="15"/>
      <c r="W1345" s="15"/>
    </row>
    <row r="1346">
      <c r="A1346" s="69"/>
      <c r="B1346" s="69"/>
      <c r="C1346" s="70"/>
      <c r="D1346" s="70"/>
      <c r="E1346" s="69"/>
      <c r="F1346" s="69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  <c r="T1346" s="15"/>
      <c r="U1346" s="15"/>
      <c r="V1346" s="15"/>
      <c r="W1346" s="15"/>
    </row>
    <row r="1347">
      <c r="A1347" s="71"/>
      <c r="B1347" s="71"/>
      <c r="C1347" s="72"/>
      <c r="D1347" s="72"/>
      <c r="E1347" s="71"/>
      <c r="F1347" s="71"/>
      <c r="G1347" s="71"/>
      <c r="H1347" s="71"/>
      <c r="I1347" s="71"/>
      <c r="J1347" s="71"/>
      <c r="K1347" s="71"/>
      <c r="L1347" s="71"/>
      <c r="M1347" s="71"/>
      <c r="N1347" s="71"/>
      <c r="O1347" s="71"/>
      <c r="P1347" s="71"/>
      <c r="Q1347" s="71"/>
      <c r="R1347" s="71"/>
      <c r="S1347" s="71"/>
      <c r="T1347" s="15"/>
      <c r="U1347" s="15"/>
      <c r="V1347" s="15"/>
      <c r="W1347" s="15"/>
    </row>
    <row r="1348">
      <c r="A1348" s="69"/>
      <c r="B1348" s="69"/>
      <c r="C1348" s="70"/>
      <c r="D1348" s="70"/>
      <c r="E1348" s="69"/>
      <c r="F1348" s="69"/>
      <c r="G1348" s="69"/>
      <c r="H1348" s="69"/>
      <c r="I1348" s="69"/>
      <c r="J1348" s="69"/>
      <c r="K1348" s="69"/>
      <c r="L1348" s="69"/>
      <c r="M1348" s="69"/>
      <c r="N1348" s="69"/>
      <c r="O1348" s="69"/>
      <c r="P1348" s="69"/>
      <c r="Q1348" s="69"/>
      <c r="R1348" s="69"/>
      <c r="S1348" s="69"/>
      <c r="T1348" s="15"/>
      <c r="U1348" s="15"/>
      <c r="V1348" s="15"/>
      <c r="W1348" s="15"/>
    </row>
    <row r="1349">
      <c r="A1349" s="71"/>
      <c r="B1349" s="71"/>
      <c r="C1349" s="72"/>
      <c r="D1349" s="72"/>
      <c r="E1349" s="71"/>
      <c r="F1349" s="71"/>
      <c r="G1349" s="71"/>
      <c r="H1349" s="71"/>
      <c r="I1349" s="71"/>
      <c r="J1349" s="71"/>
      <c r="K1349" s="71"/>
      <c r="L1349" s="71"/>
      <c r="M1349" s="71"/>
      <c r="N1349" s="71"/>
      <c r="O1349" s="71"/>
      <c r="P1349" s="71"/>
      <c r="Q1349" s="71"/>
      <c r="R1349" s="71"/>
      <c r="S1349" s="71"/>
      <c r="T1349" s="15"/>
      <c r="U1349" s="15"/>
      <c r="V1349" s="15"/>
      <c r="W1349" s="15"/>
    </row>
    <row r="1350">
      <c r="A1350" s="69"/>
      <c r="B1350" s="69"/>
      <c r="C1350" s="70"/>
      <c r="D1350" s="70"/>
      <c r="E1350" s="69"/>
      <c r="F1350" s="69"/>
      <c r="G1350" s="69"/>
      <c r="H1350" s="69"/>
      <c r="I1350" s="69"/>
      <c r="J1350" s="69"/>
      <c r="K1350" s="69"/>
      <c r="L1350" s="69"/>
      <c r="M1350" s="69"/>
      <c r="N1350" s="69"/>
      <c r="O1350" s="69"/>
      <c r="P1350" s="69"/>
      <c r="Q1350" s="69"/>
      <c r="R1350" s="69"/>
      <c r="S1350" s="69"/>
      <c r="T1350" s="15"/>
      <c r="U1350" s="15"/>
      <c r="V1350" s="15"/>
      <c r="W1350" s="15"/>
    </row>
    <row r="1351">
      <c r="A1351" s="71"/>
      <c r="B1351" s="71"/>
      <c r="C1351" s="72"/>
      <c r="D1351" s="72"/>
      <c r="E1351" s="71"/>
      <c r="F1351" s="71"/>
      <c r="G1351" s="71"/>
      <c r="H1351" s="71"/>
      <c r="I1351" s="71"/>
      <c r="J1351" s="71"/>
      <c r="K1351" s="71"/>
      <c r="L1351" s="71"/>
      <c r="M1351" s="71"/>
      <c r="N1351" s="71"/>
      <c r="O1351" s="71"/>
      <c r="P1351" s="71"/>
      <c r="Q1351" s="71"/>
      <c r="R1351" s="71"/>
      <c r="S1351" s="71"/>
      <c r="T1351" s="15"/>
      <c r="U1351" s="15"/>
      <c r="V1351" s="15"/>
      <c r="W1351" s="15"/>
    </row>
    <row r="1352">
      <c r="A1352" s="69"/>
      <c r="B1352" s="69"/>
      <c r="C1352" s="70"/>
      <c r="D1352" s="70"/>
      <c r="E1352" s="69"/>
      <c r="F1352" s="69"/>
      <c r="G1352" s="69"/>
      <c r="H1352" s="69"/>
      <c r="I1352" s="69"/>
      <c r="J1352" s="69"/>
      <c r="K1352" s="69"/>
      <c r="L1352" s="69"/>
      <c r="M1352" s="69"/>
      <c r="N1352" s="69"/>
      <c r="O1352" s="69"/>
      <c r="P1352" s="69"/>
      <c r="Q1352" s="69"/>
      <c r="R1352" s="69"/>
      <c r="S1352" s="69"/>
      <c r="T1352" s="15"/>
      <c r="U1352" s="15"/>
      <c r="V1352" s="15"/>
      <c r="W1352" s="15"/>
    </row>
    <row r="1353">
      <c r="A1353" s="71"/>
      <c r="B1353" s="71"/>
      <c r="C1353" s="72"/>
      <c r="D1353" s="72"/>
      <c r="E1353" s="71"/>
      <c r="F1353" s="71"/>
      <c r="G1353" s="71"/>
      <c r="H1353" s="71"/>
      <c r="I1353" s="71"/>
      <c r="J1353" s="71"/>
      <c r="K1353" s="71"/>
      <c r="L1353" s="71"/>
      <c r="M1353" s="71"/>
      <c r="N1353" s="71"/>
      <c r="O1353" s="71"/>
      <c r="P1353" s="71"/>
      <c r="Q1353" s="71"/>
      <c r="R1353" s="71"/>
      <c r="S1353" s="71"/>
      <c r="T1353" s="15"/>
      <c r="U1353" s="15"/>
      <c r="V1353" s="15"/>
      <c r="W1353" s="15"/>
    </row>
    <row r="1354">
      <c r="A1354" s="69"/>
      <c r="B1354" s="69"/>
      <c r="C1354" s="70"/>
      <c r="D1354" s="70"/>
      <c r="E1354" s="69"/>
      <c r="F1354" s="69"/>
      <c r="G1354" s="69"/>
      <c r="H1354" s="69"/>
      <c r="I1354" s="69"/>
      <c r="J1354" s="69"/>
      <c r="K1354" s="69"/>
      <c r="L1354" s="69"/>
      <c r="M1354" s="69"/>
      <c r="N1354" s="69"/>
      <c r="O1354" s="69"/>
      <c r="P1354" s="69"/>
      <c r="Q1354" s="69"/>
      <c r="R1354" s="69"/>
      <c r="S1354" s="69"/>
      <c r="T1354" s="15"/>
      <c r="U1354" s="15"/>
      <c r="V1354" s="15"/>
      <c r="W1354" s="15"/>
    </row>
    <row r="1355">
      <c r="A1355" s="71"/>
      <c r="B1355" s="71"/>
      <c r="C1355" s="72"/>
      <c r="D1355" s="72"/>
      <c r="E1355" s="71"/>
      <c r="F1355" s="71"/>
      <c r="G1355" s="71"/>
      <c r="H1355" s="71"/>
      <c r="I1355" s="71"/>
      <c r="J1355" s="71"/>
      <c r="K1355" s="71"/>
      <c r="L1355" s="71"/>
      <c r="M1355" s="71"/>
      <c r="N1355" s="71"/>
      <c r="O1355" s="71"/>
      <c r="P1355" s="71"/>
      <c r="Q1355" s="71"/>
      <c r="R1355" s="71"/>
      <c r="S1355" s="71"/>
      <c r="T1355" s="15"/>
      <c r="U1355" s="15"/>
      <c r="V1355" s="15"/>
      <c r="W1355" s="15"/>
    </row>
    <row r="1356">
      <c r="A1356" s="69"/>
      <c r="B1356" s="69"/>
      <c r="C1356" s="70"/>
      <c r="D1356" s="70"/>
      <c r="E1356" s="69"/>
      <c r="F1356" s="69"/>
      <c r="G1356" s="69"/>
      <c r="H1356" s="69"/>
      <c r="I1356" s="69"/>
      <c r="J1356" s="69"/>
      <c r="K1356" s="69"/>
      <c r="L1356" s="69"/>
      <c r="M1356" s="69"/>
      <c r="N1356" s="69"/>
      <c r="O1356" s="69"/>
      <c r="P1356" s="69"/>
      <c r="Q1356" s="69"/>
      <c r="R1356" s="69"/>
      <c r="S1356" s="69"/>
      <c r="T1356" s="15"/>
      <c r="U1356" s="15"/>
      <c r="V1356" s="15"/>
      <c r="W1356" s="15"/>
    </row>
    <row r="1357">
      <c r="A1357" s="71"/>
      <c r="B1357" s="71"/>
      <c r="C1357" s="72"/>
      <c r="D1357" s="72"/>
      <c r="E1357" s="71"/>
      <c r="F1357" s="71"/>
      <c r="G1357" s="71"/>
      <c r="H1357" s="71"/>
      <c r="I1357" s="71"/>
      <c r="J1357" s="71"/>
      <c r="K1357" s="71"/>
      <c r="L1357" s="71"/>
      <c r="M1357" s="71"/>
      <c r="N1357" s="71"/>
      <c r="O1357" s="71"/>
      <c r="P1357" s="71"/>
      <c r="Q1357" s="71"/>
      <c r="R1357" s="71"/>
      <c r="S1357" s="71"/>
      <c r="T1357" s="15"/>
      <c r="U1357" s="15"/>
      <c r="V1357" s="15"/>
      <c r="W1357" s="15"/>
    </row>
    <row r="1358">
      <c r="A1358" s="69"/>
      <c r="B1358" s="69"/>
      <c r="C1358" s="70"/>
      <c r="D1358" s="70"/>
      <c r="E1358" s="69"/>
      <c r="F1358" s="69"/>
      <c r="G1358" s="69"/>
      <c r="H1358" s="69"/>
      <c r="I1358" s="69"/>
      <c r="J1358" s="69"/>
      <c r="K1358" s="69"/>
      <c r="L1358" s="69"/>
      <c r="M1358" s="69"/>
      <c r="N1358" s="69"/>
      <c r="O1358" s="69"/>
      <c r="P1358" s="69"/>
      <c r="Q1358" s="69"/>
      <c r="R1358" s="69"/>
      <c r="S1358" s="69"/>
      <c r="T1358" s="15"/>
      <c r="U1358" s="15"/>
      <c r="V1358" s="15"/>
      <c r="W1358" s="15"/>
    </row>
    <row r="1359">
      <c r="A1359" s="71"/>
      <c r="B1359" s="71"/>
      <c r="C1359" s="72"/>
      <c r="D1359" s="72"/>
      <c r="E1359" s="71"/>
      <c r="F1359" s="71"/>
      <c r="G1359" s="71"/>
      <c r="H1359" s="71"/>
      <c r="I1359" s="71"/>
      <c r="J1359" s="71"/>
      <c r="K1359" s="71"/>
      <c r="L1359" s="71"/>
      <c r="M1359" s="71"/>
      <c r="N1359" s="71"/>
      <c r="O1359" s="71"/>
      <c r="P1359" s="71"/>
      <c r="Q1359" s="71"/>
      <c r="R1359" s="71"/>
      <c r="S1359" s="71"/>
      <c r="T1359" s="15"/>
      <c r="U1359" s="15"/>
      <c r="V1359" s="15"/>
      <c r="W1359" s="15"/>
    </row>
    <row r="1360">
      <c r="A1360" s="69"/>
      <c r="B1360" s="69"/>
      <c r="C1360" s="70"/>
      <c r="D1360" s="70"/>
      <c r="E1360" s="69"/>
      <c r="F1360" s="69"/>
      <c r="G1360" s="69"/>
      <c r="H1360" s="69"/>
      <c r="I1360" s="69"/>
      <c r="J1360" s="69"/>
      <c r="K1360" s="69"/>
      <c r="L1360" s="69"/>
      <c r="M1360" s="69"/>
      <c r="N1360" s="69"/>
      <c r="O1360" s="69"/>
      <c r="P1360" s="69"/>
      <c r="Q1360" s="69"/>
      <c r="R1360" s="69"/>
      <c r="S1360" s="69"/>
      <c r="T1360" s="15"/>
      <c r="U1360" s="15"/>
      <c r="V1360" s="15"/>
      <c r="W1360" s="15"/>
    </row>
    <row r="1361">
      <c r="A1361" s="71"/>
      <c r="B1361" s="71"/>
      <c r="C1361" s="72"/>
      <c r="D1361" s="72"/>
      <c r="E1361" s="71"/>
      <c r="F1361" s="71"/>
      <c r="G1361" s="71"/>
      <c r="H1361" s="71"/>
      <c r="I1361" s="71"/>
      <c r="J1361" s="71"/>
      <c r="K1361" s="71"/>
      <c r="L1361" s="71"/>
      <c r="M1361" s="71"/>
      <c r="N1361" s="71"/>
      <c r="O1361" s="71"/>
      <c r="P1361" s="71"/>
      <c r="Q1361" s="71"/>
      <c r="R1361" s="71"/>
      <c r="S1361" s="71"/>
      <c r="T1361" s="15"/>
      <c r="U1361" s="15"/>
      <c r="V1361" s="15"/>
      <c r="W1361" s="15"/>
    </row>
    <row r="1362">
      <c r="A1362" s="69"/>
      <c r="B1362" s="69"/>
      <c r="C1362" s="70"/>
      <c r="D1362" s="70"/>
      <c r="E1362" s="69"/>
      <c r="F1362" s="69"/>
      <c r="G1362" s="69"/>
      <c r="H1362" s="69"/>
      <c r="I1362" s="69"/>
      <c r="J1362" s="69"/>
      <c r="K1362" s="69"/>
      <c r="L1362" s="69"/>
      <c r="M1362" s="69"/>
      <c r="N1362" s="69"/>
      <c r="O1362" s="69"/>
      <c r="P1362" s="69"/>
      <c r="Q1362" s="69"/>
      <c r="R1362" s="69"/>
      <c r="S1362" s="69"/>
      <c r="T1362" s="15"/>
      <c r="U1362" s="15"/>
      <c r="V1362" s="15"/>
      <c r="W1362" s="15"/>
    </row>
    <row r="1363">
      <c r="A1363" s="71"/>
      <c r="B1363" s="71"/>
      <c r="C1363" s="72"/>
      <c r="D1363" s="72"/>
      <c r="E1363" s="71"/>
      <c r="F1363" s="71"/>
      <c r="G1363" s="71"/>
      <c r="H1363" s="71"/>
      <c r="I1363" s="71"/>
      <c r="J1363" s="71"/>
      <c r="K1363" s="71"/>
      <c r="L1363" s="71"/>
      <c r="M1363" s="71"/>
      <c r="N1363" s="71"/>
      <c r="O1363" s="71"/>
      <c r="P1363" s="71"/>
      <c r="Q1363" s="71"/>
      <c r="R1363" s="71"/>
      <c r="S1363" s="71"/>
      <c r="T1363" s="15"/>
      <c r="U1363" s="15"/>
      <c r="V1363" s="15"/>
      <c r="W1363" s="15"/>
    </row>
    <row r="1364">
      <c r="A1364" s="69"/>
      <c r="B1364" s="69"/>
      <c r="C1364" s="70"/>
      <c r="D1364" s="70"/>
      <c r="E1364" s="69"/>
      <c r="F1364" s="69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69"/>
      <c r="T1364" s="15"/>
      <c r="U1364" s="15"/>
      <c r="V1364" s="15"/>
      <c r="W1364" s="15"/>
    </row>
    <row r="1365">
      <c r="A1365" s="71"/>
      <c r="B1365" s="71"/>
      <c r="C1365" s="72"/>
      <c r="D1365" s="72"/>
      <c r="E1365" s="71"/>
      <c r="F1365" s="71"/>
      <c r="G1365" s="71"/>
      <c r="H1365" s="71"/>
      <c r="I1365" s="71"/>
      <c r="J1365" s="71"/>
      <c r="K1365" s="71"/>
      <c r="L1365" s="71"/>
      <c r="M1365" s="71"/>
      <c r="N1365" s="71"/>
      <c r="O1365" s="71"/>
      <c r="P1365" s="71"/>
      <c r="Q1365" s="71"/>
      <c r="R1365" s="71"/>
      <c r="S1365" s="71"/>
      <c r="T1365" s="15"/>
      <c r="U1365" s="15"/>
      <c r="V1365" s="15"/>
      <c r="W1365" s="15"/>
    </row>
    <row r="1366">
      <c r="A1366" s="69"/>
      <c r="B1366" s="69"/>
      <c r="C1366" s="70"/>
      <c r="D1366" s="70"/>
      <c r="E1366" s="69"/>
      <c r="F1366" s="69"/>
      <c r="G1366" s="69"/>
      <c r="H1366" s="69"/>
      <c r="I1366" s="69"/>
      <c r="J1366" s="69"/>
      <c r="K1366" s="69"/>
      <c r="L1366" s="69"/>
      <c r="M1366" s="69"/>
      <c r="N1366" s="69"/>
      <c r="O1366" s="69"/>
      <c r="P1366" s="69"/>
      <c r="Q1366" s="69"/>
      <c r="R1366" s="69"/>
      <c r="S1366" s="69"/>
      <c r="T1366" s="15"/>
      <c r="U1366" s="15"/>
      <c r="V1366" s="15"/>
      <c r="W1366" s="15"/>
    </row>
    <row r="1367">
      <c r="A1367" s="71"/>
      <c r="B1367" s="71"/>
      <c r="C1367" s="72"/>
      <c r="D1367" s="72"/>
      <c r="E1367" s="71"/>
      <c r="F1367" s="71"/>
      <c r="G1367" s="71"/>
      <c r="H1367" s="71"/>
      <c r="I1367" s="71"/>
      <c r="J1367" s="71"/>
      <c r="K1367" s="71"/>
      <c r="L1367" s="71"/>
      <c r="M1367" s="71"/>
      <c r="N1367" s="71"/>
      <c r="O1367" s="71"/>
      <c r="P1367" s="71"/>
      <c r="Q1367" s="71"/>
      <c r="R1367" s="71"/>
      <c r="S1367" s="71"/>
      <c r="T1367" s="15"/>
      <c r="U1367" s="15"/>
      <c r="V1367" s="15"/>
      <c r="W1367" s="15"/>
    </row>
    <row r="1368">
      <c r="A1368" s="69"/>
      <c r="B1368" s="69"/>
      <c r="C1368" s="70"/>
      <c r="D1368" s="70"/>
      <c r="E1368" s="69"/>
      <c r="F1368" s="69"/>
      <c r="G1368" s="69"/>
      <c r="H1368" s="69"/>
      <c r="I1368" s="69"/>
      <c r="J1368" s="69"/>
      <c r="K1368" s="69"/>
      <c r="L1368" s="69"/>
      <c r="M1368" s="69"/>
      <c r="N1368" s="69"/>
      <c r="O1368" s="69"/>
      <c r="P1368" s="69"/>
      <c r="Q1368" s="69"/>
      <c r="R1368" s="69"/>
      <c r="S1368" s="69"/>
      <c r="T1368" s="15"/>
      <c r="U1368" s="15"/>
      <c r="V1368" s="15"/>
      <c r="W1368" s="15"/>
    </row>
    <row r="1369">
      <c r="A1369" s="71"/>
      <c r="B1369" s="71"/>
      <c r="C1369" s="72"/>
      <c r="D1369" s="72"/>
      <c r="E1369" s="71"/>
      <c r="F1369" s="71"/>
      <c r="G1369" s="71"/>
      <c r="H1369" s="71"/>
      <c r="I1369" s="71"/>
      <c r="J1369" s="71"/>
      <c r="K1369" s="71"/>
      <c r="L1369" s="71"/>
      <c r="M1369" s="71"/>
      <c r="N1369" s="71"/>
      <c r="O1369" s="71"/>
      <c r="P1369" s="71"/>
      <c r="Q1369" s="71"/>
      <c r="R1369" s="71"/>
      <c r="S1369" s="71"/>
      <c r="T1369" s="15"/>
      <c r="U1369" s="15"/>
      <c r="V1369" s="15"/>
      <c r="W1369" s="15"/>
    </row>
    <row r="1370">
      <c r="A1370" s="69"/>
      <c r="B1370" s="69"/>
      <c r="C1370" s="70"/>
      <c r="D1370" s="70"/>
      <c r="E1370" s="69"/>
      <c r="F1370" s="69"/>
      <c r="G1370" s="69"/>
      <c r="H1370" s="69"/>
      <c r="I1370" s="69"/>
      <c r="J1370" s="69"/>
      <c r="K1370" s="69"/>
      <c r="L1370" s="69"/>
      <c r="M1370" s="69"/>
      <c r="N1370" s="69"/>
      <c r="O1370" s="69"/>
      <c r="P1370" s="69"/>
      <c r="Q1370" s="69"/>
      <c r="R1370" s="69"/>
      <c r="S1370" s="69"/>
      <c r="T1370" s="15"/>
      <c r="U1370" s="15"/>
      <c r="V1370" s="15"/>
      <c r="W1370" s="15"/>
    </row>
    <row r="1371">
      <c r="A1371" s="71"/>
      <c r="B1371" s="71"/>
      <c r="C1371" s="72"/>
      <c r="D1371" s="72"/>
      <c r="E1371" s="71"/>
      <c r="F1371" s="71"/>
      <c r="G1371" s="71"/>
      <c r="H1371" s="71"/>
      <c r="I1371" s="71"/>
      <c r="J1371" s="71"/>
      <c r="K1371" s="71"/>
      <c r="L1371" s="71"/>
      <c r="M1371" s="71"/>
      <c r="N1371" s="71"/>
      <c r="O1371" s="71"/>
      <c r="P1371" s="71"/>
      <c r="Q1371" s="71"/>
      <c r="R1371" s="71"/>
      <c r="S1371" s="71"/>
      <c r="T1371" s="15"/>
      <c r="U1371" s="15"/>
      <c r="V1371" s="15"/>
      <c r="W1371" s="15"/>
    </row>
    <row r="1372">
      <c r="A1372" s="69"/>
      <c r="B1372" s="69"/>
      <c r="C1372" s="70"/>
      <c r="D1372" s="70"/>
      <c r="E1372" s="69"/>
      <c r="F1372" s="69"/>
      <c r="G1372" s="69"/>
      <c r="H1372" s="69"/>
      <c r="I1372" s="69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15"/>
      <c r="U1372" s="15"/>
      <c r="V1372" s="15"/>
      <c r="W1372" s="15"/>
    </row>
    <row r="1373">
      <c r="A1373" s="71"/>
      <c r="B1373" s="71"/>
      <c r="C1373" s="72"/>
      <c r="D1373" s="72"/>
      <c r="E1373" s="71"/>
      <c r="F1373" s="71"/>
      <c r="G1373" s="71"/>
      <c r="H1373" s="71"/>
      <c r="I1373" s="71"/>
      <c r="J1373" s="71"/>
      <c r="K1373" s="71"/>
      <c r="L1373" s="71"/>
      <c r="M1373" s="71"/>
      <c r="N1373" s="71"/>
      <c r="O1373" s="71"/>
      <c r="P1373" s="71"/>
      <c r="Q1373" s="71"/>
      <c r="R1373" s="71"/>
      <c r="S1373" s="71"/>
      <c r="T1373" s="15"/>
      <c r="U1373" s="15"/>
      <c r="V1373" s="15"/>
      <c r="W1373" s="15"/>
    </row>
    <row r="1374">
      <c r="A1374" s="69"/>
      <c r="B1374" s="69"/>
      <c r="C1374" s="70"/>
      <c r="D1374" s="70"/>
      <c r="E1374" s="69"/>
      <c r="F1374" s="69"/>
      <c r="G1374" s="69"/>
      <c r="H1374" s="69"/>
      <c r="I1374" s="69"/>
      <c r="J1374" s="69"/>
      <c r="K1374" s="69"/>
      <c r="L1374" s="69"/>
      <c r="M1374" s="69"/>
      <c r="N1374" s="69"/>
      <c r="O1374" s="69"/>
      <c r="P1374" s="69"/>
      <c r="Q1374" s="69"/>
      <c r="R1374" s="69"/>
      <c r="S1374" s="69"/>
      <c r="T1374" s="15"/>
      <c r="U1374" s="15"/>
      <c r="V1374" s="15"/>
      <c r="W1374" s="15"/>
    </row>
    <row r="1375">
      <c r="A1375" s="71"/>
      <c r="B1375" s="71"/>
      <c r="C1375" s="72"/>
      <c r="D1375" s="72"/>
      <c r="E1375" s="71"/>
      <c r="F1375" s="71"/>
      <c r="G1375" s="71"/>
      <c r="H1375" s="71"/>
      <c r="I1375" s="71"/>
      <c r="J1375" s="71"/>
      <c r="K1375" s="71"/>
      <c r="L1375" s="71"/>
      <c r="M1375" s="71"/>
      <c r="N1375" s="71"/>
      <c r="O1375" s="71"/>
      <c r="P1375" s="71"/>
      <c r="Q1375" s="71"/>
      <c r="R1375" s="71"/>
      <c r="S1375" s="71"/>
      <c r="T1375" s="15"/>
      <c r="U1375" s="15"/>
      <c r="V1375" s="15"/>
      <c r="W1375" s="15"/>
    </row>
    <row r="1376">
      <c r="A1376" s="69"/>
      <c r="B1376" s="69"/>
      <c r="C1376" s="70"/>
      <c r="D1376" s="70"/>
      <c r="E1376" s="69"/>
      <c r="F1376" s="69"/>
      <c r="G1376" s="69"/>
      <c r="H1376" s="69"/>
      <c r="I1376" s="69"/>
      <c r="J1376" s="69"/>
      <c r="K1376" s="69"/>
      <c r="L1376" s="69"/>
      <c r="M1376" s="69"/>
      <c r="N1376" s="69"/>
      <c r="O1376" s="69"/>
      <c r="P1376" s="69"/>
      <c r="Q1376" s="69"/>
      <c r="R1376" s="69"/>
      <c r="S1376" s="69"/>
      <c r="T1376" s="15"/>
      <c r="U1376" s="15"/>
      <c r="V1376" s="15"/>
      <c r="W1376" s="15"/>
    </row>
    <row r="1377">
      <c r="A1377" s="71"/>
      <c r="B1377" s="71"/>
      <c r="C1377" s="72"/>
      <c r="D1377" s="72"/>
      <c r="E1377" s="71"/>
      <c r="F1377" s="71"/>
      <c r="G1377" s="71"/>
      <c r="H1377" s="71"/>
      <c r="I1377" s="71"/>
      <c r="J1377" s="71"/>
      <c r="K1377" s="71"/>
      <c r="L1377" s="71"/>
      <c r="M1377" s="71"/>
      <c r="N1377" s="71"/>
      <c r="O1377" s="71"/>
      <c r="P1377" s="71"/>
      <c r="Q1377" s="71"/>
      <c r="R1377" s="71"/>
      <c r="S1377" s="71"/>
      <c r="T1377" s="15"/>
      <c r="U1377" s="15"/>
      <c r="V1377" s="15"/>
      <c r="W1377" s="15"/>
    </row>
    <row r="1378">
      <c r="A1378" s="69"/>
      <c r="B1378" s="69"/>
      <c r="C1378" s="70"/>
      <c r="D1378" s="70"/>
      <c r="E1378" s="69"/>
      <c r="F1378" s="69"/>
      <c r="G1378" s="69"/>
      <c r="H1378" s="69"/>
      <c r="I1378" s="69"/>
      <c r="J1378" s="69"/>
      <c r="K1378" s="69"/>
      <c r="L1378" s="69"/>
      <c r="M1378" s="69"/>
      <c r="N1378" s="69"/>
      <c r="O1378" s="69"/>
      <c r="P1378" s="69"/>
      <c r="Q1378" s="69"/>
      <c r="R1378" s="69"/>
      <c r="S1378" s="69"/>
      <c r="T1378" s="15"/>
      <c r="U1378" s="15"/>
      <c r="V1378" s="15"/>
      <c r="W1378" s="15"/>
    </row>
    <row r="1379">
      <c r="A1379" s="71"/>
      <c r="B1379" s="71"/>
      <c r="C1379" s="72"/>
      <c r="D1379" s="72"/>
      <c r="E1379" s="71"/>
      <c r="F1379" s="71"/>
      <c r="G1379" s="71"/>
      <c r="H1379" s="71"/>
      <c r="I1379" s="71"/>
      <c r="J1379" s="71"/>
      <c r="K1379" s="71"/>
      <c r="L1379" s="71"/>
      <c r="M1379" s="71"/>
      <c r="N1379" s="71"/>
      <c r="O1379" s="71"/>
      <c r="P1379" s="71"/>
      <c r="Q1379" s="71"/>
      <c r="R1379" s="71"/>
      <c r="S1379" s="71"/>
      <c r="T1379" s="15"/>
      <c r="U1379" s="15"/>
      <c r="V1379" s="15"/>
      <c r="W1379" s="15"/>
    </row>
    <row r="1380">
      <c r="A1380" s="69"/>
      <c r="B1380" s="69"/>
      <c r="C1380" s="70"/>
      <c r="D1380" s="70"/>
      <c r="E1380" s="69"/>
      <c r="F1380" s="69"/>
      <c r="G1380" s="69"/>
      <c r="H1380" s="69"/>
      <c r="I1380" s="69"/>
      <c r="J1380" s="69"/>
      <c r="K1380" s="69"/>
      <c r="L1380" s="69"/>
      <c r="M1380" s="69"/>
      <c r="N1380" s="69"/>
      <c r="O1380" s="69"/>
      <c r="P1380" s="69"/>
      <c r="Q1380" s="69"/>
      <c r="R1380" s="69"/>
      <c r="S1380" s="69"/>
      <c r="T1380" s="15"/>
      <c r="U1380" s="15"/>
      <c r="V1380" s="15"/>
      <c r="W1380" s="15"/>
    </row>
    <row r="1381">
      <c r="A1381" s="71"/>
      <c r="B1381" s="71"/>
      <c r="C1381" s="72"/>
      <c r="D1381" s="72"/>
      <c r="E1381" s="71"/>
      <c r="F1381" s="71"/>
      <c r="G1381" s="71"/>
      <c r="H1381" s="71"/>
      <c r="I1381" s="71"/>
      <c r="J1381" s="71"/>
      <c r="K1381" s="71"/>
      <c r="L1381" s="71"/>
      <c r="M1381" s="71"/>
      <c r="N1381" s="71"/>
      <c r="O1381" s="71"/>
      <c r="P1381" s="71"/>
      <c r="Q1381" s="71"/>
      <c r="R1381" s="71"/>
      <c r="S1381" s="71"/>
      <c r="T1381" s="15"/>
      <c r="U1381" s="15"/>
      <c r="V1381" s="15"/>
      <c r="W1381" s="15"/>
    </row>
    <row r="1382">
      <c r="A1382" s="69"/>
      <c r="B1382" s="69"/>
      <c r="C1382" s="70"/>
      <c r="D1382" s="70"/>
      <c r="E1382" s="69"/>
      <c r="F1382" s="69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69"/>
      <c r="T1382" s="15"/>
      <c r="U1382" s="15"/>
      <c r="V1382" s="15"/>
      <c r="W1382" s="15"/>
    </row>
    <row r="1383">
      <c r="A1383" s="71"/>
      <c r="B1383" s="71"/>
      <c r="C1383" s="72"/>
      <c r="D1383" s="72"/>
      <c r="E1383" s="71"/>
      <c r="F1383" s="71"/>
      <c r="G1383" s="71"/>
      <c r="H1383" s="71"/>
      <c r="I1383" s="71"/>
      <c r="J1383" s="71"/>
      <c r="K1383" s="71"/>
      <c r="L1383" s="71"/>
      <c r="M1383" s="71"/>
      <c r="N1383" s="71"/>
      <c r="O1383" s="71"/>
      <c r="P1383" s="71"/>
      <c r="Q1383" s="71"/>
      <c r="R1383" s="71"/>
      <c r="S1383" s="71"/>
      <c r="T1383" s="15"/>
      <c r="U1383" s="15"/>
      <c r="V1383" s="15"/>
      <c r="W1383" s="15"/>
    </row>
    <row r="1384">
      <c r="A1384" s="69"/>
      <c r="B1384" s="69"/>
      <c r="C1384" s="70"/>
      <c r="D1384" s="70"/>
      <c r="E1384" s="69"/>
      <c r="F1384" s="69"/>
      <c r="G1384" s="69"/>
      <c r="H1384" s="69"/>
      <c r="I1384" s="69"/>
      <c r="J1384" s="69"/>
      <c r="K1384" s="69"/>
      <c r="L1384" s="69"/>
      <c r="M1384" s="69"/>
      <c r="N1384" s="69"/>
      <c r="O1384" s="69"/>
      <c r="P1384" s="69"/>
      <c r="Q1384" s="69"/>
      <c r="R1384" s="69"/>
      <c r="S1384" s="69"/>
      <c r="T1384" s="15"/>
      <c r="U1384" s="15"/>
      <c r="V1384" s="15"/>
      <c r="W1384" s="15"/>
    </row>
    <row r="1385">
      <c r="A1385" s="71"/>
      <c r="B1385" s="71"/>
      <c r="C1385" s="72"/>
      <c r="D1385" s="72"/>
      <c r="E1385" s="71"/>
      <c r="F1385" s="71"/>
      <c r="G1385" s="71"/>
      <c r="H1385" s="71"/>
      <c r="I1385" s="71"/>
      <c r="J1385" s="71"/>
      <c r="K1385" s="71"/>
      <c r="L1385" s="71"/>
      <c r="M1385" s="71"/>
      <c r="N1385" s="71"/>
      <c r="O1385" s="71"/>
      <c r="P1385" s="71"/>
      <c r="Q1385" s="71"/>
      <c r="R1385" s="71"/>
      <c r="S1385" s="71"/>
      <c r="T1385" s="15"/>
      <c r="U1385" s="15"/>
      <c r="V1385" s="15"/>
      <c r="W1385" s="15"/>
    </row>
    <row r="1386">
      <c r="A1386" s="69"/>
      <c r="B1386" s="69"/>
      <c r="C1386" s="70"/>
      <c r="D1386" s="70"/>
      <c r="E1386" s="69"/>
      <c r="F1386" s="69"/>
      <c r="G1386" s="69"/>
      <c r="H1386" s="69"/>
      <c r="I1386" s="69"/>
      <c r="J1386" s="69"/>
      <c r="K1386" s="69"/>
      <c r="L1386" s="69"/>
      <c r="M1386" s="69"/>
      <c r="N1386" s="69"/>
      <c r="O1386" s="69"/>
      <c r="P1386" s="69"/>
      <c r="Q1386" s="69"/>
      <c r="R1386" s="69"/>
      <c r="S1386" s="69"/>
      <c r="T1386" s="15"/>
      <c r="U1386" s="15"/>
      <c r="V1386" s="15"/>
      <c r="W1386" s="15"/>
    </row>
    <row r="1387">
      <c r="A1387" s="71"/>
      <c r="B1387" s="71"/>
      <c r="C1387" s="72"/>
      <c r="D1387" s="72"/>
      <c r="E1387" s="71"/>
      <c r="F1387" s="71"/>
      <c r="G1387" s="71"/>
      <c r="H1387" s="71"/>
      <c r="I1387" s="71"/>
      <c r="J1387" s="71"/>
      <c r="K1387" s="71"/>
      <c r="L1387" s="71"/>
      <c r="M1387" s="71"/>
      <c r="N1387" s="71"/>
      <c r="O1387" s="71"/>
      <c r="P1387" s="71"/>
      <c r="Q1387" s="71"/>
      <c r="R1387" s="71"/>
      <c r="S1387" s="71"/>
      <c r="T1387" s="15"/>
      <c r="U1387" s="15"/>
      <c r="V1387" s="15"/>
      <c r="W1387" s="15"/>
    </row>
    <row r="1388">
      <c r="A1388" s="69"/>
      <c r="B1388" s="69"/>
      <c r="C1388" s="70"/>
      <c r="D1388" s="70"/>
      <c r="E1388" s="69"/>
      <c r="F1388" s="69"/>
      <c r="G1388" s="69"/>
      <c r="H1388" s="69"/>
      <c r="I1388" s="69"/>
      <c r="J1388" s="69"/>
      <c r="K1388" s="69"/>
      <c r="L1388" s="69"/>
      <c r="M1388" s="69"/>
      <c r="N1388" s="69"/>
      <c r="O1388" s="69"/>
      <c r="P1388" s="69"/>
      <c r="Q1388" s="69"/>
      <c r="R1388" s="69"/>
      <c r="S1388" s="69"/>
      <c r="T1388" s="15"/>
      <c r="U1388" s="15"/>
      <c r="V1388" s="15"/>
      <c r="W1388" s="15"/>
    </row>
    <row r="1389">
      <c r="A1389" s="71"/>
      <c r="B1389" s="71"/>
      <c r="C1389" s="72"/>
      <c r="D1389" s="72"/>
      <c r="E1389" s="71"/>
      <c r="F1389" s="71"/>
      <c r="G1389" s="71"/>
      <c r="H1389" s="71"/>
      <c r="I1389" s="71"/>
      <c r="J1389" s="71"/>
      <c r="K1389" s="71"/>
      <c r="L1389" s="71"/>
      <c r="M1389" s="71"/>
      <c r="N1389" s="71"/>
      <c r="O1389" s="71"/>
      <c r="P1389" s="71"/>
      <c r="Q1389" s="71"/>
      <c r="R1389" s="71"/>
      <c r="S1389" s="71"/>
      <c r="T1389" s="15"/>
      <c r="U1389" s="15"/>
      <c r="V1389" s="15"/>
      <c r="W1389" s="15"/>
    </row>
    <row r="1390">
      <c r="A1390" s="69"/>
      <c r="B1390" s="69"/>
      <c r="C1390" s="70"/>
      <c r="D1390" s="70"/>
      <c r="E1390" s="69"/>
      <c r="F1390" s="69"/>
      <c r="G1390" s="69"/>
      <c r="H1390" s="69"/>
      <c r="I1390" s="69"/>
      <c r="J1390" s="69"/>
      <c r="K1390" s="69"/>
      <c r="L1390" s="69"/>
      <c r="M1390" s="69"/>
      <c r="N1390" s="69"/>
      <c r="O1390" s="69"/>
      <c r="P1390" s="69"/>
      <c r="Q1390" s="69"/>
      <c r="R1390" s="69"/>
      <c r="S1390" s="69"/>
      <c r="T1390" s="15"/>
      <c r="U1390" s="15"/>
      <c r="V1390" s="15"/>
      <c r="W1390" s="15"/>
    </row>
    <row r="1391">
      <c r="A1391" s="71"/>
      <c r="B1391" s="71"/>
      <c r="C1391" s="72"/>
      <c r="D1391" s="72"/>
      <c r="E1391" s="71"/>
      <c r="F1391" s="71"/>
      <c r="G1391" s="71"/>
      <c r="H1391" s="71"/>
      <c r="I1391" s="71"/>
      <c r="J1391" s="71"/>
      <c r="K1391" s="71"/>
      <c r="L1391" s="71"/>
      <c r="M1391" s="71"/>
      <c r="N1391" s="71"/>
      <c r="O1391" s="71"/>
      <c r="P1391" s="71"/>
      <c r="Q1391" s="71"/>
      <c r="R1391" s="71"/>
      <c r="S1391" s="71"/>
      <c r="T1391" s="15"/>
      <c r="U1391" s="15"/>
      <c r="V1391" s="15"/>
      <c r="W1391" s="15"/>
    </row>
    <row r="1392">
      <c r="A1392" s="69"/>
      <c r="B1392" s="69"/>
      <c r="C1392" s="70"/>
      <c r="D1392" s="70"/>
      <c r="E1392" s="69"/>
      <c r="F1392" s="69"/>
      <c r="G1392" s="69"/>
      <c r="H1392" s="69"/>
      <c r="I1392" s="69"/>
      <c r="J1392" s="69"/>
      <c r="K1392" s="69"/>
      <c r="L1392" s="69"/>
      <c r="M1392" s="69"/>
      <c r="N1392" s="69"/>
      <c r="O1392" s="69"/>
      <c r="P1392" s="69"/>
      <c r="Q1392" s="69"/>
      <c r="R1392" s="69"/>
      <c r="S1392" s="69"/>
      <c r="T1392" s="15"/>
      <c r="U1392" s="15"/>
      <c r="V1392" s="15"/>
      <c r="W1392" s="15"/>
    </row>
    <row r="1393">
      <c r="A1393" s="71"/>
      <c r="B1393" s="71"/>
      <c r="C1393" s="72"/>
      <c r="D1393" s="72"/>
      <c r="E1393" s="71"/>
      <c r="F1393" s="71"/>
      <c r="G1393" s="71"/>
      <c r="H1393" s="71"/>
      <c r="I1393" s="71"/>
      <c r="J1393" s="71"/>
      <c r="K1393" s="71"/>
      <c r="L1393" s="71"/>
      <c r="M1393" s="71"/>
      <c r="N1393" s="71"/>
      <c r="O1393" s="71"/>
      <c r="P1393" s="71"/>
      <c r="Q1393" s="71"/>
      <c r="R1393" s="71"/>
      <c r="S1393" s="71"/>
      <c r="T1393" s="15"/>
      <c r="U1393" s="15"/>
      <c r="V1393" s="15"/>
      <c r="W1393" s="15"/>
    </row>
    <row r="1394">
      <c r="A1394" s="69"/>
      <c r="B1394" s="69"/>
      <c r="C1394" s="70"/>
      <c r="D1394" s="70"/>
      <c r="E1394" s="69"/>
      <c r="F1394" s="69"/>
      <c r="G1394" s="69"/>
      <c r="H1394" s="69"/>
      <c r="I1394" s="69"/>
      <c r="J1394" s="69"/>
      <c r="K1394" s="69"/>
      <c r="L1394" s="69"/>
      <c r="M1394" s="69"/>
      <c r="N1394" s="69"/>
      <c r="O1394" s="69"/>
      <c r="P1394" s="69"/>
      <c r="Q1394" s="69"/>
      <c r="R1394" s="69"/>
      <c r="S1394" s="69"/>
      <c r="T1394" s="15"/>
      <c r="U1394" s="15"/>
      <c r="V1394" s="15"/>
      <c r="W1394" s="15"/>
    </row>
    <row r="1395">
      <c r="A1395" s="71"/>
      <c r="B1395" s="71"/>
      <c r="C1395" s="72"/>
      <c r="D1395" s="72"/>
      <c r="E1395" s="71"/>
      <c r="F1395" s="71"/>
      <c r="G1395" s="71"/>
      <c r="H1395" s="71"/>
      <c r="I1395" s="71"/>
      <c r="J1395" s="71"/>
      <c r="K1395" s="71"/>
      <c r="L1395" s="71"/>
      <c r="M1395" s="71"/>
      <c r="N1395" s="71"/>
      <c r="O1395" s="71"/>
      <c r="P1395" s="71"/>
      <c r="Q1395" s="71"/>
      <c r="R1395" s="71"/>
      <c r="S1395" s="71"/>
      <c r="T1395" s="15"/>
      <c r="U1395" s="15"/>
      <c r="V1395" s="15"/>
      <c r="W1395" s="15"/>
    </row>
    <row r="1396">
      <c r="A1396" s="69"/>
      <c r="B1396" s="69"/>
      <c r="C1396" s="70"/>
      <c r="D1396" s="70"/>
      <c r="E1396" s="69"/>
      <c r="F1396" s="69"/>
      <c r="G1396" s="69"/>
      <c r="H1396" s="69"/>
      <c r="I1396" s="69"/>
      <c r="J1396" s="69"/>
      <c r="K1396" s="69"/>
      <c r="L1396" s="69"/>
      <c r="M1396" s="69"/>
      <c r="N1396" s="69"/>
      <c r="O1396" s="69"/>
      <c r="P1396" s="69"/>
      <c r="Q1396" s="69"/>
      <c r="R1396" s="69"/>
      <c r="S1396" s="69"/>
      <c r="T1396" s="15"/>
      <c r="U1396" s="15"/>
      <c r="V1396" s="15"/>
      <c r="W1396" s="15"/>
    </row>
    <row r="1397">
      <c r="A1397" s="71"/>
      <c r="B1397" s="71"/>
      <c r="C1397" s="72"/>
      <c r="D1397" s="72"/>
      <c r="E1397" s="71"/>
      <c r="F1397" s="71"/>
      <c r="G1397" s="71"/>
      <c r="H1397" s="71"/>
      <c r="I1397" s="71"/>
      <c r="J1397" s="71"/>
      <c r="K1397" s="71"/>
      <c r="L1397" s="71"/>
      <c r="M1397" s="71"/>
      <c r="N1397" s="71"/>
      <c r="O1397" s="71"/>
      <c r="P1397" s="71"/>
      <c r="Q1397" s="71"/>
      <c r="R1397" s="71"/>
      <c r="S1397" s="71"/>
      <c r="T1397" s="15"/>
      <c r="U1397" s="15"/>
      <c r="V1397" s="15"/>
      <c r="W1397" s="15"/>
    </row>
    <row r="1398">
      <c r="A1398" s="69"/>
      <c r="B1398" s="69"/>
      <c r="C1398" s="70"/>
      <c r="D1398" s="70"/>
      <c r="E1398" s="69"/>
      <c r="F1398" s="69"/>
      <c r="G1398" s="69"/>
      <c r="H1398" s="69"/>
      <c r="I1398" s="69"/>
      <c r="J1398" s="69"/>
      <c r="K1398" s="69"/>
      <c r="L1398" s="69"/>
      <c r="M1398" s="69"/>
      <c r="N1398" s="69"/>
      <c r="O1398" s="69"/>
      <c r="P1398" s="69"/>
      <c r="Q1398" s="69"/>
      <c r="R1398" s="69"/>
      <c r="S1398" s="69"/>
      <c r="T1398" s="15"/>
      <c r="U1398" s="15"/>
      <c r="V1398" s="15"/>
      <c r="W1398" s="15"/>
    </row>
    <row r="1399">
      <c r="A1399" s="71"/>
      <c r="B1399" s="71"/>
      <c r="C1399" s="72"/>
      <c r="D1399" s="72"/>
      <c r="E1399" s="71"/>
      <c r="F1399" s="71"/>
      <c r="G1399" s="71"/>
      <c r="H1399" s="71"/>
      <c r="I1399" s="71"/>
      <c r="J1399" s="71"/>
      <c r="K1399" s="71"/>
      <c r="L1399" s="71"/>
      <c r="M1399" s="71"/>
      <c r="N1399" s="71"/>
      <c r="O1399" s="71"/>
      <c r="P1399" s="71"/>
      <c r="Q1399" s="71"/>
      <c r="R1399" s="71"/>
      <c r="S1399" s="71"/>
      <c r="T1399" s="15"/>
      <c r="U1399" s="15"/>
      <c r="V1399" s="15"/>
      <c r="W1399" s="15"/>
    </row>
    <row r="1400">
      <c r="A1400" s="69"/>
      <c r="B1400" s="69"/>
      <c r="C1400" s="70"/>
      <c r="D1400" s="70"/>
      <c r="E1400" s="69"/>
      <c r="F1400" s="69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  <c r="T1400" s="15"/>
      <c r="U1400" s="15"/>
      <c r="V1400" s="15"/>
      <c r="W1400" s="15"/>
    </row>
    <row r="1401">
      <c r="A1401" s="71"/>
      <c r="B1401" s="71"/>
      <c r="C1401" s="72"/>
      <c r="D1401" s="72"/>
      <c r="E1401" s="71"/>
      <c r="F1401" s="71"/>
      <c r="G1401" s="71"/>
      <c r="H1401" s="71"/>
      <c r="I1401" s="71"/>
      <c r="J1401" s="71"/>
      <c r="K1401" s="71"/>
      <c r="L1401" s="71"/>
      <c r="M1401" s="71"/>
      <c r="N1401" s="71"/>
      <c r="O1401" s="71"/>
      <c r="P1401" s="71"/>
      <c r="Q1401" s="71"/>
      <c r="R1401" s="71"/>
      <c r="S1401" s="71"/>
      <c r="T1401" s="15"/>
      <c r="U1401" s="15"/>
      <c r="V1401" s="15"/>
      <c r="W1401" s="15"/>
    </row>
    <row r="1402">
      <c r="A1402" s="69"/>
      <c r="B1402" s="69"/>
      <c r="C1402" s="70"/>
      <c r="D1402" s="70"/>
      <c r="E1402" s="69"/>
      <c r="F1402" s="69"/>
      <c r="G1402" s="69"/>
      <c r="H1402" s="69"/>
      <c r="I1402" s="69"/>
      <c r="J1402" s="69"/>
      <c r="K1402" s="69"/>
      <c r="L1402" s="69"/>
      <c r="M1402" s="69"/>
      <c r="N1402" s="69"/>
      <c r="O1402" s="69"/>
      <c r="P1402" s="69"/>
      <c r="Q1402" s="69"/>
      <c r="R1402" s="69"/>
      <c r="S1402" s="69"/>
      <c r="T1402" s="15"/>
      <c r="U1402" s="15"/>
      <c r="V1402" s="15"/>
      <c r="W1402" s="15"/>
    </row>
    <row r="1403">
      <c r="A1403" s="71"/>
      <c r="B1403" s="71"/>
      <c r="C1403" s="72"/>
      <c r="D1403" s="72"/>
      <c r="E1403" s="71"/>
      <c r="F1403" s="71"/>
      <c r="G1403" s="71"/>
      <c r="H1403" s="71"/>
      <c r="I1403" s="71"/>
      <c r="J1403" s="71"/>
      <c r="K1403" s="71"/>
      <c r="L1403" s="71"/>
      <c r="M1403" s="71"/>
      <c r="N1403" s="71"/>
      <c r="O1403" s="71"/>
      <c r="P1403" s="71"/>
      <c r="Q1403" s="71"/>
      <c r="R1403" s="71"/>
      <c r="S1403" s="71"/>
      <c r="T1403" s="15"/>
      <c r="U1403" s="15"/>
      <c r="V1403" s="15"/>
      <c r="W1403" s="15"/>
    </row>
    <row r="1404">
      <c r="A1404" s="69"/>
      <c r="B1404" s="69"/>
      <c r="C1404" s="70"/>
      <c r="D1404" s="70"/>
      <c r="E1404" s="69"/>
      <c r="F1404" s="69"/>
      <c r="G1404" s="69"/>
      <c r="H1404" s="69"/>
      <c r="I1404" s="69"/>
      <c r="J1404" s="69"/>
      <c r="K1404" s="69"/>
      <c r="L1404" s="69"/>
      <c r="M1404" s="69"/>
      <c r="N1404" s="69"/>
      <c r="O1404" s="69"/>
      <c r="P1404" s="69"/>
      <c r="Q1404" s="69"/>
      <c r="R1404" s="69"/>
      <c r="S1404" s="69"/>
      <c r="T1404" s="15"/>
      <c r="U1404" s="15"/>
      <c r="V1404" s="15"/>
      <c r="W1404" s="15"/>
    </row>
    <row r="1405">
      <c r="A1405" s="71"/>
      <c r="B1405" s="71"/>
      <c r="C1405" s="72"/>
      <c r="D1405" s="72"/>
      <c r="E1405" s="71"/>
      <c r="F1405" s="71"/>
      <c r="G1405" s="71"/>
      <c r="H1405" s="71"/>
      <c r="I1405" s="71"/>
      <c r="J1405" s="71"/>
      <c r="K1405" s="71"/>
      <c r="L1405" s="71"/>
      <c r="M1405" s="71"/>
      <c r="N1405" s="71"/>
      <c r="O1405" s="71"/>
      <c r="P1405" s="71"/>
      <c r="Q1405" s="71"/>
      <c r="R1405" s="71"/>
      <c r="S1405" s="71"/>
      <c r="T1405" s="15"/>
      <c r="U1405" s="15"/>
      <c r="V1405" s="15"/>
      <c r="W1405" s="15"/>
    </row>
    <row r="1406">
      <c r="A1406" s="69"/>
      <c r="B1406" s="69"/>
      <c r="C1406" s="70"/>
      <c r="D1406" s="70"/>
      <c r="E1406" s="69"/>
      <c r="F1406" s="69"/>
      <c r="G1406" s="69"/>
      <c r="H1406" s="69"/>
      <c r="I1406" s="69"/>
      <c r="J1406" s="69"/>
      <c r="K1406" s="69"/>
      <c r="L1406" s="69"/>
      <c r="M1406" s="69"/>
      <c r="N1406" s="69"/>
      <c r="O1406" s="69"/>
      <c r="P1406" s="69"/>
      <c r="Q1406" s="69"/>
      <c r="R1406" s="69"/>
      <c r="S1406" s="69"/>
      <c r="T1406" s="15"/>
      <c r="U1406" s="15"/>
      <c r="V1406" s="15"/>
      <c r="W1406" s="15"/>
    </row>
    <row r="1407">
      <c r="A1407" s="71"/>
      <c r="B1407" s="71"/>
      <c r="C1407" s="72"/>
      <c r="D1407" s="72"/>
      <c r="E1407" s="71"/>
      <c r="F1407" s="71"/>
      <c r="G1407" s="71"/>
      <c r="H1407" s="71"/>
      <c r="I1407" s="71"/>
      <c r="J1407" s="71"/>
      <c r="K1407" s="71"/>
      <c r="L1407" s="71"/>
      <c r="M1407" s="71"/>
      <c r="N1407" s="71"/>
      <c r="O1407" s="71"/>
      <c r="P1407" s="71"/>
      <c r="Q1407" s="71"/>
      <c r="R1407" s="71"/>
      <c r="S1407" s="71"/>
      <c r="T1407" s="15"/>
      <c r="U1407" s="15"/>
      <c r="V1407" s="15"/>
      <c r="W1407" s="15"/>
    </row>
    <row r="1408">
      <c r="A1408" s="69"/>
      <c r="B1408" s="69"/>
      <c r="C1408" s="70"/>
      <c r="D1408" s="70"/>
      <c r="E1408" s="69"/>
      <c r="F1408" s="69"/>
      <c r="G1408" s="69"/>
      <c r="H1408" s="69"/>
      <c r="I1408" s="69"/>
      <c r="J1408" s="69"/>
      <c r="K1408" s="69"/>
      <c r="L1408" s="69"/>
      <c r="M1408" s="69"/>
      <c r="N1408" s="69"/>
      <c r="O1408" s="69"/>
      <c r="P1408" s="69"/>
      <c r="Q1408" s="69"/>
      <c r="R1408" s="69"/>
      <c r="S1408" s="69"/>
      <c r="T1408" s="15"/>
      <c r="U1408" s="15"/>
      <c r="V1408" s="15"/>
      <c r="W1408" s="15"/>
    </row>
    <row r="1409">
      <c r="A1409" s="71"/>
      <c r="B1409" s="71"/>
      <c r="C1409" s="72"/>
      <c r="D1409" s="72"/>
      <c r="E1409" s="71"/>
      <c r="F1409" s="71"/>
      <c r="G1409" s="71"/>
      <c r="H1409" s="71"/>
      <c r="I1409" s="71"/>
      <c r="J1409" s="71"/>
      <c r="K1409" s="71"/>
      <c r="L1409" s="71"/>
      <c r="M1409" s="71"/>
      <c r="N1409" s="71"/>
      <c r="O1409" s="71"/>
      <c r="P1409" s="71"/>
      <c r="Q1409" s="71"/>
      <c r="R1409" s="71"/>
      <c r="S1409" s="71"/>
      <c r="T1409" s="15"/>
      <c r="U1409" s="15"/>
      <c r="V1409" s="15"/>
      <c r="W1409" s="15"/>
    </row>
    <row r="1410">
      <c r="A1410" s="69"/>
      <c r="B1410" s="69"/>
      <c r="C1410" s="70"/>
      <c r="D1410" s="70"/>
      <c r="E1410" s="69"/>
      <c r="F1410" s="69"/>
      <c r="G1410" s="69"/>
      <c r="H1410" s="69"/>
      <c r="I1410" s="69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15"/>
      <c r="U1410" s="15"/>
      <c r="V1410" s="15"/>
      <c r="W1410" s="15"/>
    </row>
    <row r="1411">
      <c r="A1411" s="71"/>
      <c r="B1411" s="71"/>
      <c r="C1411" s="72"/>
      <c r="D1411" s="72"/>
      <c r="E1411" s="71"/>
      <c r="F1411" s="71"/>
      <c r="G1411" s="71"/>
      <c r="H1411" s="71"/>
      <c r="I1411" s="71"/>
      <c r="J1411" s="71"/>
      <c r="K1411" s="71"/>
      <c r="L1411" s="71"/>
      <c r="M1411" s="71"/>
      <c r="N1411" s="71"/>
      <c r="O1411" s="71"/>
      <c r="P1411" s="71"/>
      <c r="Q1411" s="71"/>
      <c r="R1411" s="71"/>
      <c r="S1411" s="71"/>
      <c r="T1411" s="15"/>
      <c r="U1411" s="15"/>
      <c r="V1411" s="15"/>
      <c r="W1411" s="15"/>
    </row>
    <row r="1412">
      <c r="A1412" s="69"/>
      <c r="B1412" s="69"/>
      <c r="C1412" s="70"/>
      <c r="D1412" s="70"/>
      <c r="E1412" s="69"/>
      <c r="F1412" s="69"/>
      <c r="G1412" s="69"/>
      <c r="H1412" s="69"/>
      <c r="I1412" s="69"/>
      <c r="J1412" s="69"/>
      <c r="K1412" s="69"/>
      <c r="L1412" s="69"/>
      <c r="M1412" s="69"/>
      <c r="N1412" s="69"/>
      <c r="O1412" s="69"/>
      <c r="P1412" s="69"/>
      <c r="Q1412" s="69"/>
      <c r="R1412" s="69"/>
      <c r="S1412" s="69"/>
      <c r="T1412" s="15"/>
      <c r="U1412" s="15"/>
      <c r="V1412" s="15"/>
      <c r="W1412" s="15"/>
    </row>
    <row r="1413">
      <c r="A1413" s="71"/>
      <c r="B1413" s="71"/>
      <c r="C1413" s="72"/>
      <c r="D1413" s="72"/>
      <c r="E1413" s="71"/>
      <c r="F1413" s="71"/>
      <c r="G1413" s="71"/>
      <c r="H1413" s="71"/>
      <c r="I1413" s="71"/>
      <c r="J1413" s="71"/>
      <c r="K1413" s="71"/>
      <c r="L1413" s="71"/>
      <c r="M1413" s="71"/>
      <c r="N1413" s="71"/>
      <c r="O1413" s="71"/>
      <c r="P1413" s="71"/>
      <c r="Q1413" s="71"/>
      <c r="R1413" s="71"/>
      <c r="S1413" s="71"/>
      <c r="T1413" s="15"/>
      <c r="U1413" s="15"/>
      <c r="V1413" s="15"/>
      <c r="W1413" s="15"/>
    </row>
    <row r="1414">
      <c r="A1414" s="69"/>
      <c r="B1414" s="69"/>
      <c r="C1414" s="70"/>
      <c r="D1414" s="70"/>
      <c r="E1414" s="69"/>
      <c r="F1414" s="69"/>
      <c r="G1414" s="69"/>
      <c r="H1414" s="69"/>
      <c r="I1414" s="69"/>
      <c r="J1414" s="69"/>
      <c r="K1414" s="69"/>
      <c r="L1414" s="69"/>
      <c r="M1414" s="69"/>
      <c r="N1414" s="69"/>
      <c r="O1414" s="69"/>
      <c r="P1414" s="69"/>
      <c r="Q1414" s="69"/>
      <c r="R1414" s="69"/>
      <c r="S1414" s="69"/>
      <c r="T1414" s="15"/>
      <c r="U1414" s="15"/>
      <c r="V1414" s="15"/>
      <c r="W1414" s="15"/>
    </row>
    <row r="1415">
      <c r="A1415" s="71"/>
      <c r="B1415" s="71"/>
      <c r="C1415" s="72"/>
      <c r="D1415" s="72"/>
      <c r="E1415" s="71"/>
      <c r="F1415" s="71"/>
      <c r="G1415" s="71"/>
      <c r="H1415" s="71"/>
      <c r="I1415" s="71"/>
      <c r="J1415" s="71"/>
      <c r="K1415" s="71"/>
      <c r="L1415" s="71"/>
      <c r="M1415" s="71"/>
      <c r="N1415" s="71"/>
      <c r="O1415" s="71"/>
      <c r="P1415" s="71"/>
      <c r="Q1415" s="71"/>
      <c r="R1415" s="71"/>
      <c r="S1415" s="71"/>
      <c r="T1415" s="15"/>
      <c r="U1415" s="15"/>
      <c r="V1415" s="15"/>
      <c r="W1415" s="15"/>
    </row>
    <row r="1416">
      <c r="A1416" s="69"/>
      <c r="B1416" s="69"/>
      <c r="C1416" s="70"/>
      <c r="D1416" s="70"/>
      <c r="E1416" s="69"/>
      <c r="F1416" s="69"/>
      <c r="G1416" s="69"/>
      <c r="H1416" s="69"/>
      <c r="I1416" s="69"/>
      <c r="J1416" s="69"/>
      <c r="K1416" s="69"/>
      <c r="L1416" s="69"/>
      <c r="M1416" s="69"/>
      <c r="N1416" s="69"/>
      <c r="O1416" s="69"/>
      <c r="P1416" s="69"/>
      <c r="Q1416" s="69"/>
      <c r="R1416" s="69"/>
      <c r="S1416" s="69"/>
      <c r="T1416" s="15"/>
      <c r="U1416" s="15"/>
      <c r="V1416" s="15"/>
      <c r="W1416" s="15"/>
    </row>
    <row r="1417">
      <c r="A1417" s="71"/>
      <c r="B1417" s="71"/>
      <c r="C1417" s="72"/>
      <c r="D1417" s="72"/>
      <c r="E1417" s="71"/>
      <c r="F1417" s="71"/>
      <c r="G1417" s="71"/>
      <c r="H1417" s="71"/>
      <c r="I1417" s="71"/>
      <c r="J1417" s="71"/>
      <c r="K1417" s="71"/>
      <c r="L1417" s="71"/>
      <c r="M1417" s="71"/>
      <c r="N1417" s="71"/>
      <c r="O1417" s="71"/>
      <c r="P1417" s="71"/>
      <c r="Q1417" s="71"/>
      <c r="R1417" s="71"/>
      <c r="S1417" s="71"/>
      <c r="T1417" s="15"/>
      <c r="U1417" s="15"/>
      <c r="V1417" s="15"/>
      <c r="W1417" s="15"/>
    </row>
    <row r="1418">
      <c r="A1418" s="69"/>
      <c r="B1418" s="69"/>
      <c r="C1418" s="70"/>
      <c r="D1418" s="70"/>
      <c r="E1418" s="69"/>
      <c r="F1418" s="69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69"/>
      <c r="T1418" s="15"/>
      <c r="U1418" s="15"/>
      <c r="V1418" s="15"/>
      <c r="W1418" s="15"/>
    </row>
    <row r="1419">
      <c r="A1419" s="71"/>
      <c r="B1419" s="71"/>
      <c r="C1419" s="72"/>
      <c r="D1419" s="72"/>
      <c r="E1419" s="71"/>
      <c r="F1419" s="71"/>
      <c r="G1419" s="71"/>
      <c r="H1419" s="71"/>
      <c r="I1419" s="71"/>
      <c r="J1419" s="71"/>
      <c r="K1419" s="71"/>
      <c r="L1419" s="71"/>
      <c r="M1419" s="71"/>
      <c r="N1419" s="71"/>
      <c r="O1419" s="71"/>
      <c r="P1419" s="71"/>
      <c r="Q1419" s="71"/>
      <c r="R1419" s="71"/>
      <c r="S1419" s="71"/>
      <c r="T1419" s="15"/>
      <c r="U1419" s="15"/>
      <c r="V1419" s="15"/>
      <c r="W1419" s="15"/>
    </row>
    <row r="1420">
      <c r="A1420" s="69"/>
      <c r="B1420" s="69"/>
      <c r="C1420" s="70"/>
      <c r="D1420" s="70"/>
      <c r="E1420" s="69"/>
      <c r="F1420" s="69"/>
      <c r="G1420" s="69"/>
      <c r="H1420" s="69"/>
      <c r="I1420" s="69"/>
      <c r="J1420" s="69"/>
      <c r="K1420" s="69"/>
      <c r="L1420" s="69"/>
      <c r="M1420" s="69"/>
      <c r="N1420" s="69"/>
      <c r="O1420" s="69"/>
      <c r="P1420" s="69"/>
      <c r="Q1420" s="69"/>
      <c r="R1420" s="69"/>
      <c r="S1420" s="69"/>
      <c r="T1420" s="15"/>
      <c r="U1420" s="15"/>
      <c r="V1420" s="15"/>
      <c r="W1420" s="15"/>
    </row>
    <row r="1421">
      <c r="A1421" s="71"/>
      <c r="B1421" s="71"/>
      <c r="C1421" s="72"/>
      <c r="D1421" s="72"/>
      <c r="E1421" s="71"/>
      <c r="F1421" s="71"/>
      <c r="G1421" s="71"/>
      <c r="H1421" s="71"/>
      <c r="I1421" s="71"/>
      <c r="J1421" s="71"/>
      <c r="K1421" s="71"/>
      <c r="L1421" s="71"/>
      <c r="M1421" s="71"/>
      <c r="N1421" s="71"/>
      <c r="O1421" s="71"/>
      <c r="P1421" s="71"/>
      <c r="Q1421" s="71"/>
      <c r="R1421" s="71"/>
      <c r="S1421" s="71"/>
      <c r="T1421" s="15"/>
      <c r="U1421" s="15"/>
      <c r="V1421" s="15"/>
      <c r="W1421" s="15"/>
    </row>
    <row r="1422">
      <c r="A1422" s="69"/>
      <c r="B1422" s="69"/>
      <c r="C1422" s="70"/>
      <c r="D1422" s="70"/>
      <c r="E1422" s="69"/>
      <c r="F1422" s="69"/>
      <c r="G1422" s="69"/>
      <c r="H1422" s="69"/>
      <c r="I1422" s="69"/>
      <c r="J1422" s="69"/>
      <c r="K1422" s="69"/>
      <c r="L1422" s="69"/>
      <c r="M1422" s="69"/>
      <c r="N1422" s="69"/>
      <c r="O1422" s="69"/>
      <c r="P1422" s="69"/>
      <c r="Q1422" s="69"/>
      <c r="R1422" s="69"/>
      <c r="S1422" s="69"/>
      <c r="T1422" s="15"/>
      <c r="U1422" s="15"/>
      <c r="V1422" s="15"/>
      <c r="W1422" s="15"/>
    </row>
    <row r="1423">
      <c r="A1423" s="71"/>
      <c r="B1423" s="71"/>
      <c r="C1423" s="72"/>
      <c r="D1423" s="72"/>
      <c r="E1423" s="71"/>
      <c r="F1423" s="71"/>
      <c r="G1423" s="71"/>
      <c r="H1423" s="71"/>
      <c r="I1423" s="71"/>
      <c r="J1423" s="71"/>
      <c r="K1423" s="71"/>
      <c r="L1423" s="71"/>
      <c r="M1423" s="71"/>
      <c r="N1423" s="71"/>
      <c r="O1423" s="71"/>
      <c r="P1423" s="71"/>
      <c r="Q1423" s="71"/>
      <c r="R1423" s="71"/>
      <c r="S1423" s="71"/>
      <c r="T1423" s="15"/>
      <c r="U1423" s="15"/>
      <c r="V1423" s="15"/>
      <c r="W1423" s="15"/>
    </row>
    <row r="1424">
      <c r="A1424" s="69"/>
      <c r="B1424" s="69"/>
      <c r="C1424" s="70"/>
      <c r="D1424" s="70"/>
      <c r="E1424" s="69"/>
      <c r="F1424" s="69"/>
      <c r="G1424" s="69"/>
      <c r="H1424" s="69"/>
      <c r="I1424" s="69"/>
      <c r="J1424" s="69"/>
      <c r="K1424" s="69"/>
      <c r="L1424" s="69"/>
      <c r="M1424" s="69"/>
      <c r="N1424" s="69"/>
      <c r="O1424" s="69"/>
      <c r="P1424" s="69"/>
      <c r="Q1424" s="69"/>
      <c r="R1424" s="69"/>
      <c r="S1424" s="69"/>
      <c r="T1424" s="15"/>
      <c r="U1424" s="15"/>
      <c r="V1424" s="15"/>
      <c r="W1424" s="15"/>
    </row>
    <row r="1425">
      <c r="A1425" s="71"/>
      <c r="B1425" s="71"/>
      <c r="C1425" s="72"/>
      <c r="D1425" s="72"/>
      <c r="E1425" s="71"/>
      <c r="F1425" s="71"/>
      <c r="G1425" s="71"/>
      <c r="H1425" s="71"/>
      <c r="I1425" s="71"/>
      <c r="J1425" s="71"/>
      <c r="K1425" s="71"/>
      <c r="L1425" s="71"/>
      <c r="M1425" s="71"/>
      <c r="N1425" s="71"/>
      <c r="O1425" s="71"/>
      <c r="P1425" s="71"/>
      <c r="Q1425" s="71"/>
      <c r="R1425" s="71"/>
      <c r="S1425" s="71"/>
      <c r="T1425" s="15"/>
      <c r="U1425" s="15"/>
      <c r="V1425" s="15"/>
      <c r="W1425" s="15"/>
    </row>
    <row r="1426">
      <c r="A1426" s="69"/>
      <c r="B1426" s="69"/>
      <c r="C1426" s="70"/>
      <c r="D1426" s="70"/>
      <c r="E1426" s="69"/>
      <c r="F1426" s="69"/>
      <c r="G1426" s="69"/>
      <c r="H1426" s="69"/>
      <c r="I1426" s="69"/>
      <c r="J1426" s="69"/>
      <c r="K1426" s="69"/>
      <c r="L1426" s="69"/>
      <c r="M1426" s="69"/>
      <c r="N1426" s="69"/>
      <c r="O1426" s="69"/>
      <c r="P1426" s="69"/>
      <c r="Q1426" s="69"/>
      <c r="R1426" s="69"/>
      <c r="S1426" s="69"/>
      <c r="T1426" s="15"/>
      <c r="U1426" s="15"/>
      <c r="V1426" s="15"/>
      <c r="W1426" s="15"/>
    </row>
    <row r="1427">
      <c r="A1427" s="71"/>
      <c r="B1427" s="71"/>
      <c r="C1427" s="72"/>
      <c r="D1427" s="72"/>
      <c r="E1427" s="71"/>
      <c r="F1427" s="71"/>
      <c r="G1427" s="71"/>
      <c r="H1427" s="71"/>
      <c r="I1427" s="71"/>
      <c r="J1427" s="71"/>
      <c r="K1427" s="71"/>
      <c r="L1427" s="71"/>
      <c r="M1427" s="71"/>
      <c r="N1427" s="71"/>
      <c r="O1427" s="71"/>
      <c r="P1427" s="71"/>
      <c r="Q1427" s="71"/>
      <c r="R1427" s="71"/>
      <c r="S1427" s="71"/>
      <c r="T1427" s="15"/>
      <c r="U1427" s="15"/>
      <c r="V1427" s="15"/>
      <c r="W1427" s="15"/>
    </row>
    <row r="1428">
      <c r="A1428" s="69"/>
      <c r="B1428" s="69"/>
      <c r="C1428" s="70"/>
      <c r="D1428" s="70"/>
      <c r="E1428" s="69"/>
      <c r="F1428" s="69"/>
      <c r="G1428" s="69"/>
      <c r="H1428" s="69"/>
      <c r="I1428" s="69"/>
      <c r="J1428" s="69"/>
      <c r="K1428" s="69"/>
      <c r="L1428" s="69"/>
      <c r="M1428" s="69"/>
      <c r="N1428" s="69"/>
      <c r="O1428" s="69"/>
      <c r="P1428" s="69"/>
      <c r="Q1428" s="69"/>
      <c r="R1428" s="69"/>
      <c r="S1428" s="69"/>
      <c r="T1428" s="15"/>
      <c r="U1428" s="15"/>
      <c r="V1428" s="15"/>
      <c r="W1428" s="15"/>
    </row>
    <row r="1429">
      <c r="A1429" s="71"/>
      <c r="B1429" s="71"/>
      <c r="C1429" s="72"/>
      <c r="D1429" s="72"/>
      <c r="E1429" s="71"/>
      <c r="F1429" s="71"/>
      <c r="G1429" s="71"/>
      <c r="H1429" s="71"/>
      <c r="I1429" s="71"/>
      <c r="J1429" s="71"/>
      <c r="K1429" s="71"/>
      <c r="L1429" s="71"/>
      <c r="M1429" s="71"/>
      <c r="N1429" s="71"/>
      <c r="O1429" s="71"/>
      <c r="P1429" s="71"/>
      <c r="Q1429" s="71"/>
      <c r="R1429" s="71"/>
      <c r="S1429" s="71"/>
      <c r="T1429" s="15"/>
      <c r="U1429" s="15"/>
      <c r="V1429" s="15"/>
      <c r="W1429" s="15"/>
    </row>
    <row r="1430">
      <c r="A1430" s="69"/>
      <c r="B1430" s="69"/>
      <c r="C1430" s="70"/>
      <c r="D1430" s="70"/>
      <c r="E1430" s="69"/>
      <c r="F1430" s="69"/>
      <c r="G1430" s="69"/>
      <c r="H1430" s="69"/>
      <c r="I1430" s="69"/>
      <c r="J1430" s="69"/>
      <c r="K1430" s="69"/>
      <c r="L1430" s="69"/>
      <c r="M1430" s="69"/>
      <c r="N1430" s="69"/>
      <c r="O1430" s="69"/>
      <c r="P1430" s="69"/>
      <c r="Q1430" s="69"/>
      <c r="R1430" s="69"/>
      <c r="S1430" s="69"/>
      <c r="T1430" s="15"/>
      <c r="U1430" s="15"/>
      <c r="V1430" s="15"/>
      <c r="W1430" s="15"/>
    </row>
    <row r="1431">
      <c r="A1431" s="71"/>
      <c r="B1431" s="71"/>
      <c r="C1431" s="72"/>
      <c r="D1431" s="72"/>
      <c r="E1431" s="71"/>
      <c r="F1431" s="71"/>
      <c r="G1431" s="71"/>
      <c r="H1431" s="71"/>
      <c r="I1431" s="71"/>
      <c r="J1431" s="71"/>
      <c r="K1431" s="71"/>
      <c r="L1431" s="71"/>
      <c r="M1431" s="71"/>
      <c r="N1431" s="71"/>
      <c r="O1431" s="71"/>
      <c r="P1431" s="71"/>
      <c r="Q1431" s="71"/>
      <c r="R1431" s="71"/>
      <c r="S1431" s="71"/>
      <c r="T1431" s="15"/>
      <c r="U1431" s="15"/>
      <c r="V1431" s="15"/>
      <c r="W1431" s="15"/>
    </row>
    <row r="1432">
      <c r="A1432" s="69"/>
      <c r="B1432" s="69"/>
      <c r="C1432" s="70"/>
      <c r="D1432" s="70"/>
      <c r="E1432" s="69"/>
      <c r="F1432" s="69"/>
      <c r="G1432" s="69"/>
      <c r="H1432" s="69"/>
      <c r="I1432" s="69"/>
      <c r="J1432" s="69"/>
      <c r="K1432" s="69"/>
      <c r="L1432" s="69"/>
      <c r="M1432" s="69"/>
      <c r="N1432" s="69"/>
      <c r="O1432" s="69"/>
      <c r="P1432" s="69"/>
      <c r="Q1432" s="69"/>
      <c r="R1432" s="69"/>
      <c r="S1432" s="69"/>
      <c r="T1432" s="15"/>
      <c r="U1432" s="15"/>
      <c r="V1432" s="15"/>
      <c r="W1432" s="15"/>
    </row>
    <row r="1433">
      <c r="A1433" s="71"/>
      <c r="B1433" s="71"/>
      <c r="C1433" s="72"/>
      <c r="D1433" s="72"/>
      <c r="E1433" s="71"/>
      <c r="F1433" s="71"/>
      <c r="G1433" s="71"/>
      <c r="H1433" s="71"/>
      <c r="I1433" s="71"/>
      <c r="J1433" s="71"/>
      <c r="K1433" s="71"/>
      <c r="L1433" s="71"/>
      <c r="M1433" s="71"/>
      <c r="N1433" s="71"/>
      <c r="O1433" s="71"/>
      <c r="P1433" s="71"/>
      <c r="Q1433" s="71"/>
      <c r="R1433" s="71"/>
      <c r="S1433" s="71"/>
      <c r="T1433" s="15"/>
      <c r="U1433" s="15"/>
      <c r="V1433" s="15"/>
      <c r="W1433" s="15"/>
    </row>
    <row r="1434">
      <c r="A1434" s="69"/>
      <c r="B1434" s="69"/>
      <c r="C1434" s="70"/>
      <c r="D1434" s="70"/>
      <c r="E1434" s="69"/>
      <c r="F1434" s="69"/>
      <c r="G1434" s="69"/>
      <c r="H1434" s="69"/>
      <c r="I1434" s="69"/>
      <c r="J1434" s="69"/>
      <c r="K1434" s="69"/>
      <c r="L1434" s="69"/>
      <c r="M1434" s="69"/>
      <c r="N1434" s="69"/>
      <c r="O1434" s="69"/>
      <c r="P1434" s="69"/>
      <c r="Q1434" s="69"/>
      <c r="R1434" s="69"/>
      <c r="S1434" s="69"/>
      <c r="T1434" s="15"/>
      <c r="U1434" s="15"/>
      <c r="V1434" s="15"/>
      <c r="W1434" s="15"/>
    </row>
    <row r="1435">
      <c r="A1435" s="71"/>
      <c r="B1435" s="71"/>
      <c r="C1435" s="72"/>
      <c r="D1435" s="72"/>
      <c r="E1435" s="71"/>
      <c r="F1435" s="71"/>
      <c r="G1435" s="71"/>
      <c r="H1435" s="71"/>
      <c r="I1435" s="71"/>
      <c r="J1435" s="71"/>
      <c r="K1435" s="71"/>
      <c r="L1435" s="71"/>
      <c r="M1435" s="71"/>
      <c r="N1435" s="71"/>
      <c r="O1435" s="71"/>
      <c r="P1435" s="71"/>
      <c r="Q1435" s="71"/>
      <c r="R1435" s="71"/>
      <c r="S1435" s="71"/>
      <c r="T1435" s="15"/>
      <c r="U1435" s="15"/>
      <c r="V1435" s="15"/>
      <c r="W1435" s="15"/>
    </row>
    <row r="1436">
      <c r="A1436" s="69"/>
      <c r="B1436" s="69"/>
      <c r="C1436" s="70"/>
      <c r="D1436" s="70"/>
      <c r="E1436" s="69"/>
      <c r="F1436" s="69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  <c r="T1436" s="15"/>
      <c r="U1436" s="15"/>
      <c r="V1436" s="15"/>
      <c r="W1436" s="15"/>
    </row>
    <row r="1437">
      <c r="A1437" s="71"/>
      <c r="B1437" s="71"/>
      <c r="C1437" s="72"/>
      <c r="D1437" s="72"/>
      <c r="E1437" s="71"/>
      <c r="F1437" s="71"/>
      <c r="G1437" s="71"/>
      <c r="H1437" s="71"/>
      <c r="I1437" s="71"/>
      <c r="J1437" s="71"/>
      <c r="K1437" s="71"/>
      <c r="L1437" s="71"/>
      <c r="M1437" s="71"/>
      <c r="N1437" s="71"/>
      <c r="O1437" s="71"/>
      <c r="P1437" s="71"/>
      <c r="Q1437" s="71"/>
      <c r="R1437" s="71"/>
      <c r="S1437" s="71"/>
      <c r="T1437" s="15"/>
      <c r="U1437" s="15"/>
      <c r="V1437" s="15"/>
      <c r="W1437" s="15"/>
    </row>
    <row r="1438">
      <c r="A1438" s="69"/>
      <c r="B1438" s="69"/>
      <c r="C1438" s="70"/>
      <c r="D1438" s="70"/>
      <c r="E1438" s="69"/>
      <c r="F1438" s="69"/>
      <c r="G1438" s="69"/>
      <c r="H1438" s="69"/>
      <c r="I1438" s="69"/>
      <c r="J1438" s="69"/>
      <c r="K1438" s="69"/>
      <c r="L1438" s="69"/>
      <c r="M1438" s="69"/>
      <c r="N1438" s="69"/>
      <c r="O1438" s="69"/>
      <c r="P1438" s="69"/>
      <c r="Q1438" s="69"/>
      <c r="R1438" s="69"/>
      <c r="S1438" s="69"/>
      <c r="T1438" s="15"/>
      <c r="U1438" s="15"/>
      <c r="V1438" s="15"/>
      <c r="W1438" s="15"/>
    </row>
    <row r="1439">
      <c r="A1439" s="71"/>
      <c r="B1439" s="71"/>
      <c r="C1439" s="72"/>
      <c r="D1439" s="72"/>
      <c r="E1439" s="71"/>
      <c r="F1439" s="71"/>
      <c r="G1439" s="71"/>
      <c r="H1439" s="71"/>
      <c r="I1439" s="71"/>
      <c r="J1439" s="71"/>
      <c r="K1439" s="71"/>
      <c r="L1439" s="71"/>
      <c r="M1439" s="71"/>
      <c r="N1439" s="71"/>
      <c r="O1439" s="71"/>
      <c r="P1439" s="71"/>
      <c r="Q1439" s="71"/>
      <c r="R1439" s="71"/>
      <c r="S1439" s="71"/>
      <c r="T1439" s="15"/>
      <c r="U1439" s="15"/>
      <c r="V1439" s="15"/>
      <c r="W1439" s="15"/>
    </row>
    <row r="1440">
      <c r="A1440" s="69"/>
      <c r="B1440" s="69"/>
      <c r="C1440" s="70"/>
      <c r="D1440" s="70"/>
      <c r="E1440" s="69"/>
      <c r="F1440" s="69"/>
      <c r="G1440" s="69"/>
      <c r="H1440" s="69"/>
      <c r="I1440" s="69"/>
      <c r="J1440" s="69"/>
      <c r="K1440" s="69"/>
      <c r="L1440" s="69"/>
      <c r="M1440" s="69"/>
      <c r="N1440" s="69"/>
      <c r="O1440" s="69"/>
      <c r="P1440" s="69"/>
      <c r="Q1440" s="69"/>
      <c r="R1440" s="69"/>
      <c r="S1440" s="69"/>
      <c r="T1440" s="15"/>
      <c r="U1440" s="15"/>
      <c r="V1440" s="15"/>
      <c r="W1440" s="15"/>
    </row>
    <row r="1441">
      <c r="A1441" s="71"/>
      <c r="B1441" s="71"/>
      <c r="C1441" s="72"/>
      <c r="D1441" s="72"/>
      <c r="E1441" s="71"/>
      <c r="F1441" s="71"/>
      <c r="G1441" s="71"/>
      <c r="H1441" s="71"/>
      <c r="I1441" s="71"/>
      <c r="J1441" s="71"/>
      <c r="K1441" s="71"/>
      <c r="L1441" s="71"/>
      <c r="M1441" s="71"/>
      <c r="N1441" s="71"/>
      <c r="O1441" s="71"/>
      <c r="P1441" s="71"/>
      <c r="Q1441" s="71"/>
      <c r="R1441" s="71"/>
      <c r="S1441" s="71"/>
      <c r="T1441" s="15"/>
      <c r="U1441" s="15"/>
      <c r="V1441" s="15"/>
      <c r="W1441" s="15"/>
    </row>
    <row r="1442">
      <c r="A1442" s="69"/>
      <c r="B1442" s="69"/>
      <c r="C1442" s="70"/>
      <c r="D1442" s="70"/>
      <c r="E1442" s="69"/>
      <c r="F1442" s="69"/>
      <c r="G1442" s="69"/>
      <c r="H1442" s="69"/>
      <c r="I1442" s="69"/>
      <c r="J1442" s="69"/>
      <c r="K1442" s="69"/>
      <c r="L1442" s="69"/>
      <c r="M1442" s="69"/>
      <c r="N1442" s="69"/>
      <c r="O1442" s="69"/>
      <c r="P1442" s="69"/>
      <c r="Q1442" s="69"/>
      <c r="R1442" s="69"/>
      <c r="S1442" s="69"/>
      <c r="T1442" s="15"/>
      <c r="U1442" s="15"/>
      <c r="V1442" s="15"/>
      <c r="W1442" s="15"/>
    </row>
    <row r="1443">
      <c r="A1443" s="71"/>
      <c r="B1443" s="71"/>
      <c r="C1443" s="72"/>
      <c r="D1443" s="72"/>
      <c r="E1443" s="71"/>
      <c r="F1443" s="71"/>
      <c r="G1443" s="71"/>
      <c r="H1443" s="71"/>
      <c r="I1443" s="71"/>
      <c r="J1443" s="71"/>
      <c r="K1443" s="71"/>
      <c r="L1443" s="71"/>
      <c r="M1443" s="71"/>
      <c r="N1443" s="71"/>
      <c r="O1443" s="71"/>
      <c r="P1443" s="71"/>
      <c r="Q1443" s="71"/>
      <c r="R1443" s="71"/>
      <c r="S1443" s="71"/>
      <c r="T1443" s="15"/>
      <c r="U1443" s="15"/>
      <c r="V1443" s="15"/>
      <c r="W1443" s="15"/>
    </row>
    <row r="1444">
      <c r="A1444" s="69"/>
      <c r="B1444" s="69"/>
      <c r="C1444" s="70"/>
      <c r="D1444" s="70"/>
      <c r="E1444" s="69"/>
      <c r="F1444" s="69"/>
      <c r="G1444" s="69"/>
      <c r="H1444" s="69"/>
      <c r="I1444" s="69"/>
      <c r="J1444" s="69"/>
      <c r="K1444" s="69"/>
      <c r="L1444" s="69"/>
      <c r="M1444" s="69"/>
      <c r="N1444" s="69"/>
      <c r="O1444" s="69"/>
      <c r="P1444" s="69"/>
      <c r="Q1444" s="69"/>
      <c r="R1444" s="69"/>
      <c r="S1444" s="69"/>
      <c r="T1444" s="15"/>
      <c r="U1444" s="15"/>
      <c r="V1444" s="15"/>
      <c r="W1444" s="15"/>
    </row>
    <row r="1445">
      <c r="A1445" s="71"/>
      <c r="B1445" s="71"/>
      <c r="C1445" s="72"/>
      <c r="D1445" s="72"/>
      <c r="E1445" s="71"/>
      <c r="F1445" s="71"/>
      <c r="G1445" s="71"/>
      <c r="H1445" s="71"/>
      <c r="I1445" s="71"/>
      <c r="J1445" s="71"/>
      <c r="K1445" s="71"/>
      <c r="L1445" s="71"/>
      <c r="M1445" s="71"/>
      <c r="N1445" s="71"/>
      <c r="O1445" s="71"/>
      <c r="P1445" s="71"/>
      <c r="Q1445" s="71"/>
      <c r="R1445" s="71"/>
      <c r="S1445" s="71"/>
      <c r="T1445" s="15"/>
      <c r="U1445" s="15"/>
      <c r="V1445" s="15"/>
      <c r="W1445" s="15"/>
    </row>
    <row r="1446">
      <c r="A1446" s="69"/>
      <c r="B1446" s="69"/>
      <c r="C1446" s="70"/>
      <c r="D1446" s="70"/>
      <c r="E1446" s="69"/>
      <c r="F1446" s="69"/>
      <c r="G1446" s="69"/>
      <c r="H1446" s="69"/>
      <c r="I1446" s="69"/>
      <c r="J1446" s="69"/>
      <c r="K1446" s="69"/>
      <c r="L1446" s="69"/>
      <c r="M1446" s="69"/>
      <c r="N1446" s="69"/>
      <c r="O1446" s="69"/>
      <c r="P1446" s="69"/>
      <c r="Q1446" s="69"/>
      <c r="R1446" s="69"/>
      <c r="S1446" s="69"/>
      <c r="T1446" s="15"/>
      <c r="U1446" s="15"/>
      <c r="V1446" s="15"/>
      <c r="W1446" s="15"/>
    </row>
    <row r="1447">
      <c r="A1447" s="71"/>
      <c r="B1447" s="71"/>
      <c r="C1447" s="72"/>
      <c r="D1447" s="72"/>
      <c r="E1447" s="71"/>
      <c r="F1447" s="71"/>
      <c r="G1447" s="71"/>
      <c r="H1447" s="71"/>
      <c r="I1447" s="71"/>
      <c r="J1447" s="71"/>
      <c r="K1447" s="71"/>
      <c r="L1447" s="71"/>
      <c r="M1447" s="71"/>
      <c r="N1447" s="71"/>
      <c r="O1447" s="71"/>
      <c r="P1447" s="71"/>
      <c r="Q1447" s="71"/>
      <c r="R1447" s="71"/>
      <c r="S1447" s="71"/>
      <c r="T1447" s="15"/>
      <c r="U1447" s="15"/>
      <c r="V1447" s="15"/>
      <c r="W1447" s="15"/>
    </row>
    <row r="1448">
      <c r="A1448" s="69"/>
      <c r="B1448" s="69"/>
      <c r="C1448" s="70"/>
      <c r="D1448" s="70"/>
      <c r="E1448" s="69"/>
      <c r="F1448" s="69"/>
      <c r="G1448" s="69"/>
      <c r="H1448" s="69"/>
      <c r="I1448" s="69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15"/>
      <c r="U1448" s="15"/>
      <c r="V1448" s="15"/>
      <c r="W1448" s="15"/>
    </row>
    <row r="1449">
      <c r="A1449" s="71"/>
      <c r="B1449" s="71"/>
      <c r="C1449" s="72"/>
      <c r="D1449" s="72"/>
      <c r="E1449" s="71"/>
      <c r="F1449" s="71"/>
      <c r="G1449" s="71"/>
      <c r="H1449" s="71"/>
      <c r="I1449" s="71"/>
      <c r="J1449" s="71"/>
      <c r="K1449" s="71"/>
      <c r="L1449" s="71"/>
      <c r="M1449" s="71"/>
      <c r="N1449" s="71"/>
      <c r="O1449" s="71"/>
      <c r="P1449" s="71"/>
      <c r="Q1449" s="71"/>
      <c r="R1449" s="71"/>
      <c r="S1449" s="71"/>
      <c r="T1449" s="15"/>
      <c r="U1449" s="15"/>
      <c r="V1449" s="15"/>
      <c r="W1449" s="15"/>
    </row>
    <row r="1450">
      <c r="A1450" s="69"/>
      <c r="B1450" s="69"/>
      <c r="C1450" s="70"/>
      <c r="D1450" s="70"/>
      <c r="E1450" s="69"/>
      <c r="F1450" s="69"/>
      <c r="G1450" s="69"/>
      <c r="H1450" s="69"/>
      <c r="I1450" s="69"/>
      <c r="J1450" s="69"/>
      <c r="K1450" s="69"/>
      <c r="L1450" s="69"/>
      <c r="M1450" s="69"/>
      <c r="N1450" s="69"/>
      <c r="O1450" s="69"/>
      <c r="P1450" s="69"/>
      <c r="Q1450" s="69"/>
      <c r="R1450" s="69"/>
      <c r="S1450" s="69"/>
      <c r="T1450" s="15"/>
      <c r="U1450" s="15"/>
      <c r="V1450" s="15"/>
      <c r="W1450" s="15"/>
    </row>
    <row r="1451">
      <c r="A1451" s="71"/>
      <c r="B1451" s="71"/>
      <c r="C1451" s="72"/>
      <c r="D1451" s="72"/>
      <c r="E1451" s="71"/>
      <c r="F1451" s="71"/>
      <c r="G1451" s="71"/>
      <c r="H1451" s="71"/>
      <c r="I1451" s="71"/>
      <c r="J1451" s="71"/>
      <c r="K1451" s="71"/>
      <c r="L1451" s="71"/>
      <c r="M1451" s="71"/>
      <c r="N1451" s="71"/>
      <c r="O1451" s="71"/>
      <c r="P1451" s="71"/>
      <c r="Q1451" s="71"/>
      <c r="R1451" s="71"/>
      <c r="S1451" s="71"/>
      <c r="T1451" s="15"/>
      <c r="U1451" s="15"/>
      <c r="V1451" s="15"/>
      <c r="W1451" s="15"/>
    </row>
    <row r="1452">
      <c r="A1452" s="69"/>
      <c r="B1452" s="69"/>
      <c r="C1452" s="70"/>
      <c r="D1452" s="70"/>
      <c r="E1452" s="69"/>
      <c r="F1452" s="69"/>
      <c r="G1452" s="69"/>
      <c r="H1452" s="69"/>
      <c r="I1452" s="69"/>
      <c r="J1452" s="69"/>
      <c r="K1452" s="69"/>
      <c r="L1452" s="69"/>
      <c r="M1452" s="69"/>
      <c r="N1452" s="69"/>
      <c r="O1452" s="69"/>
      <c r="P1452" s="69"/>
      <c r="Q1452" s="69"/>
      <c r="R1452" s="69"/>
      <c r="S1452" s="69"/>
      <c r="T1452" s="15"/>
      <c r="U1452" s="15"/>
      <c r="V1452" s="15"/>
      <c r="W1452" s="15"/>
    </row>
    <row r="1453">
      <c r="A1453" s="71"/>
      <c r="B1453" s="71"/>
      <c r="C1453" s="72"/>
      <c r="D1453" s="72"/>
      <c r="E1453" s="71"/>
      <c r="F1453" s="71"/>
      <c r="G1453" s="71"/>
      <c r="H1453" s="71"/>
      <c r="I1453" s="71"/>
      <c r="J1453" s="71"/>
      <c r="K1453" s="71"/>
      <c r="L1453" s="71"/>
      <c r="M1453" s="71"/>
      <c r="N1453" s="71"/>
      <c r="O1453" s="71"/>
      <c r="P1453" s="71"/>
      <c r="Q1453" s="71"/>
      <c r="R1453" s="71"/>
      <c r="S1453" s="71"/>
      <c r="T1453" s="15"/>
      <c r="U1453" s="15"/>
      <c r="V1453" s="15"/>
      <c r="W1453" s="15"/>
    </row>
    <row r="1454">
      <c r="A1454" s="69"/>
      <c r="B1454" s="69"/>
      <c r="C1454" s="70"/>
      <c r="D1454" s="70"/>
      <c r="E1454" s="69"/>
      <c r="F1454" s="69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  <c r="T1454" s="15"/>
      <c r="U1454" s="15"/>
      <c r="V1454" s="15"/>
      <c r="W1454" s="15"/>
    </row>
    <row r="1455">
      <c r="A1455" s="71"/>
      <c r="B1455" s="71"/>
      <c r="C1455" s="72"/>
      <c r="D1455" s="72"/>
      <c r="E1455" s="71"/>
      <c r="F1455" s="71"/>
      <c r="G1455" s="71"/>
      <c r="H1455" s="71"/>
      <c r="I1455" s="71"/>
      <c r="J1455" s="71"/>
      <c r="K1455" s="71"/>
      <c r="L1455" s="71"/>
      <c r="M1455" s="71"/>
      <c r="N1455" s="71"/>
      <c r="O1455" s="71"/>
      <c r="P1455" s="71"/>
      <c r="Q1455" s="71"/>
      <c r="R1455" s="71"/>
      <c r="S1455" s="71"/>
      <c r="T1455" s="15"/>
      <c r="U1455" s="15"/>
      <c r="V1455" s="15"/>
      <c r="W1455" s="15"/>
    </row>
    <row r="1456">
      <c r="A1456" s="69"/>
      <c r="B1456" s="69"/>
      <c r="C1456" s="70"/>
      <c r="D1456" s="70"/>
      <c r="E1456" s="69"/>
      <c r="F1456" s="69"/>
      <c r="G1456" s="69"/>
      <c r="H1456" s="69"/>
      <c r="I1456" s="69"/>
      <c r="J1456" s="69"/>
      <c r="K1456" s="69"/>
      <c r="L1456" s="69"/>
      <c r="M1456" s="69"/>
      <c r="N1456" s="69"/>
      <c r="O1456" s="69"/>
      <c r="P1456" s="69"/>
      <c r="Q1456" s="69"/>
      <c r="R1456" s="69"/>
      <c r="S1456" s="69"/>
      <c r="T1456" s="15"/>
      <c r="U1456" s="15"/>
      <c r="V1456" s="15"/>
      <c r="W1456" s="15"/>
    </row>
    <row r="1457">
      <c r="A1457" s="71"/>
      <c r="B1457" s="71"/>
      <c r="C1457" s="72"/>
      <c r="D1457" s="72"/>
      <c r="E1457" s="71"/>
      <c r="F1457" s="71"/>
      <c r="G1457" s="71"/>
      <c r="H1457" s="71"/>
      <c r="I1457" s="71"/>
      <c r="J1457" s="71"/>
      <c r="K1457" s="71"/>
      <c r="L1457" s="71"/>
      <c r="M1457" s="71"/>
      <c r="N1457" s="71"/>
      <c r="O1457" s="71"/>
      <c r="P1457" s="71"/>
      <c r="Q1457" s="71"/>
      <c r="R1457" s="71"/>
      <c r="S1457" s="71"/>
      <c r="T1457" s="15"/>
      <c r="U1457" s="15"/>
      <c r="V1457" s="15"/>
      <c r="W1457" s="15"/>
    </row>
    <row r="1458">
      <c r="A1458" s="69"/>
      <c r="B1458" s="69"/>
      <c r="C1458" s="70"/>
      <c r="D1458" s="70"/>
      <c r="E1458" s="69"/>
      <c r="F1458" s="69"/>
      <c r="G1458" s="69"/>
      <c r="H1458" s="69"/>
      <c r="I1458" s="69"/>
      <c r="J1458" s="69"/>
      <c r="K1458" s="69"/>
      <c r="L1458" s="69"/>
      <c r="M1458" s="69"/>
      <c r="N1458" s="69"/>
      <c r="O1458" s="69"/>
      <c r="P1458" s="69"/>
      <c r="Q1458" s="69"/>
      <c r="R1458" s="69"/>
      <c r="S1458" s="69"/>
      <c r="T1458" s="15"/>
      <c r="U1458" s="15"/>
      <c r="V1458" s="15"/>
      <c r="W1458" s="15"/>
    </row>
    <row r="1459">
      <c r="A1459" s="71"/>
      <c r="B1459" s="71"/>
      <c r="C1459" s="72"/>
      <c r="D1459" s="72"/>
      <c r="E1459" s="71"/>
      <c r="F1459" s="71"/>
      <c r="G1459" s="71"/>
      <c r="H1459" s="71"/>
      <c r="I1459" s="71"/>
      <c r="J1459" s="71"/>
      <c r="K1459" s="71"/>
      <c r="L1459" s="71"/>
      <c r="M1459" s="71"/>
      <c r="N1459" s="71"/>
      <c r="O1459" s="71"/>
      <c r="P1459" s="71"/>
      <c r="Q1459" s="71"/>
      <c r="R1459" s="71"/>
      <c r="S1459" s="71"/>
      <c r="T1459" s="15"/>
      <c r="U1459" s="15"/>
      <c r="V1459" s="15"/>
      <c r="W1459" s="15"/>
    </row>
    <row r="1460">
      <c r="A1460" s="69"/>
      <c r="B1460" s="69"/>
      <c r="C1460" s="70"/>
      <c r="D1460" s="70"/>
      <c r="E1460" s="69"/>
      <c r="F1460" s="69"/>
      <c r="G1460" s="69"/>
      <c r="H1460" s="69"/>
      <c r="I1460" s="69"/>
      <c r="J1460" s="69"/>
      <c r="K1460" s="69"/>
      <c r="L1460" s="69"/>
      <c r="M1460" s="69"/>
      <c r="N1460" s="69"/>
      <c r="O1460" s="69"/>
      <c r="P1460" s="69"/>
      <c r="Q1460" s="69"/>
      <c r="R1460" s="69"/>
      <c r="S1460" s="69"/>
      <c r="T1460" s="15"/>
      <c r="U1460" s="15"/>
      <c r="V1460" s="15"/>
      <c r="W1460" s="15"/>
    </row>
    <row r="1461">
      <c r="A1461" s="71"/>
      <c r="B1461" s="71"/>
      <c r="C1461" s="72"/>
      <c r="D1461" s="72"/>
      <c r="E1461" s="71"/>
      <c r="F1461" s="71"/>
      <c r="G1461" s="71"/>
      <c r="H1461" s="71"/>
      <c r="I1461" s="71"/>
      <c r="J1461" s="71"/>
      <c r="K1461" s="71"/>
      <c r="L1461" s="71"/>
      <c r="M1461" s="71"/>
      <c r="N1461" s="71"/>
      <c r="O1461" s="71"/>
      <c r="P1461" s="71"/>
      <c r="Q1461" s="71"/>
      <c r="R1461" s="71"/>
      <c r="S1461" s="71"/>
      <c r="T1461" s="15"/>
      <c r="U1461" s="15"/>
      <c r="V1461" s="15"/>
      <c r="W1461" s="15"/>
    </row>
    <row r="1462">
      <c r="A1462" s="69"/>
      <c r="B1462" s="69"/>
      <c r="C1462" s="70"/>
      <c r="D1462" s="70"/>
      <c r="E1462" s="69"/>
      <c r="F1462" s="69"/>
      <c r="G1462" s="69"/>
      <c r="H1462" s="69"/>
      <c r="I1462" s="69"/>
      <c r="J1462" s="69"/>
      <c r="K1462" s="69"/>
      <c r="L1462" s="69"/>
      <c r="M1462" s="69"/>
      <c r="N1462" s="69"/>
      <c r="O1462" s="69"/>
      <c r="P1462" s="69"/>
      <c r="Q1462" s="69"/>
      <c r="R1462" s="69"/>
      <c r="S1462" s="69"/>
      <c r="T1462" s="15"/>
      <c r="U1462" s="15"/>
      <c r="V1462" s="15"/>
      <c r="W1462" s="15"/>
    </row>
    <row r="1463">
      <c r="A1463" s="71"/>
      <c r="B1463" s="71"/>
      <c r="C1463" s="72"/>
      <c r="D1463" s="72"/>
      <c r="E1463" s="71"/>
      <c r="F1463" s="71"/>
      <c r="G1463" s="71"/>
      <c r="H1463" s="71"/>
      <c r="I1463" s="71"/>
      <c r="J1463" s="71"/>
      <c r="K1463" s="71"/>
      <c r="L1463" s="71"/>
      <c r="M1463" s="71"/>
      <c r="N1463" s="71"/>
      <c r="O1463" s="71"/>
      <c r="P1463" s="71"/>
      <c r="Q1463" s="71"/>
      <c r="R1463" s="71"/>
      <c r="S1463" s="71"/>
      <c r="T1463" s="15"/>
      <c r="U1463" s="15"/>
      <c r="V1463" s="15"/>
      <c r="W1463" s="15"/>
    </row>
    <row r="1464">
      <c r="A1464" s="69"/>
      <c r="B1464" s="69"/>
      <c r="C1464" s="70"/>
      <c r="D1464" s="70"/>
      <c r="E1464" s="69"/>
      <c r="F1464" s="69"/>
      <c r="G1464" s="69"/>
      <c r="H1464" s="69"/>
      <c r="I1464" s="69"/>
      <c r="J1464" s="69"/>
      <c r="K1464" s="69"/>
      <c r="L1464" s="69"/>
      <c r="M1464" s="69"/>
      <c r="N1464" s="69"/>
      <c r="O1464" s="69"/>
      <c r="P1464" s="69"/>
      <c r="Q1464" s="69"/>
      <c r="R1464" s="69"/>
      <c r="S1464" s="69"/>
      <c r="T1464" s="15"/>
      <c r="U1464" s="15"/>
      <c r="V1464" s="15"/>
      <c r="W1464" s="15"/>
    </row>
    <row r="1465">
      <c r="A1465" s="71"/>
      <c r="B1465" s="71"/>
      <c r="C1465" s="72"/>
      <c r="D1465" s="72"/>
      <c r="E1465" s="71"/>
      <c r="F1465" s="71"/>
      <c r="G1465" s="71"/>
      <c r="H1465" s="71"/>
      <c r="I1465" s="71"/>
      <c r="J1465" s="71"/>
      <c r="K1465" s="71"/>
      <c r="L1465" s="71"/>
      <c r="M1465" s="71"/>
      <c r="N1465" s="71"/>
      <c r="O1465" s="71"/>
      <c r="P1465" s="71"/>
      <c r="Q1465" s="71"/>
      <c r="R1465" s="71"/>
      <c r="S1465" s="71"/>
      <c r="T1465" s="15"/>
      <c r="U1465" s="15"/>
      <c r="V1465" s="15"/>
      <c r="W1465" s="15"/>
    </row>
    <row r="1466">
      <c r="A1466" s="69"/>
      <c r="B1466" s="69"/>
      <c r="C1466" s="70"/>
      <c r="D1466" s="70"/>
      <c r="E1466" s="69"/>
      <c r="F1466" s="69"/>
      <c r="G1466" s="69"/>
      <c r="H1466" s="69"/>
      <c r="I1466" s="69"/>
      <c r="J1466" s="69"/>
      <c r="K1466" s="69"/>
      <c r="L1466" s="69"/>
      <c r="M1466" s="69"/>
      <c r="N1466" s="69"/>
      <c r="O1466" s="69"/>
      <c r="P1466" s="69"/>
      <c r="Q1466" s="69"/>
      <c r="R1466" s="69"/>
      <c r="S1466" s="69"/>
      <c r="T1466" s="15"/>
      <c r="U1466" s="15"/>
      <c r="V1466" s="15"/>
      <c r="W1466" s="15"/>
    </row>
    <row r="1467">
      <c r="A1467" s="71"/>
      <c r="B1467" s="71"/>
      <c r="C1467" s="72"/>
      <c r="D1467" s="72"/>
      <c r="E1467" s="71"/>
      <c r="F1467" s="71"/>
      <c r="G1467" s="71"/>
      <c r="H1467" s="71"/>
      <c r="I1467" s="71"/>
      <c r="J1467" s="71"/>
      <c r="K1467" s="71"/>
      <c r="L1467" s="71"/>
      <c r="M1467" s="71"/>
      <c r="N1467" s="71"/>
      <c r="O1467" s="71"/>
      <c r="P1467" s="71"/>
      <c r="Q1467" s="71"/>
      <c r="R1467" s="71"/>
      <c r="S1467" s="71"/>
      <c r="T1467" s="15"/>
      <c r="U1467" s="15"/>
      <c r="V1467" s="15"/>
      <c r="W1467" s="15"/>
    </row>
    <row r="1468">
      <c r="A1468" s="69"/>
      <c r="B1468" s="69"/>
      <c r="C1468" s="70"/>
      <c r="D1468" s="70"/>
      <c r="E1468" s="69"/>
      <c r="F1468" s="69"/>
      <c r="G1468" s="69"/>
      <c r="H1468" s="69"/>
      <c r="I1468" s="69"/>
      <c r="J1468" s="69"/>
      <c r="K1468" s="69"/>
      <c r="L1468" s="69"/>
      <c r="M1468" s="69"/>
      <c r="N1468" s="69"/>
      <c r="O1468" s="69"/>
      <c r="P1468" s="69"/>
      <c r="Q1468" s="69"/>
      <c r="R1468" s="69"/>
      <c r="S1468" s="69"/>
      <c r="T1468" s="15"/>
      <c r="U1468" s="15"/>
      <c r="V1468" s="15"/>
      <c r="W1468" s="15"/>
    </row>
    <row r="1469">
      <c r="A1469" s="71"/>
      <c r="B1469" s="71"/>
      <c r="C1469" s="72"/>
      <c r="D1469" s="72"/>
      <c r="E1469" s="71"/>
      <c r="F1469" s="71"/>
      <c r="G1469" s="71"/>
      <c r="H1469" s="71"/>
      <c r="I1469" s="71"/>
      <c r="J1469" s="71"/>
      <c r="K1469" s="71"/>
      <c r="L1469" s="71"/>
      <c r="M1469" s="71"/>
      <c r="N1469" s="71"/>
      <c r="O1469" s="71"/>
      <c r="P1469" s="71"/>
      <c r="Q1469" s="71"/>
      <c r="R1469" s="71"/>
      <c r="S1469" s="71"/>
      <c r="T1469" s="15"/>
      <c r="U1469" s="15"/>
      <c r="V1469" s="15"/>
      <c r="W1469" s="15"/>
    </row>
    <row r="1470">
      <c r="A1470" s="69"/>
      <c r="B1470" s="69"/>
      <c r="C1470" s="70"/>
      <c r="D1470" s="70"/>
      <c r="E1470" s="69"/>
      <c r="F1470" s="69"/>
      <c r="G1470" s="69"/>
      <c r="H1470" s="69"/>
      <c r="I1470" s="69"/>
      <c r="J1470" s="69"/>
      <c r="K1470" s="69"/>
      <c r="L1470" s="69"/>
      <c r="M1470" s="69"/>
      <c r="N1470" s="69"/>
      <c r="O1470" s="69"/>
      <c r="P1470" s="69"/>
      <c r="Q1470" s="69"/>
      <c r="R1470" s="69"/>
      <c r="S1470" s="69"/>
      <c r="T1470" s="15"/>
      <c r="U1470" s="15"/>
      <c r="V1470" s="15"/>
      <c r="W1470" s="15"/>
    </row>
    <row r="1471">
      <c r="A1471" s="71"/>
      <c r="B1471" s="71"/>
      <c r="C1471" s="72"/>
      <c r="D1471" s="72"/>
      <c r="E1471" s="71"/>
      <c r="F1471" s="71"/>
      <c r="G1471" s="71"/>
      <c r="H1471" s="71"/>
      <c r="I1471" s="71"/>
      <c r="J1471" s="71"/>
      <c r="K1471" s="71"/>
      <c r="L1471" s="71"/>
      <c r="M1471" s="71"/>
      <c r="N1471" s="71"/>
      <c r="O1471" s="71"/>
      <c r="P1471" s="71"/>
      <c r="Q1471" s="71"/>
      <c r="R1471" s="71"/>
      <c r="S1471" s="71"/>
      <c r="T1471" s="15"/>
      <c r="U1471" s="15"/>
      <c r="V1471" s="15"/>
      <c r="W1471" s="15"/>
    </row>
    <row r="1472">
      <c r="A1472" s="69"/>
      <c r="B1472" s="69"/>
      <c r="C1472" s="70"/>
      <c r="D1472" s="70"/>
      <c r="E1472" s="69"/>
      <c r="F1472" s="69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69"/>
      <c r="T1472" s="15"/>
      <c r="U1472" s="15"/>
      <c r="V1472" s="15"/>
      <c r="W1472" s="15"/>
    </row>
    <row r="1473">
      <c r="A1473" s="71"/>
      <c r="B1473" s="71"/>
      <c r="C1473" s="72"/>
      <c r="D1473" s="72"/>
      <c r="E1473" s="71"/>
      <c r="F1473" s="71"/>
      <c r="G1473" s="71"/>
      <c r="H1473" s="71"/>
      <c r="I1473" s="71"/>
      <c r="J1473" s="71"/>
      <c r="K1473" s="71"/>
      <c r="L1473" s="71"/>
      <c r="M1473" s="71"/>
      <c r="N1473" s="71"/>
      <c r="O1473" s="71"/>
      <c r="P1473" s="71"/>
      <c r="Q1473" s="71"/>
      <c r="R1473" s="71"/>
      <c r="S1473" s="71"/>
      <c r="T1473" s="15"/>
      <c r="U1473" s="15"/>
      <c r="V1473" s="15"/>
      <c r="W1473" s="15"/>
    </row>
    <row r="1474">
      <c r="A1474" s="69"/>
      <c r="B1474" s="69"/>
      <c r="C1474" s="70"/>
      <c r="D1474" s="70"/>
      <c r="E1474" s="69"/>
      <c r="F1474" s="69"/>
      <c r="G1474" s="69"/>
      <c r="H1474" s="69"/>
      <c r="I1474" s="69"/>
      <c r="J1474" s="69"/>
      <c r="K1474" s="69"/>
      <c r="L1474" s="69"/>
      <c r="M1474" s="69"/>
      <c r="N1474" s="69"/>
      <c r="O1474" s="69"/>
      <c r="P1474" s="69"/>
      <c r="Q1474" s="69"/>
      <c r="R1474" s="69"/>
      <c r="S1474" s="69"/>
      <c r="T1474" s="15"/>
      <c r="U1474" s="15"/>
      <c r="V1474" s="15"/>
      <c r="W1474" s="15"/>
    </row>
    <row r="1475">
      <c r="A1475" s="71"/>
      <c r="B1475" s="71"/>
      <c r="C1475" s="72"/>
      <c r="D1475" s="72"/>
      <c r="E1475" s="71"/>
      <c r="F1475" s="71"/>
      <c r="G1475" s="71"/>
      <c r="H1475" s="71"/>
      <c r="I1475" s="71"/>
      <c r="J1475" s="71"/>
      <c r="K1475" s="71"/>
      <c r="L1475" s="71"/>
      <c r="M1475" s="71"/>
      <c r="N1475" s="71"/>
      <c r="O1475" s="71"/>
      <c r="P1475" s="71"/>
      <c r="Q1475" s="71"/>
      <c r="R1475" s="71"/>
      <c r="S1475" s="71"/>
      <c r="T1475" s="15"/>
      <c r="U1475" s="15"/>
      <c r="V1475" s="15"/>
      <c r="W1475" s="15"/>
    </row>
    <row r="1476">
      <c r="A1476" s="69"/>
      <c r="B1476" s="69"/>
      <c r="C1476" s="70"/>
      <c r="D1476" s="70"/>
      <c r="E1476" s="69"/>
      <c r="F1476" s="69"/>
      <c r="G1476" s="69"/>
      <c r="H1476" s="69"/>
      <c r="I1476" s="69"/>
      <c r="J1476" s="69"/>
      <c r="K1476" s="69"/>
      <c r="L1476" s="69"/>
      <c r="M1476" s="69"/>
      <c r="N1476" s="69"/>
      <c r="O1476" s="69"/>
      <c r="P1476" s="69"/>
      <c r="Q1476" s="69"/>
      <c r="R1476" s="69"/>
      <c r="S1476" s="69"/>
      <c r="T1476" s="15"/>
      <c r="U1476" s="15"/>
      <c r="V1476" s="15"/>
      <c r="W1476" s="15"/>
    </row>
    <row r="1477">
      <c r="A1477" s="71"/>
      <c r="B1477" s="71"/>
      <c r="C1477" s="72"/>
      <c r="D1477" s="72"/>
      <c r="E1477" s="71"/>
      <c r="F1477" s="71"/>
      <c r="G1477" s="71"/>
      <c r="H1477" s="71"/>
      <c r="I1477" s="71"/>
      <c r="J1477" s="71"/>
      <c r="K1477" s="71"/>
      <c r="L1477" s="71"/>
      <c r="M1477" s="71"/>
      <c r="N1477" s="71"/>
      <c r="O1477" s="71"/>
      <c r="P1477" s="71"/>
      <c r="Q1477" s="71"/>
      <c r="R1477" s="71"/>
      <c r="S1477" s="71"/>
      <c r="T1477" s="15"/>
      <c r="U1477" s="15"/>
      <c r="V1477" s="15"/>
      <c r="W1477" s="15"/>
    </row>
    <row r="1478">
      <c r="A1478" s="69"/>
      <c r="B1478" s="69"/>
      <c r="C1478" s="70"/>
      <c r="D1478" s="70"/>
      <c r="E1478" s="69"/>
      <c r="F1478" s="69"/>
      <c r="G1478" s="69"/>
      <c r="H1478" s="69"/>
      <c r="I1478" s="69"/>
      <c r="J1478" s="69"/>
      <c r="K1478" s="69"/>
      <c r="L1478" s="69"/>
      <c r="M1478" s="69"/>
      <c r="N1478" s="69"/>
      <c r="O1478" s="69"/>
      <c r="P1478" s="69"/>
      <c r="Q1478" s="69"/>
      <c r="R1478" s="69"/>
      <c r="S1478" s="69"/>
      <c r="T1478" s="15"/>
      <c r="U1478" s="15"/>
      <c r="V1478" s="15"/>
      <c r="W1478" s="15"/>
    </row>
    <row r="1479">
      <c r="A1479" s="71"/>
      <c r="B1479" s="71"/>
      <c r="C1479" s="72"/>
      <c r="D1479" s="72"/>
      <c r="E1479" s="71"/>
      <c r="F1479" s="71"/>
      <c r="G1479" s="71"/>
      <c r="H1479" s="71"/>
      <c r="I1479" s="71"/>
      <c r="J1479" s="71"/>
      <c r="K1479" s="71"/>
      <c r="L1479" s="71"/>
      <c r="M1479" s="71"/>
      <c r="N1479" s="71"/>
      <c r="O1479" s="71"/>
      <c r="P1479" s="71"/>
      <c r="Q1479" s="71"/>
      <c r="R1479" s="71"/>
      <c r="S1479" s="71"/>
      <c r="T1479" s="15"/>
      <c r="U1479" s="15"/>
      <c r="V1479" s="15"/>
      <c r="W1479" s="15"/>
    </row>
    <row r="1480">
      <c r="A1480" s="69"/>
      <c r="B1480" s="69"/>
      <c r="C1480" s="70"/>
      <c r="D1480" s="70"/>
      <c r="E1480" s="69"/>
      <c r="F1480" s="69"/>
      <c r="G1480" s="69"/>
      <c r="H1480" s="69"/>
      <c r="I1480" s="69"/>
      <c r="J1480" s="69"/>
      <c r="K1480" s="69"/>
      <c r="L1480" s="69"/>
      <c r="M1480" s="69"/>
      <c r="N1480" s="69"/>
      <c r="O1480" s="69"/>
      <c r="P1480" s="69"/>
      <c r="Q1480" s="69"/>
      <c r="R1480" s="69"/>
      <c r="S1480" s="69"/>
      <c r="T1480" s="15"/>
      <c r="U1480" s="15"/>
      <c r="V1480" s="15"/>
      <c r="W1480" s="15"/>
    </row>
    <row r="1481">
      <c r="A1481" s="71"/>
      <c r="B1481" s="71"/>
      <c r="C1481" s="72"/>
      <c r="D1481" s="72"/>
      <c r="E1481" s="71"/>
      <c r="F1481" s="71"/>
      <c r="G1481" s="71"/>
      <c r="H1481" s="71"/>
      <c r="I1481" s="71"/>
      <c r="J1481" s="71"/>
      <c r="K1481" s="71"/>
      <c r="L1481" s="71"/>
      <c r="M1481" s="71"/>
      <c r="N1481" s="71"/>
      <c r="O1481" s="71"/>
      <c r="P1481" s="71"/>
      <c r="Q1481" s="71"/>
      <c r="R1481" s="71"/>
      <c r="S1481" s="71"/>
      <c r="T1481" s="15"/>
      <c r="U1481" s="15"/>
      <c r="V1481" s="15"/>
      <c r="W1481" s="15"/>
    </row>
    <row r="1482">
      <c r="A1482" s="69"/>
      <c r="B1482" s="69"/>
      <c r="C1482" s="70"/>
      <c r="D1482" s="70"/>
      <c r="E1482" s="69"/>
      <c r="F1482" s="69"/>
      <c r="G1482" s="69"/>
      <c r="H1482" s="69"/>
      <c r="I1482" s="69"/>
      <c r="J1482" s="69"/>
      <c r="K1482" s="69"/>
      <c r="L1482" s="69"/>
      <c r="M1482" s="69"/>
      <c r="N1482" s="69"/>
      <c r="O1482" s="69"/>
      <c r="P1482" s="69"/>
      <c r="Q1482" s="69"/>
      <c r="R1482" s="69"/>
      <c r="S1482" s="69"/>
      <c r="T1482" s="15"/>
      <c r="U1482" s="15"/>
      <c r="V1482" s="15"/>
      <c r="W1482" s="15"/>
    </row>
    <row r="1483">
      <c r="A1483" s="71"/>
      <c r="B1483" s="71"/>
      <c r="C1483" s="72"/>
      <c r="D1483" s="72"/>
      <c r="E1483" s="71"/>
      <c r="F1483" s="71"/>
      <c r="G1483" s="71"/>
      <c r="H1483" s="71"/>
      <c r="I1483" s="71"/>
      <c r="J1483" s="71"/>
      <c r="K1483" s="71"/>
      <c r="L1483" s="71"/>
      <c r="M1483" s="71"/>
      <c r="N1483" s="71"/>
      <c r="O1483" s="71"/>
      <c r="P1483" s="71"/>
      <c r="Q1483" s="71"/>
      <c r="R1483" s="71"/>
      <c r="S1483" s="71"/>
      <c r="T1483" s="15"/>
      <c r="U1483" s="15"/>
      <c r="V1483" s="15"/>
      <c r="W1483" s="15"/>
    </row>
    <row r="1484">
      <c r="A1484" s="69"/>
      <c r="B1484" s="69"/>
      <c r="C1484" s="70"/>
      <c r="D1484" s="70"/>
      <c r="E1484" s="69"/>
      <c r="F1484" s="69"/>
      <c r="G1484" s="69"/>
      <c r="H1484" s="69"/>
      <c r="I1484" s="69"/>
      <c r="J1484" s="69"/>
      <c r="K1484" s="69"/>
      <c r="L1484" s="69"/>
      <c r="M1484" s="69"/>
      <c r="N1484" s="69"/>
      <c r="O1484" s="69"/>
      <c r="P1484" s="69"/>
      <c r="Q1484" s="69"/>
      <c r="R1484" s="69"/>
      <c r="S1484" s="69"/>
      <c r="T1484" s="15"/>
      <c r="U1484" s="15"/>
      <c r="V1484" s="15"/>
      <c r="W1484" s="15"/>
    </row>
    <row r="1485">
      <c r="A1485" s="71"/>
      <c r="B1485" s="71"/>
      <c r="C1485" s="72"/>
      <c r="D1485" s="72"/>
      <c r="E1485" s="71"/>
      <c r="F1485" s="71"/>
      <c r="G1485" s="71"/>
      <c r="H1485" s="71"/>
      <c r="I1485" s="71"/>
      <c r="J1485" s="71"/>
      <c r="K1485" s="71"/>
      <c r="L1485" s="71"/>
      <c r="M1485" s="71"/>
      <c r="N1485" s="71"/>
      <c r="O1485" s="71"/>
      <c r="P1485" s="71"/>
      <c r="Q1485" s="71"/>
      <c r="R1485" s="71"/>
      <c r="S1485" s="71"/>
      <c r="T1485" s="15"/>
      <c r="U1485" s="15"/>
      <c r="V1485" s="15"/>
      <c r="W1485" s="15"/>
    </row>
    <row r="1486">
      <c r="A1486" s="69"/>
      <c r="B1486" s="69"/>
      <c r="C1486" s="70"/>
      <c r="D1486" s="70"/>
      <c r="E1486" s="69"/>
      <c r="F1486" s="69"/>
      <c r="G1486" s="69"/>
      <c r="H1486" s="69"/>
      <c r="I1486" s="69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15"/>
      <c r="U1486" s="15"/>
      <c r="V1486" s="15"/>
      <c r="W1486" s="15"/>
    </row>
    <row r="1487">
      <c r="A1487" s="71"/>
      <c r="B1487" s="71"/>
      <c r="C1487" s="72"/>
      <c r="D1487" s="72"/>
      <c r="E1487" s="71"/>
      <c r="F1487" s="71"/>
      <c r="G1487" s="71"/>
      <c r="H1487" s="71"/>
      <c r="I1487" s="71"/>
      <c r="J1487" s="71"/>
      <c r="K1487" s="71"/>
      <c r="L1487" s="71"/>
      <c r="M1487" s="71"/>
      <c r="N1487" s="71"/>
      <c r="O1487" s="71"/>
      <c r="P1487" s="71"/>
      <c r="Q1487" s="71"/>
      <c r="R1487" s="71"/>
      <c r="S1487" s="71"/>
      <c r="T1487" s="15"/>
      <c r="U1487" s="15"/>
      <c r="V1487" s="15"/>
      <c r="W1487" s="15"/>
    </row>
    <row r="1488">
      <c r="A1488" s="69"/>
      <c r="B1488" s="69"/>
      <c r="C1488" s="70"/>
      <c r="D1488" s="70"/>
      <c r="E1488" s="69"/>
      <c r="F1488" s="69"/>
      <c r="G1488" s="69"/>
      <c r="H1488" s="69"/>
      <c r="I1488" s="69"/>
      <c r="J1488" s="69"/>
      <c r="K1488" s="69"/>
      <c r="L1488" s="69"/>
      <c r="M1488" s="69"/>
      <c r="N1488" s="69"/>
      <c r="O1488" s="69"/>
      <c r="P1488" s="69"/>
      <c r="Q1488" s="69"/>
      <c r="R1488" s="69"/>
      <c r="S1488" s="69"/>
      <c r="T1488" s="15"/>
      <c r="U1488" s="15"/>
      <c r="V1488" s="15"/>
      <c r="W1488" s="15"/>
    </row>
    <row r="1489">
      <c r="A1489" s="71"/>
      <c r="B1489" s="71"/>
      <c r="C1489" s="72"/>
      <c r="D1489" s="72"/>
      <c r="E1489" s="71"/>
      <c r="F1489" s="71"/>
      <c r="G1489" s="71"/>
      <c r="H1489" s="71"/>
      <c r="I1489" s="71"/>
      <c r="J1489" s="71"/>
      <c r="K1489" s="71"/>
      <c r="L1489" s="71"/>
      <c r="M1489" s="71"/>
      <c r="N1489" s="71"/>
      <c r="O1489" s="71"/>
      <c r="P1489" s="71"/>
      <c r="Q1489" s="71"/>
      <c r="R1489" s="71"/>
      <c r="S1489" s="71"/>
      <c r="T1489" s="15"/>
      <c r="U1489" s="15"/>
      <c r="V1489" s="15"/>
      <c r="W1489" s="15"/>
    </row>
    <row r="1490">
      <c r="A1490" s="69"/>
      <c r="B1490" s="69"/>
      <c r="C1490" s="70"/>
      <c r="D1490" s="70"/>
      <c r="E1490" s="69"/>
      <c r="F1490" s="69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69"/>
      <c r="T1490" s="15"/>
      <c r="U1490" s="15"/>
      <c r="V1490" s="15"/>
      <c r="W1490" s="15"/>
    </row>
    <row r="1491">
      <c r="A1491" s="71"/>
      <c r="B1491" s="71"/>
      <c r="C1491" s="72"/>
      <c r="D1491" s="72"/>
      <c r="E1491" s="71"/>
      <c r="F1491" s="71"/>
      <c r="G1491" s="71"/>
      <c r="H1491" s="71"/>
      <c r="I1491" s="71"/>
      <c r="J1491" s="71"/>
      <c r="K1491" s="71"/>
      <c r="L1491" s="71"/>
      <c r="M1491" s="71"/>
      <c r="N1491" s="71"/>
      <c r="O1491" s="71"/>
      <c r="P1491" s="71"/>
      <c r="Q1491" s="71"/>
      <c r="R1491" s="71"/>
      <c r="S1491" s="71"/>
      <c r="T1491" s="15"/>
      <c r="U1491" s="15"/>
      <c r="V1491" s="15"/>
      <c r="W1491" s="15"/>
    </row>
    <row r="1492">
      <c r="A1492" s="69"/>
      <c r="B1492" s="69"/>
      <c r="C1492" s="70"/>
      <c r="D1492" s="70"/>
      <c r="E1492" s="69"/>
      <c r="F1492" s="69"/>
      <c r="G1492" s="69"/>
      <c r="H1492" s="69"/>
      <c r="I1492" s="69"/>
      <c r="J1492" s="69"/>
      <c r="K1492" s="69"/>
      <c r="L1492" s="69"/>
      <c r="M1492" s="69"/>
      <c r="N1492" s="69"/>
      <c r="O1492" s="69"/>
      <c r="P1492" s="69"/>
      <c r="Q1492" s="69"/>
      <c r="R1492" s="69"/>
      <c r="S1492" s="69"/>
      <c r="T1492" s="15"/>
      <c r="U1492" s="15"/>
      <c r="V1492" s="15"/>
      <c r="W1492" s="15"/>
    </row>
    <row r="1493">
      <c r="A1493" s="71"/>
      <c r="B1493" s="71"/>
      <c r="C1493" s="72"/>
      <c r="D1493" s="72"/>
      <c r="E1493" s="71"/>
      <c r="F1493" s="71"/>
      <c r="G1493" s="71"/>
      <c r="H1493" s="71"/>
      <c r="I1493" s="71"/>
      <c r="J1493" s="71"/>
      <c r="K1493" s="71"/>
      <c r="L1493" s="71"/>
      <c r="M1493" s="71"/>
      <c r="N1493" s="71"/>
      <c r="O1493" s="71"/>
      <c r="P1493" s="71"/>
      <c r="Q1493" s="71"/>
      <c r="R1493" s="71"/>
      <c r="S1493" s="71"/>
      <c r="T1493" s="15"/>
      <c r="U1493" s="15"/>
      <c r="V1493" s="15"/>
      <c r="W1493" s="15"/>
    </row>
    <row r="1494">
      <c r="A1494" s="69"/>
      <c r="B1494" s="69"/>
      <c r="C1494" s="70"/>
      <c r="D1494" s="70"/>
      <c r="E1494" s="69"/>
      <c r="F1494" s="69"/>
      <c r="G1494" s="69"/>
      <c r="H1494" s="69"/>
      <c r="I1494" s="69"/>
      <c r="J1494" s="69"/>
      <c r="K1494" s="69"/>
      <c r="L1494" s="69"/>
      <c r="M1494" s="69"/>
      <c r="N1494" s="69"/>
      <c r="O1494" s="69"/>
      <c r="P1494" s="69"/>
      <c r="Q1494" s="69"/>
      <c r="R1494" s="69"/>
      <c r="S1494" s="69"/>
      <c r="T1494" s="15"/>
      <c r="U1494" s="15"/>
      <c r="V1494" s="15"/>
      <c r="W1494" s="15"/>
    </row>
    <row r="1495">
      <c r="A1495" s="71"/>
      <c r="B1495" s="71"/>
      <c r="C1495" s="72"/>
      <c r="D1495" s="72"/>
      <c r="E1495" s="71"/>
      <c r="F1495" s="71"/>
      <c r="G1495" s="71"/>
      <c r="H1495" s="71"/>
      <c r="I1495" s="71"/>
      <c r="J1495" s="71"/>
      <c r="K1495" s="71"/>
      <c r="L1495" s="71"/>
      <c r="M1495" s="71"/>
      <c r="N1495" s="71"/>
      <c r="O1495" s="71"/>
      <c r="P1495" s="71"/>
      <c r="Q1495" s="71"/>
      <c r="R1495" s="71"/>
      <c r="S1495" s="71"/>
      <c r="T1495" s="15"/>
      <c r="U1495" s="15"/>
      <c r="V1495" s="15"/>
      <c r="W1495" s="15"/>
    </row>
    <row r="1496">
      <c r="A1496" s="69"/>
      <c r="B1496" s="69"/>
      <c r="C1496" s="70"/>
      <c r="D1496" s="70"/>
      <c r="E1496" s="69"/>
      <c r="F1496" s="69"/>
      <c r="G1496" s="69"/>
      <c r="H1496" s="69"/>
      <c r="I1496" s="69"/>
      <c r="J1496" s="69"/>
      <c r="K1496" s="69"/>
      <c r="L1496" s="69"/>
      <c r="M1496" s="69"/>
      <c r="N1496" s="69"/>
      <c r="O1496" s="69"/>
      <c r="P1496" s="69"/>
      <c r="Q1496" s="69"/>
      <c r="R1496" s="69"/>
      <c r="S1496" s="69"/>
      <c r="T1496" s="15"/>
      <c r="U1496" s="15"/>
      <c r="V1496" s="15"/>
      <c r="W1496" s="15"/>
    </row>
    <row r="1497">
      <c r="A1497" s="71"/>
      <c r="B1497" s="71"/>
      <c r="C1497" s="72"/>
      <c r="D1497" s="72"/>
      <c r="E1497" s="71"/>
      <c r="F1497" s="71"/>
      <c r="G1497" s="71"/>
      <c r="H1497" s="71"/>
      <c r="I1497" s="71"/>
      <c r="J1497" s="71"/>
      <c r="K1497" s="71"/>
      <c r="L1497" s="71"/>
      <c r="M1497" s="71"/>
      <c r="N1497" s="71"/>
      <c r="O1497" s="71"/>
      <c r="P1497" s="71"/>
      <c r="Q1497" s="71"/>
      <c r="R1497" s="71"/>
      <c r="S1497" s="71"/>
      <c r="T1497" s="15"/>
      <c r="U1497" s="15"/>
      <c r="V1497" s="15"/>
      <c r="W1497" s="15"/>
    </row>
    <row r="1498">
      <c r="A1498" s="69"/>
      <c r="B1498" s="69"/>
      <c r="C1498" s="70"/>
      <c r="D1498" s="70"/>
      <c r="E1498" s="69"/>
      <c r="F1498" s="69"/>
      <c r="G1498" s="69"/>
      <c r="H1498" s="69"/>
      <c r="I1498" s="69"/>
      <c r="J1498" s="69"/>
      <c r="K1498" s="69"/>
      <c r="L1498" s="69"/>
      <c r="M1498" s="69"/>
      <c r="N1498" s="69"/>
      <c r="O1498" s="69"/>
      <c r="P1498" s="69"/>
      <c r="Q1498" s="69"/>
      <c r="R1498" s="69"/>
      <c r="S1498" s="69"/>
      <c r="T1498" s="15"/>
      <c r="U1498" s="15"/>
      <c r="V1498" s="15"/>
      <c r="W1498" s="15"/>
    </row>
    <row r="1499">
      <c r="A1499" s="71"/>
      <c r="B1499" s="71"/>
      <c r="C1499" s="72"/>
      <c r="D1499" s="72"/>
      <c r="E1499" s="71"/>
      <c r="F1499" s="71"/>
      <c r="G1499" s="71"/>
      <c r="H1499" s="71"/>
      <c r="I1499" s="71"/>
      <c r="J1499" s="71"/>
      <c r="K1499" s="71"/>
      <c r="L1499" s="71"/>
      <c r="M1499" s="71"/>
      <c r="N1499" s="71"/>
      <c r="O1499" s="71"/>
      <c r="P1499" s="71"/>
      <c r="Q1499" s="71"/>
      <c r="R1499" s="71"/>
      <c r="S1499" s="71"/>
      <c r="T1499" s="15"/>
      <c r="U1499" s="15"/>
      <c r="V1499" s="15"/>
      <c r="W1499" s="15"/>
    </row>
    <row r="1500">
      <c r="A1500" s="69"/>
      <c r="B1500" s="69"/>
      <c r="C1500" s="70"/>
      <c r="D1500" s="70"/>
      <c r="E1500" s="69"/>
      <c r="F1500" s="69"/>
      <c r="G1500" s="69"/>
      <c r="H1500" s="69"/>
      <c r="I1500" s="69"/>
      <c r="J1500" s="69"/>
      <c r="K1500" s="69"/>
      <c r="L1500" s="69"/>
      <c r="M1500" s="69"/>
      <c r="N1500" s="69"/>
      <c r="O1500" s="69"/>
      <c r="P1500" s="69"/>
      <c r="Q1500" s="69"/>
      <c r="R1500" s="69"/>
      <c r="S1500" s="69"/>
      <c r="T1500" s="15"/>
      <c r="U1500" s="15"/>
      <c r="V1500" s="15"/>
      <c r="W1500" s="15"/>
    </row>
    <row r="1501">
      <c r="A1501" s="71"/>
      <c r="B1501" s="71"/>
      <c r="C1501" s="72"/>
      <c r="D1501" s="72"/>
      <c r="E1501" s="71"/>
      <c r="F1501" s="71"/>
      <c r="G1501" s="71"/>
      <c r="H1501" s="71"/>
      <c r="I1501" s="71"/>
      <c r="J1501" s="71"/>
      <c r="K1501" s="71"/>
      <c r="L1501" s="71"/>
      <c r="M1501" s="71"/>
      <c r="N1501" s="71"/>
      <c r="O1501" s="71"/>
      <c r="P1501" s="71"/>
      <c r="Q1501" s="71"/>
      <c r="R1501" s="71"/>
      <c r="S1501" s="71"/>
      <c r="T1501" s="15"/>
      <c r="U1501" s="15"/>
      <c r="V1501" s="15"/>
      <c r="W1501" s="15"/>
    </row>
    <row r="1502">
      <c r="A1502" s="69"/>
      <c r="B1502" s="69"/>
      <c r="C1502" s="70"/>
      <c r="D1502" s="70"/>
      <c r="E1502" s="69"/>
      <c r="F1502" s="69"/>
      <c r="G1502" s="69"/>
      <c r="H1502" s="69"/>
      <c r="I1502" s="69"/>
      <c r="J1502" s="69"/>
      <c r="K1502" s="69"/>
      <c r="L1502" s="69"/>
      <c r="M1502" s="69"/>
      <c r="N1502" s="69"/>
      <c r="O1502" s="69"/>
      <c r="P1502" s="69"/>
      <c r="Q1502" s="69"/>
      <c r="R1502" s="69"/>
      <c r="S1502" s="69"/>
      <c r="T1502" s="15"/>
      <c r="U1502" s="15"/>
      <c r="V1502" s="15"/>
      <c r="W1502" s="15"/>
    </row>
    <row r="1503">
      <c r="A1503" s="71"/>
      <c r="B1503" s="71"/>
      <c r="C1503" s="72"/>
      <c r="D1503" s="72"/>
      <c r="E1503" s="71"/>
      <c r="F1503" s="71"/>
      <c r="G1503" s="71"/>
      <c r="H1503" s="71"/>
      <c r="I1503" s="71"/>
      <c r="J1503" s="71"/>
      <c r="K1503" s="71"/>
      <c r="L1503" s="71"/>
      <c r="M1503" s="71"/>
      <c r="N1503" s="71"/>
      <c r="O1503" s="71"/>
      <c r="P1503" s="71"/>
      <c r="Q1503" s="71"/>
      <c r="R1503" s="71"/>
      <c r="S1503" s="71"/>
      <c r="T1503" s="15"/>
      <c r="U1503" s="15"/>
      <c r="V1503" s="15"/>
      <c r="W1503" s="15"/>
    </row>
    <row r="1504">
      <c r="A1504" s="69"/>
      <c r="B1504" s="69"/>
      <c r="C1504" s="70"/>
      <c r="D1504" s="70"/>
      <c r="E1504" s="69"/>
      <c r="F1504" s="69"/>
      <c r="G1504" s="69"/>
      <c r="H1504" s="69"/>
      <c r="I1504" s="69"/>
      <c r="J1504" s="69"/>
      <c r="K1504" s="69"/>
      <c r="L1504" s="69"/>
      <c r="M1504" s="69"/>
      <c r="N1504" s="69"/>
      <c r="O1504" s="69"/>
      <c r="P1504" s="69"/>
      <c r="Q1504" s="69"/>
      <c r="R1504" s="69"/>
      <c r="S1504" s="69"/>
      <c r="T1504" s="15"/>
      <c r="U1504" s="15"/>
      <c r="V1504" s="15"/>
      <c r="W1504" s="15"/>
    </row>
    <row r="1505">
      <c r="A1505" s="71"/>
      <c r="B1505" s="71"/>
      <c r="C1505" s="72"/>
      <c r="D1505" s="72"/>
      <c r="E1505" s="71"/>
      <c r="F1505" s="71"/>
      <c r="G1505" s="71"/>
      <c r="H1505" s="71"/>
      <c r="I1505" s="71"/>
      <c r="J1505" s="71"/>
      <c r="K1505" s="71"/>
      <c r="L1505" s="71"/>
      <c r="M1505" s="71"/>
      <c r="N1505" s="71"/>
      <c r="O1505" s="71"/>
      <c r="P1505" s="71"/>
      <c r="Q1505" s="71"/>
      <c r="R1505" s="71"/>
      <c r="S1505" s="71"/>
      <c r="T1505" s="15"/>
      <c r="U1505" s="15"/>
      <c r="V1505" s="15"/>
      <c r="W1505" s="15"/>
    </row>
    <row r="1506">
      <c r="A1506" s="69"/>
      <c r="B1506" s="69"/>
      <c r="C1506" s="70"/>
      <c r="D1506" s="70"/>
      <c r="E1506" s="69"/>
      <c r="F1506" s="69"/>
      <c r="G1506" s="69"/>
      <c r="H1506" s="69"/>
      <c r="I1506" s="69"/>
      <c r="J1506" s="69"/>
      <c r="K1506" s="69"/>
      <c r="L1506" s="69"/>
      <c r="M1506" s="69"/>
      <c r="N1506" s="69"/>
      <c r="O1506" s="69"/>
      <c r="P1506" s="69"/>
      <c r="Q1506" s="69"/>
      <c r="R1506" s="69"/>
      <c r="S1506" s="69"/>
      <c r="T1506" s="15"/>
      <c r="U1506" s="15"/>
      <c r="V1506" s="15"/>
      <c r="W1506" s="15"/>
    </row>
    <row r="1507">
      <c r="A1507" s="71"/>
      <c r="B1507" s="71"/>
      <c r="C1507" s="72"/>
      <c r="D1507" s="72"/>
      <c r="E1507" s="71"/>
      <c r="F1507" s="71"/>
      <c r="G1507" s="71"/>
      <c r="H1507" s="71"/>
      <c r="I1507" s="71"/>
      <c r="J1507" s="71"/>
      <c r="K1507" s="71"/>
      <c r="L1507" s="71"/>
      <c r="M1507" s="71"/>
      <c r="N1507" s="71"/>
      <c r="O1507" s="71"/>
      <c r="P1507" s="71"/>
      <c r="Q1507" s="71"/>
      <c r="R1507" s="71"/>
      <c r="S1507" s="71"/>
      <c r="T1507" s="15"/>
      <c r="U1507" s="15"/>
      <c r="V1507" s="15"/>
      <c r="W1507" s="15"/>
    </row>
    <row r="1508">
      <c r="A1508" s="69"/>
      <c r="B1508" s="69"/>
      <c r="C1508" s="70"/>
      <c r="D1508" s="70"/>
      <c r="E1508" s="69"/>
      <c r="F1508" s="69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69"/>
      <c r="T1508" s="15"/>
      <c r="U1508" s="15"/>
      <c r="V1508" s="15"/>
      <c r="W1508" s="15"/>
    </row>
    <row r="1509">
      <c r="A1509" s="71"/>
      <c r="B1509" s="71"/>
      <c r="C1509" s="72"/>
      <c r="D1509" s="72"/>
      <c r="E1509" s="71"/>
      <c r="F1509" s="71"/>
      <c r="G1509" s="71"/>
      <c r="H1509" s="71"/>
      <c r="I1509" s="71"/>
      <c r="J1509" s="71"/>
      <c r="K1509" s="71"/>
      <c r="L1509" s="71"/>
      <c r="M1509" s="71"/>
      <c r="N1509" s="71"/>
      <c r="O1509" s="71"/>
      <c r="P1509" s="71"/>
      <c r="Q1509" s="71"/>
      <c r="R1509" s="71"/>
      <c r="S1509" s="71"/>
      <c r="T1509" s="15"/>
      <c r="U1509" s="15"/>
      <c r="V1509" s="15"/>
      <c r="W1509" s="15"/>
    </row>
    <row r="1510">
      <c r="A1510" s="69"/>
      <c r="B1510" s="69"/>
      <c r="C1510" s="70"/>
      <c r="D1510" s="70"/>
      <c r="E1510" s="69"/>
      <c r="F1510" s="69"/>
      <c r="G1510" s="69"/>
      <c r="H1510" s="69"/>
      <c r="I1510" s="69"/>
      <c r="J1510" s="69"/>
      <c r="K1510" s="69"/>
      <c r="L1510" s="69"/>
      <c r="M1510" s="69"/>
      <c r="N1510" s="69"/>
      <c r="O1510" s="69"/>
      <c r="P1510" s="69"/>
      <c r="Q1510" s="69"/>
      <c r="R1510" s="69"/>
      <c r="S1510" s="69"/>
      <c r="T1510" s="15"/>
      <c r="U1510" s="15"/>
      <c r="V1510" s="15"/>
      <c r="W1510" s="15"/>
    </row>
    <row r="1511">
      <c r="A1511" s="71"/>
      <c r="B1511" s="71"/>
      <c r="C1511" s="72"/>
      <c r="D1511" s="72"/>
      <c r="E1511" s="71"/>
      <c r="F1511" s="71"/>
      <c r="G1511" s="71"/>
      <c r="H1511" s="71"/>
      <c r="I1511" s="71"/>
      <c r="J1511" s="71"/>
      <c r="K1511" s="71"/>
      <c r="L1511" s="71"/>
      <c r="M1511" s="71"/>
      <c r="N1511" s="71"/>
      <c r="O1511" s="71"/>
      <c r="P1511" s="71"/>
      <c r="Q1511" s="71"/>
      <c r="R1511" s="71"/>
      <c r="S1511" s="71"/>
      <c r="T1511" s="15"/>
      <c r="U1511" s="15"/>
      <c r="V1511" s="15"/>
      <c r="W1511" s="15"/>
    </row>
    <row r="1512">
      <c r="A1512" s="69"/>
      <c r="B1512" s="69"/>
      <c r="C1512" s="70"/>
      <c r="D1512" s="70"/>
      <c r="E1512" s="69"/>
      <c r="F1512" s="69"/>
      <c r="G1512" s="69"/>
      <c r="H1512" s="69"/>
      <c r="I1512" s="69"/>
      <c r="J1512" s="69"/>
      <c r="K1512" s="69"/>
      <c r="L1512" s="69"/>
      <c r="M1512" s="69"/>
      <c r="N1512" s="69"/>
      <c r="O1512" s="69"/>
      <c r="P1512" s="69"/>
      <c r="Q1512" s="69"/>
      <c r="R1512" s="69"/>
      <c r="S1512" s="69"/>
      <c r="T1512" s="15"/>
      <c r="U1512" s="15"/>
      <c r="V1512" s="15"/>
      <c r="W1512" s="15"/>
    </row>
    <row r="1513">
      <c r="A1513" s="71"/>
      <c r="B1513" s="71"/>
      <c r="C1513" s="72"/>
      <c r="D1513" s="72"/>
      <c r="E1513" s="71"/>
      <c r="F1513" s="71"/>
      <c r="G1513" s="71"/>
      <c r="H1513" s="71"/>
      <c r="I1513" s="71"/>
      <c r="J1513" s="71"/>
      <c r="K1513" s="71"/>
      <c r="L1513" s="71"/>
      <c r="M1513" s="71"/>
      <c r="N1513" s="71"/>
      <c r="O1513" s="71"/>
      <c r="P1513" s="71"/>
      <c r="Q1513" s="71"/>
      <c r="R1513" s="71"/>
      <c r="S1513" s="71"/>
      <c r="T1513" s="15"/>
      <c r="U1513" s="15"/>
      <c r="V1513" s="15"/>
      <c r="W1513" s="15"/>
    </row>
    <row r="1514">
      <c r="A1514" s="69"/>
      <c r="B1514" s="69"/>
      <c r="C1514" s="70"/>
      <c r="D1514" s="70"/>
      <c r="E1514" s="69"/>
      <c r="F1514" s="69"/>
      <c r="G1514" s="69"/>
      <c r="H1514" s="69"/>
      <c r="I1514" s="69"/>
      <c r="J1514" s="69"/>
      <c r="K1514" s="69"/>
      <c r="L1514" s="69"/>
      <c r="M1514" s="69"/>
      <c r="N1514" s="69"/>
      <c r="O1514" s="69"/>
      <c r="P1514" s="69"/>
      <c r="Q1514" s="69"/>
      <c r="R1514" s="69"/>
      <c r="S1514" s="69"/>
      <c r="T1514" s="15"/>
      <c r="U1514" s="15"/>
      <c r="V1514" s="15"/>
      <c r="W1514" s="15"/>
    </row>
    <row r="1515">
      <c r="A1515" s="71"/>
      <c r="B1515" s="71"/>
      <c r="C1515" s="72"/>
      <c r="D1515" s="72"/>
      <c r="E1515" s="71"/>
      <c r="F1515" s="71"/>
      <c r="G1515" s="71"/>
      <c r="H1515" s="71"/>
      <c r="I1515" s="71"/>
      <c r="J1515" s="71"/>
      <c r="K1515" s="71"/>
      <c r="L1515" s="71"/>
      <c r="M1515" s="71"/>
      <c r="N1515" s="71"/>
      <c r="O1515" s="71"/>
      <c r="P1515" s="71"/>
      <c r="Q1515" s="71"/>
      <c r="R1515" s="71"/>
      <c r="S1515" s="71"/>
      <c r="T1515" s="15"/>
      <c r="U1515" s="15"/>
      <c r="V1515" s="15"/>
      <c r="W1515" s="15"/>
    </row>
    <row r="1516">
      <c r="A1516" s="69"/>
      <c r="B1516" s="69"/>
      <c r="C1516" s="70"/>
      <c r="D1516" s="70"/>
      <c r="E1516" s="69"/>
      <c r="F1516" s="69"/>
      <c r="G1516" s="69"/>
      <c r="H1516" s="69"/>
      <c r="I1516" s="69"/>
      <c r="J1516" s="69"/>
      <c r="K1516" s="69"/>
      <c r="L1516" s="69"/>
      <c r="M1516" s="69"/>
      <c r="N1516" s="69"/>
      <c r="O1516" s="69"/>
      <c r="P1516" s="69"/>
      <c r="Q1516" s="69"/>
      <c r="R1516" s="69"/>
      <c r="S1516" s="69"/>
      <c r="T1516" s="15"/>
      <c r="U1516" s="15"/>
      <c r="V1516" s="15"/>
      <c r="W1516" s="15"/>
    </row>
    <row r="1517">
      <c r="A1517" s="71"/>
      <c r="B1517" s="71"/>
      <c r="C1517" s="72"/>
      <c r="D1517" s="72"/>
      <c r="E1517" s="71"/>
      <c r="F1517" s="71"/>
      <c r="G1517" s="71"/>
      <c r="H1517" s="71"/>
      <c r="I1517" s="71"/>
      <c r="J1517" s="71"/>
      <c r="K1517" s="71"/>
      <c r="L1517" s="71"/>
      <c r="M1517" s="71"/>
      <c r="N1517" s="71"/>
      <c r="O1517" s="71"/>
      <c r="P1517" s="71"/>
      <c r="Q1517" s="71"/>
      <c r="R1517" s="71"/>
      <c r="S1517" s="71"/>
      <c r="T1517" s="15"/>
      <c r="U1517" s="15"/>
      <c r="V1517" s="15"/>
      <c r="W1517" s="15"/>
    </row>
    <row r="1518">
      <c r="A1518" s="69"/>
      <c r="B1518" s="69"/>
      <c r="C1518" s="70"/>
      <c r="D1518" s="70"/>
      <c r="E1518" s="69"/>
      <c r="F1518" s="69"/>
      <c r="G1518" s="69"/>
      <c r="H1518" s="69"/>
      <c r="I1518" s="69"/>
      <c r="J1518" s="69"/>
      <c r="K1518" s="69"/>
      <c r="L1518" s="69"/>
      <c r="M1518" s="69"/>
      <c r="N1518" s="69"/>
      <c r="O1518" s="69"/>
      <c r="P1518" s="69"/>
      <c r="Q1518" s="69"/>
      <c r="R1518" s="69"/>
      <c r="S1518" s="69"/>
      <c r="T1518" s="15"/>
      <c r="U1518" s="15"/>
      <c r="V1518" s="15"/>
      <c r="W1518" s="15"/>
    </row>
    <row r="1519">
      <c r="A1519" s="71"/>
      <c r="B1519" s="71"/>
      <c r="C1519" s="72"/>
      <c r="D1519" s="72"/>
      <c r="E1519" s="71"/>
      <c r="F1519" s="71"/>
      <c r="G1519" s="71"/>
      <c r="H1519" s="71"/>
      <c r="I1519" s="71"/>
      <c r="J1519" s="71"/>
      <c r="K1519" s="71"/>
      <c r="L1519" s="71"/>
      <c r="M1519" s="71"/>
      <c r="N1519" s="71"/>
      <c r="O1519" s="71"/>
      <c r="P1519" s="71"/>
      <c r="Q1519" s="71"/>
      <c r="R1519" s="71"/>
      <c r="S1519" s="71"/>
      <c r="T1519" s="15"/>
      <c r="U1519" s="15"/>
      <c r="V1519" s="15"/>
      <c r="W1519" s="15"/>
    </row>
    <row r="1520">
      <c r="A1520" s="69"/>
      <c r="B1520" s="69"/>
      <c r="C1520" s="70"/>
      <c r="D1520" s="70"/>
      <c r="E1520" s="69"/>
      <c r="F1520" s="69"/>
      <c r="G1520" s="69"/>
      <c r="H1520" s="69"/>
      <c r="I1520" s="69"/>
      <c r="J1520" s="69"/>
      <c r="K1520" s="69"/>
      <c r="L1520" s="69"/>
      <c r="M1520" s="69"/>
      <c r="N1520" s="69"/>
      <c r="O1520" s="69"/>
      <c r="P1520" s="69"/>
      <c r="Q1520" s="69"/>
      <c r="R1520" s="69"/>
      <c r="S1520" s="69"/>
      <c r="T1520" s="15"/>
      <c r="U1520" s="15"/>
      <c r="V1520" s="15"/>
      <c r="W1520" s="15"/>
    </row>
    <row r="1521">
      <c r="A1521" s="71"/>
      <c r="B1521" s="71"/>
      <c r="C1521" s="72"/>
      <c r="D1521" s="72"/>
      <c r="E1521" s="71"/>
      <c r="F1521" s="71"/>
      <c r="G1521" s="71"/>
      <c r="H1521" s="71"/>
      <c r="I1521" s="71"/>
      <c r="J1521" s="71"/>
      <c r="K1521" s="71"/>
      <c r="L1521" s="71"/>
      <c r="M1521" s="71"/>
      <c r="N1521" s="71"/>
      <c r="O1521" s="71"/>
      <c r="P1521" s="71"/>
      <c r="Q1521" s="71"/>
      <c r="R1521" s="71"/>
      <c r="S1521" s="71"/>
      <c r="T1521" s="15"/>
      <c r="U1521" s="15"/>
      <c r="V1521" s="15"/>
      <c r="W1521" s="15"/>
    </row>
    <row r="1522">
      <c r="A1522" s="69"/>
      <c r="B1522" s="69"/>
      <c r="C1522" s="70"/>
      <c r="D1522" s="70"/>
      <c r="E1522" s="69"/>
      <c r="F1522" s="69"/>
      <c r="G1522" s="69"/>
      <c r="H1522" s="69"/>
      <c r="I1522" s="69"/>
      <c r="J1522" s="69"/>
      <c r="K1522" s="69"/>
      <c r="L1522" s="69"/>
      <c r="M1522" s="69"/>
      <c r="N1522" s="69"/>
      <c r="O1522" s="69"/>
      <c r="P1522" s="69"/>
      <c r="Q1522" s="69"/>
      <c r="R1522" s="69"/>
      <c r="S1522" s="69"/>
      <c r="T1522" s="15"/>
      <c r="U1522" s="15"/>
      <c r="V1522" s="15"/>
      <c r="W1522" s="15"/>
    </row>
    <row r="1523">
      <c r="A1523" s="71"/>
      <c r="B1523" s="71"/>
      <c r="C1523" s="72"/>
      <c r="D1523" s="72"/>
      <c r="E1523" s="71"/>
      <c r="F1523" s="71"/>
      <c r="G1523" s="71"/>
      <c r="H1523" s="71"/>
      <c r="I1523" s="71"/>
      <c r="J1523" s="71"/>
      <c r="K1523" s="71"/>
      <c r="L1523" s="71"/>
      <c r="M1523" s="71"/>
      <c r="N1523" s="71"/>
      <c r="O1523" s="71"/>
      <c r="P1523" s="71"/>
      <c r="Q1523" s="71"/>
      <c r="R1523" s="71"/>
      <c r="S1523" s="71"/>
      <c r="T1523" s="15"/>
      <c r="U1523" s="15"/>
      <c r="V1523" s="15"/>
      <c r="W1523" s="15"/>
    </row>
    <row r="1524">
      <c r="A1524" s="69"/>
      <c r="B1524" s="69"/>
      <c r="C1524" s="70"/>
      <c r="D1524" s="70"/>
      <c r="E1524" s="69"/>
      <c r="F1524" s="69"/>
      <c r="G1524" s="69"/>
      <c r="H1524" s="69"/>
      <c r="I1524" s="69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15"/>
      <c r="U1524" s="15"/>
      <c r="V1524" s="15"/>
      <c r="W1524" s="15"/>
    </row>
    <row r="1525">
      <c r="A1525" s="71"/>
      <c r="B1525" s="71"/>
      <c r="C1525" s="72"/>
      <c r="D1525" s="72"/>
      <c r="E1525" s="71"/>
      <c r="F1525" s="71"/>
      <c r="G1525" s="71"/>
      <c r="H1525" s="71"/>
      <c r="I1525" s="71"/>
      <c r="J1525" s="71"/>
      <c r="K1525" s="71"/>
      <c r="L1525" s="71"/>
      <c r="M1525" s="71"/>
      <c r="N1525" s="71"/>
      <c r="O1525" s="71"/>
      <c r="P1525" s="71"/>
      <c r="Q1525" s="71"/>
      <c r="R1525" s="71"/>
      <c r="S1525" s="71"/>
      <c r="T1525" s="15"/>
      <c r="U1525" s="15"/>
      <c r="V1525" s="15"/>
      <c r="W1525" s="15"/>
    </row>
    <row r="1526">
      <c r="A1526" s="69"/>
      <c r="B1526" s="69"/>
      <c r="C1526" s="70"/>
      <c r="D1526" s="70"/>
      <c r="E1526" s="69"/>
      <c r="F1526" s="69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69"/>
      <c r="T1526" s="15"/>
      <c r="U1526" s="15"/>
      <c r="V1526" s="15"/>
      <c r="W1526" s="15"/>
    </row>
    <row r="1527">
      <c r="A1527" s="71"/>
      <c r="B1527" s="71"/>
      <c r="C1527" s="72"/>
      <c r="D1527" s="72"/>
      <c r="E1527" s="71"/>
      <c r="F1527" s="71"/>
      <c r="G1527" s="71"/>
      <c r="H1527" s="71"/>
      <c r="I1527" s="71"/>
      <c r="J1527" s="71"/>
      <c r="K1527" s="71"/>
      <c r="L1527" s="71"/>
      <c r="M1527" s="71"/>
      <c r="N1527" s="71"/>
      <c r="O1527" s="71"/>
      <c r="P1527" s="71"/>
      <c r="Q1527" s="71"/>
      <c r="R1527" s="71"/>
      <c r="S1527" s="71"/>
      <c r="T1527" s="15"/>
      <c r="U1527" s="15"/>
      <c r="V1527" s="15"/>
      <c r="W1527" s="15"/>
    </row>
    <row r="1528">
      <c r="A1528" s="69"/>
      <c r="B1528" s="69"/>
      <c r="C1528" s="70"/>
      <c r="D1528" s="70"/>
      <c r="E1528" s="69"/>
      <c r="F1528" s="69"/>
      <c r="G1528" s="69"/>
      <c r="H1528" s="69"/>
      <c r="I1528" s="69"/>
      <c r="J1528" s="69"/>
      <c r="K1528" s="69"/>
      <c r="L1528" s="69"/>
      <c r="M1528" s="69"/>
      <c r="N1528" s="69"/>
      <c r="O1528" s="69"/>
      <c r="P1528" s="69"/>
      <c r="Q1528" s="69"/>
      <c r="R1528" s="69"/>
      <c r="S1528" s="69"/>
      <c r="T1528" s="15"/>
      <c r="U1528" s="15"/>
      <c r="V1528" s="15"/>
      <c r="W1528" s="15"/>
    </row>
    <row r="1529">
      <c r="A1529" s="71"/>
      <c r="B1529" s="71"/>
      <c r="C1529" s="72"/>
      <c r="D1529" s="72"/>
      <c r="E1529" s="71"/>
      <c r="F1529" s="71"/>
      <c r="G1529" s="71"/>
      <c r="H1529" s="71"/>
      <c r="I1529" s="71"/>
      <c r="J1529" s="71"/>
      <c r="K1529" s="71"/>
      <c r="L1529" s="71"/>
      <c r="M1529" s="71"/>
      <c r="N1529" s="71"/>
      <c r="O1529" s="71"/>
      <c r="P1529" s="71"/>
      <c r="Q1529" s="71"/>
      <c r="R1529" s="71"/>
      <c r="S1529" s="71"/>
      <c r="T1529" s="15"/>
      <c r="U1529" s="15"/>
      <c r="V1529" s="15"/>
      <c r="W1529" s="15"/>
    </row>
    <row r="1530">
      <c r="A1530" s="69"/>
      <c r="B1530" s="69"/>
      <c r="C1530" s="70"/>
      <c r="D1530" s="70"/>
      <c r="E1530" s="69"/>
      <c r="F1530" s="69"/>
      <c r="G1530" s="69"/>
      <c r="H1530" s="69"/>
      <c r="I1530" s="69"/>
      <c r="J1530" s="69"/>
      <c r="K1530" s="69"/>
      <c r="L1530" s="69"/>
      <c r="M1530" s="69"/>
      <c r="N1530" s="69"/>
      <c r="O1530" s="69"/>
      <c r="P1530" s="69"/>
      <c r="Q1530" s="69"/>
      <c r="R1530" s="69"/>
      <c r="S1530" s="69"/>
      <c r="T1530" s="15"/>
      <c r="U1530" s="15"/>
      <c r="V1530" s="15"/>
      <c r="W1530" s="15"/>
    </row>
    <row r="1531">
      <c r="A1531" s="71"/>
      <c r="B1531" s="71"/>
      <c r="C1531" s="72"/>
      <c r="D1531" s="72"/>
      <c r="E1531" s="71"/>
      <c r="F1531" s="71"/>
      <c r="G1531" s="71"/>
      <c r="H1531" s="71"/>
      <c r="I1531" s="71"/>
      <c r="J1531" s="71"/>
      <c r="K1531" s="71"/>
      <c r="L1531" s="71"/>
      <c r="M1531" s="71"/>
      <c r="N1531" s="71"/>
      <c r="O1531" s="71"/>
      <c r="P1531" s="71"/>
      <c r="Q1531" s="71"/>
      <c r="R1531" s="71"/>
      <c r="S1531" s="71"/>
      <c r="T1531" s="15"/>
      <c r="U1531" s="15"/>
      <c r="V1531" s="15"/>
      <c r="W1531" s="15"/>
    </row>
    <row r="1532">
      <c r="A1532" s="69"/>
      <c r="B1532" s="69"/>
      <c r="C1532" s="70"/>
      <c r="D1532" s="70"/>
      <c r="E1532" s="69"/>
      <c r="F1532" s="69"/>
      <c r="G1532" s="69"/>
      <c r="H1532" s="69"/>
      <c r="I1532" s="69"/>
      <c r="J1532" s="69"/>
      <c r="K1532" s="69"/>
      <c r="L1532" s="69"/>
      <c r="M1532" s="69"/>
      <c r="N1532" s="69"/>
      <c r="O1532" s="69"/>
      <c r="P1532" s="69"/>
      <c r="Q1532" s="69"/>
      <c r="R1532" s="69"/>
      <c r="S1532" s="69"/>
      <c r="T1532" s="15"/>
      <c r="U1532" s="15"/>
      <c r="V1532" s="15"/>
      <c r="W1532" s="15"/>
    </row>
    <row r="1533">
      <c r="A1533" s="71"/>
      <c r="B1533" s="71"/>
      <c r="C1533" s="72"/>
      <c r="D1533" s="72"/>
      <c r="E1533" s="71"/>
      <c r="F1533" s="71"/>
      <c r="G1533" s="71"/>
      <c r="H1533" s="71"/>
      <c r="I1533" s="71"/>
      <c r="J1533" s="71"/>
      <c r="K1533" s="71"/>
      <c r="L1533" s="71"/>
      <c r="M1533" s="71"/>
      <c r="N1533" s="71"/>
      <c r="O1533" s="71"/>
      <c r="P1533" s="71"/>
      <c r="Q1533" s="71"/>
      <c r="R1533" s="71"/>
      <c r="S1533" s="71"/>
      <c r="T1533" s="15"/>
      <c r="U1533" s="15"/>
      <c r="V1533" s="15"/>
      <c r="W1533" s="15"/>
    </row>
    <row r="1534">
      <c r="A1534" s="69"/>
      <c r="B1534" s="69"/>
      <c r="C1534" s="70"/>
      <c r="D1534" s="70"/>
      <c r="E1534" s="69"/>
      <c r="F1534" s="69"/>
      <c r="G1534" s="69"/>
      <c r="H1534" s="69"/>
      <c r="I1534" s="69"/>
      <c r="J1534" s="69"/>
      <c r="K1534" s="69"/>
      <c r="L1534" s="69"/>
      <c r="M1534" s="69"/>
      <c r="N1534" s="69"/>
      <c r="O1534" s="69"/>
      <c r="P1534" s="69"/>
      <c r="Q1534" s="69"/>
      <c r="R1534" s="69"/>
      <c r="S1534" s="69"/>
      <c r="T1534" s="15"/>
      <c r="U1534" s="15"/>
      <c r="V1534" s="15"/>
      <c r="W1534" s="15"/>
    </row>
    <row r="1535">
      <c r="A1535" s="71"/>
      <c r="B1535" s="71"/>
      <c r="C1535" s="72"/>
      <c r="D1535" s="72"/>
      <c r="E1535" s="71"/>
      <c r="F1535" s="71"/>
      <c r="G1535" s="71"/>
      <c r="H1535" s="71"/>
      <c r="I1535" s="71"/>
      <c r="J1535" s="71"/>
      <c r="K1535" s="71"/>
      <c r="L1535" s="71"/>
      <c r="M1535" s="71"/>
      <c r="N1535" s="71"/>
      <c r="O1535" s="71"/>
      <c r="P1535" s="71"/>
      <c r="Q1535" s="71"/>
      <c r="R1535" s="71"/>
      <c r="S1535" s="71"/>
      <c r="T1535" s="15"/>
      <c r="U1535" s="15"/>
      <c r="V1535" s="15"/>
      <c r="W1535" s="15"/>
    </row>
    <row r="1536">
      <c r="A1536" s="69"/>
      <c r="B1536" s="69"/>
      <c r="C1536" s="70"/>
      <c r="D1536" s="70"/>
      <c r="E1536" s="69"/>
      <c r="F1536" s="69"/>
      <c r="G1536" s="69"/>
      <c r="H1536" s="69"/>
      <c r="I1536" s="69"/>
      <c r="J1536" s="69"/>
      <c r="K1536" s="69"/>
      <c r="L1536" s="69"/>
      <c r="M1536" s="69"/>
      <c r="N1536" s="69"/>
      <c r="O1536" s="69"/>
      <c r="P1536" s="69"/>
      <c r="Q1536" s="69"/>
      <c r="R1536" s="69"/>
      <c r="S1536" s="69"/>
      <c r="T1536" s="15"/>
      <c r="U1536" s="15"/>
      <c r="V1536" s="15"/>
      <c r="W1536" s="15"/>
    </row>
    <row r="1537">
      <c r="A1537" s="71"/>
      <c r="B1537" s="71"/>
      <c r="C1537" s="72"/>
      <c r="D1537" s="72"/>
      <c r="E1537" s="71"/>
      <c r="F1537" s="71"/>
      <c r="G1537" s="71"/>
      <c r="H1537" s="71"/>
      <c r="I1537" s="71"/>
      <c r="J1537" s="71"/>
      <c r="K1537" s="71"/>
      <c r="L1537" s="71"/>
      <c r="M1537" s="71"/>
      <c r="N1537" s="71"/>
      <c r="O1537" s="71"/>
      <c r="P1537" s="71"/>
      <c r="Q1537" s="71"/>
      <c r="R1537" s="71"/>
      <c r="S1537" s="71"/>
      <c r="T1537" s="15"/>
      <c r="U1537" s="15"/>
      <c r="V1537" s="15"/>
      <c r="W1537" s="15"/>
    </row>
    <row r="1538">
      <c r="A1538" s="69"/>
      <c r="B1538" s="69"/>
      <c r="C1538" s="70"/>
      <c r="D1538" s="70"/>
      <c r="E1538" s="69"/>
      <c r="F1538" s="69"/>
      <c r="G1538" s="69"/>
      <c r="H1538" s="69"/>
      <c r="I1538" s="69"/>
      <c r="J1538" s="69"/>
      <c r="K1538" s="69"/>
      <c r="L1538" s="69"/>
      <c r="M1538" s="69"/>
      <c r="N1538" s="69"/>
      <c r="O1538" s="69"/>
      <c r="P1538" s="69"/>
      <c r="Q1538" s="69"/>
      <c r="R1538" s="69"/>
      <c r="S1538" s="69"/>
      <c r="T1538" s="15"/>
      <c r="U1538" s="15"/>
      <c r="V1538" s="15"/>
      <c r="W1538" s="15"/>
    </row>
    <row r="1539">
      <c r="A1539" s="71"/>
      <c r="B1539" s="71"/>
      <c r="C1539" s="72"/>
      <c r="D1539" s="72"/>
      <c r="E1539" s="71"/>
      <c r="F1539" s="71"/>
      <c r="G1539" s="71"/>
      <c r="H1539" s="71"/>
      <c r="I1539" s="71"/>
      <c r="J1539" s="71"/>
      <c r="K1539" s="71"/>
      <c r="L1539" s="71"/>
      <c r="M1539" s="71"/>
      <c r="N1539" s="71"/>
      <c r="O1539" s="71"/>
      <c r="P1539" s="71"/>
      <c r="Q1539" s="71"/>
      <c r="R1539" s="71"/>
      <c r="S1539" s="71"/>
      <c r="T1539" s="15"/>
      <c r="U1539" s="15"/>
      <c r="V1539" s="15"/>
      <c r="W1539" s="15"/>
    </row>
    <row r="1540">
      <c r="A1540" s="69"/>
      <c r="B1540" s="69"/>
      <c r="C1540" s="70"/>
      <c r="D1540" s="70"/>
      <c r="E1540" s="69"/>
      <c r="F1540" s="69"/>
      <c r="G1540" s="69"/>
      <c r="H1540" s="69"/>
      <c r="I1540" s="69"/>
      <c r="J1540" s="69"/>
      <c r="K1540" s="69"/>
      <c r="L1540" s="69"/>
      <c r="M1540" s="69"/>
      <c r="N1540" s="69"/>
      <c r="O1540" s="69"/>
      <c r="P1540" s="69"/>
      <c r="Q1540" s="69"/>
      <c r="R1540" s="69"/>
      <c r="S1540" s="69"/>
      <c r="T1540" s="15"/>
      <c r="U1540" s="15"/>
      <c r="V1540" s="15"/>
      <c r="W1540" s="15"/>
    </row>
    <row r="1541">
      <c r="A1541" s="71"/>
      <c r="B1541" s="71"/>
      <c r="C1541" s="72"/>
      <c r="D1541" s="72"/>
      <c r="E1541" s="71"/>
      <c r="F1541" s="71"/>
      <c r="G1541" s="71"/>
      <c r="H1541" s="71"/>
      <c r="I1541" s="71"/>
      <c r="J1541" s="71"/>
      <c r="K1541" s="71"/>
      <c r="L1541" s="71"/>
      <c r="M1541" s="71"/>
      <c r="N1541" s="71"/>
      <c r="O1541" s="71"/>
      <c r="P1541" s="71"/>
      <c r="Q1541" s="71"/>
      <c r="R1541" s="71"/>
      <c r="S1541" s="71"/>
      <c r="T1541" s="15"/>
      <c r="U1541" s="15"/>
      <c r="V1541" s="15"/>
      <c r="W1541" s="15"/>
    </row>
    <row r="1542">
      <c r="A1542" s="69"/>
      <c r="B1542" s="69"/>
      <c r="C1542" s="70"/>
      <c r="D1542" s="70"/>
      <c r="E1542" s="69"/>
      <c r="F1542" s="69"/>
      <c r="G1542" s="69"/>
      <c r="H1542" s="69"/>
      <c r="I1542" s="69"/>
      <c r="J1542" s="69"/>
      <c r="K1542" s="69"/>
      <c r="L1542" s="69"/>
      <c r="M1542" s="69"/>
      <c r="N1542" s="69"/>
      <c r="O1542" s="69"/>
      <c r="P1542" s="69"/>
      <c r="Q1542" s="69"/>
      <c r="R1542" s="69"/>
      <c r="S1542" s="69"/>
      <c r="T1542" s="15"/>
      <c r="U1542" s="15"/>
      <c r="V1542" s="15"/>
      <c r="W1542" s="15"/>
    </row>
    <row r="1543">
      <c r="A1543" s="71"/>
      <c r="B1543" s="71"/>
      <c r="C1543" s="72"/>
      <c r="D1543" s="72"/>
      <c r="E1543" s="71"/>
      <c r="F1543" s="71"/>
      <c r="G1543" s="71"/>
      <c r="H1543" s="71"/>
      <c r="I1543" s="71"/>
      <c r="J1543" s="71"/>
      <c r="K1543" s="71"/>
      <c r="L1543" s="71"/>
      <c r="M1543" s="71"/>
      <c r="N1543" s="71"/>
      <c r="O1543" s="71"/>
      <c r="P1543" s="71"/>
      <c r="Q1543" s="71"/>
      <c r="R1543" s="71"/>
      <c r="S1543" s="71"/>
      <c r="T1543" s="15"/>
      <c r="U1543" s="15"/>
      <c r="V1543" s="15"/>
      <c r="W1543" s="15"/>
    </row>
    <row r="1544">
      <c r="A1544" s="69"/>
      <c r="B1544" s="69"/>
      <c r="C1544" s="70"/>
      <c r="D1544" s="70"/>
      <c r="E1544" s="69"/>
      <c r="F1544" s="69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69"/>
      <c r="T1544" s="15"/>
      <c r="U1544" s="15"/>
      <c r="V1544" s="15"/>
      <c r="W1544" s="15"/>
    </row>
    <row r="1545">
      <c r="A1545" s="71"/>
      <c r="B1545" s="71"/>
      <c r="C1545" s="72"/>
      <c r="D1545" s="72"/>
      <c r="E1545" s="71"/>
      <c r="F1545" s="71"/>
      <c r="G1545" s="71"/>
      <c r="H1545" s="71"/>
      <c r="I1545" s="71"/>
      <c r="J1545" s="71"/>
      <c r="K1545" s="71"/>
      <c r="L1545" s="71"/>
      <c r="M1545" s="71"/>
      <c r="N1545" s="71"/>
      <c r="O1545" s="71"/>
      <c r="P1545" s="71"/>
      <c r="Q1545" s="71"/>
      <c r="R1545" s="71"/>
      <c r="S1545" s="71"/>
      <c r="T1545" s="15"/>
      <c r="U1545" s="15"/>
      <c r="V1545" s="15"/>
      <c r="W1545" s="15"/>
    </row>
    <row r="1546">
      <c r="A1546" s="69"/>
      <c r="B1546" s="69"/>
      <c r="C1546" s="70"/>
      <c r="D1546" s="70"/>
      <c r="E1546" s="69"/>
      <c r="F1546" s="69"/>
      <c r="G1546" s="69"/>
      <c r="H1546" s="69"/>
      <c r="I1546" s="69"/>
      <c r="J1546" s="69"/>
      <c r="K1546" s="69"/>
      <c r="L1546" s="69"/>
      <c r="M1546" s="69"/>
      <c r="N1546" s="69"/>
      <c r="O1546" s="69"/>
      <c r="P1546" s="69"/>
      <c r="Q1546" s="69"/>
      <c r="R1546" s="69"/>
      <c r="S1546" s="69"/>
      <c r="T1546" s="15"/>
      <c r="U1546" s="15"/>
      <c r="V1546" s="15"/>
      <c r="W1546" s="15"/>
    </row>
    <row r="1547">
      <c r="A1547" s="71"/>
      <c r="B1547" s="71"/>
      <c r="C1547" s="72"/>
      <c r="D1547" s="72"/>
      <c r="E1547" s="71"/>
      <c r="F1547" s="71"/>
      <c r="G1547" s="71"/>
      <c r="H1547" s="71"/>
      <c r="I1547" s="71"/>
      <c r="J1547" s="71"/>
      <c r="K1547" s="71"/>
      <c r="L1547" s="71"/>
      <c r="M1547" s="71"/>
      <c r="N1547" s="71"/>
      <c r="O1547" s="71"/>
      <c r="P1547" s="71"/>
      <c r="Q1547" s="71"/>
      <c r="R1547" s="71"/>
      <c r="S1547" s="71"/>
      <c r="T1547" s="15"/>
      <c r="U1547" s="15"/>
      <c r="V1547" s="15"/>
      <c r="W1547" s="15"/>
    </row>
    <row r="1548">
      <c r="A1548" s="69"/>
      <c r="B1548" s="69"/>
      <c r="C1548" s="70"/>
      <c r="D1548" s="70"/>
      <c r="E1548" s="69"/>
      <c r="F1548" s="69"/>
      <c r="G1548" s="69"/>
      <c r="H1548" s="69"/>
      <c r="I1548" s="69"/>
      <c r="J1548" s="69"/>
      <c r="K1548" s="69"/>
      <c r="L1548" s="69"/>
      <c r="M1548" s="69"/>
      <c r="N1548" s="69"/>
      <c r="O1548" s="69"/>
      <c r="P1548" s="69"/>
      <c r="Q1548" s="69"/>
      <c r="R1548" s="69"/>
      <c r="S1548" s="69"/>
      <c r="T1548" s="15"/>
      <c r="U1548" s="15"/>
      <c r="V1548" s="15"/>
      <c r="W1548" s="15"/>
    </row>
    <row r="1549">
      <c r="A1549" s="71"/>
      <c r="B1549" s="71"/>
      <c r="C1549" s="72"/>
      <c r="D1549" s="72"/>
      <c r="E1549" s="71"/>
      <c r="F1549" s="71"/>
      <c r="G1549" s="71"/>
      <c r="H1549" s="71"/>
      <c r="I1549" s="71"/>
      <c r="J1549" s="71"/>
      <c r="K1549" s="71"/>
      <c r="L1549" s="71"/>
      <c r="M1549" s="71"/>
      <c r="N1549" s="71"/>
      <c r="O1549" s="71"/>
      <c r="P1549" s="71"/>
      <c r="Q1549" s="71"/>
      <c r="R1549" s="71"/>
      <c r="S1549" s="71"/>
      <c r="T1549" s="15"/>
      <c r="U1549" s="15"/>
      <c r="V1549" s="15"/>
      <c r="W1549" s="15"/>
    </row>
    <row r="1550">
      <c r="A1550" s="69"/>
      <c r="B1550" s="69"/>
      <c r="C1550" s="70"/>
      <c r="D1550" s="70"/>
      <c r="E1550" s="69"/>
      <c r="F1550" s="69"/>
      <c r="G1550" s="69"/>
      <c r="H1550" s="69"/>
      <c r="I1550" s="69"/>
      <c r="J1550" s="69"/>
      <c r="K1550" s="69"/>
      <c r="L1550" s="69"/>
      <c r="M1550" s="69"/>
      <c r="N1550" s="69"/>
      <c r="O1550" s="69"/>
      <c r="P1550" s="69"/>
      <c r="Q1550" s="69"/>
      <c r="R1550" s="69"/>
      <c r="S1550" s="69"/>
      <c r="T1550" s="15"/>
      <c r="U1550" s="15"/>
      <c r="V1550" s="15"/>
      <c r="W1550" s="15"/>
    </row>
    <row r="1551">
      <c r="A1551" s="71"/>
      <c r="B1551" s="71"/>
      <c r="C1551" s="72"/>
      <c r="D1551" s="72"/>
      <c r="E1551" s="71"/>
      <c r="F1551" s="71"/>
      <c r="G1551" s="71"/>
      <c r="H1551" s="71"/>
      <c r="I1551" s="71"/>
      <c r="J1551" s="71"/>
      <c r="K1551" s="71"/>
      <c r="L1551" s="71"/>
      <c r="M1551" s="71"/>
      <c r="N1551" s="71"/>
      <c r="O1551" s="71"/>
      <c r="P1551" s="71"/>
      <c r="Q1551" s="71"/>
      <c r="R1551" s="71"/>
      <c r="S1551" s="71"/>
      <c r="T1551" s="15"/>
      <c r="U1551" s="15"/>
      <c r="V1551" s="15"/>
      <c r="W1551" s="15"/>
    </row>
    <row r="1552">
      <c r="A1552" s="69"/>
      <c r="B1552" s="69"/>
      <c r="C1552" s="70"/>
      <c r="D1552" s="70"/>
      <c r="E1552" s="69"/>
      <c r="F1552" s="69"/>
      <c r="G1552" s="69"/>
      <c r="H1552" s="69"/>
      <c r="I1552" s="69"/>
      <c r="J1552" s="69"/>
      <c r="K1552" s="69"/>
      <c r="L1552" s="69"/>
      <c r="M1552" s="69"/>
      <c r="N1552" s="69"/>
      <c r="O1552" s="69"/>
      <c r="P1552" s="69"/>
      <c r="Q1552" s="69"/>
      <c r="R1552" s="69"/>
      <c r="S1552" s="69"/>
      <c r="T1552" s="15"/>
      <c r="U1552" s="15"/>
      <c r="V1552" s="15"/>
      <c r="W1552" s="15"/>
    </row>
    <row r="1553">
      <c r="A1553" s="71"/>
      <c r="B1553" s="71"/>
      <c r="C1553" s="72"/>
      <c r="D1553" s="72"/>
      <c r="E1553" s="71"/>
      <c r="F1553" s="71"/>
      <c r="G1553" s="71"/>
      <c r="H1553" s="71"/>
      <c r="I1553" s="71"/>
      <c r="J1553" s="71"/>
      <c r="K1553" s="71"/>
      <c r="L1553" s="71"/>
      <c r="M1553" s="71"/>
      <c r="N1553" s="71"/>
      <c r="O1553" s="71"/>
      <c r="P1553" s="71"/>
      <c r="Q1553" s="71"/>
      <c r="R1553" s="71"/>
      <c r="S1553" s="71"/>
      <c r="T1553" s="15"/>
      <c r="U1553" s="15"/>
      <c r="V1553" s="15"/>
      <c r="W1553" s="15"/>
    </row>
    <row r="1554">
      <c r="A1554" s="69"/>
      <c r="B1554" s="69"/>
      <c r="C1554" s="70"/>
      <c r="D1554" s="70"/>
      <c r="E1554" s="69"/>
      <c r="F1554" s="69"/>
      <c r="G1554" s="69"/>
      <c r="H1554" s="69"/>
      <c r="I1554" s="69"/>
      <c r="J1554" s="69"/>
      <c r="K1554" s="69"/>
      <c r="L1554" s="69"/>
      <c r="M1554" s="69"/>
      <c r="N1554" s="69"/>
      <c r="O1554" s="69"/>
      <c r="P1554" s="69"/>
      <c r="Q1554" s="69"/>
      <c r="R1554" s="69"/>
      <c r="S1554" s="69"/>
      <c r="T1554" s="15"/>
      <c r="U1554" s="15"/>
      <c r="V1554" s="15"/>
      <c r="W1554" s="15"/>
    </row>
    <row r="1555">
      <c r="A1555" s="71"/>
      <c r="B1555" s="71"/>
      <c r="C1555" s="72"/>
      <c r="D1555" s="72"/>
      <c r="E1555" s="71"/>
      <c r="F1555" s="71"/>
      <c r="G1555" s="71"/>
      <c r="H1555" s="71"/>
      <c r="I1555" s="71"/>
      <c r="J1555" s="71"/>
      <c r="K1555" s="71"/>
      <c r="L1555" s="71"/>
      <c r="M1555" s="71"/>
      <c r="N1555" s="71"/>
      <c r="O1555" s="71"/>
      <c r="P1555" s="71"/>
      <c r="Q1555" s="71"/>
      <c r="R1555" s="71"/>
      <c r="S1555" s="71"/>
      <c r="T1555" s="15"/>
      <c r="U1555" s="15"/>
      <c r="V1555" s="15"/>
      <c r="W1555" s="15"/>
    </row>
    <row r="1556">
      <c r="A1556" s="69"/>
      <c r="B1556" s="69"/>
      <c r="C1556" s="70"/>
      <c r="D1556" s="70"/>
      <c r="E1556" s="69"/>
      <c r="F1556" s="69"/>
      <c r="G1556" s="69"/>
      <c r="H1556" s="69"/>
      <c r="I1556" s="69"/>
      <c r="J1556" s="69"/>
      <c r="K1556" s="69"/>
      <c r="L1556" s="69"/>
      <c r="M1556" s="69"/>
      <c r="N1556" s="69"/>
      <c r="O1556" s="69"/>
      <c r="P1556" s="69"/>
      <c r="Q1556" s="69"/>
      <c r="R1556" s="69"/>
      <c r="S1556" s="69"/>
      <c r="T1556" s="15"/>
      <c r="U1556" s="15"/>
      <c r="V1556" s="15"/>
      <c r="W1556" s="15"/>
    </row>
    <row r="1557">
      <c r="A1557" s="71"/>
      <c r="B1557" s="71"/>
      <c r="C1557" s="72"/>
      <c r="D1557" s="72"/>
      <c r="E1557" s="71"/>
      <c r="F1557" s="71"/>
      <c r="G1557" s="71"/>
      <c r="H1557" s="71"/>
      <c r="I1557" s="71"/>
      <c r="J1557" s="71"/>
      <c r="K1557" s="71"/>
      <c r="L1557" s="71"/>
      <c r="M1557" s="71"/>
      <c r="N1557" s="71"/>
      <c r="O1557" s="71"/>
      <c r="P1557" s="71"/>
      <c r="Q1557" s="71"/>
      <c r="R1557" s="71"/>
      <c r="S1557" s="71"/>
      <c r="T1557" s="15"/>
      <c r="U1557" s="15"/>
      <c r="V1557" s="15"/>
      <c r="W1557" s="15"/>
    </row>
    <row r="1558">
      <c r="A1558" s="69"/>
      <c r="B1558" s="69"/>
      <c r="C1558" s="70"/>
      <c r="D1558" s="70"/>
      <c r="E1558" s="69"/>
      <c r="F1558" s="69"/>
      <c r="G1558" s="69"/>
      <c r="H1558" s="69"/>
      <c r="I1558" s="69"/>
      <c r="J1558" s="69"/>
      <c r="K1558" s="69"/>
      <c r="L1558" s="69"/>
      <c r="M1558" s="69"/>
      <c r="N1558" s="69"/>
      <c r="O1558" s="69"/>
      <c r="P1558" s="69"/>
      <c r="Q1558" s="69"/>
      <c r="R1558" s="69"/>
      <c r="S1558" s="69"/>
      <c r="T1558" s="15"/>
      <c r="U1558" s="15"/>
      <c r="V1558" s="15"/>
      <c r="W1558" s="15"/>
    </row>
    <row r="1559">
      <c r="A1559" s="71"/>
      <c r="B1559" s="71"/>
      <c r="C1559" s="72"/>
      <c r="D1559" s="72"/>
      <c r="E1559" s="71"/>
      <c r="F1559" s="71"/>
      <c r="G1559" s="71"/>
      <c r="H1559" s="71"/>
      <c r="I1559" s="71"/>
      <c r="J1559" s="71"/>
      <c r="K1559" s="71"/>
      <c r="L1559" s="71"/>
      <c r="M1559" s="71"/>
      <c r="N1559" s="71"/>
      <c r="O1559" s="71"/>
      <c r="P1559" s="71"/>
      <c r="Q1559" s="71"/>
      <c r="R1559" s="71"/>
      <c r="S1559" s="71"/>
      <c r="T1559" s="15"/>
      <c r="U1559" s="15"/>
      <c r="V1559" s="15"/>
      <c r="W1559" s="15"/>
    </row>
    <row r="1560">
      <c r="A1560" s="69"/>
      <c r="B1560" s="69"/>
      <c r="C1560" s="70"/>
      <c r="D1560" s="70"/>
      <c r="E1560" s="69"/>
      <c r="F1560" s="69"/>
      <c r="G1560" s="69"/>
      <c r="H1560" s="69"/>
      <c r="I1560" s="69"/>
      <c r="J1560" s="69"/>
      <c r="K1560" s="69"/>
      <c r="L1560" s="69"/>
      <c r="M1560" s="69"/>
      <c r="N1560" s="69"/>
      <c r="O1560" s="69"/>
      <c r="P1560" s="69"/>
      <c r="Q1560" s="69"/>
      <c r="R1560" s="69"/>
      <c r="S1560" s="69"/>
      <c r="T1560" s="15"/>
      <c r="U1560" s="15"/>
      <c r="V1560" s="15"/>
      <c r="W1560" s="15"/>
    </row>
    <row r="1561">
      <c r="A1561" s="71"/>
      <c r="B1561" s="71"/>
      <c r="C1561" s="72"/>
      <c r="D1561" s="72"/>
      <c r="E1561" s="71"/>
      <c r="F1561" s="71"/>
      <c r="G1561" s="71"/>
      <c r="H1561" s="71"/>
      <c r="I1561" s="71"/>
      <c r="J1561" s="71"/>
      <c r="K1561" s="71"/>
      <c r="L1561" s="71"/>
      <c r="M1561" s="71"/>
      <c r="N1561" s="71"/>
      <c r="O1561" s="71"/>
      <c r="P1561" s="71"/>
      <c r="Q1561" s="71"/>
      <c r="R1561" s="71"/>
      <c r="S1561" s="71"/>
      <c r="T1561" s="15"/>
      <c r="U1561" s="15"/>
      <c r="V1561" s="15"/>
      <c r="W1561" s="15"/>
    </row>
    <row r="1562">
      <c r="A1562" s="69"/>
      <c r="B1562" s="69"/>
      <c r="C1562" s="70"/>
      <c r="D1562" s="70"/>
      <c r="E1562" s="69"/>
      <c r="F1562" s="69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15"/>
      <c r="U1562" s="15"/>
      <c r="V1562" s="15"/>
      <c r="W1562" s="15"/>
    </row>
    <row r="1563">
      <c r="A1563" s="71"/>
      <c r="B1563" s="71"/>
      <c r="C1563" s="72"/>
      <c r="D1563" s="72"/>
      <c r="E1563" s="71"/>
      <c r="F1563" s="71"/>
      <c r="G1563" s="71"/>
      <c r="H1563" s="71"/>
      <c r="I1563" s="71"/>
      <c r="J1563" s="71"/>
      <c r="K1563" s="71"/>
      <c r="L1563" s="71"/>
      <c r="M1563" s="71"/>
      <c r="N1563" s="71"/>
      <c r="O1563" s="71"/>
      <c r="P1563" s="71"/>
      <c r="Q1563" s="71"/>
      <c r="R1563" s="71"/>
      <c r="S1563" s="71"/>
      <c r="T1563" s="15"/>
      <c r="U1563" s="15"/>
      <c r="V1563" s="15"/>
      <c r="W1563" s="15"/>
    </row>
    <row r="1564">
      <c r="A1564" s="69"/>
      <c r="B1564" s="69"/>
      <c r="C1564" s="70"/>
      <c r="D1564" s="70"/>
      <c r="E1564" s="69"/>
      <c r="F1564" s="69"/>
      <c r="G1564" s="69"/>
      <c r="H1564" s="69"/>
      <c r="I1564" s="69"/>
      <c r="J1564" s="69"/>
      <c r="K1564" s="69"/>
      <c r="L1564" s="69"/>
      <c r="M1564" s="69"/>
      <c r="N1564" s="69"/>
      <c r="O1564" s="69"/>
      <c r="P1564" s="69"/>
      <c r="Q1564" s="69"/>
      <c r="R1564" s="69"/>
      <c r="S1564" s="69"/>
      <c r="T1564" s="15"/>
      <c r="U1564" s="15"/>
      <c r="V1564" s="15"/>
      <c r="W1564" s="15"/>
    </row>
    <row r="1565">
      <c r="A1565" s="71"/>
      <c r="B1565" s="71"/>
      <c r="C1565" s="72"/>
      <c r="D1565" s="72"/>
      <c r="E1565" s="71"/>
      <c r="F1565" s="71"/>
      <c r="G1565" s="71"/>
      <c r="H1565" s="71"/>
      <c r="I1565" s="71"/>
      <c r="J1565" s="71"/>
      <c r="K1565" s="71"/>
      <c r="L1565" s="71"/>
      <c r="M1565" s="71"/>
      <c r="N1565" s="71"/>
      <c r="O1565" s="71"/>
      <c r="P1565" s="71"/>
      <c r="Q1565" s="71"/>
      <c r="R1565" s="71"/>
      <c r="S1565" s="71"/>
      <c r="T1565" s="15"/>
      <c r="U1565" s="15"/>
      <c r="V1565" s="15"/>
      <c r="W1565" s="15"/>
    </row>
    <row r="1566">
      <c r="A1566" s="69"/>
      <c r="B1566" s="69"/>
      <c r="C1566" s="70"/>
      <c r="D1566" s="70"/>
      <c r="E1566" s="69"/>
      <c r="F1566" s="69"/>
      <c r="G1566" s="69"/>
      <c r="H1566" s="69"/>
      <c r="I1566" s="69"/>
      <c r="J1566" s="69"/>
      <c r="K1566" s="69"/>
      <c r="L1566" s="69"/>
      <c r="M1566" s="69"/>
      <c r="N1566" s="69"/>
      <c r="O1566" s="69"/>
      <c r="P1566" s="69"/>
      <c r="Q1566" s="69"/>
      <c r="R1566" s="69"/>
      <c r="S1566" s="69"/>
      <c r="T1566" s="15"/>
      <c r="U1566" s="15"/>
      <c r="V1566" s="15"/>
      <c r="W1566" s="15"/>
    </row>
    <row r="1567">
      <c r="A1567" s="71"/>
      <c r="B1567" s="71"/>
      <c r="C1567" s="72"/>
      <c r="D1567" s="72"/>
      <c r="E1567" s="71"/>
      <c r="F1567" s="71"/>
      <c r="G1567" s="71"/>
      <c r="H1567" s="71"/>
      <c r="I1567" s="71"/>
      <c r="J1567" s="71"/>
      <c r="K1567" s="71"/>
      <c r="L1567" s="71"/>
      <c r="M1567" s="71"/>
      <c r="N1567" s="71"/>
      <c r="O1567" s="71"/>
      <c r="P1567" s="71"/>
      <c r="Q1567" s="71"/>
      <c r="R1567" s="71"/>
      <c r="S1567" s="71"/>
      <c r="T1567" s="15"/>
      <c r="U1567" s="15"/>
      <c r="V1567" s="15"/>
      <c r="W1567" s="15"/>
    </row>
    <row r="1568">
      <c r="A1568" s="69"/>
      <c r="B1568" s="69"/>
      <c r="C1568" s="70"/>
      <c r="D1568" s="70"/>
      <c r="E1568" s="69"/>
      <c r="F1568" s="69"/>
      <c r="G1568" s="69"/>
      <c r="H1568" s="69"/>
      <c r="I1568" s="69"/>
      <c r="J1568" s="69"/>
      <c r="K1568" s="69"/>
      <c r="L1568" s="69"/>
      <c r="M1568" s="69"/>
      <c r="N1568" s="69"/>
      <c r="O1568" s="69"/>
      <c r="P1568" s="69"/>
      <c r="Q1568" s="69"/>
      <c r="R1568" s="69"/>
      <c r="S1568" s="69"/>
      <c r="T1568" s="15"/>
      <c r="U1568" s="15"/>
      <c r="V1568" s="15"/>
      <c r="W1568" s="15"/>
    </row>
    <row r="1569">
      <c r="A1569" s="71"/>
      <c r="B1569" s="71"/>
      <c r="C1569" s="72"/>
      <c r="D1569" s="72"/>
      <c r="E1569" s="71"/>
      <c r="F1569" s="71"/>
      <c r="G1569" s="71"/>
      <c r="H1569" s="71"/>
      <c r="I1569" s="71"/>
      <c r="J1569" s="71"/>
      <c r="K1569" s="71"/>
      <c r="L1569" s="71"/>
      <c r="M1569" s="71"/>
      <c r="N1569" s="71"/>
      <c r="O1569" s="71"/>
      <c r="P1569" s="71"/>
      <c r="Q1569" s="71"/>
      <c r="R1569" s="71"/>
      <c r="S1569" s="71"/>
      <c r="T1569" s="15"/>
      <c r="U1569" s="15"/>
      <c r="V1569" s="15"/>
      <c r="W1569" s="15"/>
    </row>
    <row r="1570">
      <c r="A1570" s="69"/>
      <c r="B1570" s="69"/>
      <c r="C1570" s="70"/>
      <c r="D1570" s="70"/>
      <c r="E1570" s="69"/>
      <c r="F1570" s="69"/>
      <c r="G1570" s="69"/>
      <c r="H1570" s="69"/>
      <c r="I1570" s="69"/>
      <c r="J1570" s="69"/>
      <c r="K1570" s="69"/>
      <c r="L1570" s="69"/>
      <c r="M1570" s="69"/>
      <c r="N1570" s="69"/>
      <c r="O1570" s="69"/>
      <c r="P1570" s="69"/>
      <c r="Q1570" s="69"/>
      <c r="R1570" s="69"/>
      <c r="S1570" s="69"/>
      <c r="T1570" s="15"/>
      <c r="U1570" s="15"/>
      <c r="V1570" s="15"/>
      <c r="W1570" s="15"/>
    </row>
    <row r="1571">
      <c r="A1571" s="71"/>
      <c r="B1571" s="71"/>
      <c r="C1571" s="72"/>
      <c r="D1571" s="72"/>
      <c r="E1571" s="71"/>
      <c r="F1571" s="71"/>
      <c r="G1571" s="71"/>
      <c r="H1571" s="71"/>
      <c r="I1571" s="71"/>
      <c r="J1571" s="71"/>
      <c r="K1571" s="71"/>
      <c r="L1571" s="71"/>
      <c r="M1571" s="71"/>
      <c r="N1571" s="71"/>
      <c r="O1571" s="71"/>
      <c r="P1571" s="71"/>
      <c r="Q1571" s="71"/>
      <c r="R1571" s="71"/>
      <c r="S1571" s="71"/>
      <c r="T1571" s="15"/>
      <c r="U1571" s="15"/>
      <c r="V1571" s="15"/>
      <c r="W1571" s="15"/>
    </row>
    <row r="1572">
      <c r="A1572" s="69"/>
      <c r="B1572" s="69"/>
      <c r="C1572" s="70"/>
      <c r="D1572" s="70"/>
      <c r="E1572" s="69"/>
      <c r="F1572" s="69"/>
      <c r="G1572" s="69"/>
      <c r="H1572" s="69"/>
      <c r="I1572" s="69"/>
      <c r="J1572" s="69"/>
      <c r="K1572" s="69"/>
      <c r="L1572" s="69"/>
      <c r="M1572" s="69"/>
      <c r="N1572" s="69"/>
      <c r="O1572" s="69"/>
      <c r="P1572" s="69"/>
      <c r="Q1572" s="69"/>
      <c r="R1572" s="69"/>
      <c r="S1572" s="69"/>
      <c r="T1572" s="15"/>
      <c r="U1572" s="15"/>
      <c r="V1572" s="15"/>
      <c r="W1572" s="15"/>
    </row>
    <row r="1573">
      <c r="A1573" s="71"/>
      <c r="B1573" s="71"/>
      <c r="C1573" s="72"/>
      <c r="D1573" s="72"/>
      <c r="E1573" s="71"/>
      <c r="F1573" s="71"/>
      <c r="G1573" s="71"/>
      <c r="H1573" s="71"/>
      <c r="I1573" s="71"/>
      <c r="J1573" s="71"/>
      <c r="K1573" s="71"/>
      <c r="L1573" s="71"/>
      <c r="M1573" s="71"/>
      <c r="N1573" s="71"/>
      <c r="O1573" s="71"/>
      <c r="P1573" s="71"/>
      <c r="Q1573" s="71"/>
      <c r="R1573" s="71"/>
      <c r="S1573" s="71"/>
      <c r="T1573" s="15"/>
      <c r="U1573" s="15"/>
      <c r="V1573" s="15"/>
      <c r="W1573" s="15"/>
    </row>
    <row r="1574">
      <c r="A1574" s="69"/>
      <c r="B1574" s="69"/>
      <c r="C1574" s="70"/>
      <c r="D1574" s="70"/>
      <c r="E1574" s="69"/>
      <c r="F1574" s="69"/>
      <c r="G1574" s="69"/>
      <c r="H1574" s="69"/>
      <c r="I1574" s="69"/>
      <c r="J1574" s="69"/>
      <c r="K1574" s="69"/>
      <c r="L1574" s="69"/>
      <c r="M1574" s="69"/>
      <c r="N1574" s="69"/>
      <c r="O1574" s="69"/>
      <c r="P1574" s="69"/>
      <c r="Q1574" s="69"/>
      <c r="R1574" s="69"/>
      <c r="S1574" s="69"/>
      <c r="T1574" s="15"/>
      <c r="U1574" s="15"/>
      <c r="V1574" s="15"/>
      <c r="W1574" s="15"/>
    </row>
    <row r="1575">
      <c r="A1575" s="71"/>
      <c r="B1575" s="71"/>
      <c r="C1575" s="72"/>
      <c r="D1575" s="72"/>
      <c r="E1575" s="71"/>
      <c r="F1575" s="71"/>
      <c r="G1575" s="71"/>
      <c r="H1575" s="71"/>
      <c r="I1575" s="71"/>
      <c r="J1575" s="71"/>
      <c r="K1575" s="71"/>
      <c r="L1575" s="71"/>
      <c r="M1575" s="71"/>
      <c r="N1575" s="71"/>
      <c r="O1575" s="71"/>
      <c r="P1575" s="71"/>
      <c r="Q1575" s="71"/>
      <c r="R1575" s="71"/>
      <c r="S1575" s="71"/>
      <c r="T1575" s="15"/>
      <c r="U1575" s="15"/>
      <c r="V1575" s="15"/>
      <c r="W1575" s="15"/>
    </row>
    <row r="1576">
      <c r="A1576" s="69"/>
      <c r="B1576" s="69"/>
      <c r="C1576" s="70"/>
      <c r="D1576" s="70"/>
      <c r="E1576" s="69"/>
      <c r="F1576" s="69"/>
      <c r="G1576" s="69"/>
      <c r="H1576" s="69"/>
      <c r="I1576" s="69"/>
      <c r="J1576" s="69"/>
      <c r="K1576" s="69"/>
      <c r="L1576" s="69"/>
      <c r="M1576" s="69"/>
      <c r="N1576" s="69"/>
      <c r="O1576" s="69"/>
      <c r="P1576" s="69"/>
      <c r="Q1576" s="69"/>
      <c r="R1576" s="69"/>
      <c r="S1576" s="69"/>
      <c r="T1576" s="15"/>
      <c r="U1576" s="15"/>
      <c r="V1576" s="15"/>
      <c r="W1576" s="15"/>
    </row>
    <row r="1577">
      <c r="A1577" s="71"/>
      <c r="B1577" s="71"/>
      <c r="C1577" s="72"/>
      <c r="D1577" s="72"/>
      <c r="E1577" s="71"/>
      <c r="F1577" s="71"/>
      <c r="G1577" s="71"/>
      <c r="H1577" s="71"/>
      <c r="I1577" s="71"/>
      <c r="J1577" s="71"/>
      <c r="K1577" s="71"/>
      <c r="L1577" s="71"/>
      <c r="M1577" s="71"/>
      <c r="N1577" s="71"/>
      <c r="O1577" s="71"/>
      <c r="P1577" s="71"/>
      <c r="Q1577" s="71"/>
      <c r="R1577" s="71"/>
      <c r="S1577" s="71"/>
      <c r="T1577" s="15"/>
      <c r="U1577" s="15"/>
      <c r="V1577" s="15"/>
      <c r="W1577" s="15"/>
    </row>
    <row r="1578">
      <c r="A1578" s="69"/>
      <c r="B1578" s="69"/>
      <c r="C1578" s="70"/>
      <c r="D1578" s="70"/>
      <c r="E1578" s="69"/>
      <c r="F1578" s="69"/>
      <c r="G1578" s="69"/>
      <c r="H1578" s="69"/>
      <c r="I1578" s="69"/>
      <c r="J1578" s="69"/>
      <c r="K1578" s="69"/>
      <c r="L1578" s="69"/>
      <c r="M1578" s="69"/>
      <c r="N1578" s="69"/>
      <c r="O1578" s="69"/>
      <c r="P1578" s="69"/>
      <c r="Q1578" s="69"/>
      <c r="R1578" s="69"/>
      <c r="S1578" s="69"/>
      <c r="T1578" s="15"/>
      <c r="U1578" s="15"/>
      <c r="V1578" s="15"/>
      <c r="W1578" s="15"/>
    </row>
    <row r="1579">
      <c r="A1579" s="71"/>
      <c r="B1579" s="71"/>
      <c r="C1579" s="72"/>
      <c r="D1579" s="72"/>
      <c r="E1579" s="71"/>
      <c r="F1579" s="71"/>
      <c r="G1579" s="71"/>
      <c r="H1579" s="71"/>
      <c r="I1579" s="71"/>
      <c r="J1579" s="71"/>
      <c r="K1579" s="71"/>
      <c r="L1579" s="71"/>
      <c r="M1579" s="71"/>
      <c r="N1579" s="71"/>
      <c r="O1579" s="71"/>
      <c r="P1579" s="71"/>
      <c r="Q1579" s="71"/>
      <c r="R1579" s="71"/>
      <c r="S1579" s="71"/>
      <c r="T1579" s="15"/>
      <c r="U1579" s="15"/>
      <c r="V1579" s="15"/>
      <c r="W1579" s="15"/>
    </row>
    <row r="1580">
      <c r="A1580" s="69"/>
      <c r="B1580" s="69"/>
      <c r="C1580" s="70"/>
      <c r="D1580" s="70"/>
      <c r="E1580" s="69"/>
      <c r="F1580" s="69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69"/>
      <c r="T1580" s="15"/>
      <c r="U1580" s="15"/>
      <c r="V1580" s="15"/>
      <c r="W1580" s="15"/>
    </row>
    <row r="1581">
      <c r="A1581" s="71"/>
      <c r="B1581" s="71"/>
      <c r="C1581" s="72"/>
      <c r="D1581" s="72"/>
      <c r="E1581" s="71"/>
      <c r="F1581" s="71"/>
      <c r="G1581" s="71"/>
      <c r="H1581" s="71"/>
      <c r="I1581" s="71"/>
      <c r="J1581" s="71"/>
      <c r="K1581" s="71"/>
      <c r="L1581" s="71"/>
      <c r="M1581" s="71"/>
      <c r="N1581" s="71"/>
      <c r="O1581" s="71"/>
      <c r="P1581" s="71"/>
      <c r="Q1581" s="71"/>
      <c r="R1581" s="71"/>
      <c r="S1581" s="71"/>
      <c r="T1581" s="15"/>
      <c r="U1581" s="15"/>
      <c r="V1581" s="15"/>
      <c r="W1581" s="15"/>
    </row>
    <row r="1582">
      <c r="A1582" s="69"/>
      <c r="B1582" s="69"/>
      <c r="C1582" s="70"/>
      <c r="D1582" s="70"/>
      <c r="E1582" s="69"/>
      <c r="F1582" s="69"/>
      <c r="G1582" s="69"/>
      <c r="H1582" s="69"/>
      <c r="I1582" s="69"/>
      <c r="J1582" s="69"/>
      <c r="K1582" s="69"/>
      <c r="L1582" s="69"/>
      <c r="M1582" s="69"/>
      <c r="N1582" s="69"/>
      <c r="O1582" s="69"/>
      <c r="P1582" s="69"/>
      <c r="Q1582" s="69"/>
      <c r="R1582" s="69"/>
      <c r="S1582" s="69"/>
      <c r="T1582" s="15"/>
      <c r="U1582" s="15"/>
      <c r="V1582" s="15"/>
      <c r="W1582" s="15"/>
    </row>
    <row r="1583">
      <c r="A1583" s="71"/>
      <c r="B1583" s="71"/>
      <c r="C1583" s="72"/>
      <c r="D1583" s="72"/>
      <c r="E1583" s="71"/>
      <c r="F1583" s="71"/>
      <c r="G1583" s="71"/>
      <c r="H1583" s="71"/>
      <c r="I1583" s="71"/>
      <c r="J1583" s="71"/>
      <c r="K1583" s="71"/>
      <c r="L1583" s="71"/>
      <c r="M1583" s="71"/>
      <c r="N1583" s="71"/>
      <c r="O1583" s="71"/>
      <c r="P1583" s="71"/>
      <c r="Q1583" s="71"/>
      <c r="R1583" s="71"/>
      <c r="S1583" s="71"/>
      <c r="T1583" s="15"/>
      <c r="U1583" s="15"/>
      <c r="V1583" s="15"/>
      <c r="W1583" s="15"/>
    </row>
    <row r="1584">
      <c r="A1584" s="69"/>
      <c r="B1584" s="69"/>
      <c r="C1584" s="70"/>
      <c r="D1584" s="70"/>
      <c r="E1584" s="69"/>
      <c r="F1584" s="69"/>
      <c r="G1584" s="69"/>
      <c r="H1584" s="69"/>
      <c r="I1584" s="69"/>
      <c r="J1584" s="69"/>
      <c r="K1584" s="69"/>
      <c r="L1584" s="69"/>
      <c r="M1584" s="69"/>
      <c r="N1584" s="69"/>
      <c r="O1584" s="69"/>
      <c r="P1584" s="69"/>
      <c r="Q1584" s="69"/>
      <c r="R1584" s="69"/>
      <c r="S1584" s="69"/>
      <c r="T1584" s="15"/>
      <c r="U1584" s="15"/>
      <c r="V1584" s="15"/>
      <c r="W1584" s="15"/>
    </row>
    <row r="1585">
      <c r="A1585" s="71"/>
      <c r="B1585" s="71"/>
      <c r="C1585" s="72"/>
      <c r="D1585" s="72"/>
      <c r="E1585" s="71"/>
      <c r="F1585" s="71"/>
      <c r="G1585" s="71"/>
      <c r="H1585" s="71"/>
      <c r="I1585" s="71"/>
      <c r="J1585" s="71"/>
      <c r="K1585" s="71"/>
      <c r="L1585" s="71"/>
      <c r="M1585" s="71"/>
      <c r="N1585" s="71"/>
      <c r="O1585" s="71"/>
      <c r="P1585" s="71"/>
      <c r="Q1585" s="71"/>
      <c r="R1585" s="71"/>
      <c r="S1585" s="71"/>
      <c r="T1585" s="15"/>
      <c r="U1585" s="15"/>
      <c r="V1585" s="15"/>
      <c r="W1585" s="15"/>
    </row>
    <row r="1586">
      <c r="A1586" s="69"/>
      <c r="B1586" s="69"/>
      <c r="C1586" s="70"/>
      <c r="D1586" s="70"/>
      <c r="E1586" s="69"/>
      <c r="F1586" s="69"/>
      <c r="G1586" s="69"/>
      <c r="H1586" s="69"/>
      <c r="I1586" s="69"/>
      <c r="J1586" s="69"/>
      <c r="K1586" s="69"/>
      <c r="L1586" s="69"/>
      <c r="M1586" s="69"/>
      <c r="N1586" s="69"/>
      <c r="O1586" s="69"/>
      <c r="P1586" s="69"/>
      <c r="Q1586" s="69"/>
      <c r="R1586" s="69"/>
      <c r="S1586" s="69"/>
      <c r="T1586" s="15"/>
      <c r="U1586" s="15"/>
      <c r="V1586" s="15"/>
      <c r="W1586" s="15"/>
    </row>
    <row r="1587">
      <c r="A1587" s="71"/>
      <c r="B1587" s="71"/>
      <c r="C1587" s="72"/>
      <c r="D1587" s="72"/>
      <c r="E1587" s="71"/>
      <c r="F1587" s="71"/>
      <c r="G1587" s="71"/>
      <c r="H1587" s="71"/>
      <c r="I1587" s="71"/>
      <c r="J1587" s="71"/>
      <c r="K1587" s="71"/>
      <c r="L1587" s="71"/>
      <c r="M1587" s="71"/>
      <c r="N1587" s="71"/>
      <c r="O1587" s="71"/>
      <c r="P1587" s="71"/>
      <c r="Q1587" s="71"/>
      <c r="R1587" s="71"/>
      <c r="S1587" s="71"/>
      <c r="T1587" s="15"/>
      <c r="U1587" s="15"/>
      <c r="V1587" s="15"/>
      <c r="W1587" s="15"/>
    </row>
    <row r="1588">
      <c r="A1588" s="69"/>
      <c r="B1588" s="69"/>
      <c r="C1588" s="70"/>
      <c r="D1588" s="70"/>
      <c r="E1588" s="69"/>
      <c r="F1588" s="69"/>
      <c r="G1588" s="69"/>
      <c r="H1588" s="69"/>
      <c r="I1588" s="69"/>
      <c r="J1588" s="69"/>
      <c r="K1588" s="69"/>
      <c r="L1588" s="69"/>
      <c r="M1588" s="69"/>
      <c r="N1588" s="69"/>
      <c r="O1588" s="69"/>
      <c r="P1588" s="69"/>
      <c r="Q1588" s="69"/>
      <c r="R1588" s="69"/>
      <c r="S1588" s="69"/>
      <c r="T1588" s="15"/>
      <c r="U1588" s="15"/>
      <c r="V1588" s="15"/>
      <c r="W1588" s="15"/>
    </row>
    <row r="1589">
      <c r="A1589" s="71"/>
      <c r="B1589" s="71"/>
      <c r="C1589" s="72"/>
      <c r="D1589" s="72"/>
      <c r="E1589" s="71"/>
      <c r="F1589" s="71"/>
      <c r="G1589" s="71"/>
      <c r="H1589" s="71"/>
      <c r="I1589" s="71"/>
      <c r="J1589" s="71"/>
      <c r="K1589" s="71"/>
      <c r="L1589" s="71"/>
      <c r="M1589" s="71"/>
      <c r="N1589" s="71"/>
      <c r="O1589" s="71"/>
      <c r="P1589" s="71"/>
      <c r="Q1589" s="71"/>
      <c r="R1589" s="71"/>
      <c r="S1589" s="71"/>
      <c r="T1589" s="15"/>
      <c r="U1589" s="15"/>
      <c r="V1589" s="15"/>
      <c r="W1589" s="15"/>
    </row>
    <row r="1590">
      <c r="A1590" s="69"/>
      <c r="B1590" s="69"/>
      <c r="C1590" s="70"/>
      <c r="D1590" s="70"/>
      <c r="E1590" s="69"/>
      <c r="F1590" s="69"/>
      <c r="G1590" s="69"/>
      <c r="H1590" s="69"/>
      <c r="I1590" s="69"/>
      <c r="J1590" s="69"/>
      <c r="K1590" s="69"/>
      <c r="L1590" s="69"/>
      <c r="M1590" s="69"/>
      <c r="N1590" s="69"/>
      <c r="O1590" s="69"/>
      <c r="P1590" s="69"/>
      <c r="Q1590" s="69"/>
      <c r="R1590" s="69"/>
      <c r="S1590" s="69"/>
      <c r="T1590" s="15"/>
      <c r="U1590" s="15"/>
      <c r="V1590" s="15"/>
      <c r="W1590" s="15"/>
    </row>
    <row r="1591">
      <c r="A1591" s="71"/>
      <c r="B1591" s="71"/>
      <c r="C1591" s="72"/>
      <c r="D1591" s="72"/>
      <c r="E1591" s="71"/>
      <c r="F1591" s="71"/>
      <c r="G1591" s="71"/>
      <c r="H1591" s="71"/>
      <c r="I1591" s="71"/>
      <c r="J1591" s="71"/>
      <c r="K1591" s="71"/>
      <c r="L1591" s="71"/>
      <c r="M1591" s="71"/>
      <c r="N1591" s="71"/>
      <c r="O1591" s="71"/>
      <c r="P1591" s="71"/>
      <c r="Q1591" s="71"/>
      <c r="R1591" s="71"/>
      <c r="S1591" s="71"/>
      <c r="T1591" s="15"/>
      <c r="U1591" s="15"/>
      <c r="V1591" s="15"/>
      <c r="W1591" s="15"/>
    </row>
    <row r="1592">
      <c r="A1592" s="69"/>
      <c r="B1592" s="69"/>
      <c r="C1592" s="70"/>
      <c r="D1592" s="70"/>
      <c r="E1592" s="69"/>
      <c r="F1592" s="69"/>
      <c r="G1592" s="69"/>
      <c r="H1592" s="69"/>
      <c r="I1592" s="69"/>
      <c r="J1592" s="69"/>
      <c r="K1592" s="69"/>
      <c r="L1592" s="69"/>
      <c r="M1592" s="69"/>
      <c r="N1592" s="69"/>
      <c r="O1592" s="69"/>
      <c r="P1592" s="69"/>
      <c r="Q1592" s="69"/>
      <c r="R1592" s="69"/>
      <c r="S1592" s="69"/>
      <c r="T1592" s="15"/>
      <c r="U1592" s="15"/>
      <c r="V1592" s="15"/>
      <c r="W1592" s="15"/>
    </row>
    <row r="1593">
      <c r="A1593" s="71"/>
      <c r="B1593" s="71"/>
      <c r="C1593" s="72"/>
      <c r="D1593" s="72"/>
      <c r="E1593" s="71"/>
      <c r="F1593" s="71"/>
      <c r="G1593" s="71"/>
      <c r="H1593" s="71"/>
      <c r="I1593" s="71"/>
      <c r="J1593" s="71"/>
      <c r="K1593" s="71"/>
      <c r="L1593" s="71"/>
      <c r="M1593" s="71"/>
      <c r="N1593" s="71"/>
      <c r="O1593" s="71"/>
      <c r="P1593" s="71"/>
      <c r="Q1593" s="71"/>
      <c r="R1593" s="71"/>
      <c r="S1593" s="71"/>
      <c r="T1593" s="15"/>
      <c r="U1593" s="15"/>
      <c r="V1593" s="15"/>
      <c r="W1593" s="15"/>
    </row>
    <row r="1594">
      <c r="A1594" s="69"/>
      <c r="B1594" s="69"/>
      <c r="C1594" s="70"/>
      <c r="D1594" s="70"/>
      <c r="E1594" s="69"/>
      <c r="F1594" s="69"/>
      <c r="G1594" s="69"/>
      <c r="H1594" s="69"/>
      <c r="I1594" s="69"/>
      <c r="J1594" s="69"/>
      <c r="K1594" s="69"/>
      <c r="L1594" s="69"/>
      <c r="M1594" s="69"/>
      <c r="N1594" s="69"/>
      <c r="O1594" s="69"/>
      <c r="P1594" s="69"/>
      <c r="Q1594" s="69"/>
      <c r="R1594" s="69"/>
      <c r="S1594" s="69"/>
      <c r="T1594" s="15"/>
      <c r="U1594" s="15"/>
      <c r="V1594" s="15"/>
      <c r="W1594" s="15"/>
    </row>
    <row r="1595">
      <c r="A1595" s="71"/>
      <c r="B1595" s="71"/>
      <c r="C1595" s="72"/>
      <c r="D1595" s="72"/>
      <c r="E1595" s="71"/>
      <c r="F1595" s="71"/>
      <c r="G1595" s="71"/>
      <c r="H1595" s="71"/>
      <c r="I1595" s="71"/>
      <c r="J1595" s="71"/>
      <c r="K1595" s="71"/>
      <c r="L1595" s="71"/>
      <c r="M1595" s="71"/>
      <c r="N1595" s="71"/>
      <c r="O1595" s="71"/>
      <c r="P1595" s="71"/>
      <c r="Q1595" s="71"/>
      <c r="R1595" s="71"/>
      <c r="S1595" s="71"/>
      <c r="T1595" s="15"/>
      <c r="U1595" s="15"/>
      <c r="V1595" s="15"/>
      <c r="W1595" s="15"/>
    </row>
    <row r="1596">
      <c r="A1596" s="69"/>
      <c r="B1596" s="69"/>
      <c r="C1596" s="70"/>
      <c r="D1596" s="70"/>
      <c r="E1596" s="69"/>
      <c r="F1596" s="69"/>
      <c r="G1596" s="69"/>
      <c r="H1596" s="69"/>
      <c r="I1596" s="69"/>
      <c r="J1596" s="69"/>
      <c r="K1596" s="69"/>
      <c r="L1596" s="69"/>
      <c r="M1596" s="69"/>
      <c r="N1596" s="69"/>
      <c r="O1596" s="69"/>
      <c r="P1596" s="69"/>
      <c r="Q1596" s="69"/>
      <c r="R1596" s="69"/>
      <c r="S1596" s="69"/>
      <c r="T1596" s="15"/>
      <c r="U1596" s="15"/>
      <c r="V1596" s="15"/>
      <c r="W1596" s="15"/>
    </row>
    <row r="1597">
      <c r="A1597" s="71"/>
      <c r="B1597" s="71"/>
      <c r="C1597" s="72"/>
      <c r="D1597" s="72"/>
      <c r="E1597" s="71"/>
      <c r="F1597" s="71"/>
      <c r="G1597" s="71"/>
      <c r="H1597" s="71"/>
      <c r="I1597" s="71"/>
      <c r="J1597" s="71"/>
      <c r="K1597" s="71"/>
      <c r="L1597" s="71"/>
      <c r="M1597" s="71"/>
      <c r="N1597" s="71"/>
      <c r="O1597" s="71"/>
      <c r="P1597" s="71"/>
      <c r="Q1597" s="71"/>
      <c r="R1597" s="71"/>
      <c r="S1597" s="71"/>
      <c r="T1597" s="15"/>
      <c r="U1597" s="15"/>
      <c r="V1597" s="15"/>
      <c r="W1597" s="15"/>
    </row>
    <row r="1598">
      <c r="A1598" s="69"/>
      <c r="B1598" s="69"/>
      <c r="C1598" s="70"/>
      <c r="D1598" s="70"/>
      <c r="E1598" s="69"/>
      <c r="F1598" s="69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69"/>
      <c r="T1598" s="15"/>
      <c r="U1598" s="15"/>
      <c r="V1598" s="15"/>
      <c r="W1598" s="15"/>
    </row>
    <row r="1599">
      <c r="A1599" s="71"/>
      <c r="B1599" s="71"/>
      <c r="C1599" s="72"/>
      <c r="D1599" s="72"/>
      <c r="E1599" s="71"/>
      <c r="F1599" s="71"/>
      <c r="G1599" s="71"/>
      <c r="H1599" s="71"/>
      <c r="I1599" s="71"/>
      <c r="J1599" s="71"/>
      <c r="K1599" s="71"/>
      <c r="L1599" s="71"/>
      <c r="M1599" s="71"/>
      <c r="N1599" s="71"/>
      <c r="O1599" s="71"/>
      <c r="P1599" s="71"/>
      <c r="Q1599" s="71"/>
      <c r="R1599" s="71"/>
      <c r="S1599" s="71"/>
      <c r="T1599" s="15"/>
      <c r="U1599" s="15"/>
      <c r="V1599" s="15"/>
      <c r="W1599" s="15"/>
    </row>
    <row r="1600">
      <c r="A1600" s="69"/>
      <c r="B1600" s="69"/>
      <c r="C1600" s="70"/>
      <c r="D1600" s="70"/>
      <c r="E1600" s="69"/>
      <c r="F1600" s="69"/>
      <c r="G1600" s="69"/>
      <c r="H1600" s="69"/>
      <c r="I1600" s="69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15"/>
      <c r="U1600" s="15"/>
      <c r="V1600" s="15"/>
      <c r="W1600" s="15"/>
    </row>
    <row r="1601">
      <c r="A1601" s="71"/>
      <c r="B1601" s="71"/>
      <c r="C1601" s="72"/>
      <c r="D1601" s="72"/>
      <c r="E1601" s="71"/>
      <c r="F1601" s="71"/>
      <c r="G1601" s="71"/>
      <c r="H1601" s="71"/>
      <c r="I1601" s="71"/>
      <c r="J1601" s="71"/>
      <c r="K1601" s="71"/>
      <c r="L1601" s="71"/>
      <c r="M1601" s="71"/>
      <c r="N1601" s="71"/>
      <c r="O1601" s="71"/>
      <c r="P1601" s="71"/>
      <c r="Q1601" s="71"/>
      <c r="R1601" s="71"/>
      <c r="S1601" s="71"/>
      <c r="T1601" s="15"/>
      <c r="U1601" s="15"/>
      <c r="V1601" s="15"/>
      <c r="W1601" s="15"/>
    </row>
    <row r="1602">
      <c r="A1602" s="69"/>
      <c r="B1602" s="69"/>
      <c r="C1602" s="70"/>
      <c r="D1602" s="70"/>
      <c r="E1602" s="69"/>
      <c r="F1602" s="69"/>
      <c r="G1602" s="69"/>
      <c r="H1602" s="69"/>
      <c r="I1602" s="69"/>
      <c r="J1602" s="69"/>
      <c r="K1602" s="69"/>
      <c r="L1602" s="69"/>
      <c r="M1602" s="69"/>
      <c r="N1602" s="69"/>
      <c r="O1602" s="69"/>
      <c r="P1602" s="69"/>
      <c r="Q1602" s="69"/>
      <c r="R1602" s="69"/>
      <c r="S1602" s="69"/>
      <c r="T1602" s="15"/>
      <c r="U1602" s="15"/>
      <c r="V1602" s="15"/>
      <c r="W1602" s="15"/>
    </row>
    <row r="1603">
      <c r="A1603" s="71"/>
      <c r="B1603" s="71"/>
      <c r="C1603" s="72"/>
      <c r="D1603" s="72"/>
      <c r="E1603" s="71"/>
      <c r="F1603" s="71"/>
      <c r="G1603" s="71"/>
      <c r="H1603" s="71"/>
      <c r="I1603" s="71"/>
      <c r="J1603" s="71"/>
      <c r="K1603" s="71"/>
      <c r="L1603" s="71"/>
      <c r="M1603" s="71"/>
      <c r="N1603" s="71"/>
      <c r="O1603" s="71"/>
      <c r="P1603" s="71"/>
      <c r="Q1603" s="71"/>
      <c r="R1603" s="71"/>
      <c r="S1603" s="71"/>
      <c r="T1603" s="15"/>
      <c r="U1603" s="15"/>
      <c r="V1603" s="15"/>
      <c r="W1603" s="15"/>
    </row>
    <row r="1604">
      <c r="A1604" s="69"/>
      <c r="B1604" s="69"/>
      <c r="C1604" s="70"/>
      <c r="D1604" s="70"/>
      <c r="E1604" s="69"/>
      <c r="F1604" s="69"/>
      <c r="G1604" s="69"/>
      <c r="H1604" s="69"/>
      <c r="I1604" s="69"/>
      <c r="J1604" s="69"/>
      <c r="K1604" s="69"/>
      <c r="L1604" s="69"/>
      <c r="M1604" s="69"/>
      <c r="N1604" s="69"/>
      <c r="O1604" s="69"/>
      <c r="P1604" s="69"/>
      <c r="Q1604" s="69"/>
      <c r="R1604" s="69"/>
      <c r="S1604" s="69"/>
      <c r="T1604" s="15"/>
      <c r="U1604" s="15"/>
      <c r="V1604" s="15"/>
      <c r="W1604" s="15"/>
    </row>
    <row r="1605">
      <c r="A1605" s="71"/>
      <c r="B1605" s="71"/>
      <c r="C1605" s="72"/>
      <c r="D1605" s="72"/>
      <c r="E1605" s="71"/>
      <c r="F1605" s="71"/>
      <c r="G1605" s="71"/>
      <c r="H1605" s="71"/>
      <c r="I1605" s="71"/>
      <c r="J1605" s="71"/>
      <c r="K1605" s="71"/>
      <c r="L1605" s="71"/>
      <c r="M1605" s="71"/>
      <c r="N1605" s="71"/>
      <c r="O1605" s="71"/>
      <c r="P1605" s="71"/>
      <c r="Q1605" s="71"/>
      <c r="R1605" s="71"/>
      <c r="S1605" s="71"/>
      <c r="T1605" s="15"/>
      <c r="U1605" s="15"/>
      <c r="V1605" s="15"/>
      <c r="W1605" s="15"/>
    </row>
    <row r="1606">
      <c r="A1606" s="69"/>
      <c r="B1606" s="69"/>
      <c r="C1606" s="70"/>
      <c r="D1606" s="70"/>
      <c r="E1606" s="69"/>
      <c r="F1606" s="69"/>
      <c r="G1606" s="69"/>
      <c r="H1606" s="69"/>
      <c r="I1606" s="69"/>
      <c r="J1606" s="69"/>
      <c r="K1606" s="69"/>
      <c r="L1606" s="69"/>
      <c r="M1606" s="69"/>
      <c r="N1606" s="69"/>
      <c r="O1606" s="69"/>
      <c r="P1606" s="69"/>
      <c r="Q1606" s="69"/>
      <c r="R1606" s="69"/>
      <c r="S1606" s="69"/>
      <c r="T1606" s="15"/>
      <c r="U1606" s="15"/>
      <c r="V1606" s="15"/>
      <c r="W1606" s="15"/>
    </row>
    <row r="1607">
      <c r="A1607" s="71"/>
      <c r="B1607" s="71"/>
      <c r="C1607" s="72"/>
      <c r="D1607" s="72"/>
      <c r="E1607" s="71"/>
      <c r="F1607" s="71"/>
      <c r="G1607" s="71"/>
      <c r="H1607" s="71"/>
      <c r="I1607" s="71"/>
      <c r="J1607" s="71"/>
      <c r="K1607" s="71"/>
      <c r="L1607" s="71"/>
      <c r="M1607" s="71"/>
      <c r="N1607" s="71"/>
      <c r="O1607" s="71"/>
      <c r="P1607" s="71"/>
      <c r="Q1607" s="71"/>
      <c r="R1607" s="71"/>
      <c r="S1607" s="71"/>
      <c r="T1607" s="15"/>
      <c r="U1607" s="15"/>
      <c r="V1607" s="15"/>
      <c r="W1607" s="15"/>
    </row>
    <row r="1608">
      <c r="A1608" s="69"/>
      <c r="B1608" s="69"/>
      <c r="C1608" s="70"/>
      <c r="D1608" s="70"/>
      <c r="E1608" s="69"/>
      <c r="F1608" s="69"/>
      <c r="G1608" s="69"/>
      <c r="H1608" s="69"/>
      <c r="I1608" s="69"/>
      <c r="J1608" s="69"/>
      <c r="K1608" s="69"/>
      <c r="L1608" s="69"/>
      <c r="M1608" s="69"/>
      <c r="N1608" s="69"/>
      <c r="O1608" s="69"/>
      <c r="P1608" s="69"/>
      <c r="Q1608" s="69"/>
      <c r="R1608" s="69"/>
      <c r="S1608" s="69"/>
      <c r="T1608" s="15"/>
      <c r="U1608" s="15"/>
      <c r="V1608" s="15"/>
      <c r="W1608" s="15"/>
    </row>
    <row r="1609">
      <c r="A1609" s="71"/>
      <c r="B1609" s="71"/>
      <c r="C1609" s="72"/>
      <c r="D1609" s="72"/>
      <c r="E1609" s="71"/>
      <c r="F1609" s="71"/>
      <c r="G1609" s="71"/>
      <c r="H1609" s="71"/>
      <c r="I1609" s="71"/>
      <c r="J1609" s="71"/>
      <c r="K1609" s="71"/>
      <c r="L1609" s="71"/>
      <c r="M1609" s="71"/>
      <c r="N1609" s="71"/>
      <c r="O1609" s="71"/>
      <c r="P1609" s="71"/>
      <c r="Q1609" s="71"/>
      <c r="R1609" s="71"/>
      <c r="S1609" s="71"/>
      <c r="T1609" s="15"/>
      <c r="U1609" s="15"/>
      <c r="V1609" s="15"/>
      <c r="W1609" s="15"/>
    </row>
    <row r="1610">
      <c r="A1610" s="69"/>
      <c r="B1610" s="69"/>
      <c r="C1610" s="70"/>
      <c r="D1610" s="70"/>
      <c r="E1610" s="69"/>
      <c r="F1610" s="69"/>
      <c r="G1610" s="69"/>
      <c r="H1610" s="69"/>
      <c r="I1610" s="69"/>
      <c r="J1610" s="69"/>
      <c r="K1610" s="69"/>
      <c r="L1610" s="69"/>
      <c r="M1610" s="69"/>
      <c r="N1610" s="69"/>
      <c r="O1610" s="69"/>
      <c r="P1610" s="69"/>
      <c r="Q1610" s="69"/>
      <c r="R1610" s="69"/>
      <c r="S1610" s="69"/>
      <c r="T1610" s="15"/>
      <c r="U1610" s="15"/>
      <c r="V1610" s="15"/>
      <c r="W1610" s="15"/>
    </row>
    <row r="1611">
      <c r="A1611" s="71"/>
      <c r="B1611" s="71"/>
      <c r="C1611" s="72"/>
      <c r="D1611" s="72"/>
      <c r="E1611" s="71"/>
      <c r="F1611" s="71"/>
      <c r="G1611" s="71"/>
      <c r="H1611" s="71"/>
      <c r="I1611" s="71"/>
      <c r="J1611" s="71"/>
      <c r="K1611" s="71"/>
      <c r="L1611" s="71"/>
      <c r="M1611" s="71"/>
      <c r="N1611" s="71"/>
      <c r="O1611" s="71"/>
      <c r="P1611" s="71"/>
      <c r="Q1611" s="71"/>
      <c r="R1611" s="71"/>
      <c r="S1611" s="71"/>
      <c r="T1611" s="15"/>
      <c r="U1611" s="15"/>
      <c r="V1611" s="15"/>
      <c r="W1611" s="15"/>
    </row>
    <row r="1612">
      <c r="A1612" s="69"/>
      <c r="B1612" s="69"/>
      <c r="C1612" s="70"/>
      <c r="D1612" s="70"/>
      <c r="E1612" s="69"/>
      <c r="F1612" s="69"/>
      <c r="G1612" s="69"/>
      <c r="H1612" s="69"/>
      <c r="I1612" s="69"/>
      <c r="J1612" s="69"/>
      <c r="K1612" s="69"/>
      <c r="L1612" s="69"/>
      <c r="M1612" s="69"/>
      <c r="N1612" s="69"/>
      <c r="O1612" s="69"/>
      <c r="P1612" s="69"/>
      <c r="Q1612" s="69"/>
      <c r="R1612" s="69"/>
      <c r="S1612" s="69"/>
      <c r="T1612" s="15"/>
      <c r="U1612" s="15"/>
      <c r="V1612" s="15"/>
      <c r="W1612" s="15"/>
    </row>
    <row r="1613">
      <c r="A1613" s="71"/>
      <c r="B1613" s="71"/>
      <c r="C1613" s="72"/>
      <c r="D1613" s="72"/>
      <c r="E1613" s="71"/>
      <c r="F1613" s="71"/>
      <c r="G1613" s="71"/>
      <c r="H1613" s="71"/>
      <c r="I1613" s="71"/>
      <c r="J1613" s="71"/>
      <c r="K1613" s="71"/>
      <c r="L1613" s="71"/>
      <c r="M1613" s="71"/>
      <c r="N1613" s="71"/>
      <c r="O1613" s="71"/>
      <c r="P1613" s="71"/>
      <c r="Q1613" s="71"/>
      <c r="R1613" s="71"/>
      <c r="S1613" s="71"/>
      <c r="T1613" s="15"/>
      <c r="U1613" s="15"/>
      <c r="V1613" s="15"/>
      <c r="W1613" s="15"/>
    </row>
    <row r="1614">
      <c r="A1614" s="69"/>
      <c r="B1614" s="69"/>
      <c r="C1614" s="70"/>
      <c r="D1614" s="70"/>
      <c r="E1614" s="69"/>
      <c r="F1614" s="69"/>
      <c r="G1614" s="69"/>
      <c r="H1614" s="69"/>
      <c r="I1614" s="69"/>
      <c r="J1614" s="69"/>
      <c r="K1614" s="69"/>
      <c r="L1614" s="69"/>
      <c r="M1614" s="69"/>
      <c r="N1614" s="69"/>
      <c r="O1614" s="69"/>
      <c r="P1614" s="69"/>
      <c r="Q1614" s="69"/>
      <c r="R1614" s="69"/>
      <c r="S1614" s="69"/>
      <c r="T1614" s="15"/>
      <c r="U1614" s="15"/>
      <c r="V1614" s="15"/>
      <c r="W1614" s="15"/>
    </row>
    <row r="1615">
      <c r="A1615" s="71"/>
      <c r="B1615" s="71"/>
      <c r="C1615" s="72"/>
      <c r="D1615" s="72"/>
      <c r="E1615" s="71"/>
      <c r="F1615" s="71"/>
      <c r="G1615" s="71"/>
      <c r="H1615" s="71"/>
      <c r="I1615" s="71"/>
      <c r="J1615" s="71"/>
      <c r="K1615" s="71"/>
      <c r="L1615" s="71"/>
      <c r="M1615" s="71"/>
      <c r="N1615" s="71"/>
      <c r="O1615" s="71"/>
      <c r="P1615" s="71"/>
      <c r="Q1615" s="71"/>
      <c r="R1615" s="71"/>
      <c r="S1615" s="71"/>
      <c r="T1615" s="15"/>
      <c r="U1615" s="15"/>
      <c r="V1615" s="15"/>
      <c r="W1615" s="15"/>
    </row>
    <row r="1616">
      <c r="A1616" s="69"/>
      <c r="B1616" s="69"/>
      <c r="C1616" s="70"/>
      <c r="D1616" s="70"/>
      <c r="E1616" s="69"/>
      <c r="F1616" s="69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69"/>
      <c r="T1616" s="15"/>
      <c r="U1616" s="15"/>
      <c r="V1616" s="15"/>
      <c r="W1616" s="15"/>
    </row>
    <row r="1617">
      <c r="A1617" s="71"/>
      <c r="B1617" s="71"/>
      <c r="C1617" s="72"/>
      <c r="D1617" s="72"/>
      <c r="E1617" s="71"/>
      <c r="F1617" s="71"/>
      <c r="G1617" s="71"/>
      <c r="H1617" s="71"/>
      <c r="I1617" s="71"/>
      <c r="J1617" s="71"/>
      <c r="K1617" s="71"/>
      <c r="L1617" s="71"/>
      <c r="M1617" s="71"/>
      <c r="N1617" s="71"/>
      <c r="O1617" s="71"/>
      <c r="P1617" s="71"/>
      <c r="Q1617" s="71"/>
      <c r="R1617" s="71"/>
      <c r="S1617" s="71"/>
      <c r="T1617" s="15"/>
      <c r="U1617" s="15"/>
      <c r="V1617" s="15"/>
      <c r="W1617" s="15"/>
    </row>
    <row r="1618">
      <c r="A1618" s="69"/>
      <c r="B1618" s="69"/>
      <c r="C1618" s="70"/>
      <c r="D1618" s="70"/>
      <c r="E1618" s="69"/>
      <c r="F1618" s="69"/>
      <c r="G1618" s="69"/>
      <c r="H1618" s="69"/>
      <c r="I1618" s="69"/>
      <c r="J1618" s="69"/>
      <c r="K1618" s="69"/>
      <c r="L1618" s="69"/>
      <c r="M1618" s="69"/>
      <c r="N1618" s="69"/>
      <c r="O1618" s="69"/>
      <c r="P1618" s="69"/>
      <c r="Q1618" s="69"/>
      <c r="R1618" s="69"/>
      <c r="S1618" s="69"/>
      <c r="T1618" s="15"/>
      <c r="U1618" s="15"/>
      <c r="V1618" s="15"/>
      <c r="W1618" s="15"/>
    </row>
    <row r="1619">
      <c r="A1619" s="71"/>
      <c r="B1619" s="71"/>
      <c r="C1619" s="72"/>
      <c r="D1619" s="72"/>
      <c r="E1619" s="71"/>
      <c r="F1619" s="71"/>
      <c r="G1619" s="71"/>
      <c r="H1619" s="71"/>
      <c r="I1619" s="71"/>
      <c r="J1619" s="71"/>
      <c r="K1619" s="71"/>
      <c r="L1619" s="71"/>
      <c r="M1619" s="71"/>
      <c r="N1619" s="71"/>
      <c r="O1619" s="71"/>
      <c r="P1619" s="71"/>
      <c r="Q1619" s="71"/>
      <c r="R1619" s="71"/>
      <c r="S1619" s="71"/>
      <c r="T1619" s="15"/>
      <c r="U1619" s="15"/>
      <c r="V1619" s="15"/>
      <c r="W1619" s="15"/>
    </row>
    <row r="1620">
      <c r="A1620" s="69"/>
      <c r="B1620" s="69"/>
      <c r="C1620" s="70"/>
      <c r="D1620" s="70"/>
      <c r="E1620" s="69"/>
      <c r="F1620" s="69"/>
      <c r="G1620" s="69"/>
      <c r="H1620" s="69"/>
      <c r="I1620" s="69"/>
      <c r="J1620" s="69"/>
      <c r="K1620" s="69"/>
      <c r="L1620" s="69"/>
      <c r="M1620" s="69"/>
      <c r="N1620" s="69"/>
      <c r="O1620" s="69"/>
      <c r="P1620" s="69"/>
      <c r="Q1620" s="69"/>
      <c r="R1620" s="69"/>
      <c r="S1620" s="69"/>
      <c r="T1620" s="15"/>
      <c r="U1620" s="15"/>
      <c r="V1620" s="15"/>
      <c r="W1620" s="15"/>
    </row>
    <row r="1621">
      <c r="A1621" s="71"/>
      <c r="B1621" s="71"/>
      <c r="C1621" s="72"/>
      <c r="D1621" s="72"/>
      <c r="E1621" s="71"/>
      <c r="F1621" s="71"/>
      <c r="G1621" s="71"/>
      <c r="H1621" s="71"/>
      <c r="I1621" s="71"/>
      <c r="J1621" s="71"/>
      <c r="K1621" s="71"/>
      <c r="L1621" s="71"/>
      <c r="M1621" s="71"/>
      <c r="N1621" s="71"/>
      <c r="O1621" s="71"/>
      <c r="P1621" s="71"/>
      <c r="Q1621" s="71"/>
      <c r="R1621" s="71"/>
      <c r="S1621" s="71"/>
      <c r="T1621" s="15"/>
      <c r="U1621" s="15"/>
      <c r="V1621" s="15"/>
      <c r="W1621" s="15"/>
    </row>
    <row r="1622">
      <c r="A1622" s="69"/>
      <c r="B1622" s="69"/>
      <c r="C1622" s="70"/>
      <c r="D1622" s="70"/>
      <c r="E1622" s="69"/>
      <c r="F1622" s="69"/>
      <c r="G1622" s="69"/>
      <c r="H1622" s="69"/>
      <c r="I1622" s="69"/>
      <c r="J1622" s="69"/>
      <c r="K1622" s="69"/>
      <c r="L1622" s="69"/>
      <c r="M1622" s="69"/>
      <c r="N1622" s="69"/>
      <c r="O1622" s="69"/>
      <c r="P1622" s="69"/>
      <c r="Q1622" s="69"/>
      <c r="R1622" s="69"/>
      <c r="S1622" s="69"/>
      <c r="T1622" s="15"/>
      <c r="U1622" s="15"/>
      <c r="V1622" s="15"/>
      <c r="W1622" s="15"/>
    </row>
    <row r="1623">
      <c r="A1623" s="71"/>
      <c r="B1623" s="71"/>
      <c r="C1623" s="72"/>
      <c r="D1623" s="72"/>
      <c r="E1623" s="71"/>
      <c r="F1623" s="71"/>
      <c r="G1623" s="71"/>
      <c r="H1623" s="71"/>
      <c r="I1623" s="71"/>
      <c r="J1623" s="71"/>
      <c r="K1623" s="71"/>
      <c r="L1623" s="71"/>
      <c r="M1623" s="71"/>
      <c r="N1623" s="71"/>
      <c r="O1623" s="71"/>
      <c r="P1623" s="71"/>
      <c r="Q1623" s="71"/>
      <c r="R1623" s="71"/>
      <c r="S1623" s="71"/>
      <c r="T1623" s="15"/>
      <c r="U1623" s="15"/>
      <c r="V1623" s="15"/>
      <c r="W1623" s="15"/>
    </row>
    <row r="1624">
      <c r="A1624" s="69"/>
      <c r="B1624" s="69"/>
      <c r="C1624" s="70"/>
      <c r="D1624" s="70"/>
      <c r="E1624" s="69"/>
      <c r="F1624" s="69"/>
      <c r="G1624" s="69"/>
      <c r="H1624" s="69"/>
      <c r="I1624" s="69"/>
      <c r="J1624" s="69"/>
      <c r="K1624" s="69"/>
      <c r="L1624" s="69"/>
      <c r="M1624" s="69"/>
      <c r="N1624" s="69"/>
      <c r="O1624" s="69"/>
      <c r="P1624" s="69"/>
      <c r="Q1624" s="69"/>
      <c r="R1624" s="69"/>
      <c r="S1624" s="69"/>
      <c r="T1624" s="15"/>
      <c r="U1624" s="15"/>
      <c r="V1624" s="15"/>
      <c r="W1624" s="15"/>
    </row>
    <row r="1625">
      <c r="A1625" s="71"/>
      <c r="B1625" s="71"/>
      <c r="C1625" s="72"/>
      <c r="D1625" s="72"/>
      <c r="E1625" s="71"/>
      <c r="F1625" s="71"/>
      <c r="G1625" s="71"/>
      <c r="H1625" s="71"/>
      <c r="I1625" s="71"/>
      <c r="J1625" s="71"/>
      <c r="K1625" s="71"/>
      <c r="L1625" s="71"/>
      <c r="M1625" s="71"/>
      <c r="N1625" s="71"/>
      <c r="O1625" s="71"/>
      <c r="P1625" s="71"/>
      <c r="Q1625" s="71"/>
      <c r="R1625" s="71"/>
      <c r="S1625" s="71"/>
      <c r="T1625" s="15"/>
      <c r="U1625" s="15"/>
      <c r="V1625" s="15"/>
      <c r="W1625" s="15"/>
    </row>
    <row r="1626">
      <c r="A1626" s="69"/>
      <c r="B1626" s="69"/>
      <c r="C1626" s="70"/>
      <c r="D1626" s="70"/>
      <c r="E1626" s="69"/>
      <c r="F1626" s="69"/>
      <c r="G1626" s="69"/>
      <c r="H1626" s="69"/>
      <c r="I1626" s="69"/>
      <c r="J1626" s="69"/>
      <c r="K1626" s="69"/>
      <c r="L1626" s="69"/>
      <c r="M1626" s="69"/>
      <c r="N1626" s="69"/>
      <c r="O1626" s="69"/>
      <c r="P1626" s="69"/>
      <c r="Q1626" s="69"/>
      <c r="R1626" s="69"/>
      <c r="S1626" s="69"/>
      <c r="T1626" s="15"/>
      <c r="U1626" s="15"/>
      <c r="V1626" s="15"/>
      <c r="W1626" s="15"/>
    </row>
    <row r="1627">
      <c r="A1627" s="71"/>
      <c r="B1627" s="71"/>
      <c r="C1627" s="72"/>
      <c r="D1627" s="72"/>
      <c r="E1627" s="71"/>
      <c r="F1627" s="71"/>
      <c r="G1627" s="71"/>
      <c r="H1627" s="71"/>
      <c r="I1627" s="71"/>
      <c r="J1627" s="71"/>
      <c r="K1627" s="71"/>
      <c r="L1627" s="71"/>
      <c r="M1627" s="71"/>
      <c r="N1627" s="71"/>
      <c r="O1627" s="71"/>
      <c r="P1627" s="71"/>
      <c r="Q1627" s="71"/>
      <c r="R1627" s="71"/>
      <c r="S1627" s="71"/>
      <c r="T1627" s="15"/>
      <c r="U1627" s="15"/>
      <c r="V1627" s="15"/>
      <c r="W1627" s="15"/>
    </row>
    <row r="1628">
      <c r="A1628" s="69"/>
      <c r="B1628" s="69"/>
      <c r="C1628" s="70"/>
      <c r="D1628" s="70"/>
      <c r="E1628" s="69"/>
      <c r="F1628" s="69"/>
      <c r="G1628" s="69"/>
      <c r="H1628" s="69"/>
      <c r="I1628" s="69"/>
      <c r="J1628" s="69"/>
      <c r="K1628" s="69"/>
      <c r="L1628" s="69"/>
      <c r="M1628" s="69"/>
      <c r="N1628" s="69"/>
      <c r="O1628" s="69"/>
      <c r="P1628" s="69"/>
      <c r="Q1628" s="69"/>
      <c r="R1628" s="69"/>
      <c r="S1628" s="69"/>
      <c r="T1628" s="15"/>
      <c r="U1628" s="15"/>
      <c r="V1628" s="15"/>
      <c r="W1628" s="15"/>
    </row>
    <row r="1629">
      <c r="A1629" s="71"/>
      <c r="B1629" s="71"/>
      <c r="C1629" s="72"/>
      <c r="D1629" s="72"/>
      <c r="E1629" s="71"/>
      <c r="F1629" s="71"/>
      <c r="G1629" s="71"/>
      <c r="H1629" s="71"/>
      <c r="I1629" s="71"/>
      <c r="J1629" s="71"/>
      <c r="K1629" s="71"/>
      <c r="L1629" s="71"/>
      <c r="M1629" s="71"/>
      <c r="N1629" s="71"/>
      <c r="O1629" s="71"/>
      <c r="P1629" s="71"/>
      <c r="Q1629" s="71"/>
      <c r="R1629" s="71"/>
      <c r="S1629" s="71"/>
      <c r="T1629" s="15"/>
      <c r="U1629" s="15"/>
      <c r="V1629" s="15"/>
      <c r="W1629" s="15"/>
    </row>
    <row r="1630">
      <c r="A1630" s="69"/>
      <c r="B1630" s="69"/>
      <c r="C1630" s="70"/>
      <c r="D1630" s="70"/>
      <c r="E1630" s="69"/>
      <c r="F1630" s="69"/>
      <c r="G1630" s="69"/>
      <c r="H1630" s="69"/>
      <c r="I1630" s="69"/>
      <c r="J1630" s="69"/>
      <c r="K1630" s="69"/>
      <c r="L1630" s="69"/>
      <c r="M1630" s="69"/>
      <c r="N1630" s="69"/>
      <c r="O1630" s="69"/>
      <c r="P1630" s="69"/>
      <c r="Q1630" s="69"/>
      <c r="R1630" s="69"/>
      <c r="S1630" s="69"/>
      <c r="T1630" s="15"/>
      <c r="U1630" s="15"/>
      <c r="V1630" s="15"/>
      <c r="W1630" s="15"/>
    </row>
    <row r="1631">
      <c r="A1631" s="71"/>
      <c r="B1631" s="71"/>
      <c r="C1631" s="72"/>
      <c r="D1631" s="72"/>
      <c r="E1631" s="71"/>
      <c r="F1631" s="71"/>
      <c r="G1631" s="71"/>
      <c r="H1631" s="71"/>
      <c r="I1631" s="71"/>
      <c r="J1631" s="71"/>
      <c r="K1631" s="71"/>
      <c r="L1631" s="71"/>
      <c r="M1631" s="71"/>
      <c r="N1631" s="71"/>
      <c r="O1631" s="71"/>
      <c r="P1631" s="71"/>
      <c r="Q1631" s="71"/>
      <c r="R1631" s="71"/>
      <c r="S1631" s="71"/>
      <c r="T1631" s="15"/>
      <c r="U1631" s="15"/>
      <c r="V1631" s="15"/>
      <c r="W1631" s="15"/>
    </row>
    <row r="1632">
      <c r="A1632" s="69"/>
      <c r="B1632" s="69"/>
      <c r="C1632" s="70"/>
      <c r="D1632" s="70"/>
      <c r="E1632" s="69"/>
      <c r="F1632" s="69"/>
      <c r="G1632" s="69"/>
      <c r="H1632" s="69"/>
      <c r="I1632" s="69"/>
      <c r="J1632" s="69"/>
      <c r="K1632" s="69"/>
      <c r="L1632" s="69"/>
      <c r="M1632" s="69"/>
      <c r="N1632" s="69"/>
      <c r="O1632" s="69"/>
      <c r="P1632" s="69"/>
      <c r="Q1632" s="69"/>
      <c r="R1632" s="69"/>
      <c r="S1632" s="69"/>
      <c r="T1632" s="15"/>
      <c r="U1632" s="15"/>
      <c r="V1632" s="15"/>
      <c r="W1632" s="15"/>
    </row>
    <row r="1633">
      <c r="A1633" s="71"/>
      <c r="B1633" s="71"/>
      <c r="C1633" s="72"/>
      <c r="D1633" s="72"/>
      <c r="E1633" s="71"/>
      <c r="F1633" s="71"/>
      <c r="G1633" s="71"/>
      <c r="H1633" s="71"/>
      <c r="I1633" s="71"/>
      <c r="J1633" s="71"/>
      <c r="K1633" s="71"/>
      <c r="L1633" s="71"/>
      <c r="M1633" s="71"/>
      <c r="N1633" s="71"/>
      <c r="O1633" s="71"/>
      <c r="P1633" s="71"/>
      <c r="Q1633" s="71"/>
      <c r="R1633" s="71"/>
      <c r="S1633" s="71"/>
      <c r="T1633" s="15"/>
      <c r="U1633" s="15"/>
      <c r="V1633" s="15"/>
      <c r="W1633" s="15"/>
    </row>
    <row r="1634">
      <c r="A1634" s="69"/>
      <c r="B1634" s="69"/>
      <c r="C1634" s="70"/>
      <c r="D1634" s="70"/>
      <c r="E1634" s="69"/>
      <c r="F1634" s="69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69"/>
      <c r="T1634" s="15"/>
      <c r="U1634" s="15"/>
      <c r="V1634" s="15"/>
      <c r="W1634" s="15"/>
    </row>
    <row r="1635">
      <c r="A1635" s="71"/>
      <c r="B1635" s="71"/>
      <c r="C1635" s="72"/>
      <c r="D1635" s="72"/>
      <c r="E1635" s="71"/>
      <c r="F1635" s="71"/>
      <c r="G1635" s="71"/>
      <c r="H1635" s="71"/>
      <c r="I1635" s="71"/>
      <c r="J1635" s="71"/>
      <c r="K1635" s="71"/>
      <c r="L1635" s="71"/>
      <c r="M1635" s="71"/>
      <c r="N1635" s="71"/>
      <c r="O1635" s="71"/>
      <c r="P1635" s="71"/>
      <c r="Q1635" s="71"/>
      <c r="R1635" s="71"/>
      <c r="S1635" s="71"/>
      <c r="T1635" s="15"/>
      <c r="U1635" s="15"/>
      <c r="V1635" s="15"/>
      <c r="W1635" s="15"/>
    </row>
    <row r="1636">
      <c r="A1636" s="69"/>
      <c r="B1636" s="69"/>
      <c r="C1636" s="70"/>
      <c r="D1636" s="70"/>
      <c r="E1636" s="69"/>
      <c r="F1636" s="69"/>
      <c r="G1636" s="69"/>
      <c r="H1636" s="69"/>
      <c r="I1636" s="69"/>
      <c r="J1636" s="69"/>
      <c r="K1636" s="69"/>
      <c r="L1636" s="69"/>
      <c r="M1636" s="69"/>
      <c r="N1636" s="69"/>
      <c r="O1636" s="69"/>
      <c r="P1636" s="69"/>
      <c r="Q1636" s="69"/>
      <c r="R1636" s="69"/>
      <c r="S1636" s="69"/>
      <c r="T1636" s="15"/>
      <c r="U1636" s="15"/>
      <c r="V1636" s="15"/>
      <c r="W1636" s="15"/>
    </row>
    <row r="1637">
      <c r="A1637" s="71"/>
      <c r="B1637" s="71"/>
      <c r="C1637" s="72"/>
      <c r="D1637" s="72"/>
      <c r="E1637" s="71"/>
      <c r="F1637" s="71"/>
      <c r="G1637" s="71"/>
      <c r="H1637" s="71"/>
      <c r="I1637" s="71"/>
      <c r="J1637" s="71"/>
      <c r="K1637" s="71"/>
      <c r="L1637" s="71"/>
      <c r="M1637" s="71"/>
      <c r="N1637" s="71"/>
      <c r="O1637" s="71"/>
      <c r="P1637" s="71"/>
      <c r="Q1637" s="71"/>
      <c r="R1637" s="71"/>
      <c r="S1637" s="71"/>
      <c r="T1637" s="15"/>
      <c r="U1637" s="15"/>
      <c r="V1637" s="15"/>
      <c r="W1637" s="15"/>
    </row>
    <row r="1638">
      <c r="A1638" s="69"/>
      <c r="B1638" s="69"/>
      <c r="C1638" s="70"/>
      <c r="D1638" s="70"/>
      <c r="E1638" s="69"/>
      <c r="F1638" s="69"/>
      <c r="G1638" s="69"/>
      <c r="H1638" s="69"/>
      <c r="I1638" s="69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15"/>
      <c r="U1638" s="15"/>
      <c r="V1638" s="15"/>
      <c r="W1638" s="15"/>
    </row>
    <row r="1639">
      <c r="A1639" s="71"/>
      <c r="B1639" s="71"/>
      <c r="C1639" s="72"/>
      <c r="D1639" s="72"/>
      <c r="E1639" s="71"/>
      <c r="F1639" s="71"/>
      <c r="G1639" s="71"/>
      <c r="H1639" s="71"/>
      <c r="I1639" s="71"/>
      <c r="J1639" s="71"/>
      <c r="K1639" s="71"/>
      <c r="L1639" s="71"/>
      <c r="M1639" s="71"/>
      <c r="N1639" s="71"/>
      <c r="O1639" s="71"/>
      <c r="P1639" s="71"/>
      <c r="Q1639" s="71"/>
      <c r="R1639" s="71"/>
      <c r="S1639" s="71"/>
      <c r="T1639" s="15"/>
      <c r="U1639" s="15"/>
      <c r="V1639" s="15"/>
      <c r="W1639" s="15"/>
    </row>
    <row r="1640">
      <c r="A1640" s="69"/>
      <c r="B1640" s="69"/>
      <c r="C1640" s="70"/>
      <c r="D1640" s="70"/>
      <c r="E1640" s="69"/>
      <c r="F1640" s="69"/>
      <c r="G1640" s="69"/>
      <c r="H1640" s="69"/>
      <c r="I1640" s="69"/>
      <c r="J1640" s="69"/>
      <c r="K1640" s="69"/>
      <c r="L1640" s="69"/>
      <c r="M1640" s="69"/>
      <c r="N1640" s="69"/>
      <c r="O1640" s="69"/>
      <c r="P1640" s="69"/>
      <c r="Q1640" s="69"/>
      <c r="R1640" s="69"/>
      <c r="S1640" s="69"/>
      <c r="T1640" s="15"/>
      <c r="U1640" s="15"/>
      <c r="V1640" s="15"/>
      <c r="W1640" s="15"/>
    </row>
    <row r="1641">
      <c r="A1641" s="71"/>
      <c r="B1641" s="71"/>
      <c r="C1641" s="72"/>
      <c r="D1641" s="72"/>
      <c r="E1641" s="71"/>
      <c r="F1641" s="71"/>
      <c r="G1641" s="71"/>
      <c r="H1641" s="71"/>
      <c r="I1641" s="71"/>
      <c r="J1641" s="71"/>
      <c r="K1641" s="71"/>
      <c r="L1641" s="71"/>
      <c r="M1641" s="71"/>
      <c r="N1641" s="71"/>
      <c r="O1641" s="71"/>
      <c r="P1641" s="71"/>
      <c r="Q1641" s="71"/>
      <c r="R1641" s="71"/>
      <c r="S1641" s="71"/>
      <c r="T1641" s="15"/>
      <c r="U1641" s="15"/>
      <c r="V1641" s="15"/>
      <c r="W1641" s="15"/>
    </row>
    <row r="1642">
      <c r="A1642" s="69"/>
      <c r="B1642" s="69"/>
      <c r="C1642" s="70"/>
      <c r="D1642" s="70"/>
      <c r="E1642" s="69"/>
      <c r="F1642" s="69"/>
      <c r="G1642" s="69"/>
      <c r="H1642" s="69"/>
      <c r="I1642" s="69"/>
      <c r="J1642" s="69"/>
      <c r="K1642" s="69"/>
      <c r="L1642" s="69"/>
      <c r="M1642" s="69"/>
      <c r="N1642" s="69"/>
      <c r="O1642" s="69"/>
      <c r="P1642" s="69"/>
      <c r="Q1642" s="69"/>
      <c r="R1642" s="69"/>
      <c r="S1642" s="69"/>
      <c r="T1642" s="15"/>
      <c r="U1642" s="15"/>
      <c r="V1642" s="15"/>
      <c r="W1642" s="15"/>
    </row>
    <row r="1643">
      <c r="A1643" s="71"/>
      <c r="B1643" s="71"/>
      <c r="C1643" s="72"/>
      <c r="D1643" s="72"/>
      <c r="E1643" s="71"/>
      <c r="F1643" s="71"/>
      <c r="G1643" s="71"/>
      <c r="H1643" s="71"/>
      <c r="I1643" s="71"/>
      <c r="J1643" s="71"/>
      <c r="K1643" s="71"/>
      <c r="L1643" s="71"/>
      <c r="M1643" s="71"/>
      <c r="N1643" s="71"/>
      <c r="O1643" s="71"/>
      <c r="P1643" s="71"/>
      <c r="Q1643" s="71"/>
      <c r="R1643" s="71"/>
      <c r="S1643" s="71"/>
      <c r="T1643" s="15"/>
      <c r="U1643" s="15"/>
      <c r="V1643" s="15"/>
      <c r="W1643" s="15"/>
    </row>
    <row r="1644">
      <c r="A1644" s="69"/>
      <c r="B1644" s="69"/>
      <c r="C1644" s="70"/>
      <c r="D1644" s="70"/>
      <c r="E1644" s="69"/>
      <c r="F1644" s="69"/>
      <c r="G1644" s="69"/>
      <c r="H1644" s="69"/>
      <c r="I1644" s="69"/>
      <c r="J1644" s="69"/>
      <c r="K1644" s="69"/>
      <c r="L1644" s="69"/>
      <c r="M1644" s="69"/>
      <c r="N1644" s="69"/>
      <c r="O1644" s="69"/>
      <c r="P1644" s="69"/>
      <c r="Q1644" s="69"/>
      <c r="R1644" s="69"/>
      <c r="S1644" s="69"/>
      <c r="T1644" s="15"/>
      <c r="U1644" s="15"/>
      <c r="V1644" s="15"/>
      <c r="W1644" s="15"/>
    </row>
    <row r="1645">
      <c r="A1645" s="71"/>
      <c r="B1645" s="71"/>
      <c r="C1645" s="72"/>
      <c r="D1645" s="72"/>
      <c r="E1645" s="71"/>
      <c r="F1645" s="71"/>
      <c r="G1645" s="71"/>
      <c r="H1645" s="71"/>
      <c r="I1645" s="71"/>
      <c r="J1645" s="71"/>
      <c r="K1645" s="71"/>
      <c r="L1645" s="71"/>
      <c r="M1645" s="71"/>
      <c r="N1645" s="71"/>
      <c r="O1645" s="71"/>
      <c r="P1645" s="71"/>
      <c r="Q1645" s="71"/>
      <c r="R1645" s="71"/>
      <c r="S1645" s="71"/>
      <c r="T1645" s="15"/>
      <c r="U1645" s="15"/>
      <c r="V1645" s="15"/>
      <c r="W1645" s="15"/>
    </row>
    <row r="1646">
      <c r="A1646" s="69"/>
      <c r="B1646" s="69"/>
      <c r="C1646" s="70"/>
      <c r="D1646" s="70"/>
      <c r="E1646" s="69"/>
      <c r="F1646" s="69"/>
      <c r="G1646" s="69"/>
      <c r="H1646" s="69"/>
      <c r="I1646" s="69"/>
      <c r="J1646" s="69"/>
      <c r="K1646" s="69"/>
      <c r="L1646" s="69"/>
      <c r="M1646" s="69"/>
      <c r="N1646" s="69"/>
      <c r="O1646" s="69"/>
      <c r="P1646" s="69"/>
      <c r="Q1646" s="69"/>
      <c r="R1646" s="69"/>
      <c r="S1646" s="69"/>
      <c r="T1646" s="15"/>
      <c r="U1646" s="15"/>
      <c r="V1646" s="15"/>
      <c r="W1646" s="15"/>
    </row>
    <row r="1647">
      <c r="A1647" s="71"/>
      <c r="B1647" s="71"/>
      <c r="C1647" s="72"/>
      <c r="D1647" s="72"/>
      <c r="E1647" s="71"/>
      <c r="F1647" s="71"/>
      <c r="G1647" s="71"/>
      <c r="H1647" s="71"/>
      <c r="I1647" s="71"/>
      <c r="J1647" s="71"/>
      <c r="K1647" s="71"/>
      <c r="L1647" s="71"/>
      <c r="M1647" s="71"/>
      <c r="N1647" s="71"/>
      <c r="O1647" s="71"/>
      <c r="P1647" s="71"/>
      <c r="Q1647" s="71"/>
      <c r="R1647" s="71"/>
      <c r="S1647" s="71"/>
      <c r="T1647" s="15"/>
      <c r="U1647" s="15"/>
      <c r="V1647" s="15"/>
      <c r="W1647" s="15"/>
    </row>
    <row r="1648">
      <c r="A1648" s="69"/>
      <c r="B1648" s="69"/>
      <c r="C1648" s="70"/>
      <c r="D1648" s="70"/>
      <c r="E1648" s="69"/>
      <c r="F1648" s="69"/>
      <c r="G1648" s="69"/>
      <c r="H1648" s="69"/>
      <c r="I1648" s="69"/>
      <c r="J1648" s="69"/>
      <c r="K1648" s="69"/>
      <c r="L1648" s="69"/>
      <c r="M1648" s="69"/>
      <c r="N1648" s="69"/>
      <c r="O1648" s="69"/>
      <c r="P1648" s="69"/>
      <c r="Q1648" s="69"/>
      <c r="R1648" s="69"/>
      <c r="S1648" s="69"/>
      <c r="T1648" s="15"/>
      <c r="U1648" s="15"/>
      <c r="V1648" s="15"/>
      <c r="W1648" s="15"/>
    </row>
    <row r="1649">
      <c r="A1649" s="71"/>
      <c r="B1649" s="71"/>
      <c r="C1649" s="72"/>
      <c r="D1649" s="72"/>
      <c r="E1649" s="71"/>
      <c r="F1649" s="71"/>
      <c r="G1649" s="71"/>
      <c r="H1649" s="71"/>
      <c r="I1649" s="71"/>
      <c r="J1649" s="71"/>
      <c r="K1649" s="71"/>
      <c r="L1649" s="71"/>
      <c r="M1649" s="71"/>
      <c r="N1649" s="71"/>
      <c r="O1649" s="71"/>
      <c r="P1649" s="71"/>
      <c r="Q1649" s="71"/>
      <c r="R1649" s="71"/>
      <c r="S1649" s="71"/>
      <c r="T1649" s="15"/>
      <c r="U1649" s="15"/>
      <c r="V1649" s="15"/>
      <c r="W1649" s="15"/>
    </row>
    <row r="1650">
      <c r="A1650" s="69"/>
      <c r="B1650" s="69"/>
      <c r="C1650" s="70"/>
      <c r="D1650" s="70"/>
      <c r="E1650" s="69"/>
      <c r="F1650" s="69"/>
      <c r="G1650" s="69"/>
      <c r="H1650" s="69"/>
      <c r="I1650" s="69"/>
      <c r="J1650" s="69"/>
      <c r="K1650" s="69"/>
      <c r="L1650" s="69"/>
      <c r="M1650" s="69"/>
      <c r="N1650" s="69"/>
      <c r="O1650" s="69"/>
      <c r="P1650" s="69"/>
      <c r="Q1650" s="69"/>
      <c r="R1650" s="69"/>
      <c r="S1650" s="69"/>
      <c r="T1650" s="15"/>
      <c r="U1650" s="15"/>
      <c r="V1650" s="15"/>
      <c r="W1650" s="15"/>
    </row>
    <row r="1651">
      <c r="A1651" s="71"/>
      <c r="B1651" s="71"/>
      <c r="C1651" s="72"/>
      <c r="D1651" s="72"/>
      <c r="E1651" s="71"/>
      <c r="F1651" s="71"/>
      <c r="G1651" s="71"/>
      <c r="H1651" s="71"/>
      <c r="I1651" s="71"/>
      <c r="J1651" s="71"/>
      <c r="K1651" s="71"/>
      <c r="L1651" s="71"/>
      <c r="M1651" s="71"/>
      <c r="N1651" s="71"/>
      <c r="O1651" s="71"/>
      <c r="P1651" s="71"/>
      <c r="Q1651" s="71"/>
      <c r="R1651" s="71"/>
      <c r="S1651" s="71"/>
      <c r="T1651" s="15"/>
      <c r="U1651" s="15"/>
      <c r="V1651" s="15"/>
      <c r="W1651" s="15"/>
    </row>
    <row r="1652">
      <c r="A1652" s="69"/>
      <c r="B1652" s="69"/>
      <c r="C1652" s="70"/>
      <c r="D1652" s="70"/>
      <c r="E1652" s="69"/>
      <c r="F1652" s="69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69"/>
      <c r="T1652" s="15"/>
      <c r="U1652" s="15"/>
      <c r="V1652" s="15"/>
      <c r="W1652" s="15"/>
    </row>
    <row r="1653">
      <c r="A1653" s="71"/>
      <c r="B1653" s="71"/>
      <c r="C1653" s="72"/>
      <c r="D1653" s="72"/>
      <c r="E1653" s="71"/>
      <c r="F1653" s="71"/>
      <c r="G1653" s="71"/>
      <c r="H1653" s="71"/>
      <c r="I1653" s="71"/>
      <c r="J1653" s="71"/>
      <c r="K1653" s="71"/>
      <c r="L1653" s="71"/>
      <c r="M1653" s="71"/>
      <c r="N1653" s="71"/>
      <c r="O1653" s="71"/>
      <c r="P1653" s="71"/>
      <c r="Q1653" s="71"/>
      <c r="R1653" s="71"/>
      <c r="S1653" s="71"/>
      <c r="T1653" s="15"/>
      <c r="U1653" s="15"/>
      <c r="V1653" s="15"/>
      <c r="W1653" s="15"/>
    </row>
    <row r="1654">
      <c r="A1654" s="69"/>
      <c r="B1654" s="69"/>
      <c r="C1654" s="70"/>
      <c r="D1654" s="70"/>
      <c r="E1654" s="69"/>
      <c r="F1654" s="69"/>
      <c r="G1654" s="69"/>
      <c r="H1654" s="69"/>
      <c r="I1654" s="69"/>
      <c r="J1654" s="69"/>
      <c r="K1654" s="69"/>
      <c r="L1654" s="69"/>
      <c r="M1654" s="69"/>
      <c r="N1654" s="69"/>
      <c r="O1654" s="69"/>
      <c r="P1654" s="69"/>
      <c r="Q1654" s="69"/>
      <c r="R1654" s="69"/>
      <c r="S1654" s="69"/>
      <c r="T1654" s="15"/>
      <c r="U1654" s="15"/>
      <c r="V1654" s="15"/>
      <c r="W1654" s="15"/>
    </row>
    <row r="1655">
      <c r="A1655" s="71"/>
      <c r="B1655" s="71"/>
      <c r="C1655" s="72"/>
      <c r="D1655" s="72"/>
      <c r="E1655" s="71"/>
      <c r="F1655" s="71"/>
      <c r="G1655" s="71"/>
      <c r="H1655" s="71"/>
      <c r="I1655" s="71"/>
      <c r="J1655" s="71"/>
      <c r="K1655" s="71"/>
      <c r="L1655" s="71"/>
      <c r="M1655" s="71"/>
      <c r="N1655" s="71"/>
      <c r="O1655" s="71"/>
      <c r="P1655" s="71"/>
      <c r="Q1655" s="71"/>
      <c r="R1655" s="71"/>
      <c r="S1655" s="71"/>
      <c r="T1655" s="15"/>
      <c r="U1655" s="15"/>
      <c r="V1655" s="15"/>
      <c r="W1655" s="15"/>
    </row>
    <row r="1656">
      <c r="A1656" s="69"/>
      <c r="B1656" s="69"/>
      <c r="C1656" s="70"/>
      <c r="D1656" s="70"/>
      <c r="E1656" s="69"/>
      <c r="F1656" s="69"/>
      <c r="G1656" s="69"/>
      <c r="H1656" s="69"/>
      <c r="I1656" s="69"/>
      <c r="J1656" s="69"/>
      <c r="K1656" s="69"/>
      <c r="L1656" s="69"/>
      <c r="M1656" s="69"/>
      <c r="N1656" s="69"/>
      <c r="O1656" s="69"/>
      <c r="P1656" s="69"/>
      <c r="Q1656" s="69"/>
      <c r="R1656" s="69"/>
      <c r="S1656" s="69"/>
      <c r="T1656" s="15"/>
      <c r="U1656" s="15"/>
      <c r="V1656" s="15"/>
      <c r="W1656" s="15"/>
    </row>
    <row r="1657">
      <c r="A1657" s="71"/>
      <c r="B1657" s="71"/>
      <c r="C1657" s="72"/>
      <c r="D1657" s="72"/>
      <c r="E1657" s="71"/>
      <c r="F1657" s="71"/>
      <c r="G1657" s="71"/>
      <c r="H1657" s="71"/>
      <c r="I1657" s="71"/>
      <c r="J1657" s="71"/>
      <c r="K1657" s="71"/>
      <c r="L1657" s="71"/>
      <c r="M1657" s="71"/>
      <c r="N1657" s="71"/>
      <c r="O1657" s="71"/>
      <c r="P1657" s="71"/>
      <c r="Q1657" s="71"/>
      <c r="R1657" s="71"/>
      <c r="S1657" s="71"/>
      <c r="T1657" s="15"/>
      <c r="U1657" s="15"/>
      <c r="V1657" s="15"/>
      <c r="W1657" s="15"/>
    </row>
    <row r="1658">
      <c r="A1658" s="69"/>
      <c r="B1658" s="69"/>
      <c r="C1658" s="70"/>
      <c r="D1658" s="70"/>
      <c r="E1658" s="69"/>
      <c r="F1658" s="69"/>
      <c r="G1658" s="69"/>
      <c r="H1658" s="69"/>
      <c r="I1658" s="69"/>
      <c r="J1658" s="69"/>
      <c r="K1658" s="69"/>
      <c r="L1658" s="69"/>
      <c r="M1658" s="69"/>
      <c r="N1658" s="69"/>
      <c r="O1658" s="69"/>
      <c r="P1658" s="69"/>
      <c r="Q1658" s="69"/>
      <c r="R1658" s="69"/>
      <c r="S1658" s="69"/>
      <c r="T1658" s="15"/>
      <c r="U1658" s="15"/>
      <c r="V1658" s="15"/>
      <c r="W1658" s="15"/>
    </row>
    <row r="1659">
      <c r="A1659" s="71"/>
      <c r="B1659" s="71"/>
      <c r="C1659" s="72"/>
      <c r="D1659" s="72"/>
      <c r="E1659" s="71"/>
      <c r="F1659" s="71"/>
      <c r="G1659" s="71"/>
      <c r="H1659" s="71"/>
      <c r="I1659" s="71"/>
      <c r="J1659" s="71"/>
      <c r="K1659" s="71"/>
      <c r="L1659" s="71"/>
      <c r="M1659" s="71"/>
      <c r="N1659" s="71"/>
      <c r="O1659" s="71"/>
      <c r="P1659" s="71"/>
      <c r="Q1659" s="71"/>
      <c r="R1659" s="71"/>
      <c r="S1659" s="71"/>
      <c r="T1659" s="15"/>
      <c r="U1659" s="15"/>
      <c r="V1659" s="15"/>
      <c r="W1659" s="15"/>
    </row>
    <row r="1660">
      <c r="A1660" s="69"/>
      <c r="B1660" s="69"/>
      <c r="C1660" s="70"/>
      <c r="D1660" s="70"/>
      <c r="E1660" s="69"/>
      <c r="F1660" s="69"/>
      <c r="G1660" s="69"/>
      <c r="H1660" s="69"/>
      <c r="I1660" s="69"/>
      <c r="J1660" s="69"/>
      <c r="K1660" s="69"/>
      <c r="L1660" s="69"/>
      <c r="M1660" s="69"/>
      <c r="N1660" s="69"/>
      <c r="O1660" s="69"/>
      <c r="P1660" s="69"/>
      <c r="Q1660" s="69"/>
      <c r="R1660" s="69"/>
      <c r="S1660" s="69"/>
      <c r="T1660" s="15"/>
      <c r="U1660" s="15"/>
      <c r="V1660" s="15"/>
      <c r="W1660" s="15"/>
    </row>
    <row r="1661">
      <c r="A1661" s="71"/>
      <c r="B1661" s="71"/>
      <c r="C1661" s="72"/>
      <c r="D1661" s="72"/>
      <c r="E1661" s="71"/>
      <c r="F1661" s="71"/>
      <c r="G1661" s="71"/>
      <c r="H1661" s="71"/>
      <c r="I1661" s="71"/>
      <c r="J1661" s="71"/>
      <c r="K1661" s="71"/>
      <c r="L1661" s="71"/>
      <c r="M1661" s="71"/>
      <c r="N1661" s="71"/>
      <c r="O1661" s="71"/>
      <c r="P1661" s="71"/>
      <c r="Q1661" s="71"/>
      <c r="R1661" s="71"/>
      <c r="S1661" s="71"/>
      <c r="T1661" s="15"/>
      <c r="U1661" s="15"/>
      <c r="V1661" s="15"/>
      <c r="W1661" s="15"/>
    </row>
    <row r="1662">
      <c r="A1662" s="69"/>
      <c r="B1662" s="69"/>
      <c r="C1662" s="70"/>
      <c r="D1662" s="70"/>
      <c r="E1662" s="69"/>
      <c r="F1662" s="69"/>
      <c r="G1662" s="69"/>
      <c r="H1662" s="69"/>
      <c r="I1662" s="69"/>
      <c r="J1662" s="69"/>
      <c r="K1662" s="69"/>
      <c r="L1662" s="69"/>
      <c r="M1662" s="69"/>
      <c r="N1662" s="69"/>
      <c r="O1662" s="69"/>
      <c r="P1662" s="69"/>
      <c r="Q1662" s="69"/>
      <c r="R1662" s="69"/>
      <c r="S1662" s="69"/>
      <c r="T1662" s="15"/>
      <c r="U1662" s="15"/>
      <c r="V1662" s="15"/>
      <c r="W1662" s="15"/>
    </row>
    <row r="1663">
      <c r="A1663" s="71"/>
      <c r="B1663" s="71"/>
      <c r="C1663" s="72"/>
      <c r="D1663" s="72"/>
      <c r="E1663" s="71"/>
      <c r="F1663" s="71"/>
      <c r="G1663" s="71"/>
      <c r="H1663" s="71"/>
      <c r="I1663" s="71"/>
      <c r="J1663" s="71"/>
      <c r="K1663" s="71"/>
      <c r="L1663" s="71"/>
      <c r="M1663" s="71"/>
      <c r="N1663" s="71"/>
      <c r="O1663" s="71"/>
      <c r="P1663" s="71"/>
      <c r="Q1663" s="71"/>
      <c r="R1663" s="71"/>
      <c r="S1663" s="71"/>
      <c r="T1663" s="15"/>
      <c r="U1663" s="15"/>
      <c r="V1663" s="15"/>
      <c r="W1663" s="15"/>
    </row>
    <row r="1664">
      <c r="A1664" s="69"/>
      <c r="B1664" s="69"/>
      <c r="C1664" s="70"/>
      <c r="D1664" s="70"/>
      <c r="E1664" s="69"/>
      <c r="F1664" s="69"/>
      <c r="G1664" s="69"/>
      <c r="H1664" s="69"/>
      <c r="I1664" s="69"/>
      <c r="J1664" s="69"/>
      <c r="K1664" s="69"/>
      <c r="L1664" s="69"/>
      <c r="M1664" s="69"/>
      <c r="N1664" s="69"/>
      <c r="O1664" s="69"/>
      <c r="P1664" s="69"/>
      <c r="Q1664" s="69"/>
      <c r="R1664" s="69"/>
      <c r="S1664" s="69"/>
      <c r="T1664" s="15"/>
      <c r="U1664" s="15"/>
      <c r="V1664" s="15"/>
      <c r="W1664" s="15"/>
    </row>
    <row r="1665">
      <c r="A1665" s="71"/>
      <c r="B1665" s="71"/>
      <c r="C1665" s="72"/>
      <c r="D1665" s="72"/>
      <c r="E1665" s="71"/>
      <c r="F1665" s="71"/>
      <c r="G1665" s="71"/>
      <c r="H1665" s="71"/>
      <c r="I1665" s="71"/>
      <c r="J1665" s="71"/>
      <c r="K1665" s="71"/>
      <c r="L1665" s="71"/>
      <c r="M1665" s="71"/>
      <c r="N1665" s="71"/>
      <c r="O1665" s="71"/>
      <c r="P1665" s="71"/>
      <c r="Q1665" s="71"/>
      <c r="R1665" s="71"/>
      <c r="S1665" s="71"/>
      <c r="T1665" s="15"/>
      <c r="U1665" s="15"/>
      <c r="V1665" s="15"/>
      <c r="W1665" s="15"/>
    </row>
    <row r="1666">
      <c r="A1666" s="69"/>
      <c r="B1666" s="69"/>
      <c r="C1666" s="70"/>
      <c r="D1666" s="70"/>
      <c r="E1666" s="69"/>
      <c r="F1666" s="69"/>
      <c r="G1666" s="69"/>
      <c r="H1666" s="69"/>
      <c r="I1666" s="69"/>
      <c r="J1666" s="69"/>
      <c r="K1666" s="69"/>
      <c r="L1666" s="69"/>
      <c r="M1666" s="69"/>
      <c r="N1666" s="69"/>
      <c r="O1666" s="69"/>
      <c r="P1666" s="69"/>
      <c r="Q1666" s="69"/>
      <c r="R1666" s="69"/>
      <c r="S1666" s="69"/>
      <c r="T1666" s="15"/>
      <c r="U1666" s="15"/>
      <c r="V1666" s="15"/>
      <c r="W1666" s="15"/>
    </row>
    <row r="1667">
      <c r="A1667" s="71"/>
      <c r="B1667" s="71"/>
      <c r="C1667" s="72"/>
      <c r="D1667" s="72"/>
      <c r="E1667" s="71"/>
      <c r="F1667" s="71"/>
      <c r="G1667" s="71"/>
      <c r="H1667" s="71"/>
      <c r="I1667" s="71"/>
      <c r="J1667" s="71"/>
      <c r="K1667" s="71"/>
      <c r="L1667" s="71"/>
      <c r="M1667" s="71"/>
      <c r="N1667" s="71"/>
      <c r="O1667" s="71"/>
      <c r="P1667" s="71"/>
      <c r="Q1667" s="71"/>
      <c r="R1667" s="71"/>
      <c r="S1667" s="71"/>
      <c r="T1667" s="15"/>
      <c r="U1667" s="15"/>
      <c r="V1667" s="15"/>
      <c r="W1667" s="15"/>
    </row>
    <row r="1668">
      <c r="A1668" s="69"/>
      <c r="B1668" s="69"/>
      <c r="C1668" s="70"/>
      <c r="D1668" s="70"/>
      <c r="E1668" s="69"/>
      <c r="F1668" s="69"/>
      <c r="G1668" s="69"/>
      <c r="H1668" s="69"/>
      <c r="I1668" s="69"/>
      <c r="J1668" s="69"/>
      <c r="K1668" s="69"/>
      <c r="L1668" s="69"/>
      <c r="M1668" s="69"/>
      <c r="N1668" s="69"/>
      <c r="O1668" s="69"/>
      <c r="P1668" s="69"/>
      <c r="Q1668" s="69"/>
      <c r="R1668" s="69"/>
      <c r="S1668" s="69"/>
      <c r="T1668" s="15"/>
      <c r="U1668" s="15"/>
      <c r="V1668" s="15"/>
      <c r="W1668" s="15"/>
    </row>
    <row r="1669">
      <c r="A1669" s="71"/>
      <c r="B1669" s="71"/>
      <c r="C1669" s="72"/>
      <c r="D1669" s="72"/>
      <c r="E1669" s="71"/>
      <c r="F1669" s="71"/>
      <c r="G1669" s="71"/>
      <c r="H1669" s="71"/>
      <c r="I1669" s="71"/>
      <c r="J1669" s="71"/>
      <c r="K1669" s="71"/>
      <c r="L1669" s="71"/>
      <c r="M1669" s="71"/>
      <c r="N1669" s="71"/>
      <c r="O1669" s="71"/>
      <c r="P1669" s="71"/>
      <c r="Q1669" s="71"/>
      <c r="R1669" s="71"/>
      <c r="S1669" s="71"/>
      <c r="T1669" s="15"/>
      <c r="U1669" s="15"/>
      <c r="V1669" s="15"/>
      <c r="W1669" s="15"/>
    </row>
    <row r="1670">
      <c r="A1670" s="69"/>
      <c r="B1670" s="69"/>
      <c r="C1670" s="70"/>
      <c r="D1670" s="70"/>
      <c r="E1670" s="69"/>
      <c r="F1670" s="69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  <c r="T1670" s="15"/>
      <c r="U1670" s="15"/>
      <c r="V1670" s="15"/>
      <c r="W1670" s="15"/>
    </row>
    <row r="1671">
      <c r="A1671" s="71"/>
      <c r="B1671" s="71"/>
      <c r="C1671" s="72"/>
      <c r="D1671" s="72"/>
      <c r="E1671" s="71"/>
      <c r="F1671" s="71"/>
      <c r="G1671" s="71"/>
      <c r="H1671" s="71"/>
      <c r="I1671" s="71"/>
      <c r="J1671" s="71"/>
      <c r="K1671" s="71"/>
      <c r="L1671" s="71"/>
      <c r="M1671" s="71"/>
      <c r="N1671" s="71"/>
      <c r="O1671" s="71"/>
      <c r="P1671" s="71"/>
      <c r="Q1671" s="71"/>
      <c r="R1671" s="71"/>
      <c r="S1671" s="71"/>
      <c r="T1671" s="15"/>
      <c r="U1671" s="15"/>
      <c r="V1671" s="15"/>
      <c r="W1671" s="15"/>
    </row>
    <row r="1672">
      <c r="A1672" s="69"/>
      <c r="B1672" s="69"/>
      <c r="C1672" s="70"/>
      <c r="D1672" s="70"/>
      <c r="E1672" s="69"/>
      <c r="F1672" s="69"/>
      <c r="G1672" s="69"/>
      <c r="H1672" s="69"/>
      <c r="I1672" s="69"/>
      <c r="J1672" s="69"/>
      <c r="K1672" s="69"/>
      <c r="L1672" s="69"/>
      <c r="M1672" s="69"/>
      <c r="N1672" s="69"/>
      <c r="O1672" s="69"/>
      <c r="P1672" s="69"/>
      <c r="Q1672" s="69"/>
      <c r="R1672" s="69"/>
      <c r="S1672" s="69"/>
      <c r="T1672" s="15"/>
      <c r="U1672" s="15"/>
      <c r="V1672" s="15"/>
      <c r="W1672" s="15"/>
    </row>
    <row r="1673">
      <c r="A1673" s="71"/>
      <c r="B1673" s="71"/>
      <c r="C1673" s="72"/>
      <c r="D1673" s="72"/>
      <c r="E1673" s="71"/>
      <c r="F1673" s="71"/>
      <c r="G1673" s="71"/>
      <c r="H1673" s="71"/>
      <c r="I1673" s="71"/>
      <c r="J1673" s="71"/>
      <c r="K1673" s="71"/>
      <c r="L1673" s="71"/>
      <c r="M1673" s="71"/>
      <c r="N1673" s="71"/>
      <c r="O1673" s="71"/>
      <c r="P1673" s="71"/>
      <c r="Q1673" s="71"/>
      <c r="R1673" s="71"/>
      <c r="S1673" s="71"/>
      <c r="T1673" s="15"/>
      <c r="U1673" s="15"/>
      <c r="V1673" s="15"/>
      <c r="W1673" s="15"/>
    </row>
    <row r="1674">
      <c r="A1674" s="69"/>
      <c r="B1674" s="69"/>
      <c r="C1674" s="70"/>
      <c r="D1674" s="70"/>
      <c r="E1674" s="69"/>
      <c r="F1674" s="69"/>
      <c r="G1674" s="69"/>
      <c r="H1674" s="69"/>
      <c r="I1674" s="69"/>
      <c r="J1674" s="69"/>
      <c r="K1674" s="69"/>
      <c r="L1674" s="69"/>
      <c r="M1674" s="69"/>
      <c r="N1674" s="69"/>
      <c r="O1674" s="69"/>
      <c r="P1674" s="69"/>
      <c r="Q1674" s="69"/>
      <c r="R1674" s="69"/>
      <c r="S1674" s="69"/>
      <c r="T1674" s="15"/>
      <c r="U1674" s="15"/>
      <c r="V1674" s="15"/>
      <c r="W1674" s="15"/>
    </row>
    <row r="1675">
      <c r="A1675" s="71"/>
      <c r="B1675" s="71"/>
      <c r="C1675" s="72"/>
      <c r="D1675" s="72"/>
      <c r="E1675" s="71"/>
      <c r="F1675" s="71"/>
      <c r="G1675" s="71"/>
      <c r="H1675" s="71"/>
      <c r="I1675" s="71"/>
      <c r="J1675" s="71"/>
      <c r="K1675" s="71"/>
      <c r="L1675" s="71"/>
      <c r="M1675" s="71"/>
      <c r="N1675" s="71"/>
      <c r="O1675" s="71"/>
      <c r="P1675" s="71"/>
      <c r="Q1675" s="71"/>
      <c r="R1675" s="71"/>
      <c r="S1675" s="71"/>
      <c r="T1675" s="15"/>
      <c r="U1675" s="15"/>
      <c r="V1675" s="15"/>
      <c r="W1675" s="15"/>
    </row>
    <row r="1676">
      <c r="A1676" s="69"/>
      <c r="B1676" s="69"/>
      <c r="C1676" s="70"/>
      <c r="D1676" s="70"/>
      <c r="E1676" s="69"/>
      <c r="F1676" s="69"/>
      <c r="G1676" s="69"/>
      <c r="H1676" s="69"/>
      <c r="I1676" s="69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  <c r="T1676" s="15"/>
      <c r="U1676" s="15"/>
      <c r="V1676" s="15"/>
      <c r="W1676" s="15"/>
    </row>
    <row r="1677">
      <c r="A1677" s="71"/>
      <c r="B1677" s="71"/>
      <c r="C1677" s="72"/>
      <c r="D1677" s="72"/>
      <c r="E1677" s="71"/>
      <c r="F1677" s="71"/>
      <c r="G1677" s="71"/>
      <c r="H1677" s="71"/>
      <c r="I1677" s="71"/>
      <c r="J1677" s="71"/>
      <c r="K1677" s="71"/>
      <c r="L1677" s="71"/>
      <c r="M1677" s="71"/>
      <c r="N1677" s="71"/>
      <c r="O1677" s="71"/>
      <c r="P1677" s="71"/>
      <c r="Q1677" s="71"/>
      <c r="R1677" s="71"/>
      <c r="S1677" s="71"/>
      <c r="T1677" s="15"/>
      <c r="U1677" s="15"/>
      <c r="V1677" s="15"/>
      <c r="W1677" s="15"/>
    </row>
    <row r="1678">
      <c r="A1678" s="69"/>
      <c r="B1678" s="69"/>
      <c r="C1678" s="70"/>
      <c r="D1678" s="70"/>
      <c r="E1678" s="69"/>
      <c r="F1678" s="69"/>
      <c r="G1678" s="69"/>
      <c r="H1678" s="69"/>
      <c r="I1678" s="69"/>
      <c r="J1678" s="69"/>
      <c r="K1678" s="69"/>
      <c r="L1678" s="69"/>
      <c r="M1678" s="69"/>
      <c r="N1678" s="69"/>
      <c r="O1678" s="69"/>
      <c r="P1678" s="69"/>
      <c r="Q1678" s="69"/>
      <c r="R1678" s="69"/>
      <c r="S1678" s="69"/>
      <c r="T1678" s="15"/>
      <c r="U1678" s="15"/>
      <c r="V1678" s="15"/>
      <c r="W1678" s="15"/>
    </row>
    <row r="1679">
      <c r="A1679" s="71"/>
      <c r="B1679" s="71"/>
      <c r="C1679" s="72"/>
      <c r="D1679" s="72"/>
      <c r="E1679" s="71"/>
      <c r="F1679" s="71"/>
      <c r="G1679" s="71"/>
      <c r="H1679" s="71"/>
      <c r="I1679" s="71"/>
      <c r="J1679" s="71"/>
      <c r="K1679" s="71"/>
      <c r="L1679" s="71"/>
      <c r="M1679" s="71"/>
      <c r="N1679" s="71"/>
      <c r="O1679" s="71"/>
      <c r="P1679" s="71"/>
      <c r="Q1679" s="71"/>
      <c r="R1679" s="71"/>
      <c r="S1679" s="71"/>
      <c r="T1679" s="15"/>
      <c r="U1679" s="15"/>
      <c r="V1679" s="15"/>
      <c r="W1679" s="15"/>
    </row>
    <row r="1680">
      <c r="A1680" s="69"/>
      <c r="B1680" s="69"/>
      <c r="C1680" s="70"/>
      <c r="D1680" s="70"/>
      <c r="E1680" s="69"/>
      <c r="F1680" s="69"/>
      <c r="G1680" s="69"/>
      <c r="H1680" s="69"/>
      <c r="I1680" s="69"/>
      <c r="J1680" s="69"/>
      <c r="K1680" s="69"/>
      <c r="L1680" s="69"/>
      <c r="M1680" s="69"/>
      <c r="N1680" s="69"/>
      <c r="O1680" s="69"/>
      <c r="P1680" s="69"/>
      <c r="Q1680" s="69"/>
      <c r="R1680" s="69"/>
      <c r="S1680" s="69"/>
      <c r="T1680" s="15"/>
      <c r="U1680" s="15"/>
      <c r="V1680" s="15"/>
      <c r="W1680" s="15"/>
    </row>
    <row r="1681">
      <c r="A1681" s="71"/>
      <c r="B1681" s="71"/>
      <c r="C1681" s="72"/>
      <c r="D1681" s="72"/>
      <c r="E1681" s="71"/>
      <c r="F1681" s="71"/>
      <c r="G1681" s="71"/>
      <c r="H1681" s="71"/>
      <c r="I1681" s="71"/>
      <c r="J1681" s="71"/>
      <c r="K1681" s="71"/>
      <c r="L1681" s="71"/>
      <c r="M1681" s="71"/>
      <c r="N1681" s="71"/>
      <c r="O1681" s="71"/>
      <c r="P1681" s="71"/>
      <c r="Q1681" s="71"/>
      <c r="R1681" s="71"/>
      <c r="S1681" s="71"/>
      <c r="T1681" s="15"/>
      <c r="U1681" s="15"/>
      <c r="V1681" s="15"/>
      <c r="W1681" s="15"/>
    </row>
    <row r="1682">
      <c r="A1682" s="69"/>
      <c r="B1682" s="69"/>
      <c r="C1682" s="70"/>
      <c r="D1682" s="70"/>
      <c r="E1682" s="69"/>
      <c r="F1682" s="69"/>
      <c r="G1682" s="69"/>
      <c r="H1682" s="69"/>
      <c r="I1682" s="69"/>
      <c r="J1682" s="69"/>
      <c r="K1682" s="69"/>
      <c r="L1682" s="69"/>
      <c r="M1682" s="69"/>
      <c r="N1682" s="69"/>
      <c r="O1682" s="69"/>
      <c r="P1682" s="69"/>
      <c r="Q1682" s="69"/>
      <c r="R1682" s="69"/>
      <c r="S1682" s="69"/>
      <c r="T1682" s="15"/>
      <c r="U1682" s="15"/>
      <c r="V1682" s="15"/>
      <c r="W1682" s="15"/>
    </row>
    <row r="1683">
      <c r="A1683" s="71"/>
      <c r="B1683" s="71"/>
      <c r="C1683" s="72"/>
      <c r="D1683" s="72"/>
      <c r="E1683" s="71"/>
      <c r="F1683" s="71"/>
      <c r="G1683" s="71"/>
      <c r="H1683" s="71"/>
      <c r="I1683" s="71"/>
      <c r="J1683" s="71"/>
      <c r="K1683" s="71"/>
      <c r="L1683" s="71"/>
      <c r="M1683" s="71"/>
      <c r="N1683" s="71"/>
      <c r="O1683" s="71"/>
      <c r="P1683" s="71"/>
      <c r="Q1683" s="71"/>
      <c r="R1683" s="71"/>
      <c r="S1683" s="71"/>
      <c r="T1683" s="15"/>
      <c r="U1683" s="15"/>
      <c r="V1683" s="15"/>
      <c r="W1683" s="15"/>
    </row>
    <row r="1684">
      <c r="A1684" s="69"/>
      <c r="B1684" s="69"/>
      <c r="C1684" s="70"/>
      <c r="D1684" s="70"/>
      <c r="E1684" s="69"/>
      <c r="F1684" s="69"/>
      <c r="G1684" s="69"/>
      <c r="H1684" s="69"/>
      <c r="I1684" s="69"/>
      <c r="J1684" s="69"/>
      <c r="K1684" s="69"/>
      <c r="L1684" s="69"/>
      <c r="M1684" s="69"/>
      <c r="N1684" s="69"/>
      <c r="O1684" s="69"/>
      <c r="P1684" s="69"/>
      <c r="Q1684" s="69"/>
      <c r="R1684" s="69"/>
      <c r="S1684" s="69"/>
      <c r="T1684" s="15"/>
      <c r="U1684" s="15"/>
      <c r="V1684" s="15"/>
      <c r="W1684" s="15"/>
    </row>
    <row r="1685">
      <c r="A1685" s="71"/>
      <c r="B1685" s="71"/>
      <c r="C1685" s="72"/>
      <c r="D1685" s="72"/>
      <c r="E1685" s="71"/>
      <c r="F1685" s="71"/>
      <c r="G1685" s="71"/>
      <c r="H1685" s="71"/>
      <c r="I1685" s="71"/>
      <c r="J1685" s="71"/>
      <c r="K1685" s="71"/>
      <c r="L1685" s="71"/>
      <c r="M1685" s="71"/>
      <c r="N1685" s="71"/>
      <c r="O1685" s="71"/>
      <c r="P1685" s="71"/>
      <c r="Q1685" s="71"/>
      <c r="R1685" s="71"/>
      <c r="S1685" s="71"/>
      <c r="T1685" s="15"/>
      <c r="U1685" s="15"/>
      <c r="V1685" s="15"/>
      <c r="W1685" s="15"/>
    </row>
    <row r="1686">
      <c r="A1686" s="69"/>
      <c r="B1686" s="69"/>
      <c r="C1686" s="70"/>
      <c r="D1686" s="70"/>
      <c r="E1686" s="69"/>
      <c r="F1686" s="69"/>
      <c r="G1686" s="69"/>
      <c r="H1686" s="69"/>
      <c r="I1686" s="69"/>
      <c r="J1686" s="69"/>
      <c r="K1686" s="69"/>
      <c r="L1686" s="69"/>
      <c r="M1686" s="69"/>
      <c r="N1686" s="69"/>
      <c r="O1686" s="69"/>
      <c r="P1686" s="69"/>
      <c r="Q1686" s="69"/>
      <c r="R1686" s="69"/>
      <c r="S1686" s="69"/>
      <c r="T1686" s="15"/>
      <c r="U1686" s="15"/>
      <c r="V1686" s="15"/>
      <c r="W1686" s="15"/>
    </row>
    <row r="1687">
      <c r="A1687" s="71"/>
      <c r="B1687" s="71"/>
      <c r="C1687" s="72"/>
      <c r="D1687" s="72"/>
      <c r="E1687" s="71"/>
      <c r="F1687" s="71"/>
      <c r="G1687" s="71"/>
      <c r="H1687" s="71"/>
      <c r="I1687" s="71"/>
      <c r="J1687" s="71"/>
      <c r="K1687" s="71"/>
      <c r="L1687" s="71"/>
      <c r="M1687" s="71"/>
      <c r="N1687" s="71"/>
      <c r="O1687" s="71"/>
      <c r="P1687" s="71"/>
      <c r="Q1687" s="71"/>
      <c r="R1687" s="71"/>
      <c r="S1687" s="71"/>
      <c r="T1687" s="15"/>
      <c r="U1687" s="15"/>
      <c r="V1687" s="15"/>
      <c r="W1687" s="15"/>
    </row>
    <row r="1688">
      <c r="A1688" s="69"/>
      <c r="B1688" s="69"/>
      <c r="C1688" s="70"/>
      <c r="D1688" s="70"/>
      <c r="E1688" s="69"/>
      <c r="F1688" s="69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69"/>
      <c r="T1688" s="15"/>
      <c r="U1688" s="15"/>
      <c r="V1688" s="15"/>
      <c r="W1688" s="15"/>
    </row>
    <row r="1689">
      <c r="A1689" s="71"/>
      <c r="B1689" s="71"/>
      <c r="C1689" s="72"/>
      <c r="D1689" s="72"/>
      <c r="E1689" s="71"/>
      <c r="F1689" s="71"/>
      <c r="G1689" s="71"/>
      <c r="H1689" s="71"/>
      <c r="I1689" s="71"/>
      <c r="J1689" s="71"/>
      <c r="K1689" s="71"/>
      <c r="L1689" s="71"/>
      <c r="M1689" s="71"/>
      <c r="N1689" s="71"/>
      <c r="O1689" s="71"/>
      <c r="P1689" s="71"/>
      <c r="Q1689" s="71"/>
      <c r="R1689" s="71"/>
      <c r="S1689" s="71"/>
      <c r="T1689" s="15"/>
      <c r="U1689" s="15"/>
      <c r="V1689" s="15"/>
      <c r="W1689" s="15"/>
    </row>
    <row r="1690">
      <c r="A1690" s="69"/>
      <c r="B1690" s="69"/>
      <c r="C1690" s="70"/>
      <c r="D1690" s="70"/>
      <c r="E1690" s="69"/>
      <c r="F1690" s="69"/>
      <c r="G1690" s="69"/>
      <c r="H1690" s="69"/>
      <c r="I1690" s="69"/>
      <c r="J1690" s="69"/>
      <c r="K1690" s="69"/>
      <c r="L1690" s="69"/>
      <c r="M1690" s="69"/>
      <c r="N1690" s="69"/>
      <c r="O1690" s="69"/>
      <c r="P1690" s="69"/>
      <c r="Q1690" s="69"/>
      <c r="R1690" s="69"/>
      <c r="S1690" s="69"/>
      <c r="T1690" s="15"/>
      <c r="U1690" s="15"/>
      <c r="V1690" s="15"/>
      <c r="W1690" s="15"/>
    </row>
    <row r="1691">
      <c r="A1691" s="71"/>
      <c r="B1691" s="71"/>
      <c r="C1691" s="72"/>
      <c r="D1691" s="72"/>
      <c r="E1691" s="71"/>
      <c r="F1691" s="71"/>
      <c r="G1691" s="71"/>
      <c r="H1691" s="71"/>
      <c r="I1691" s="71"/>
      <c r="J1691" s="71"/>
      <c r="K1691" s="71"/>
      <c r="L1691" s="71"/>
      <c r="M1691" s="71"/>
      <c r="N1691" s="71"/>
      <c r="O1691" s="71"/>
      <c r="P1691" s="71"/>
      <c r="Q1691" s="71"/>
      <c r="R1691" s="71"/>
      <c r="S1691" s="71"/>
      <c r="T1691" s="15"/>
      <c r="U1691" s="15"/>
      <c r="V1691" s="15"/>
      <c r="W1691" s="15"/>
    </row>
    <row r="1692">
      <c r="A1692" s="69"/>
      <c r="B1692" s="69"/>
      <c r="C1692" s="70"/>
      <c r="D1692" s="70"/>
      <c r="E1692" s="69"/>
      <c r="F1692" s="69"/>
      <c r="G1692" s="69"/>
      <c r="H1692" s="69"/>
      <c r="I1692" s="69"/>
      <c r="J1692" s="69"/>
      <c r="K1692" s="69"/>
      <c r="L1692" s="69"/>
      <c r="M1692" s="69"/>
      <c r="N1692" s="69"/>
      <c r="O1692" s="69"/>
      <c r="P1692" s="69"/>
      <c r="Q1692" s="69"/>
      <c r="R1692" s="69"/>
      <c r="S1692" s="69"/>
      <c r="T1692" s="15"/>
      <c r="U1692" s="15"/>
      <c r="V1692" s="15"/>
      <c r="W1692" s="15"/>
    </row>
    <row r="1693">
      <c r="A1693" s="71"/>
      <c r="B1693" s="71"/>
      <c r="C1693" s="72"/>
      <c r="D1693" s="72"/>
      <c r="E1693" s="71"/>
      <c r="F1693" s="71"/>
      <c r="G1693" s="71"/>
      <c r="H1693" s="71"/>
      <c r="I1693" s="71"/>
      <c r="J1693" s="71"/>
      <c r="K1693" s="71"/>
      <c r="L1693" s="71"/>
      <c r="M1693" s="71"/>
      <c r="N1693" s="71"/>
      <c r="O1693" s="71"/>
      <c r="P1693" s="71"/>
      <c r="Q1693" s="71"/>
      <c r="R1693" s="71"/>
      <c r="S1693" s="71"/>
      <c r="T1693" s="15"/>
      <c r="U1693" s="15"/>
      <c r="V1693" s="15"/>
      <c r="W1693" s="15"/>
    </row>
    <row r="1694">
      <c r="A1694" s="69"/>
      <c r="B1694" s="69"/>
      <c r="C1694" s="70"/>
      <c r="D1694" s="70"/>
      <c r="E1694" s="69"/>
      <c r="F1694" s="69"/>
      <c r="G1694" s="69"/>
      <c r="H1694" s="69"/>
      <c r="I1694" s="69"/>
      <c r="J1694" s="69"/>
      <c r="K1694" s="69"/>
      <c r="L1694" s="69"/>
      <c r="M1694" s="69"/>
      <c r="N1694" s="69"/>
      <c r="O1694" s="69"/>
      <c r="P1694" s="69"/>
      <c r="Q1694" s="69"/>
      <c r="R1694" s="69"/>
      <c r="S1694" s="69"/>
      <c r="T1694" s="15"/>
      <c r="U1694" s="15"/>
      <c r="V1694" s="15"/>
      <c r="W1694" s="15"/>
    </row>
    <row r="1695">
      <c r="A1695" s="71"/>
      <c r="B1695" s="71"/>
      <c r="C1695" s="72"/>
      <c r="D1695" s="72"/>
      <c r="E1695" s="71"/>
      <c r="F1695" s="71"/>
      <c r="G1695" s="71"/>
      <c r="H1695" s="71"/>
      <c r="I1695" s="71"/>
      <c r="J1695" s="71"/>
      <c r="K1695" s="71"/>
      <c r="L1695" s="71"/>
      <c r="M1695" s="71"/>
      <c r="N1695" s="71"/>
      <c r="O1695" s="71"/>
      <c r="P1695" s="71"/>
      <c r="Q1695" s="71"/>
      <c r="R1695" s="71"/>
      <c r="S1695" s="71"/>
      <c r="T1695" s="15"/>
      <c r="U1695" s="15"/>
      <c r="V1695" s="15"/>
      <c r="W1695" s="15"/>
    </row>
    <row r="1696">
      <c r="A1696" s="69"/>
      <c r="B1696" s="69"/>
      <c r="C1696" s="70"/>
      <c r="D1696" s="70"/>
      <c r="E1696" s="69"/>
      <c r="F1696" s="69"/>
      <c r="G1696" s="69"/>
      <c r="H1696" s="69"/>
      <c r="I1696" s="69"/>
      <c r="J1696" s="69"/>
      <c r="K1696" s="69"/>
      <c r="L1696" s="69"/>
      <c r="M1696" s="69"/>
      <c r="N1696" s="69"/>
      <c r="O1696" s="69"/>
      <c r="P1696" s="69"/>
      <c r="Q1696" s="69"/>
      <c r="R1696" s="69"/>
      <c r="S1696" s="69"/>
      <c r="T1696" s="15"/>
      <c r="U1696" s="15"/>
      <c r="V1696" s="15"/>
      <c r="W1696" s="15"/>
    </row>
    <row r="1697">
      <c r="A1697" s="71"/>
      <c r="B1697" s="71"/>
      <c r="C1697" s="72"/>
      <c r="D1697" s="72"/>
      <c r="E1697" s="71"/>
      <c r="F1697" s="71"/>
      <c r="G1697" s="71"/>
      <c r="H1697" s="71"/>
      <c r="I1697" s="71"/>
      <c r="J1697" s="71"/>
      <c r="K1697" s="71"/>
      <c r="L1697" s="71"/>
      <c r="M1697" s="71"/>
      <c r="N1697" s="71"/>
      <c r="O1697" s="71"/>
      <c r="P1697" s="71"/>
      <c r="Q1697" s="71"/>
      <c r="R1697" s="71"/>
      <c r="S1697" s="71"/>
      <c r="T1697" s="15"/>
      <c r="U1697" s="15"/>
      <c r="V1697" s="15"/>
      <c r="W1697" s="15"/>
    </row>
    <row r="1698">
      <c r="A1698" s="69"/>
      <c r="B1698" s="69"/>
      <c r="C1698" s="70"/>
      <c r="D1698" s="70"/>
      <c r="E1698" s="69"/>
      <c r="F1698" s="69"/>
      <c r="G1698" s="69"/>
      <c r="H1698" s="69"/>
      <c r="I1698" s="69"/>
      <c r="J1698" s="69"/>
      <c r="K1698" s="69"/>
      <c r="L1698" s="69"/>
      <c r="M1698" s="69"/>
      <c r="N1698" s="69"/>
      <c r="O1698" s="69"/>
      <c r="P1698" s="69"/>
      <c r="Q1698" s="69"/>
      <c r="R1698" s="69"/>
      <c r="S1698" s="69"/>
      <c r="T1698" s="15"/>
      <c r="U1698" s="15"/>
      <c r="V1698" s="15"/>
      <c r="W1698" s="15"/>
    </row>
    <row r="1699">
      <c r="A1699" s="71"/>
      <c r="B1699" s="71"/>
      <c r="C1699" s="72"/>
      <c r="D1699" s="72"/>
      <c r="E1699" s="71"/>
      <c r="F1699" s="71"/>
      <c r="G1699" s="71"/>
      <c r="H1699" s="71"/>
      <c r="I1699" s="71"/>
      <c r="J1699" s="71"/>
      <c r="K1699" s="71"/>
      <c r="L1699" s="71"/>
      <c r="M1699" s="71"/>
      <c r="N1699" s="71"/>
      <c r="O1699" s="71"/>
      <c r="P1699" s="71"/>
      <c r="Q1699" s="71"/>
      <c r="R1699" s="71"/>
      <c r="S1699" s="71"/>
      <c r="T1699" s="15"/>
      <c r="U1699" s="15"/>
      <c r="V1699" s="15"/>
      <c r="W1699" s="15"/>
    </row>
    <row r="1700">
      <c r="A1700" s="69"/>
      <c r="B1700" s="69"/>
      <c r="C1700" s="70"/>
      <c r="D1700" s="70"/>
      <c r="E1700" s="69"/>
      <c r="F1700" s="69"/>
      <c r="G1700" s="69"/>
      <c r="H1700" s="69"/>
      <c r="I1700" s="69"/>
      <c r="J1700" s="69"/>
      <c r="K1700" s="69"/>
      <c r="L1700" s="69"/>
      <c r="M1700" s="69"/>
      <c r="N1700" s="69"/>
      <c r="O1700" s="69"/>
      <c r="P1700" s="69"/>
      <c r="Q1700" s="69"/>
      <c r="R1700" s="69"/>
      <c r="S1700" s="69"/>
      <c r="T1700" s="15"/>
      <c r="U1700" s="15"/>
      <c r="V1700" s="15"/>
      <c r="W1700" s="15"/>
    </row>
    <row r="1701">
      <c r="A1701" s="71"/>
      <c r="B1701" s="71"/>
      <c r="C1701" s="72"/>
      <c r="D1701" s="72"/>
      <c r="E1701" s="71"/>
      <c r="F1701" s="71"/>
      <c r="G1701" s="71"/>
      <c r="H1701" s="71"/>
      <c r="I1701" s="71"/>
      <c r="J1701" s="71"/>
      <c r="K1701" s="71"/>
      <c r="L1701" s="71"/>
      <c r="M1701" s="71"/>
      <c r="N1701" s="71"/>
      <c r="O1701" s="71"/>
      <c r="P1701" s="71"/>
      <c r="Q1701" s="71"/>
      <c r="R1701" s="71"/>
      <c r="S1701" s="71"/>
      <c r="T1701" s="15"/>
      <c r="U1701" s="15"/>
      <c r="V1701" s="15"/>
      <c r="W1701" s="15"/>
    </row>
    <row r="1702">
      <c r="A1702" s="69"/>
      <c r="B1702" s="69"/>
      <c r="C1702" s="70"/>
      <c r="D1702" s="70"/>
      <c r="E1702" s="69"/>
      <c r="F1702" s="69"/>
      <c r="G1702" s="69"/>
      <c r="H1702" s="69"/>
      <c r="I1702" s="69"/>
      <c r="J1702" s="69"/>
      <c r="K1702" s="69"/>
      <c r="L1702" s="69"/>
      <c r="M1702" s="69"/>
      <c r="N1702" s="69"/>
      <c r="O1702" s="69"/>
      <c r="P1702" s="69"/>
      <c r="Q1702" s="69"/>
      <c r="R1702" s="69"/>
      <c r="S1702" s="69"/>
      <c r="T1702" s="15"/>
      <c r="U1702" s="15"/>
      <c r="V1702" s="15"/>
      <c r="W1702" s="15"/>
    </row>
    <row r="1703">
      <c r="A1703" s="71"/>
      <c r="B1703" s="71"/>
      <c r="C1703" s="72"/>
      <c r="D1703" s="72"/>
      <c r="E1703" s="71"/>
      <c r="F1703" s="71"/>
      <c r="G1703" s="71"/>
      <c r="H1703" s="71"/>
      <c r="I1703" s="71"/>
      <c r="J1703" s="71"/>
      <c r="K1703" s="71"/>
      <c r="L1703" s="71"/>
      <c r="M1703" s="71"/>
      <c r="N1703" s="71"/>
      <c r="O1703" s="71"/>
      <c r="P1703" s="71"/>
      <c r="Q1703" s="71"/>
      <c r="R1703" s="71"/>
      <c r="S1703" s="71"/>
      <c r="T1703" s="15"/>
      <c r="U1703" s="15"/>
      <c r="V1703" s="15"/>
      <c r="W1703" s="15"/>
    </row>
    <row r="1704">
      <c r="A1704" s="69"/>
      <c r="B1704" s="69"/>
      <c r="C1704" s="70"/>
      <c r="D1704" s="70"/>
      <c r="E1704" s="69"/>
      <c r="F1704" s="69"/>
      <c r="G1704" s="69"/>
      <c r="H1704" s="69"/>
      <c r="I1704" s="69"/>
      <c r="J1704" s="69"/>
      <c r="K1704" s="69"/>
      <c r="L1704" s="69"/>
      <c r="M1704" s="69"/>
      <c r="N1704" s="69"/>
      <c r="O1704" s="69"/>
      <c r="P1704" s="69"/>
      <c r="Q1704" s="69"/>
      <c r="R1704" s="69"/>
      <c r="S1704" s="69"/>
      <c r="T1704" s="15"/>
      <c r="U1704" s="15"/>
      <c r="V1704" s="15"/>
      <c r="W1704" s="15"/>
    </row>
    <row r="1705">
      <c r="A1705" s="71"/>
      <c r="B1705" s="71"/>
      <c r="C1705" s="72"/>
      <c r="D1705" s="72"/>
      <c r="E1705" s="71"/>
      <c r="F1705" s="71"/>
      <c r="G1705" s="71"/>
      <c r="H1705" s="71"/>
      <c r="I1705" s="71"/>
      <c r="J1705" s="71"/>
      <c r="K1705" s="71"/>
      <c r="L1705" s="71"/>
      <c r="M1705" s="71"/>
      <c r="N1705" s="71"/>
      <c r="O1705" s="71"/>
      <c r="P1705" s="71"/>
      <c r="Q1705" s="71"/>
      <c r="R1705" s="71"/>
      <c r="S1705" s="71"/>
      <c r="T1705" s="15"/>
      <c r="U1705" s="15"/>
      <c r="V1705" s="15"/>
      <c r="W1705" s="15"/>
    </row>
    <row r="1706">
      <c r="A1706" s="69"/>
      <c r="B1706" s="69"/>
      <c r="C1706" s="70"/>
      <c r="D1706" s="70"/>
      <c r="E1706" s="69"/>
      <c r="F1706" s="69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69"/>
      <c r="T1706" s="15"/>
      <c r="U1706" s="15"/>
      <c r="V1706" s="15"/>
      <c r="W1706" s="15"/>
    </row>
    <row r="1707">
      <c r="A1707" s="71"/>
      <c r="B1707" s="71"/>
      <c r="C1707" s="72"/>
      <c r="D1707" s="72"/>
      <c r="E1707" s="71"/>
      <c r="F1707" s="71"/>
      <c r="G1707" s="71"/>
      <c r="H1707" s="71"/>
      <c r="I1707" s="71"/>
      <c r="J1707" s="71"/>
      <c r="K1707" s="71"/>
      <c r="L1707" s="71"/>
      <c r="M1707" s="71"/>
      <c r="N1707" s="71"/>
      <c r="O1707" s="71"/>
      <c r="P1707" s="71"/>
      <c r="Q1707" s="71"/>
      <c r="R1707" s="71"/>
      <c r="S1707" s="71"/>
      <c r="T1707" s="15"/>
      <c r="U1707" s="15"/>
      <c r="V1707" s="15"/>
      <c r="W1707" s="15"/>
    </row>
    <row r="1708">
      <c r="A1708" s="69"/>
      <c r="B1708" s="69"/>
      <c r="C1708" s="70"/>
      <c r="D1708" s="70"/>
      <c r="E1708" s="69"/>
      <c r="F1708" s="69"/>
      <c r="G1708" s="69"/>
      <c r="H1708" s="69"/>
      <c r="I1708" s="69"/>
      <c r="J1708" s="69"/>
      <c r="K1708" s="69"/>
      <c r="L1708" s="69"/>
      <c r="M1708" s="69"/>
      <c r="N1708" s="69"/>
      <c r="O1708" s="69"/>
      <c r="P1708" s="69"/>
      <c r="Q1708" s="69"/>
      <c r="R1708" s="69"/>
      <c r="S1708" s="69"/>
      <c r="T1708" s="15"/>
      <c r="U1708" s="15"/>
      <c r="V1708" s="15"/>
      <c r="W1708" s="15"/>
    </row>
    <row r="1709">
      <c r="A1709" s="71"/>
      <c r="B1709" s="71"/>
      <c r="C1709" s="72"/>
      <c r="D1709" s="72"/>
      <c r="E1709" s="71"/>
      <c r="F1709" s="71"/>
      <c r="G1709" s="71"/>
      <c r="H1709" s="71"/>
      <c r="I1709" s="71"/>
      <c r="J1709" s="71"/>
      <c r="K1709" s="71"/>
      <c r="L1709" s="71"/>
      <c r="M1709" s="71"/>
      <c r="N1709" s="71"/>
      <c r="O1709" s="71"/>
      <c r="P1709" s="71"/>
      <c r="Q1709" s="71"/>
      <c r="R1709" s="71"/>
      <c r="S1709" s="71"/>
      <c r="T1709" s="15"/>
      <c r="U1709" s="15"/>
      <c r="V1709" s="15"/>
      <c r="W1709" s="15"/>
    </row>
    <row r="1710">
      <c r="A1710" s="69"/>
      <c r="B1710" s="69"/>
      <c r="C1710" s="70"/>
      <c r="D1710" s="70"/>
      <c r="E1710" s="69"/>
      <c r="F1710" s="69"/>
      <c r="G1710" s="69"/>
      <c r="H1710" s="69"/>
      <c r="I1710" s="69"/>
      <c r="J1710" s="69"/>
      <c r="K1710" s="69"/>
      <c r="L1710" s="69"/>
      <c r="M1710" s="69"/>
      <c r="N1710" s="69"/>
      <c r="O1710" s="69"/>
      <c r="P1710" s="69"/>
      <c r="Q1710" s="69"/>
      <c r="R1710" s="69"/>
      <c r="S1710" s="69"/>
      <c r="T1710" s="15"/>
      <c r="U1710" s="15"/>
      <c r="V1710" s="15"/>
      <c r="W1710" s="15"/>
    </row>
    <row r="1711">
      <c r="A1711" s="71"/>
      <c r="B1711" s="71"/>
      <c r="C1711" s="72"/>
      <c r="D1711" s="72"/>
      <c r="E1711" s="71"/>
      <c r="F1711" s="71"/>
      <c r="G1711" s="71"/>
      <c r="H1711" s="71"/>
      <c r="I1711" s="71"/>
      <c r="J1711" s="71"/>
      <c r="K1711" s="71"/>
      <c r="L1711" s="71"/>
      <c r="M1711" s="71"/>
      <c r="N1711" s="71"/>
      <c r="O1711" s="71"/>
      <c r="P1711" s="71"/>
      <c r="Q1711" s="71"/>
      <c r="R1711" s="71"/>
      <c r="S1711" s="71"/>
      <c r="T1711" s="15"/>
      <c r="U1711" s="15"/>
      <c r="V1711" s="15"/>
      <c r="W1711" s="15"/>
    </row>
    <row r="1712">
      <c r="A1712" s="69"/>
      <c r="B1712" s="69"/>
      <c r="C1712" s="70"/>
      <c r="D1712" s="70"/>
      <c r="E1712" s="69"/>
      <c r="F1712" s="69"/>
      <c r="G1712" s="69"/>
      <c r="H1712" s="69"/>
      <c r="I1712" s="69"/>
      <c r="J1712" s="69"/>
      <c r="K1712" s="69"/>
      <c r="L1712" s="69"/>
      <c r="M1712" s="69"/>
      <c r="N1712" s="69"/>
      <c r="O1712" s="69"/>
      <c r="P1712" s="69"/>
      <c r="Q1712" s="69"/>
      <c r="R1712" s="69"/>
      <c r="S1712" s="69"/>
      <c r="T1712" s="15"/>
      <c r="U1712" s="15"/>
      <c r="V1712" s="15"/>
      <c r="W1712" s="15"/>
    </row>
    <row r="1713">
      <c r="A1713" s="71"/>
      <c r="B1713" s="71"/>
      <c r="C1713" s="72"/>
      <c r="D1713" s="72"/>
      <c r="E1713" s="71"/>
      <c r="F1713" s="71"/>
      <c r="G1713" s="71"/>
      <c r="H1713" s="71"/>
      <c r="I1713" s="71"/>
      <c r="J1713" s="71"/>
      <c r="K1713" s="71"/>
      <c r="L1713" s="71"/>
      <c r="M1713" s="71"/>
      <c r="N1713" s="71"/>
      <c r="O1713" s="71"/>
      <c r="P1713" s="71"/>
      <c r="Q1713" s="71"/>
      <c r="R1713" s="71"/>
      <c r="S1713" s="71"/>
      <c r="T1713" s="15"/>
      <c r="U1713" s="15"/>
      <c r="V1713" s="15"/>
      <c r="W1713" s="15"/>
    </row>
    <row r="1714">
      <c r="A1714" s="69"/>
      <c r="B1714" s="69"/>
      <c r="C1714" s="70"/>
      <c r="D1714" s="70"/>
      <c r="E1714" s="69"/>
      <c r="F1714" s="69"/>
      <c r="G1714" s="69"/>
      <c r="H1714" s="69"/>
      <c r="I1714" s="69"/>
      <c r="J1714" s="69"/>
      <c r="K1714" s="69"/>
      <c r="L1714" s="69"/>
      <c r="M1714" s="69"/>
      <c r="N1714" s="69"/>
      <c r="O1714" s="69"/>
      <c r="P1714" s="69"/>
      <c r="Q1714" s="69"/>
      <c r="R1714" s="69"/>
      <c r="S1714" s="69"/>
      <c r="T1714" s="15"/>
      <c r="U1714" s="15"/>
      <c r="V1714" s="15"/>
      <c r="W1714" s="15"/>
    </row>
    <row r="1715">
      <c r="A1715" s="71"/>
      <c r="B1715" s="71"/>
      <c r="C1715" s="72"/>
      <c r="D1715" s="72"/>
      <c r="E1715" s="71"/>
      <c r="F1715" s="71"/>
      <c r="G1715" s="71"/>
      <c r="H1715" s="71"/>
      <c r="I1715" s="71"/>
      <c r="J1715" s="71"/>
      <c r="K1715" s="71"/>
      <c r="L1715" s="71"/>
      <c r="M1715" s="71"/>
      <c r="N1715" s="71"/>
      <c r="O1715" s="71"/>
      <c r="P1715" s="71"/>
      <c r="Q1715" s="71"/>
      <c r="R1715" s="71"/>
      <c r="S1715" s="71"/>
      <c r="T1715" s="15"/>
      <c r="U1715" s="15"/>
      <c r="V1715" s="15"/>
      <c r="W1715" s="15"/>
    </row>
    <row r="1716">
      <c r="A1716" s="69"/>
      <c r="B1716" s="69"/>
      <c r="C1716" s="70"/>
      <c r="D1716" s="70"/>
      <c r="E1716" s="69"/>
      <c r="F1716" s="69"/>
      <c r="G1716" s="69"/>
      <c r="H1716" s="69"/>
      <c r="I1716" s="69"/>
      <c r="J1716" s="69"/>
      <c r="K1716" s="69"/>
      <c r="L1716" s="69"/>
      <c r="M1716" s="69"/>
      <c r="N1716" s="69"/>
      <c r="O1716" s="69"/>
      <c r="P1716" s="69"/>
      <c r="Q1716" s="69"/>
      <c r="R1716" s="69"/>
      <c r="S1716" s="69"/>
      <c r="T1716" s="15"/>
      <c r="U1716" s="15"/>
      <c r="V1716" s="15"/>
      <c r="W1716" s="15"/>
    </row>
    <row r="1717">
      <c r="A1717" s="71"/>
      <c r="B1717" s="71"/>
      <c r="C1717" s="72"/>
      <c r="D1717" s="72"/>
      <c r="E1717" s="71"/>
      <c r="F1717" s="71"/>
      <c r="G1717" s="71"/>
      <c r="H1717" s="71"/>
      <c r="I1717" s="71"/>
      <c r="J1717" s="71"/>
      <c r="K1717" s="71"/>
      <c r="L1717" s="71"/>
      <c r="M1717" s="71"/>
      <c r="N1717" s="71"/>
      <c r="O1717" s="71"/>
      <c r="P1717" s="71"/>
      <c r="Q1717" s="71"/>
      <c r="R1717" s="71"/>
      <c r="S1717" s="71"/>
      <c r="T1717" s="15"/>
      <c r="U1717" s="15"/>
      <c r="V1717" s="15"/>
      <c r="W1717" s="15"/>
    </row>
    <row r="1718">
      <c r="A1718" s="69"/>
      <c r="B1718" s="69"/>
      <c r="C1718" s="70"/>
      <c r="D1718" s="70"/>
      <c r="E1718" s="69"/>
      <c r="F1718" s="69"/>
      <c r="G1718" s="69"/>
      <c r="H1718" s="69"/>
      <c r="I1718" s="69"/>
      <c r="J1718" s="69"/>
      <c r="K1718" s="69"/>
      <c r="L1718" s="69"/>
      <c r="M1718" s="69"/>
      <c r="N1718" s="69"/>
      <c r="O1718" s="69"/>
      <c r="P1718" s="69"/>
      <c r="Q1718" s="69"/>
      <c r="R1718" s="69"/>
      <c r="S1718" s="69"/>
      <c r="T1718" s="15"/>
      <c r="U1718" s="15"/>
      <c r="V1718" s="15"/>
      <c r="W1718" s="15"/>
    </row>
    <row r="1719">
      <c r="A1719" s="71"/>
      <c r="B1719" s="71"/>
      <c r="C1719" s="72"/>
      <c r="D1719" s="72"/>
      <c r="E1719" s="71"/>
      <c r="F1719" s="71"/>
      <c r="G1719" s="71"/>
      <c r="H1719" s="71"/>
      <c r="I1719" s="71"/>
      <c r="J1719" s="71"/>
      <c r="K1719" s="71"/>
      <c r="L1719" s="71"/>
      <c r="M1719" s="71"/>
      <c r="N1719" s="71"/>
      <c r="O1719" s="71"/>
      <c r="P1719" s="71"/>
      <c r="Q1719" s="71"/>
      <c r="R1719" s="71"/>
      <c r="S1719" s="71"/>
      <c r="T1719" s="15"/>
      <c r="U1719" s="15"/>
      <c r="V1719" s="15"/>
      <c r="W1719" s="15"/>
    </row>
    <row r="1720">
      <c r="A1720" s="69"/>
      <c r="B1720" s="69"/>
      <c r="C1720" s="70"/>
      <c r="D1720" s="70"/>
      <c r="E1720" s="69"/>
      <c r="F1720" s="69"/>
      <c r="G1720" s="69"/>
      <c r="H1720" s="69"/>
      <c r="I1720" s="69"/>
      <c r="J1720" s="69"/>
      <c r="K1720" s="69"/>
      <c r="L1720" s="69"/>
      <c r="M1720" s="69"/>
      <c r="N1720" s="69"/>
      <c r="O1720" s="69"/>
      <c r="P1720" s="69"/>
      <c r="Q1720" s="69"/>
      <c r="R1720" s="69"/>
      <c r="S1720" s="69"/>
      <c r="T1720" s="15"/>
      <c r="U1720" s="15"/>
      <c r="V1720" s="15"/>
      <c r="W1720" s="15"/>
    </row>
    <row r="1721">
      <c r="A1721" s="71"/>
      <c r="B1721" s="71"/>
      <c r="C1721" s="72"/>
      <c r="D1721" s="72"/>
      <c r="E1721" s="71"/>
      <c r="F1721" s="71"/>
      <c r="G1721" s="71"/>
      <c r="H1721" s="71"/>
      <c r="I1721" s="71"/>
      <c r="J1721" s="71"/>
      <c r="K1721" s="71"/>
      <c r="L1721" s="71"/>
      <c r="M1721" s="71"/>
      <c r="N1721" s="71"/>
      <c r="O1721" s="71"/>
      <c r="P1721" s="71"/>
      <c r="Q1721" s="71"/>
      <c r="R1721" s="71"/>
      <c r="S1721" s="71"/>
      <c r="T1721" s="15"/>
      <c r="U1721" s="15"/>
      <c r="V1721" s="15"/>
      <c r="W1721" s="15"/>
    </row>
    <row r="1722">
      <c r="A1722" s="69"/>
      <c r="B1722" s="69"/>
      <c r="C1722" s="70"/>
      <c r="D1722" s="70"/>
      <c r="E1722" s="69"/>
      <c r="F1722" s="69"/>
      <c r="G1722" s="69"/>
      <c r="H1722" s="69"/>
      <c r="I1722" s="69"/>
      <c r="J1722" s="69"/>
      <c r="K1722" s="69"/>
      <c r="L1722" s="69"/>
      <c r="M1722" s="69"/>
      <c r="N1722" s="69"/>
      <c r="O1722" s="69"/>
      <c r="P1722" s="69"/>
      <c r="Q1722" s="69"/>
      <c r="R1722" s="69"/>
      <c r="S1722" s="69"/>
      <c r="T1722" s="15"/>
      <c r="U1722" s="15"/>
      <c r="V1722" s="15"/>
      <c r="W1722" s="15"/>
    </row>
    <row r="1723">
      <c r="A1723" s="71"/>
      <c r="B1723" s="71"/>
      <c r="C1723" s="72"/>
      <c r="D1723" s="72"/>
      <c r="E1723" s="71"/>
      <c r="F1723" s="71"/>
      <c r="G1723" s="71"/>
      <c r="H1723" s="71"/>
      <c r="I1723" s="71"/>
      <c r="J1723" s="71"/>
      <c r="K1723" s="71"/>
      <c r="L1723" s="71"/>
      <c r="M1723" s="71"/>
      <c r="N1723" s="71"/>
      <c r="O1723" s="71"/>
      <c r="P1723" s="71"/>
      <c r="Q1723" s="71"/>
      <c r="R1723" s="71"/>
      <c r="S1723" s="71"/>
      <c r="T1723" s="15"/>
      <c r="U1723" s="15"/>
      <c r="V1723" s="15"/>
      <c r="W1723" s="15"/>
    </row>
    <row r="1724">
      <c r="A1724" s="69"/>
      <c r="B1724" s="69"/>
      <c r="C1724" s="70"/>
      <c r="D1724" s="70"/>
      <c r="E1724" s="69"/>
      <c r="F1724" s="69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69"/>
      <c r="T1724" s="15"/>
      <c r="U1724" s="15"/>
      <c r="V1724" s="15"/>
      <c r="W1724" s="15"/>
    </row>
    <row r="1725">
      <c r="A1725" s="71"/>
      <c r="B1725" s="71"/>
      <c r="C1725" s="72"/>
      <c r="D1725" s="72"/>
      <c r="E1725" s="71"/>
      <c r="F1725" s="71"/>
      <c r="G1725" s="71"/>
      <c r="H1725" s="71"/>
      <c r="I1725" s="71"/>
      <c r="J1725" s="71"/>
      <c r="K1725" s="71"/>
      <c r="L1725" s="71"/>
      <c r="M1725" s="71"/>
      <c r="N1725" s="71"/>
      <c r="O1725" s="71"/>
      <c r="P1725" s="71"/>
      <c r="Q1725" s="71"/>
      <c r="R1725" s="71"/>
      <c r="S1725" s="71"/>
      <c r="T1725" s="15"/>
      <c r="U1725" s="15"/>
      <c r="V1725" s="15"/>
      <c r="W1725" s="15"/>
    </row>
    <row r="1726">
      <c r="A1726" s="69"/>
      <c r="B1726" s="69"/>
      <c r="C1726" s="70"/>
      <c r="D1726" s="70"/>
      <c r="E1726" s="69"/>
      <c r="F1726" s="69"/>
      <c r="G1726" s="69"/>
      <c r="H1726" s="69"/>
      <c r="I1726" s="69"/>
      <c r="J1726" s="69"/>
      <c r="K1726" s="69"/>
      <c r="L1726" s="69"/>
      <c r="M1726" s="69"/>
      <c r="N1726" s="69"/>
      <c r="O1726" s="69"/>
      <c r="P1726" s="69"/>
      <c r="Q1726" s="69"/>
      <c r="R1726" s="69"/>
      <c r="S1726" s="69"/>
      <c r="T1726" s="15"/>
      <c r="U1726" s="15"/>
      <c r="V1726" s="15"/>
      <c r="W1726" s="15"/>
    </row>
    <row r="1727">
      <c r="A1727" s="71"/>
      <c r="B1727" s="71"/>
      <c r="C1727" s="72"/>
      <c r="D1727" s="72"/>
      <c r="E1727" s="71"/>
      <c r="F1727" s="71"/>
      <c r="G1727" s="71"/>
      <c r="H1727" s="71"/>
      <c r="I1727" s="71"/>
      <c r="J1727" s="71"/>
      <c r="K1727" s="71"/>
      <c r="L1727" s="71"/>
      <c r="M1727" s="71"/>
      <c r="N1727" s="71"/>
      <c r="O1727" s="71"/>
      <c r="P1727" s="71"/>
      <c r="Q1727" s="71"/>
      <c r="R1727" s="71"/>
      <c r="S1727" s="71"/>
      <c r="T1727" s="15"/>
      <c r="U1727" s="15"/>
      <c r="V1727" s="15"/>
      <c r="W1727" s="15"/>
    </row>
    <row r="1728">
      <c r="A1728" s="69"/>
      <c r="B1728" s="69"/>
      <c r="C1728" s="70"/>
      <c r="D1728" s="70"/>
      <c r="E1728" s="69"/>
      <c r="F1728" s="69"/>
      <c r="G1728" s="69"/>
      <c r="H1728" s="69"/>
      <c r="I1728" s="69"/>
      <c r="J1728" s="69"/>
      <c r="K1728" s="69"/>
      <c r="L1728" s="69"/>
      <c r="M1728" s="69"/>
      <c r="N1728" s="69"/>
      <c r="O1728" s="69"/>
      <c r="P1728" s="69"/>
      <c r="Q1728" s="69"/>
      <c r="R1728" s="69"/>
      <c r="S1728" s="69"/>
      <c r="T1728" s="15"/>
      <c r="U1728" s="15"/>
      <c r="V1728" s="15"/>
      <c r="W1728" s="15"/>
    </row>
    <row r="1729">
      <c r="A1729" s="71"/>
      <c r="B1729" s="71"/>
      <c r="C1729" s="72"/>
      <c r="D1729" s="72"/>
      <c r="E1729" s="71"/>
      <c r="F1729" s="71"/>
      <c r="G1729" s="71"/>
      <c r="H1729" s="71"/>
      <c r="I1729" s="71"/>
      <c r="J1729" s="71"/>
      <c r="K1729" s="71"/>
      <c r="L1729" s="71"/>
      <c r="M1729" s="71"/>
      <c r="N1729" s="71"/>
      <c r="O1729" s="71"/>
      <c r="P1729" s="71"/>
      <c r="Q1729" s="71"/>
      <c r="R1729" s="71"/>
      <c r="S1729" s="71"/>
      <c r="T1729" s="15"/>
      <c r="U1729" s="15"/>
      <c r="V1729" s="15"/>
      <c r="W1729" s="15"/>
    </row>
    <row r="1730">
      <c r="A1730" s="69"/>
      <c r="B1730" s="69"/>
      <c r="C1730" s="70"/>
      <c r="D1730" s="70"/>
      <c r="E1730" s="69"/>
      <c r="F1730" s="69"/>
      <c r="G1730" s="69"/>
      <c r="H1730" s="69"/>
      <c r="I1730" s="69"/>
      <c r="J1730" s="69"/>
      <c r="K1730" s="69"/>
      <c r="L1730" s="69"/>
      <c r="M1730" s="69"/>
      <c r="N1730" s="69"/>
      <c r="O1730" s="69"/>
      <c r="P1730" s="69"/>
      <c r="Q1730" s="69"/>
      <c r="R1730" s="69"/>
      <c r="S1730" s="69"/>
      <c r="T1730" s="15"/>
      <c r="U1730" s="15"/>
      <c r="V1730" s="15"/>
      <c r="W1730" s="15"/>
    </row>
    <row r="1731">
      <c r="A1731" s="71"/>
      <c r="B1731" s="71"/>
      <c r="C1731" s="72"/>
      <c r="D1731" s="72"/>
      <c r="E1731" s="71"/>
      <c r="F1731" s="71"/>
      <c r="G1731" s="71"/>
      <c r="H1731" s="71"/>
      <c r="I1731" s="71"/>
      <c r="J1731" s="71"/>
      <c r="K1731" s="71"/>
      <c r="L1731" s="71"/>
      <c r="M1731" s="71"/>
      <c r="N1731" s="71"/>
      <c r="O1731" s="71"/>
      <c r="P1731" s="71"/>
      <c r="Q1731" s="71"/>
      <c r="R1731" s="71"/>
      <c r="S1731" s="71"/>
      <c r="T1731" s="15"/>
      <c r="U1731" s="15"/>
      <c r="V1731" s="15"/>
      <c r="W1731" s="15"/>
    </row>
    <row r="1732">
      <c r="A1732" s="69"/>
      <c r="B1732" s="69"/>
      <c r="C1732" s="70"/>
      <c r="D1732" s="70"/>
      <c r="E1732" s="69"/>
      <c r="F1732" s="69"/>
      <c r="G1732" s="69"/>
      <c r="H1732" s="69"/>
      <c r="I1732" s="69"/>
      <c r="J1732" s="69"/>
      <c r="K1732" s="69"/>
      <c r="L1732" s="69"/>
      <c r="M1732" s="69"/>
      <c r="N1732" s="69"/>
      <c r="O1732" s="69"/>
      <c r="P1732" s="69"/>
      <c r="Q1732" s="69"/>
      <c r="R1732" s="69"/>
      <c r="S1732" s="69"/>
      <c r="T1732" s="15"/>
      <c r="U1732" s="15"/>
      <c r="V1732" s="15"/>
      <c r="W1732" s="15"/>
    </row>
    <row r="1733">
      <c r="A1733" s="71"/>
      <c r="B1733" s="71"/>
      <c r="C1733" s="72"/>
      <c r="D1733" s="72"/>
      <c r="E1733" s="71"/>
      <c r="F1733" s="71"/>
      <c r="G1733" s="71"/>
      <c r="H1733" s="71"/>
      <c r="I1733" s="71"/>
      <c r="J1733" s="71"/>
      <c r="K1733" s="71"/>
      <c r="L1733" s="71"/>
      <c r="M1733" s="71"/>
      <c r="N1733" s="71"/>
      <c r="O1733" s="71"/>
      <c r="P1733" s="71"/>
      <c r="Q1733" s="71"/>
      <c r="R1733" s="71"/>
      <c r="S1733" s="71"/>
      <c r="T1733" s="15"/>
      <c r="U1733" s="15"/>
      <c r="V1733" s="15"/>
      <c r="W1733" s="15"/>
    </row>
    <row r="1734">
      <c r="A1734" s="69"/>
      <c r="B1734" s="69"/>
      <c r="C1734" s="70"/>
      <c r="D1734" s="70"/>
      <c r="E1734" s="69"/>
      <c r="F1734" s="69"/>
      <c r="G1734" s="69"/>
      <c r="H1734" s="69"/>
      <c r="I1734" s="69"/>
      <c r="J1734" s="69"/>
      <c r="K1734" s="69"/>
      <c r="L1734" s="69"/>
      <c r="M1734" s="69"/>
      <c r="N1734" s="69"/>
      <c r="O1734" s="69"/>
      <c r="P1734" s="69"/>
      <c r="Q1734" s="69"/>
      <c r="R1734" s="69"/>
      <c r="S1734" s="69"/>
      <c r="T1734" s="15"/>
      <c r="U1734" s="15"/>
      <c r="V1734" s="15"/>
      <c r="W1734" s="15"/>
    </row>
    <row r="1735">
      <c r="A1735" s="71"/>
      <c r="B1735" s="71"/>
      <c r="C1735" s="72"/>
      <c r="D1735" s="72"/>
      <c r="E1735" s="71"/>
      <c r="F1735" s="71"/>
      <c r="G1735" s="71"/>
      <c r="H1735" s="71"/>
      <c r="I1735" s="71"/>
      <c r="J1735" s="71"/>
      <c r="K1735" s="71"/>
      <c r="L1735" s="71"/>
      <c r="M1735" s="71"/>
      <c r="N1735" s="71"/>
      <c r="O1735" s="71"/>
      <c r="P1735" s="71"/>
      <c r="Q1735" s="71"/>
      <c r="R1735" s="71"/>
      <c r="S1735" s="71"/>
      <c r="T1735" s="15"/>
      <c r="U1735" s="15"/>
      <c r="V1735" s="15"/>
      <c r="W1735" s="15"/>
    </row>
    <row r="1736">
      <c r="A1736" s="69"/>
      <c r="B1736" s="69"/>
      <c r="C1736" s="70"/>
      <c r="D1736" s="70"/>
      <c r="E1736" s="69"/>
      <c r="F1736" s="69"/>
      <c r="G1736" s="69"/>
      <c r="H1736" s="69"/>
      <c r="I1736" s="69"/>
      <c r="J1736" s="69"/>
      <c r="K1736" s="69"/>
      <c r="L1736" s="69"/>
      <c r="M1736" s="69"/>
      <c r="N1736" s="69"/>
      <c r="O1736" s="69"/>
      <c r="P1736" s="69"/>
      <c r="Q1736" s="69"/>
      <c r="R1736" s="69"/>
      <c r="S1736" s="69"/>
      <c r="T1736" s="15"/>
      <c r="U1736" s="15"/>
      <c r="V1736" s="15"/>
      <c r="W1736" s="15"/>
    </row>
    <row r="1737">
      <c r="A1737" s="71"/>
      <c r="B1737" s="71"/>
      <c r="C1737" s="72"/>
      <c r="D1737" s="72"/>
      <c r="E1737" s="71"/>
      <c r="F1737" s="71"/>
      <c r="G1737" s="71"/>
      <c r="H1737" s="71"/>
      <c r="I1737" s="71"/>
      <c r="J1737" s="71"/>
      <c r="K1737" s="71"/>
      <c r="L1737" s="71"/>
      <c r="M1737" s="71"/>
      <c r="N1737" s="71"/>
      <c r="O1737" s="71"/>
      <c r="P1737" s="71"/>
      <c r="Q1737" s="71"/>
      <c r="R1737" s="71"/>
      <c r="S1737" s="71"/>
      <c r="T1737" s="15"/>
      <c r="U1737" s="15"/>
      <c r="V1737" s="15"/>
      <c r="W1737" s="15"/>
    </row>
    <row r="1738">
      <c r="A1738" s="69"/>
      <c r="B1738" s="69"/>
      <c r="C1738" s="70"/>
      <c r="D1738" s="70"/>
      <c r="E1738" s="69"/>
      <c r="F1738" s="69"/>
      <c r="G1738" s="69"/>
      <c r="H1738" s="69"/>
      <c r="I1738" s="69"/>
      <c r="J1738" s="69"/>
      <c r="K1738" s="69"/>
      <c r="L1738" s="69"/>
      <c r="M1738" s="69"/>
      <c r="N1738" s="69"/>
      <c r="O1738" s="69"/>
      <c r="P1738" s="69"/>
      <c r="Q1738" s="69"/>
      <c r="R1738" s="69"/>
      <c r="S1738" s="69"/>
      <c r="T1738" s="15"/>
      <c r="U1738" s="15"/>
      <c r="V1738" s="15"/>
      <c r="W1738" s="15"/>
    </row>
    <row r="1739">
      <c r="A1739" s="71"/>
      <c r="B1739" s="71"/>
      <c r="C1739" s="72"/>
      <c r="D1739" s="72"/>
      <c r="E1739" s="71"/>
      <c r="F1739" s="71"/>
      <c r="G1739" s="71"/>
      <c r="H1739" s="71"/>
      <c r="I1739" s="71"/>
      <c r="J1739" s="71"/>
      <c r="K1739" s="71"/>
      <c r="L1739" s="71"/>
      <c r="M1739" s="71"/>
      <c r="N1739" s="71"/>
      <c r="O1739" s="71"/>
      <c r="P1739" s="71"/>
      <c r="Q1739" s="71"/>
      <c r="R1739" s="71"/>
      <c r="S1739" s="71"/>
      <c r="T1739" s="15"/>
      <c r="U1739" s="15"/>
      <c r="V1739" s="15"/>
      <c r="W1739" s="15"/>
    </row>
    <row r="1740">
      <c r="A1740" s="69"/>
      <c r="B1740" s="69"/>
      <c r="C1740" s="70"/>
      <c r="D1740" s="70"/>
      <c r="E1740" s="69"/>
      <c r="F1740" s="69"/>
      <c r="G1740" s="69"/>
      <c r="H1740" s="69"/>
      <c r="I1740" s="69"/>
      <c r="J1740" s="69"/>
      <c r="K1740" s="69"/>
      <c r="L1740" s="69"/>
      <c r="M1740" s="69"/>
      <c r="N1740" s="69"/>
      <c r="O1740" s="69"/>
      <c r="P1740" s="69"/>
      <c r="Q1740" s="69"/>
      <c r="R1740" s="69"/>
      <c r="S1740" s="69"/>
      <c r="T1740" s="15"/>
      <c r="U1740" s="15"/>
      <c r="V1740" s="15"/>
      <c r="W1740" s="15"/>
    </row>
    <row r="1741">
      <c r="A1741" s="71"/>
      <c r="B1741" s="71"/>
      <c r="C1741" s="72"/>
      <c r="D1741" s="72"/>
      <c r="E1741" s="71"/>
      <c r="F1741" s="71"/>
      <c r="G1741" s="71"/>
      <c r="H1741" s="71"/>
      <c r="I1741" s="71"/>
      <c r="J1741" s="71"/>
      <c r="K1741" s="71"/>
      <c r="L1741" s="71"/>
      <c r="M1741" s="71"/>
      <c r="N1741" s="71"/>
      <c r="O1741" s="71"/>
      <c r="P1741" s="71"/>
      <c r="Q1741" s="71"/>
      <c r="R1741" s="71"/>
      <c r="S1741" s="71"/>
      <c r="T1741" s="15"/>
      <c r="U1741" s="15"/>
      <c r="V1741" s="15"/>
      <c r="W1741" s="15"/>
    </row>
    <row r="1742">
      <c r="A1742" s="69"/>
      <c r="B1742" s="69"/>
      <c r="C1742" s="70"/>
      <c r="D1742" s="70"/>
      <c r="E1742" s="69"/>
      <c r="F1742" s="69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69"/>
      <c r="T1742" s="15"/>
      <c r="U1742" s="15"/>
      <c r="V1742" s="15"/>
      <c r="W1742" s="15"/>
    </row>
    <row r="1743">
      <c r="A1743" s="71"/>
      <c r="B1743" s="71"/>
      <c r="C1743" s="72"/>
      <c r="D1743" s="72"/>
      <c r="E1743" s="71"/>
      <c r="F1743" s="71"/>
      <c r="G1743" s="71"/>
      <c r="H1743" s="71"/>
      <c r="I1743" s="71"/>
      <c r="J1743" s="71"/>
      <c r="K1743" s="71"/>
      <c r="L1743" s="71"/>
      <c r="M1743" s="71"/>
      <c r="N1743" s="71"/>
      <c r="O1743" s="71"/>
      <c r="P1743" s="71"/>
      <c r="Q1743" s="71"/>
      <c r="R1743" s="71"/>
      <c r="S1743" s="71"/>
      <c r="T1743" s="15"/>
      <c r="U1743" s="15"/>
      <c r="V1743" s="15"/>
      <c r="W1743" s="15"/>
    </row>
    <row r="1744">
      <c r="A1744" s="69"/>
      <c r="B1744" s="69"/>
      <c r="C1744" s="70"/>
      <c r="D1744" s="70"/>
      <c r="E1744" s="69"/>
      <c r="F1744" s="69"/>
      <c r="G1744" s="69"/>
      <c r="H1744" s="69"/>
      <c r="I1744" s="69"/>
      <c r="J1744" s="69"/>
      <c r="K1744" s="69"/>
      <c r="L1744" s="69"/>
      <c r="M1744" s="69"/>
      <c r="N1744" s="69"/>
      <c r="O1744" s="69"/>
      <c r="P1744" s="69"/>
      <c r="Q1744" s="69"/>
      <c r="R1744" s="69"/>
      <c r="S1744" s="69"/>
      <c r="T1744" s="15"/>
      <c r="U1744" s="15"/>
      <c r="V1744" s="15"/>
      <c r="W1744" s="15"/>
    </row>
    <row r="1745">
      <c r="A1745" s="71"/>
      <c r="B1745" s="71"/>
      <c r="C1745" s="72"/>
      <c r="D1745" s="72"/>
      <c r="E1745" s="71"/>
      <c r="F1745" s="71"/>
      <c r="G1745" s="71"/>
      <c r="H1745" s="71"/>
      <c r="I1745" s="71"/>
      <c r="J1745" s="71"/>
      <c r="K1745" s="71"/>
      <c r="L1745" s="71"/>
      <c r="M1745" s="71"/>
      <c r="N1745" s="71"/>
      <c r="O1745" s="71"/>
      <c r="P1745" s="71"/>
      <c r="Q1745" s="71"/>
      <c r="R1745" s="71"/>
      <c r="S1745" s="71"/>
      <c r="T1745" s="15"/>
      <c r="U1745" s="15"/>
      <c r="V1745" s="15"/>
      <c r="W1745" s="15"/>
    </row>
    <row r="1746">
      <c r="A1746" s="69"/>
      <c r="B1746" s="69"/>
      <c r="C1746" s="70"/>
      <c r="D1746" s="70"/>
      <c r="E1746" s="69"/>
      <c r="F1746" s="69"/>
      <c r="G1746" s="69"/>
      <c r="H1746" s="69"/>
      <c r="I1746" s="69"/>
      <c r="J1746" s="69"/>
      <c r="K1746" s="69"/>
      <c r="L1746" s="69"/>
      <c r="M1746" s="69"/>
      <c r="N1746" s="69"/>
      <c r="O1746" s="69"/>
      <c r="P1746" s="69"/>
      <c r="Q1746" s="69"/>
      <c r="R1746" s="69"/>
      <c r="S1746" s="69"/>
      <c r="T1746" s="15"/>
      <c r="U1746" s="15"/>
      <c r="V1746" s="15"/>
      <c r="W1746" s="15"/>
    </row>
    <row r="1747">
      <c r="A1747" s="71"/>
      <c r="B1747" s="71"/>
      <c r="C1747" s="72"/>
      <c r="D1747" s="72"/>
      <c r="E1747" s="71"/>
      <c r="F1747" s="71"/>
      <c r="G1747" s="71"/>
      <c r="H1747" s="71"/>
      <c r="I1747" s="71"/>
      <c r="J1747" s="71"/>
      <c r="K1747" s="71"/>
      <c r="L1747" s="71"/>
      <c r="M1747" s="71"/>
      <c r="N1747" s="71"/>
      <c r="O1747" s="71"/>
      <c r="P1747" s="71"/>
      <c r="Q1747" s="71"/>
      <c r="R1747" s="71"/>
      <c r="S1747" s="71"/>
      <c r="T1747" s="15"/>
      <c r="U1747" s="15"/>
      <c r="V1747" s="15"/>
      <c r="W1747" s="15"/>
    </row>
    <row r="1748">
      <c r="A1748" s="69"/>
      <c r="B1748" s="69"/>
      <c r="C1748" s="70"/>
      <c r="D1748" s="70"/>
      <c r="E1748" s="69"/>
      <c r="F1748" s="69"/>
      <c r="G1748" s="69"/>
      <c r="H1748" s="69"/>
      <c r="I1748" s="69"/>
      <c r="J1748" s="69"/>
      <c r="K1748" s="69"/>
      <c r="L1748" s="69"/>
      <c r="M1748" s="69"/>
      <c r="N1748" s="69"/>
      <c r="O1748" s="69"/>
      <c r="P1748" s="69"/>
      <c r="Q1748" s="69"/>
      <c r="R1748" s="69"/>
      <c r="S1748" s="69"/>
      <c r="T1748" s="15"/>
      <c r="U1748" s="15"/>
      <c r="V1748" s="15"/>
      <c r="W1748" s="15"/>
    </row>
    <row r="1749">
      <c r="A1749" s="71"/>
      <c r="B1749" s="71"/>
      <c r="C1749" s="72"/>
      <c r="D1749" s="72"/>
      <c r="E1749" s="71"/>
      <c r="F1749" s="71"/>
      <c r="G1749" s="71"/>
      <c r="H1749" s="71"/>
      <c r="I1749" s="71"/>
      <c r="J1749" s="71"/>
      <c r="K1749" s="71"/>
      <c r="L1749" s="71"/>
      <c r="M1749" s="71"/>
      <c r="N1749" s="71"/>
      <c r="O1749" s="71"/>
      <c r="P1749" s="71"/>
      <c r="Q1749" s="71"/>
      <c r="R1749" s="71"/>
      <c r="S1749" s="71"/>
      <c r="T1749" s="15"/>
      <c r="U1749" s="15"/>
      <c r="V1749" s="15"/>
      <c r="W1749" s="15"/>
    </row>
    <row r="1750">
      <c r="A1750" s="69"/>
      <c r="B1750" s="69"/>
      <c r="C1750" s="70"/>
      <c r="D1750" s="70"/>
      <c r="E1750" s="69"/>
      <c r="F1750" s="69"/>
      <c r="G1750" s="69"/>
      <c r="H1750" s="69"/>
      <c r="I1750" s="69"/>
      <c r="J1750" s="69"/>
      <c r="K1750" s="69"/>
      <c r="L1750" s="69"/>
      <c r="M1750" s="69"/>
      <c r="N1750" s="69"/>
      <c r="O1750" s="69"/>
      <c r="P1750" s="69"/>
      <c r="Q1750" s="69"/>
      <c r="R1750" s="69"/>
      <c r="S1750" s="69"/>
      <c r="T1750" s="15"/>
      <c r="U1750" s="15"/>
      <c r="V1750" s="15"/>
      <c r="W1750" s="15"/>
    </row>
    <row r="1751">
      <c r="A1751" s="71"/>
      <c r="B1751" s="71"/>
      <c r="C1751" s="72"/>
      <c r="D1751" s="72"/>
      <c r="E1751" s="71"/>
      <c r="F1751" s="71"/>
      <c r="G1751" s="71"/>
      <c r="H1751" s="71"/>
      <c r="I1751" s="71"/>
      <c r="J1751" s="71"/>
      <c r="K1751" s="71"/>
      <c r="L1751" s="71"/>
      <c r="M1751" s="71"/>
      <c r="N1751" s="71"/>
      <c r="O1751" s="71"/>
      <c r="P1751" s="71"/>
      <c r="Q1751" s="71"/>
      <c r="R1751" s="71"/>
      <c r="S1751" s="71"/>
      <c r="T1751" s="15"/>
      <c r="U1751" s="15"/>
      <c r="V1751" s="15"/>
      <c r="W1751" s="15"/>
    </row>
    <row r="1752">
      <c r="A1752" s="69"/>
      <c r="B1752" s="69"/>
      <c r="C1752" s="70"/>
      <c r="D1752" s="70"/>
      <c r="E1752" s="69"/>
      <c r="F1752" s="69"/>
      <c r="G1752" s="69"/>
      <c r="H1752" s="69"/>
      <c r="I1752" s="69"/>
      <c r="J1752" s="69"/>
      <c r="K1752" s="69"/>
      <c r="L1752" s="69"/>
      <c r="M1752" s="69"/>
      <c r="N1752" s="69"/>
      <c r="O1752" s="69"/>
      <c r="P1752" s="69"/>
      <c r="Q1752" s="69"/>
      <c r="R1752" s="69"/>
      <c r="S1752" s="69"/>
      <c r="T1752" s="15"/>
      <c r="U1752" s="15"/>
      <c r="V1752" s="15"/>
      <c r="W1752" s="15"/>
    </row>
    <row r="1753">
      <c r="A1753" s="71"/>
      <c r="B1753" s="71"/>
      <c r="C1753" s="72"/>
      <c r="D1753" s="72"/>
      <c r="E1753" s="71"/>
      <c r="F1753" s="71"/>
      <c r="G1753" s="71"/>
      <c r="H1753" s="71"/>
      <c r="I1753" s="71"/>
      <c r="J1753" s="71"/>
      <c r="K1753" s="71"/>
      <c r="L1753" s="71"/>
      <c r="M1753" s="71"/>
      <c r="N1753" s="71"/>
      <c r="O1753" s="71"/>
      <c r="P1753" s="71"/>
      <c r="Q1753" s="71"/>
      <c r="R1753" s="71"/>
      <c r="S1753" s="71"/>
      <c r="T1753" s="15"/>
      <c r="U1753" s="15"/>
      <c r="V1753" s="15"/>
      <c r="W1753" s="15"/>
    </row>
    <row r="1754">
      <c r="A1754" s="69"/>
      <c r="B1754" s="69"/>
      <c r="C1754" s="70"/>
      <c r="D1754" s="70"/>
      <c r="E1754" s="69"/>
      <c r="F1754" s="69"/>
      <c r="G1754" s="69"/>
      <c r="H1754" s="69"/>
      <c r="I1754" s="69"/>
      <c r="J1754" s="69"/>
      <c r="K1754" s="69"/>
      <c r="L1754" s="69"/>
      <c r="M1754" s="69"/>
      <c r="N1754" s="69"/>
      <c r="O1754" s="69"/>
      <c r="P1754" s="69"/>
      <c r="Q1754" s="69"/>
      <c r="R1754" s="69"/>
      <c r="S1754" s="69"/>
      <c r="T1754" s="15"/>
      <c r="U1754" s="15"/>
      <c r="V1754" s="15"/>
      <c r="W1754" s="15"/>
    </row>
    <row r="1755">
      <c r="A1755" s="71"/>
      <c r="B1755" s="71"/>
      <c r="C1755" s="72"/>
      <c r="D1755" s="72"/>
      <c r="E1755" s="71"/>
      <c r="F1755" s="71"/>
      <c r="G1755" s="71"/>
      <c r="H1755" s="71"/>
      <c r="I1755" s="71"/>
      <c r="J1755" s="71"/>
      <c r="K1755" s="71"/>
      <c r="L1755" s="71"/>
      <c r="M1755" s="71"/>
      <c r="N1755" s="71"/>
      <c r="O1755" s="71"/>
      <c r="P1755" s="71"/>
      <c r="Q1755" s="71"/>
      <c r="R1755" s="71"/>
      <c r="S1755" s="71"/>
      <c r="T1755" s="15"/>
      <c r="U1755" s="15"/>
      <c r="V1755" s="15"/>
      <c r="W1755" s="15"/>
    </row>
    <row r="1756">
      <c r="A1756" s="69"/>
      <c r="B1756" s="69"/>
      <c r="C1756" s="70"/>
      <c r="D1756" s="70"/>
      <c r="E1756" s="69"/>
      <c r="F1756" s="69"/>
      <c r="G1756" s="69"/>
      <c r="H1756" s="69"/>
      <c r="I1756" s="69"/>
      <c r="J1756" s="69"/>
      <c r="K1756" s="69"/>
      <c r="L1756" s="69"/>
      <c r="M1756" s="69"/>
      <c r="N1756" s="69"/>
      <c r="O1756" s="69"/>
      <c r="P1756" s="69"/>
      <c r="Q1756" s="69"/>
      <c r="R1756" s="69"/>
      <c r="S1756" s="69"/>
      <c r="T1756" s="15"/>
      <c r="U1756" s="15"/>
      <c r="V1756" s="15"/>
      <c r="W1756" s="15"/>
    </row>
    <row r="1757">
      <c r="A1757" s="71"/>
      <c r="B1757" s="71"/>
      <c r="C1757" s="72"/>
      <c r="D1757" s="72"/>
      <c r="E1757" s="71"/>
      <c r="F1757" s="71"/>
      <c r="G1757" s="71"/>
      <c r="H1757" s="71"/>
      <c r="I1757" s="71"/>
      <c r="J1757" s="71"/>
      <c r="K1757" s="71"/>
      <c r="L1757" s="71"/>
      <c r="M1757" s="71"/>
      <c r="N1757" s="71"/>
      <c r="O1757" s="71"/>
      <c r="P1757" s="71"/>
      <c r="Q1757" s="71"/>
      <c r="R1757" s="71"/>
      <c r="S1757" s="71"/>
      <c r="T1757" s="15"/>
      <c r="U1757" s="15"/>
      <c r="V1757" s="15"/>
      <c r="W1757" s="15"/>
    </row>
    <row r="1758">
      <c r="A1758" s="69"/>
      <c r="B1758" s="69"/>
      <c r="C1758" s="70"/>
      <c r="D1758" s="70"/>
      <c r="E1758" s="69"/>
      <c r="F1758" s="69"/>
      <c r="G1758" s="69"/>
      <c r="H1758" s="69"/>
      <c r="I1758" s="69"/>
      <c r="J1758" s="69"/>
      <c r="K1758" s="69"/>
      <c r="L1758" s="69"/>
      <c r="M1758" s="69"/>
      <c r="N1758" s="69"/>
      <c r="O1758" s="69"/>
      <c r="P1758" s="69"/>
      <c r="Q1758" s="69"/>
      <c r="R1758" s="69"/>
      <c r="S1758" s="69"/>
      <c r="T1758" s="15"/>
      <c r="U1758" s="15"/>
      <c r="V1758" s="15"/>
      <c r="W1758" s="15"/>
    </row>
    <row r="1759">
      <c r="A1759" s="71"/>
      <c r="B1759" s="71"/>
      <c r="C1759" s="72"/>
      <c r="D1759" s="72"/>
      <c r="E1759" s="71"/>
      <c r="F1759" s="71"/>
      <c r="G1759" s="71"/>
      <c r="H1759" s="71"/>
      <c r="I1759" s="71"/>
      <c r="J1759" s="71"/>
      <c r="K1759" s="71"/>
      <c r="L1759" s="71"/>
      <c r="M1759" s="71"/>
      <c r="N1759" s="71"/>
      <c r="O1759" s="71"/>
      <c r="P1759" s="71"/>
      <c r="Q1759" s="71"/>
      <c r="R1759" s="71"/>
      <c r="S1759" s="71"/>
      <c r="T1759" s="15"/>
      <c r="U1759" s="15"/>
      <c r="V1759" s="15"/>
      <c r="W1759" s="15"/>
    </row>
    <row r="1760">
      <c r="A1760" s="69"/>
      <c r="B1760" s="69"/>
      <c r="C1760" s="70"/>
      <c r="D1760" s="70"/>
      <c r="E1760" s="69"/>
      <c r="F1760" s="69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69"/>
      <c r="T1760" s="15"/>
      <c r="U1760" s="15"/>
      <c r="V1760" s="15"/>
      <c r="W1760" s="15"/>
    </row>
    <row r="1761">
      <c r="A1761" s="71"/>
      <c r="B1761" s="71"/>
      <c r="C1761" s="72"/>
      <c r="D1761" s="72"/>
      <c r="E1761" s="71"/>
      <c r="F1761" s="71"/>
      <c r="G1761" s="71"/>
      <c r="H1761" s="71"/>
      <c r="I1761" s="71"/>
      <c r="J1761" s="71"/>
      <c r="K1761" s="71"/>
      <c r="L1761" s="71"/>
      <c r="M1761" s="71"/>
      <c r="N1761" s="71"/>
      <c r="O1761" s="71"/>
      <c r="P1761" s="71"/>
      <c r="Q1761" s="71"/>
      <c r="R1761" s="71"/>
      <c r="S1761" s="71"/>
      <c r="T1761" s="15"/>
      <c r="U1761" s="15"/>
      <c r="V1761" s="15"/>
      <c r="W1761" s="15"/>
    </row>
    <row r="1762">
      <c r="A1762" s="69"/>
      <c r="B1762" s="69"/>
      <c r="C1762" s="70"/>
      <c r="D1762" s="70"/>
      <c r="E1762" s="69"/>
      <c r="F1762" s="69"/>
      <c r="G1762" s="69"/>
      <c r="H1762" s="69"/>
      <c r="I1762" s="69"/>
      <c r="J1762" s="69"/>
      <c r="K1762" s="69"/>
      <c r="L1762" s="69"/>
      <c r="M1762" s="69"/>
      <c r="N1762" s="69"/>
      <c r="O1762" s="69"/>
      <c r="P1762" s="69"/>
      <c r="Q1762" s="69"/>
      <c r="R1762" s="69"/>
      <c r="S1762" s="69"/>
      <c r="T1762" s="15"/>
      <c r="U1762" s="15"/>
      <c r="V1762" s="15"/>
      <c r="W1762" s="15"/>
    </row>
    <row r="1763">
      <c r="A1763" s="71"/>
      <c r="B1763" s="71"/>
      <c r="C1763" s="72"/>
      <c r="D1763" s="72"/>
      <c r="E1763" s="71"/>
      <c r="F1763" s="71"/>
      <c r="G1763" s="71"/>
      <c r="H1763" s="71"/>
      <c r="I1763" s="71"/>
      <c r="J1763" s="71"/>
      <c r="K1763" s="71"/>
      <c r="L1763" s="71"/>
      <c r="M1763" s="71"/>
      <c r="N1763" s="71"/>
      <c r="O1763" s="71"/>
      <c r="P1763" s="71"/>
      <c r="Q1763" s="71"/>
      <c r="R1763" s="71"/>
      <c r="S1763" s="71"/>
      <c r="T1763" s="15"/>
      <c r="U1763" s="15"/>
      <c r="V1763" s="15"/>
      <c r="W1763" s="15"/>
    </row>
    <row r="1764">
      <c r="A1764" s="69"/>
      <c r="B1764" s="69"/>
      <c r="C1764" s="70"/>
      <c r="D1764" s="70"/>
      <c r="E1764" s="69"/>
      <c r="F1764" s="69"/>
      <c r="G1764" s="69"/>
      <c r="H1764" s="69"/>
      <c r="I1764" s="69"/>
      <c r="J1764" s="69"/>
      <c r="K1764" s="69"/>
      <c r="L1764" s="69"/>
      <c r="M1764" s="69"/>
      <c r="N1764" s="69"/>
      <c r="O1764" s="69"/>
      <c r="P1764" s="69"/>
      <c r="Q1764" s="69"/>
      <c r="R1764" s="69"/>
      <c r="S1764" s="69"/>
      <c r="T1764" s="15"/>
      <c r="U1764" s="15"/>
      <c r="V1764" s="15"/>
      <c r="W1764" s="15"/>
    </row>
    <row r="1765">
      <c r="A1765" s="71"/>
      <c r="B1765" s="71"/>
      <c r="C1765" s="72"/>
      <c r="D1765" s="72"/>
      <c r="E1765" s="71"/>
      <c r="F1765" s="71"/>
      <c r="G1765" s="71"/>
      <c r="H1765" s="71"/>
      <c r="I1765" s="71"/>
      <c r="J1765" s="71"/>
      <c r="K1765" s="71"/>
      <c r="L1765" s="71"/>
      <c r="M1765" s="71"/>
      <c r="N1765" s="71"/>
      <c r="O1765" s="71"/>
      <c r="P1765" s="71"/>
      <c r="Q1765" s="71"/>
      <c r="R1765" s="71"/>
      <c r="S1765" s="71"/>
      <c r="T1765" s="15"/>
      <c r="U1765" s="15"/>
      <c r="V1765" s="15"/>
      <c r="W1765" s="15"/>
    </row>
    <row r="1766">
      <c r="A1766" s="69"/>
      <c r="B1766" s="69"/>
      <c r="C1766" s="70"/>
      <c r="D1766" s="70"/>
      <c r="E1766" s="69"/>
      <c r="F1766" s="69"/>
      <c r="G1766" s="69"/>
      <c r="H1766" s="69"/>
      <c r="I1766" s="69"/>
      <c r="J1766" s="69"/>
      <c r="K1766" s="69"/>
      <c r="L1766" s="69"/>
      <c r="M1766" s="69"/>
      <c r="N1766" s="69"/>
      <c r="O1766" s="69"/>
      <c r="P1766" s="69"/>
      <c r="Q1766" s="69"/>
      <c r="R1766" s="69"/>
      <c r="S1766" s="69"/>
      <c r="T1766" s="15"/>
      <c r="U1766" s="15"/>
      <c r="V1766" s="15"/>
      <c r="W1766" s="15"/>
    </row>
    <row r="1767">
      <c r="A1767" s="71"/>
      <c r="B1767" s="71"/>
      <c r="C1767" s="72"/>
      <c r="D1767" s="72"/>
      <c r="E1767" s="71"/>
      <c r="F1767" s="71"/>
      <c r="G1767" s="71"/>
      <c r="H1767" s="71"/>
      <c r="I1767" s="71"/>
      <c r="J1767" s="71"/>
      <c r="K1767" s="71"/>
      <c r="L1767" s="71"/>
      <c r="M1767" s="71"/>
      <c r="N1767" s="71"/>
      <c r="O1767" s="71"/>
      <c r="P1767" s="71"/>
      <c r="Q1767" s="71"/>
      <c r="R1767" s="71"/>
      <c r="S1767" s="71"/>
      <c r="T1767" s="15"/>
      <c r="U1767" s="15"/>
      <c r="V1767" s="15"/>
      <c r="W1767" s="15"/>
    </row>
    <row r="1768">
      <c r="A1768" s="69"/>
      <c r="B1768" s="69"/>
      <c r="C1768" s="70"/>
      <c r="D1768" s="70"/>
      <c r="E1768" s="69"/>
      <c r="F1768" s="69"/>
      <c r="G1768" s="69"/>
      <c r="H1768" s="69"/>
      <c r="I1768" s="69"/>
      <c r="J1768" s="69"/>
      <c r="K1768" s="69"/>
      <c r="L1768" s="69"/>
      <c r="M1768" s="69"/>
      <c r="N1768" s="69"/>
      <c r="O1768" s="69"/>
      <c r="P1768" s="69"/>
      <c r="Q1768" s="69"/>
      <c r="R1768" s="69"/>
      <c r="S1768" s="69"/>
      <c r="T1768" s="15"/>
      <c r="U1768" s="15"/>
      <c r="V1768" s="15"/>
      <c r="W1768" s="15"/>
    </row>
    <row r="1769">
      <c r="A1769" s="71"/>
      <c r="B1769" s="71"/>
      <c r="C1769" s="72"/>
      <c r="D1769" s="72"/>
      <c r="E1769" s="71"/>
      <c r="F1769" s="71"/>
      <c r="G1769" s="71"/>
      <c r="H1769" s="71"/>
      <c r="I1769" s="71"/>
      <c r="J1769" s="71"/>
      <c r="K1769" s="71"/>
      <c r="L1769" s="71"/>
      <c r="M1769" s="71"/>
      <c r="N1769" s="71"/>
      <c r="O1769" s="71"/>
      <c r="P1769" s="71"/>
      <c r="Q1769" s="71"/>
      <c r="R1769" s="71"/>
      <c r="S1769" s="71"/>
      <c r="T1769" s="15"/>
      <c r="U1769" s="15"/>
      <c r="V1769" s="15"/>
      <c r="W1769" s="15"/>
    </row>
    <row r="1770">
      <c r="A1770" s="69"/>
      <c r="B1770" s="69"/>
      <c r="C1770" s="70"/>
      <c r="D1770" s="70"/>
      <c r="E1770" s="69"/>
      <c r="F1770" s="69"/>
      <c r="G1770" s="69"/>
      <c r="H1770" s="69"/>
      <c r="I1770" s="69"/>
      <c r="J1770" s="69"/>
      <c r="K1770" s="69"/>
      <c r="L1770" s="69"/>
      <c r="M1770" s="69"/>
      <c r="N1770" s="69"/>
      <c r="O1770" s="69"/>
      <c r="P1770" s="69"/>
      <c r="Q1770" s="69"/>
      <c r="R1770" s="69"/>
      <c r="S1770" s="69"/>
      <c r="T1770" s="15"/>
      <c r="U1770" s="15"/>
      <c r="V1770" s="15"/>
      <c r="W1770" s="15"/>
    </row>
    <row r="1771">
      <c r="A1771" s="71"/>
      <c r="B1771" s="71"/>
      <c r="C1771" s="72"/>
      <c r="D1771" s="72"/>
      <c r="E1771" s="71"/>
      <c r="F1771" s="71"/>
      <c r="G1771" s="71"/>
      <c r="H1771" s="71"/>
      <c r="I1771" s="71"/>
      <c r="J1771" s="71"/>
      <c r="K1771" s="71"/>
      <c r="L1771" s="71"/>
      <c r="M1771" s="71"/>
      <c r="N1771" s="71"/>
      <c r="O1771" s="71"/>
      <c r="P1771" s="71"/>
      <c r="Q1771" s="71"/>
      <c r="R1771" s="71"/>
      <c r="S1771" s="71"/>
      <c r="T1771" s="15"/>
      <c r="U1771" s="15"/>
      <c r="V1771" s="15"/>
      <c r="W1771" s="15"/>
    </row>
    <row r="1772">
      <c r="A1772" s="69"/>
      <c r="B1772" s="69"/>
      <c r="C1772" s="70"/>
      <c r="D1772" s="70"/>
      <c r="E1772" s="69"/>
      <c r="F1772" s="69"/>
      <c r="G1772" s="69"/>
      <c r="H1772" s="69"/>
      <c r="I1772" s="69"/>
      <c r="J1772" s="69"/>
      <c r="K1772" s="69"/>
      <c r="L1772" s="69"/>
      <c r="M1772" s="69"/>
      <c r="N1772" s="69"/>
      <c r="O1772" s="69"/>
      <c r="P1772" s="69"/>
      <c r="Q1772" s="69"/>
      <c r="R1772" s="69"/>
      <c r="S1772" s="69"/>
      <c r="T1772" s="15"/>
      <c r="U1772" s="15"/>
      <c r="V1772" s="15"/>
      <c r="W1772" s="15"/>
    </row>
    <row r="1773">
      <c r="A1773" s="71"/>
      <c r="B1773" s="71"/>
      <c r="C1773" s="72"/>
      <c r="D1773" s="72"/>
      <c r="E1773" s="71"/>
      <c r="F1773" s="71"/>
      <c r="G1773" s="71"/>
      <c r="H1773" s="71"/>
      <c r="I1773" s="71"/>
      <c r="J1773" s="71"/>
      <c r="K1773" s="71"/>
      <c r="L1773" s="71"/>
      <c r="M1773" s="71"/>
      <c r="N1773" s="71"/>
      <c r="O1773" s="71"/>
      <c r="P1773" s="71"/>
      <c r="Q1773" s="71"/>
      <c r="R1773" s="71"/>
      <c r="S1773" s="71"/>
      <c r="T1773" s="15"/>
      <c r="U1773" s="15"/>
      <c r="V1773" s="15"/>
      <c r="W1773" s="15"/>
    </row>
    <row r="1774">
      <c r="A1774" s="69"/>
      <c r="B1774" s="69"/>
      <c r="C1774" s="70"/>
      <c r="D1774" s="70"/>
      <c r="E1774" s="69"/>
      <c r="F1774" s="69"/>
      <c r="G1774" s="69"/>
      <c r="H1774" s="69"/>
      <c r="I1774" s="69"/>
      <c r="J1774" s="69"/>
      <c r="K1774" s="69"/>
      <c r="L1774" s="69"/>
      <c r="M1774" s="69"/>
      <c r="N1774" s="69"/>
      <c r="O1774" s="69"/>
      <c r="P1774" s="69"/>
      <c r="Q1774" s="69"/>
      <c r="R1774" s="69"/>
      <c r="S1774" s="69"/>
      <c r="T1774" s="15"/>
      <c r="U1774" s="15"/>
      <c r="V1774" s="15"/>
      <c r="W1774" s="15"/>
    </row>
    <row r="1775">
      <c r="A1775" s="71"/>
      <c r="B1775" s="71"/>
      <c r="C1775" s="72"/>
      <c r="D1775" s="72"/>
      <c r="E1775" s="71"/>
      <c r="F1775" s="71"/>
      <c r="G1775" s="71"/>
      <c r="H1775" s="71"/>
      <c r="I1775" s="71"/>
      <c r="J1775" s="71"/>
      <c r="K1775" s="71"/>
      <c r="L1775" s="71"/>
      <c r="M1775" s="71"/>
      <c r="N1775" s="71"/>
      <c r="O1775" s="71"/>
      <c r="P1775" s="71"/>
      <c r="Q1775" s="71"/>
      <c r="R1775" s="71"/>
      <c r="S1775" s="71"/>
      <c r="T1775" s="15"/>
      <c r="U1775" s="15"/>
      <c r="V1775" s="15"/>
      <c r="W1775" s="15"/>
    </row>
    <row r="1776">
      <c r="A1776" s="69"/>
      <c r="B1776" s="69"/>
      <c r="C1776" s="70"/>
      <c r="D1776" s="70"/>
      <c r="E1776" s="69"/>
      <c r="F1776" s="69"/>
      <c r="G1776" s="69"/>
      <c r="H1776" s="69"/>
      <c r="I1776" s="69"/>
      <c r="J1776" s="69"/>
      <c r="K1776" s="69"/>
      <c r="L1776" s="69"/>
      <c r="M1776" s="69"/>
      <c r="N1776" s="69"/>
      <c r="O1776" s="69"/>
      <c r="P1776" s="69"/>
      <c r="Q1776" s="69"/>
      <c r="R1776" s="69"/>
      <c r="S1776" s="69"/>
      <c r="T1776" s="15"/>
      <c r="U1776" s="15"/>
      <c r="V1776" s="15"/>
      <c r="W1776" s="15"/>
    </row>
    <row r="1777">
      <c r="A1777" s="71"/>
      <c r="B1777" s="71"/>
      <c r="C1777" s="72"/>
      <c r="D1777" s="72"/>
      <c r="E1777" s="71"/>
      <c r="F1777" s="71"/>
      <c r="G1777" s="71"/>
      <c r="H1777" s="71"/>
      <c r="I1777" s="71"/>
      <c r="J1777" s="71"/>
      <c r="K1777" s="71"/>
      <c r="L1777" s="71"/>
      <c r="M1777" s="71"/>
      <c r="N1777" s="71"/>
      <c r="O1777" s="71"/>
      <c r="P1777" s="71"/>
      <c r="Q1777" s="71"/>
      <c r="R1777" s="71"/>
      <c r="S1777" s="71"/>
      <c r="T1777" s="15"/>
      <c r="U1777" s="15"/>
      <c r="V1777" s="15"/>
      <c r="W1777" s="15"/>
    </row>
    <row r="1778">
      <c r="A1778" s="69"/>
      <c r="B1778" s="69"/>
      <c r="C1778" s="70"/>
      <c r="D1778" s="70"/>
      <c r="E1778" s="69"/>
      <c r="F1778" s="69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69"/>
      <c r="T1778" s="15"/>
      <c r="U1778" s="15"/>
      <c r="V1778" s="15"/>
      <c r="W1778" s="15"/>
    </row>
    <row r="1779">
      <c r="A1779" s="71"/>
      <c r="B1779" s="71"/>
      <c r="C1779" s="72"/>
      <c r="D1779" s="72"/>
      <c r="E1779" s="71"/>
      <c r="F1779" s="71"/>
      <c r="G1779" s="71"/>
      <c r="H1779" s="71"/>
      <c r="I1779" s="71"/>
      <c r="J1779" s="71"/>
      <c r="K1779" s="71"/>
      <c r="L1779" s="71"/>
      <c r="M1779" s="71"/>
      <c r="N1779" s="71"/>
      <c r="O1779" s="71"/>
      <c r="P1779" s="71"/>
      <c r="Q1779" s="71"/>
      <c r="R1779" s="71"/>
      <c r="S1779" s="71"/>
      <c r="T1779" s="15"/>
      <c r="U1779" s="15"/>
      <c r="V1779" s="15"/>
      <c r="W1779" s="15"/>
    </row>
    <row r="1780">
      <c r="A1780" s="69"/>
      <c r="B1780" s="69"/>
      <c r="C1780" s="70"/>
      <c r="D1780" s="70"/>
      <c r="E1780" s="69"/>
      <c r="F1780" s="69"/>
      <c r="G1780" s="69"/>
      <c r="H1780" s="69"/>
      <c r="I1780" s="69"/>
      <c r="J1780" s="69"/>
      <c r="K1780" s="69"/>
      <c r="L1780" s="69"/>
      <c r="M1780" s="69"/>
      <c r="N1780" s="69"/>
      <c r="O1780" s="69"/>
      <c r="P1780" s="69"/>
      <c r="Q1780" s="69"/>
      <c r="R1780" s="69"/>
      <c r="S1780" s="69"/>
      <c r="T1780" s="15"/>
      <c r="U1780" s="15"/>
      <c r="V1780" s="15"/>
      <c r="W1780" s="15"/>
    </row>
    <row r="1781">
      <c r="A1781" s="71"/>
      <c r="B1781" s="71"/>
      <c r="C1781" s="72"/>
      <c r="D1781" s="72"/>
      <c r="E1781" s="71"/>
      <c r="F1781" s="71"/>
      <c r="G1781" s="71"/>
      <c r="H1781" s="71"/>
      <c r="I1781" s="71"/>
      <c r="J1781" s="71"/>
      <c r="K1781" s="71"/>
      <c r="L1781" s="71"/>
      <c r="M1781" s="71"/>
      <c r="N1781" s="71"/>
      <c r="O1781" s="71"/>
      <c r="P1781" s="71"/>
      <c r="Q1781" s="71"/>
      <c r="R1781" s="71"/>
      <c r="S1781" s="71"/>
      <c r="T1781" s="15"/>
      <c r="U1781" s="15"/>
      <c r="V1781" s="15"/>
      <c r="W1781" s="15"/>
    </row>
    <row r="1782">
      <c r="A1782" s="69"/>
      <c r="B1782" s="69"/>
      <c r="C1782" s="70"/>
      <c r="D1782" s="70"/>
      <c r="E1782" s="69"/>
      <c r="F1782" s="69"/>
      <c r="G1782" s="69"/>
      <c r="H1782" s="69"/>
      <c r="I1782" s="69"/>
      <c r="J1782" s="69"/>
      <c r="K1782" s="69"/>
      <c r="L1782" s="69"/>
      <c r="M1782" s="69"/>
      <c r="N1782" s="69"/>
      <c r="O1782" s="69"/>
      <c r="P1782" s="69"/>
      <c r="Q1782" s="69"/>
      <c r="R1782" s="69"/>
      <c r="S1782" s="69"/>
      <c r="T1782" s="15"/>
      <c r="U1782" s="15"/>
      <c r="V1782" s="15"/>
      <c r="W1782" s="15"/>
    </row>
    <row r="1783">
      <c r="A1783" s="71"/>
      <c r="B1783" s="71"/>
      <c r="C1783" s="72"/>
      <c r="D1783" s="72"/>
      <c r="E1783" s="71"/>
      <c r="F1783" s="71"/>
      <c r="G1783" s="71"/>
      <c r="H1783" s="71"/>
      <c r="I1783" s="71"/>
      <c r="J1783" s="71"/>
      <c r="K1783" s="71"/>
      <c r="L1783" s="71"/>
      <c r="M1783" s="71"/>
      <c r="N1783" s="71"/>
      <c r="O1783" s="71"/>
      <c r="P1783" s="71"/>
      <c r="Q1783" s="71"/>
      <c r="R1783" s="71"/>
      <c r="S1783" s="71"/>
      <c r="T1783" s="15"/>
      <c r="U1783" s="15"/>
      <c r="V1783" s="15"/>
      <c r="W1783" s="15"/>
    </row>
    <row r="1784">
      <c r="A1784" s="69"/>
      <c r="B1784" s="69"/>
      <c r="C1784" s="70"/>
      <c r="D1784" s="70"/>
      <c r="E1784" s="69"/>
      <c r="F1784" s="69"/>
      <c r="G1784" s="69"/>
      <c r="H1784" s="69"/>
      <c r="I1784" s="69"/>
      <c r="J1784" s="69"/>
      <c r="K1784" s="69"/>
      <c r="L1784" s="69"/>
      <c r="M1784" s="69"/>
      <c r="N1784" s="69"/>
      <c r="O1784" s="69"/>
      <c r="P1784" s="69"/>
      <c r="Q1784" s="69"/>
      <c r="R1784" s="69"/>
      <c r="S1784" s="69"/>
      <c r="T1784" s="15"/>
      <c r="U1784" s="15"/>
      <c r="V1784" s="15"/>
      <c r="W1784" s="15"/>
    </row>
    <row r="1785">
      <c r="A1785" s="71"/>
      <c r="B1785" s="71"/>
      <c r="C1785" s="72"/>
      <c r="D1785" s="72"/>
      <c r="E1785" s="71"/>
      <c r="F1785" s="71"/>
      <c r="G1785" s="71"/>
      <c r="H1785" s="71"/>
      <c r="I1785" s="71"/>
      <c r="J1785" s="71"/>
      <c r="K1785" s="71"/>
      <c r="L1785" s="71"/>
      <c r="M1785" s="71"/>
      <c r="N1785" s="71"/>
      <c r="O1785" s="71"/>
      <c r="P1785" s="71"/>
      <c r="Q1785" s="71"/>
      <c r="R1785" s="71"/>
      <c r="S1785" s="71"/>
      <c r="T1785" s="15"/>
      <c r="U1785" s="15"/>
      <c r="V1785" s="15"/>
      <c r="W1785" s="15"/>
    </row>
    <row r="1786">
      <c r="A1786" s="69"/>
      <c r="B1786" s="69"/>
      <c r="C1786" s="70"/>
      <c r="D1786" s="70"/>
      <c r="E1786" s="69"/>
      <c r="F1786" s="69"/>
      <c r="G1786" s="69"/>
      <c r="H1786" s="69"/>
      <c r="I1786" s="69"/>
      <c r="J1786" s="69"/>
      <c r="K1786" s="69"/>
      <c r="L1786" s="69"/>
      <c r="M1786" s="69"/>
      <c r="N1786" s="69"/>
      <c r="O1786" s="69"/>
      <c r="P1786" s="69"/>
      <c r="Q1786" s="69"/>
      <c r="R1786" s="69"/>
      <c r="S1786" s="69"/>
      <c r="T1786" s="15"/>
      <c r="U1786" s="15"/>
      <c r="V1786" s="15"/>
      <c r="W1786" s="15"/>
    </row>
    <row r="1787">
      <c r="A1787" s="71"/>
      <c r="B1787" s="71"/>
      <c r="C1787" s="72"/>
      <c r="D1787" s="72"/>
      <c r="E1787" s="71"/>
      <c r="F1787" s="71"/>
      <c r="G1787" s="71"/>
      <c r="H1787" s="71"/>
      <c r="I1787" s="71"/>
      <c r="J1787" s="71"/>
      <c r="K1787" s="71"/>
      <c r="L1787" s="71"/>
      <c r="M1787" s="71"/>
      <c r="N1787" s="71"/>
      <c r="O1787" s="71"/>
      <c r="P1787" s="71"/>
      <c r="Q1787" s="71"/>
      <c r="R1787" s="71"/>
      <c r="S1787" s="71"/>
      <c r="T1787" s="15"/>
      <c r="U1787" s="15"/>
      <c r="V1787" s="15"/>
      <c r="W1787" s="15"/>
    </row>
    <row r="1788">
      <c r="A1788" s="69"/>
      <c r="B1788" s="69"/>
      <c r="C1788" s="70"/>
      <c r="D1788" s="70"/>
      <c r="E1788" s="69"/>
      <c r="F1788" s="69"/>
      <c r="G1788" s="69"/>
      <c r="H1788" s="69"/>
      <c r="I1788" s="69"/>
      <c r="J1788" s="69"/>
      <c r="K1788" s="69"/>
      <c r="L1788" s="69"/>
      <c r="M1788" s="69"/>
      <c r="N1788" s="69"/>
      <c r="O1788" s="69"/>
      <c r="P1788" s="69"/>
      <c r="Q1788" s="69"/>
      <c r="R1788" s="69"/>
      <c r="S1788" s="69"/>
      <c r="T1788" s="15"/>
      <c r="U1788" s="15"/>
      <c r="V1788" s="15"/>
      <c r="W1788" s="15"/>
    </row>
    <row r="1789">
      <c r="A1789" s="71"/>
      <c r="B1789" s="71"/>
      <c r="C1789" s="72"/>
      <c r="D1789" s="72"/>
      <c r="E1789" s="71"/>
      <c r="F1789" s="71"/>
      <c r="G1789" s="71"/>
      <c r="H1789" s="71"/>
      <c r="I1789" s="71"/>
      <c r="J1789" s="71"/>
      <c r="K1789" s="71"/>
      <c r="L1789" s="71"/>
      <c r="M1789" s="71"/>
      <c r="N1789" s="71"/>
      <c r="O1789" s="71"/>
      <c r="P1789" s="71"/>
      <c r="Q1789" s="71"/>
      <c r="R1789" s="71"/>
      <c r="S1789" s="71"/>
      <c r="T1789" s="15"/>
      <c r="U1789" s="15"/>
      <c r="V1789" s="15"/>
      <c r="W1789" s="15"/>
    </row>
    <row r="1790">
      <c r="A1790" s="69"/>
      <c r="B1790" s="69"/>
      <c r="C1790" s="70"/>
      <c r="D1790" s="70"/>
      <c r="E1790" s="69"/>
      <c r="F1790" s="69"/>
      <c r="G1790" s="69"/>
      <c r="H1790" s="69"/>
      <c r="I1790" s="69"/>
      <c r="J1790" s="69"/>
      <c r="K1790" s="69"/>
      <c r="L1790" s="69"/>
      <c r="M1790" s="69"/>
      <c r="N1790" s="69"/>
      <c r="O1790" s="69"/>
      <c r="P1790" s="69"/>
      <c r="Q1790" s="69"/>
      <c r="R1790" s="69"/>
      <c r="S1790" s="69"/>
      <c r="T1790" s="15"/>
      <c r="U1790" s="15"/>
      <c r="V1790" s="15"/>
      <c r="W1790" s="15"/>
    </row>
    <row r="1791">
      <c r="A1791" s="71"/>
      <c r="B1791" s="71"/>
      <c r="C1791" s="72"/>
      <c r="D1791" s="72"/>
      <c r="E1791" s="71"/>
      <c r="F1791" s="71"/>
      <c r="G1791" s="71"/>
      <c r="H1791" s="71"/>
      <c r="I1791" s="71"/>
      <c r="J1791" s="71"/>
      <c r="K1791" s="71"/>
      <c r="L1791" s="71"/>
      <c r="M1791" s="71"/>
      <c r="N1791" s="71"/>
      <c r="O1791" s="71"/>
      <c r="P1791" s="71"/>
      <c r="Q1791" s="71"/>
      <c r="R1791" s="71"/>
      <c r="S1791" s="71"/>
      <c r="T1791" s="15"/>
      <c r="U1791" s="15"/>
      <c r="V1791" s="15"/>
      <c r="W1791" s="15"/>
    </row>
    <row r="1792">
      <c r="A1792" s="69"/>
      <c r="B1792" s="69"/>
      <c r="C1792" s="70"/>
      <c r="D1792" s="70"/>
      <c r="E1792" s="69"/>
      <c r="F1792" s="69"/>
      <c r="G1792" s="69"/>
      <c r="H1792" s="69"/>
      <c r="I1792" s="69"/>
      <c r="J1792" s="69"/>
      <c r="K1792" s="69"/>
      <c r="L1792" s="69"/>
      <c r="M1792" s="69"/>
      <c r="N1792" s="69"/>
      <c r="O1792" s="69"/>
      <c r="P1792" s="69"/>
      <c r="Q1792" s="69"/>
      <c r="R1792" s="69"/>
      <c r="S1792" s="69"/>
      <c r="T1792" s="15"/>
      <c r="U1792" s="15"/>
      <c r="V1792" s="15"/>
      <c r="W1792" s="15"/>
    </row>
    <row r="1793">
      <c r="A1793" s="71"/>
      <c r="B1793" s="71"/>
      <c r="C1793" s="72"/>
      <c r="D1793" s="72"/>
      <c r="E1793" s="71"/>
      <c r="F1793" s="71"/>
      <c r="G1793" s="71"/>
      <c r="H1793" s="71"/>
      <c r="I1793" s="71"/>
      <c r="J1793" s="71"/>
      <c r="K1793" s="71"/>
      <c r="L1793" s="71"/>
      <c r="M1793" s="71"/>
      <c r="N1793" s="71"/>
      <c r="O1793" s="71"/>
      <c r="P1793" s="71"/>
      <c r="Q1793" s="71"/>
      <c r="R1793" s="71"/>
      <c r="S1793" s="71"/>
      <c r="T1793" s="15"/>
      <c r="U1793" s="15"/>
      <c r="V1793" s="15"/>
      <c r="W1793" s="15"/>
    </row>
    <row r="1794">
      <c r="A1794" s="69"/>
      <c r="B1794" s="69"/>
      <c r="C1794" s="70"/>
      <c r="D1794" s="70"/>
      <c r="E1794" s="69"/>
      <c r="F1794" s="69"/>
      <c r="G1794" s="69"/>
      <c r="H1794" s="69"/>
      <c r="I1794" s="69"/>
      <c r="J1794" s="69"/>
      <c r="K1794" s="69"/>
      <c r="L1794" s="69"/>
      <c r="M1794" s="69"/>
      <c r="N1794" s="69"/>
      <c r="O1794" s="69"/>
      <c r="P1794" s="69"/>
      <c r="Q1794" s="69"/>
      <c r="R1794" s="69"/>
      <c r="S1794" s="69"/>
      <c r="T1794" s="15"/>
      <c r="U1794" s="15"/>
      <c r="V1794" s="15"/>
      <c r="W1794" s="15"/>
    </row>
    <row r="1795">
      <c r="A1795" s="71"/>
      <c r="B1795" s="71"/>
      <c r="C1795" s="72"/>
      <c r="D1795" s="72"/>
      <c r="E1795" s="71"/>
      <c r="F1795" s="71"/>
      <c r="G1795" s="71"/>
      <c r="H1795" s="71"/>
      <c r="I1795" s="71"/>
      <c r="J1795" s="71"/>
      <c r="K1795" s="71"/>
      <c r="L1795" s="71"/>
      <c r="M1795" s="71"/>
      <c r="N1795" s="71"/>
      <c r="O1795" s="71"/>
      <c r="P1795" s="71"/>
      <c r="Q1795" s="71"/>
      <c r="R1795" s="71"/>
      <c r="S1795" s="71"/>
      <c r="T1795" s="15"/>
      <c r="U1795" s="15"/>
      <c r="V1795" s="15"/>
      <c r="W1795" s="15"/>
    </row>
    <row r="1796">
      <c r="A1796" s="69"/>
      <c r="B1796" s="69"/>
      <c r="C1796" s="70"/>
      <c r="D1796" s="70"/>
      <c r="E1796" s="69"/>
      <c r="F1796" s="69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69"/>
      <c r="T1796" s="15"/>
      <c r="U1796" s="15"/>
      <c r="V1796" s="15"/>
      <c r="W1796" s="15"/>
    </row>
    <row r="1797">
      <c r="A1797" s="71"/>
      <c r="B1797" s="71"/>
      <c r="C1797" s="72"/>
      <c r="D1797" s="72"/>
      <c r="E1797" s="71"/>
      <c r="F1797" s="71"/>
      <c r="G1797" s="71"/>
      <c r="H1797" s="71"/>
      <c r="I1797" s="71"/>
      <c r="J1797" s="71"/>
      <c r="K1797" s="71"/>
      <c r="L1797" s="71"/>
      <c r="M1797" s="71"/>
      <c r="N1797" s="71"/>
      <c r="O1797" s="71"/>
      <c r="P1797" s="71"/>
      <c r="Q1797" s="71"/>
      <c r="R1797" s="71"/>
      <c r="S1797" s="71"/>
      <c r="T1797" s="15"/>
      <c r="U1797" s="15"/>
      <c r="V1797" s="15"/>
      <c r="W1797" s="15"/>
    </row>
    <row r="1798">
      <c r="A1798" s="69"/>
      <c r="B1798" s="69"/>
      <c r="C1798" s="70"/>
      <c r="D1798" s="70"/>
      <c r="E1798" s="69"/>
      <c r="F1798" s="69"/>
      <c r="G1798" s="69"/>
      <c r="H1798" s="69"/>
      <c r="I1798" s="69"/>
      <c r="J1798" s="69"/>
      <c r="K1798" s="69"/>
      <c r="L1798" s="69"/>
      <c r="M1798" s="69"/>
      <c r="N1798" s="69"/>
      <c r="O1798" s="69"/>
      <c r="P1798" s="69"/>
      <c r="Q1798" s="69"/>
      <c r="R1798" s="69"/>
      <c r="S1798" s="69"/>
      <c r="T1798" s="15"/>
      <c r="U1798" s="15"/>
      <c r="V1798" s="15"/>
      <c r="W1798" s="15"/>
    </row>
    <row r="1799">
      <c r="A1799" s="71"/>
      <c r="B1799" s="71"/>
      <c r="C1799" s="72"/>
      <c r="D1799" s="72"/>
      <c r="E1799" s="71"/>
      <c r="F1799" s="71"/>
      <c r="G1799" s="71"/>
      <c r="H1799" s="71"/>
      <c r="I1799" s="71"/>
      <c r="J1799" s="71"/>
      <c r="K1799" s="71"/>
      <c r="L1799" s="71"/>
      <c r="M1799" s="71"/>
      <c r="N1799" s="71"/>
      <c r="O1799" s="71"/>
      <c r="P1799" s="71"/>
      <c r="Q1799" s="71"/>
      <c r="R1799" s="71"/>
      <c r="S1799" s="71"/>
      <c r="T1799" s="15"/>
      <c r="U1799" s="15"/>
      <c r="V1799" s="15"/>
      <c r="W1799" s="15"/>
    </row>
    <row r="1800">
      <c r="A1800" s="69"/>
      <c r="B1800" s="69"/>
      <c r="C1800" s="70"/>
      <c r="D1800" s="70"/>
      <c r="E1800" s="69"/>
      <c r="F1800" s="69"/>
      <c r="G1800" s="69"/>
      <c r="H1800" s="69"/>
      <c r="I1800" s="69"/>
      <c r="J1800" s="69"/>
      <c r="K1800" s="69"/>
      <c r="L1800" s="69"/>
      <c r="M1800" s="69"/>
      <c r="N1800" s="69"/>
      <c r="O1800" s="69"/>
      <c r="P1800" s="69"/>
      <c r="Q1800" s="69"/>
      <c r="R1800" s="69"/>
      <c r="S1800" s="69"/>
      <c r="T1800" s="15"/>
      <c r="U1800" s="15"/>
      <c r="V1800" s="15"/>
      <c r="W1800" s="15"/>
    </row>
    <row r="1801">
      <c r="A1801" s="71"/>
      <c r="B1801" s="71"/>
      <c r="C1801" s="72"/>
      <c r="D1801" s="72"/>
      <c r="E1801" s="71"/>
      <c r="F1801" s="71"/>
      <c r="G1801" s="71"/>
      <c r="H1801" s="71"/>
      <c r="I1801" s="71"/>
      <c r="J1801" s="71"/>
      <c r="K1801" s="71"/>
      <c r="L1801" s="71"/>
      <c r="M1801" s="71"/>
      <c r="N1801" s="71"/>
      <c r="O1801" s="71"/>
      <c r="P1801" s="71"/>
      <c r="Q1801" s="71"/>
      <c r="R1801" s="71"/>
      <c r="S1801" s="71"/>
      <c r="T1801" s="15"/>
      <c r="U1801" s="15"/>
      <c r="V1801" s="15"/>
      <c r="W1801" s="15"/>
    </row>
    <row r="1802">
      <c r="A1802" s="69"/>
      <c r="B1802" s="69"/>
      <c r="C1802" s="70"/>
      <c r="D1802" s="70"/>
      <c r="E1802" s="69"/>
      <c r="F1802" s="69"/>
      <c r="G1802" s="69"/>
      <c r="H1802" s="69"/>
      <c r="I1802" s="69"/>
      <c r="J1802" s="69"/>
      <c r="K1802" s="69"/>
      <c r="L1802" s="69"/>
      <c r="M1802" s="69"/>
      <c r="N1802" s="69"/>
      <c r="O1802" s="69"/>
      <c r="P1802" s="69"/>
      <c r="Q1802" s="69"/>
      <c r="R1802" s="69"/>
      <c r="S1802" s="69"/>
      <c r="T1802" s="15"/>
      <c r="U1802" s="15"/>
      <c r="V1802" s="15"/>
      <c r="W1802" s="15"/>
    </row>
    <row r="1803">
      <c r="A1803" s="71"/>
      <c r="B1803" s="71"/>
      <c r="C1803" s="72"/>
      <c r="D1803" s="72"/>
      <c r="E1803" s="71"/>
      <c r="F1803" s="71"/>
      <c r="G1803" s="71"/>
      <c r="H1803" s="71"/>
      <c r="I1803" s="71"/>
      <c r="J1803" s="71"/>
      <c r="K1803" s="71"/>
      <c r="L1803" s="71"/>
      <c r="M1803" s="71"/>
      <c r="N1803" s="71"/>
      <c r="O1803" s="71"/>
      <c r="P1803" s="71"/>
      <c r="Q1803" s="71"/>
      <c r="R1803" s="71"/>
      <c r="S1803" s="71"/>
      <c r="T1803" s="15"/>
      <c r="U1803" s="15"/>
      <c r="V1803" s="15"/>
      <c r="W1803" s="15"/>
    </row>
    <row r="1804">
      <c r="A1804" s="69"/>
      <c r="B1804" s="69"/>
      <c r="C1804" s="70"/>
      <c r="D1804" s="70"/>
      <c r="E1804" s="69"/>
      <c r="F1804" s="69"/>
      <c r="G1804" s="69"/>
      <c r="H1804" s="69"/>
      <c r="I1804" s="69"/>
      <c r="J1804" s="69"/>
      <c r="K1804" s="69"/>
      <c r="L1804" s="69"/>
      <c r="M1804" s="69"/>
      <c r="N1804" s="69"/>
      <c r="O1804" s="69"/>
      <c r="P1804" s="69"/>
      <c r="Q1804" s="69"/>
      <c r="R1804" s="69"/>
      <c r="S1804" s="69"/>
      <c r="T1804" s="15"/>
      <c r="U1804" s="15"/>
      <c r="V1804" s="15"/>
      <c r="W1804" s="15"/>
    </row>
    <row r="1805">
      <c r="A1805" s="71"/>
      <c r="B1805" s="71"/>
      <c r="C1805" s="72"/>
      <c r="D1805" s="72"/>
      <c r="E1805" s="71"/>
      <c r="F1805" s="71"/>
      <c r="G1805" s="71"/>
      <c r="H1805" s="71"/>
      <c r="I1805" s="71"/>
      <c r="J1805" s="71"/>
      <c r="K1805" s="71"/>
      <c r="L1805" s="71"/>
      <c r="M1805" s="71"/>
      <c r="N1805" s="71"/>
      <c r="O1805" s="71"/>
      <c r="P1805" s="71"/>
      <c r="Q1805" s="71"/>
      <c r="R1805" s="71"/>
      <c r="S1805" s="71"/>
      <c r="T1805" s="15"/>
      <c r="U1805" s="15"/>
      <c r="V1805" s="15"/>
      <c r="W1805" s="15"/>
    </row>
    <row r="1806">
      <c r="A1806" s="69"/>
      <c r="B1806" s="69"/>
      <c r="C1806" s="70"/>
      <c r="D1806" s="70"/>
      <c r="E1806" s="69"/>
      <c r="F1806" s="69"/>
      <c r="G1806" s="69"/>
      <c r="H1806" s="69"/>
      <c r="I1806" s="69"/>
      <c r="J1806" s="69"/>
      <c r="K1806" s="69"/>
      <c r="L1806" s="69"/>
      <c r="M1806" s="69"/>
      <c r="N1806" s="69"/>
      <c r="O1806" s="69"/>
      <c r="P1806" s="69"/>
      <c r="Q1806" s="69"/>
      <c r="R1806" s="69"/>
      <c r="S1806" s="69"/>
      <c r="T1806" s="15"/>
      <c r="U1806" s="15"/>
      <c r="V1806" s="15"/>
      <c r="W1806" s="15"/>
    </row>
    <row r="1807">
      <c r="A1807" s="71"/>
      <c r="B1807" s="71"/>
      <c r="C1807" s="72"/>
      <c r="D1807" s="72"/>
      <c r="E1807" s="71"/>
      <c r="F1807" s="71"/>
      <c r="G1807" s="71"/>
      <c r="H1807" s="71"/>
      <c r="I1807" s="71"/>
      <c r="J1807" s="71"/>
      <c r="K1807" s="71"/>
      <c r="L1807" s="71"/>
      <c r="M1807" s="71"/>
      <c r="N1807" s="71"/>
      <c r="O1807" s="71"/>
      <c r="P1807" s="71"/>
      <c r="Q1807" s="71"/>
      <c r="R1807" s="71"/>
      <c r="S1807" s="71"/>
      <c r="T1807" s="15"/>
      <c r="U1807" s="15"/>
      <c r="V1807" s="15"/>
      <c r="W1807" s="15"/>
    </row>
    <row r="1808">
      <c r="A1808" s="69"/>
      <c r="B1808" s="69"/>
      <c r="C1808" s="70"/>
      <c r="D1808" s="70"/>
      <c r="E1808" s="69"/>
      <c r="F1808" s="69"/>
      <c r="G1808" s="69"/>
      <c r="H1808" s="69"/>
      <c r="I1808" s="69"/>
      <c r="J1808" s="69"/>
      <c r="K1808" s="69"/>
      <c r="L1808" s="69"/>
      <c r="M1808" s="69"/>
      <c r="N1808" s="69"/>
      <c r="O1808" s="69"/>
      <c r="P1808" s="69"/>
      <c r="Q1808" s="69"/>
      <c r="R1808" s="69"/>
      <c r="S1808" s="69"/>
      <c r="T1808" s="15"/>
      <c r="U1808" s="15"/>
      <c r="V1808" s="15"/>
      <c r="W1808" s="15"/>
    </row>
    <row r="1809">
      <c r="A1809" s="71"/>
      <c r="B1809" s="71"/>
      <c r="C1809" s="72"/>
      <c r="D1809" s="72"/>
      <c r="E1809" s="71"/>
      <c r="F1809" s="71"/>
      <c r="G1809" s="71"/>
      <c r="H1809" s="71"/>
      <c r="I1809" s="71"/>
      <c r="J1809" s="71"/>
      <c r="K1809" s="71"/>
      <c r="L1809" s="71"/>
      <c r="M1809" s="71"/>
      <c r="N1809" s="71"/>
      <c r="O1809" s="71"/>
      <c r="P1809" s="71"/>
      <c r="Q1809" s="71"/>
      <c r="R1809" s="71"/>
      <c r="S1809" s="71"/>
      <c r="T1809" s="15"/>
      <c r="U1809" s="15"/>
      <c r="V1809" s="15"/>
      <c r="W1809" s="15"/>
    </row>
    <row r="1810">
      <c r="A1810" s="69"/>
      <c r="B1810" s="69"/>
      <c r="C1810" s="70"/>
      <c r="D1810" s="70"/>
      <c r="E1810" s="69"/>
      <c r="F1810" s="69"/>
      <c r="G1810" s="69"/>
      <c r="H1810" s="69"/>
      <c r="I1810" s="69"/>
      <c r="J1810" s="69"/>
      <c r="K1810" s="69"/>
      <c r="L1810" s="69"/>
      <c r="M1810" s="69"/>
      <c r="N1810" s="69"/>
      <c r="O1810" s="69"/>
      <c r="P1810" s="69"/>
      <c r="Q1810" s="69"/>
      <c r="R1810" s="69"/>
      <c r="S1810" s="69"/>
      <c r="T1810" s="15"/>
      <c r="U1810" s="15"/>
      <c r="V1810" s="15"/>
      <c r="W1810" s="15"/>
    </row>
    <row r="1811">
      <c r="A1811" s="71"/>
      <c r="B1811" s="71"/>
      <c r="C1811" s="72"/>
      <c r="D1811" s="72"/>
      <c r="E1811" s="71"/>
      <c r="F1811" s="71"/>
      <c r="G1811" s="71"/>
      <c r="H1811" s="71"/>
      <c r="I1811" s="71"/>
      <c r="J1811" s="71"/>
      <c r="K1811" s="71"/>
      <c r="L1811" s="71"/>
      <c r="M1811" s="71"/>
      <c r="N1811" s="71"/>
      <c r="O1811" s="71"/>
      <c r="P1811" s="71"/>
      <c r="Q1811" s="71"/>
      <c r="R1811" s="71"/>
      <c r="S1811" s="71"/>
      <c r="T1811" s="15"/>
      <c r="U1811" s="15"/>
      <c r="V1811" s="15"/>
      <c r="W1811" s="15"/>
    </row>
    <row r="1812">
      <c r="A1812" s="69"/>
      <c r="B1812" s="69"/>
      <c r="C1812" s="70"/>
      <c r="D1812" s="70"/>
      <c r="E1812" s="69"/>
      <c r="F1812" s="69"/>
      <c r="G1812" s="69"/>
      <c r="H1812" s="69"/>
      <c r="I1812" s="69"/>
      <c r="J1812" s="69"/>
      <c r="K1812" s="69"/>
      <c r="L1812" s="69"/>
      <c r="M1812" s="69"/>
      <c r="N1812" s="69"/>
      <c r="O1812" s="69"/>
      <c r="P1812" s="69"/>
      <c r="Q1812" s="69"/>
      <c r="R1812" s="69"/>
      <c r="S1812" s="69"/>
      <c r="T1812" s="15"/>
      <c r="U1812" s="15"/>
      <c r="V1812" s="15"/>
      <c r="W1812" s="15"/>
    </row>
    <row r="1813">
      <c r="A1813" s="71"/>
      <c r="B1813" s="71"/>
      <c r="C1813" s="72"/>
      <c r="D1813" s="72"/>
      <c r="E1813" s="71"/>
      <c r="F1813" s="71"/>
      <c r="G1813" s="71"/>
      <c r="H1813" s="71"/>
      <c r="I1813" s="71"/>
      <c r="J1813" s="71"/>
      <c r="K1813" s="71"/>
      <c r="L1813" s="71"/>
      <c r="M1813" s="71"/>
      <c r="N1813" s="71"/>
      <c r="O1813" s="71"/>
      <c r="P1813" s="71"/>
      <c r="Q1813" s="71"/>
      <c r="R1813" s="71"/>
      <c r="S1813" s="71"/>
      <c r="T1813" s="15"/>
      <c r="U1813" s="15"/>
      <c r="V1813" s="15"/>
      <c r="W1813" s="15"/>
    </row>
    <row r="1814">
      <c r="A1814" s="69"/>
      <c r="B1814" s="69"/>
      <c r="C1814" s="70"/>
      <c r="D1814" s="70"/>
      <c r="E1814" s="69"/>
      <c r="F1814" s="69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69"/>
      <c r="T1814" s="15"/>
      <c r="U1814" s="15"/>
      <c r="V1814" s="15"/>
      <c r="W1814" s="15"/>
    </row>
    <row r="1815">
      <c r="A1815" s="71"/>
      <c r="B1815" s="71"/>
      <c r="C1815" s="72"/>
      <c r="D1815" s="72"/>
      <c r="E1815" s="71"/>
      <c r="F1815" s="71"/>
      <c r="G1815" s="71"/>
      <c r="H1815" s="71"/>
      <c r="I1815" s="71"/>
      <c r="J1815" s="71"/>
      <c r="K1815" s="71"/>
      <c r="L1815" s="71"/>
      <c r="M1815" s="71"/>
      <c r="N1815" s="71"/>
      <c r="O1815" s="71"/>
      <c r="P1815" s="71"/>
      <c r="Q1815" s="71"/>
      <c r="R1815" s="71"/>
      <c r="S1815" s="71"/>
      <c r="T1815" s="15"/>
      <c r="U1815" s="15"/>
      <c r="V1815" s="15"/>
      <c r="W1815" s="15"/>
    </row>
    <row r="1816">
      <c r="A1816" s="69"/>
      <c r="B1816" s="69"/>
      <c r="C1816" s="70"/>
      <c r="D1816" s="70"/>
      <c r="E1816" s="69"/>
      <c r="F1816" s="69"/>
      <c r="G1816" s="69"/>
      <c r="H1816" s="69"/>
      <c r="I1816" s="69"/>
      <c r="J1816" s="69"/>
      <c r="K1816" s="69"/>
      <c r="L1816" s="69"/>
      <c r="M1816" s="69"/>
      <c r="N1816" s="69"/>
      <c r="O1816" s="69"/>
      <c r="P1816" s="69"/>
      <c r="Q1816" s="69"/>
      <c r="R1816" s="69"/>
      <c r="S1816" s="69"/>
      <c r="T1816" s="15"/>
      <c r="U1816" s="15"/>
      <c r="V1816" s="15"/>
      <c r="W1816" s="15"/>
    </row>
    <row r="1817">
      <c r="A1817" s="71"/>
      <c r="B1817" s="71"/>
      <c r="C1817" s="72"/>
      <c r="D1817" s="72"/>
      <c r="E1817" s="71"/>
      <c r="F1817" s="71"/>
      <c r="G1817" s="71"/>
      <c r="H1817" s="71"/>
      <c r="I1817" s="71"/>
      <c r="J1817" s="71"/>
      <c r="K1817" s="71"/>
      <c r="L1817" s="71"/>
      <c r="M1817" s="71"/>
      <c r="N1817" s="71"/>
      <c r="O1817" s="71"/>
      <c r="P1817" s="71"/>
      <c r="Q1817" s="71"/>
      <c r="R1817" s="71"/>
      <c r="S1817" s="71"/>
      <c r="T1817" s="15"/>
      <c r="U1817" s="15"/>
      <c r="V1817" s="15"/>
      <c r="W1817" s="15"/>
    </row>
    <row r="1818">
      <c r="A1818" s="69"/>
      <c r="B1818" s="69"/>
      <c r="C1818" s="70"/>
      <c r="D1818" s="70"/>
      <c r="E1818" s="69"/>
      <c r="F1818" s="69"/>
      <c r="G1818" s="69"/>
      <c r="H1818" s="69"/>
      <c r="I1818" s="69"/>
      <c r="J1818" s="69"/>
      <c r="K1818" s="69"/>
      <c r="L1818" s="69"/>
      <c r="M1818" s="69"/>
      <c r="N1818" s="69"/>
      <c r="O1818" s="69"/>
      <c r="P1818" s="69"/>
      <c r="Q1818" s="69"/>
      <c r="R1818" s="69"/>
      <c r="S1818" s="69"/>
      <c r="T1818" s="15"/>
      <c r="U1818" s="15"/>
      <c r="V1818" s="15"/>
      <c r="W1818" s="15"/>
    </row>
    <row r="1819">
      <c r="A1819" s="71"/>
      <c r="B1819" s="71"/>
      <c r="C1819" s="72"/>
      <c r="D1819" s="72"/>
      <c r="E1819" s="71"/>
      <c r="F1819" s="71"/>
      <c r="G1819" s="71"/>
      <c r="H1819" s="71"/>
      <c r="I1819" s="71"/>
      <c r="J1819" s="71"/>
      <c r="K1819" s="71"/>
      <c r="L1819" s="71"/>
      <c r="M1819" s="71"/>
      <c r="N1819" s="71"/>
      <c r="O1819" s="71"/>
      <c r="P1819" s="71"/>
      <c r="Q1819" s="71"/>
      <c r="R1819" s="71"/>
      <c r="S1819" s="71"/>
      <c r="T1819" s="15"/>
      <c r="U1819" s="15"/>
      <c r="V1819" s="15"/>
      <c r="W1819" s="15"/>
    </row>
    <row r="1820">
      <c r="A1820" s="69"/>
      <c r="B1820" s="69"/>
      <c r="C1820" s="70"/>
      <c r="D1820" s="70"/>
      <c r="E1820" s="69"/>
      <c r="F1820" s="69"/>
      <c r="G1820" s="69"/>
      <c r="H1820" s="69"/>
      <c r="I1820" s="69"/>
      <c r="J1820" s="69"/>
      <c r="K1820" s="69"/>
      <c r="L1820" s="69"/>
      <c r="M1820" s="69"/>
      <c r="N1820" s="69"/>
      <c r="O1820" s="69"/>
      <c r="P1820" s="69"/>
      <c r="Q1820" s="69"/>
      <c r="R1820" s="69"/>
      <c r="S1820" s="69"/>
      <c r="T1820" s="15"/>
      <c r="U1820" s="15"/>
      <c r="V1820" s="15"/>
      <c r="W1820" s="15"/>
    </row>
    <row r="1821">
      <c r="A1821" s="71"/>
      <c r="B1821" s="71"/>
      <c r="C1821" s="72"/>
      <c r="D1821" s="72"/>
      <c r="E1821" s="71"/>
      <c r="F1821" s="71"/>
      <c r="G1821" s="71"/>
      <c r="H1821" s="71"/>
      <c r="I1821" s="71"/>
      <c r="J1821" s="71"/>
      <c r="K1821" s="71"/>
      <c r="L1821" s="71"/>
      <c r="M1821" s="71"/>
      <c r="N1821" s="71"/>
      <c r="O1821" s="71"/>
      <c r="P1821" s="71"/>
      <c r="Q1821" s="71"/>
      <c r="R1821" s="71"/>
      <c r="S1821" s="71"/>
      <c r="T1821" s="15"/>
      <c r="U1821" s="15"/>
      <c r="V1821" s="15"/>
      <c r="W1821" s="15"/>
    </row>
    <row r="1822">
      <c r="A1822" s="69"/>
      <c r="B1822" s="69"/>
      <c r="C1822" s="70"/>
      <c r="D1822" s="70"/>
      <c r="E1822" s="69"/>
      <c r="F1822" s="69"/>
      <c r="G1822" s="69"/>
      <c r="H1822" s="69"/>
      <c r="I1822" s="69"/>
      <c r="J1822" s="69"/>
      <c r="K1822" s="69"/>
      <c r="L1822" s="69"/>
      <c r="M1822" s="69"/>
      <c r="N1822" s="69"/>
      <c r="O1822" s="69"/>
      <c r="P1822" s="69"/>
      <c r="Q1822" s="69"/>
      <c r="R1822" s="69"/>
      <c r="S1822" s="69"/>
      <c r="T1822" s="15"/>
      <c r="U1822" s="15"/>
      <c r="V1822" s="15"/>
      <c r="W1822" s="15"/>
    </row>
    <row r="1823">
      <c r="A1823" s="71"/>
      <c r="B1823" s="71"/>
      <c r="C1823" s="72"/>
      <c r="D1823" s="72"/>
      <c r="E1823" s="71"/>
      <c r="F1823" s="71"/>
      <c r="G1823" s="71"/>
      <c r="H1823" s="71"/>
      <c r="I1823" s="71"/>
      <c r="J1823" s="71"/>
      <c r="K1823" s="71"/>
      <c r="L1823" s="71"/>
      <c r="M1823" s="71"/>
      <c r="N1823" s="71"/>
      <c r="O1823" s="71"/>
      <c r="P1823" s="71"/>
      <c r="Q1823" s="71"/>
      <c r="R1823" s="71"/>
      <c r="S1823" s="71"/>
      <c r="T1823" s="15"/>
      <c r="U1823" s="15"/>
      <c r="V1823" s="15"/>
      <c r="W1823" s="15"/>
    </row>
    <row r="1824">
      <c r="A1824" s="69"/>
      <c r="B1824" s="69"/>
      <c r="C1824" s="70"/>
      <c r="D1824" s="70"/>
      <c r="E1824" s="69"/>
      <c r="F1824" s="69"/>
      <c r="G1824" s="69"/>
      <c r="H1824" s="69"/>
      <c r="I1824" s="69"/>
      <c r="J1824" s="69"/>
      <c r="K1824" s="69"/>
      <c r="L1824" s="69"/>
      <c r="M1824" s="69"/>
      <c r="N1824" s="69"/>
      <c r="O1824" s="69"/>
      <c r="P1824" s="69"/>
      <c r="Q1824" s="69"/>
      <c r="R1824" s="69"/>
      <c r="S1824" s="69"/>
      <c r="T1824" s="15"/>
      <c r="U1824" s="15"/>
      <c r="V1824" s="15"/>
      <c r="W1824" s="15"/>
    </row>
    <row r="1825">
      <c r="A1825" s="71"/>
      <c r="B1825" s="71"/>
      <c r="C1825" s="72"/>
      <c r="D1825" s="72"/>
      <c r="E1825" s="71"/>
      <c r="F1825" s="71"/>
      <c r="G1825" s="71"/>
      <c r="H1825" s="71"/>
      <c r="I1825" s="71"/>
      <c r="J1825" s="71"/>
      <c r="K1825" s="71"/>
      <c r="L1825" s="71"/>
      <c r="M1825" s="71"/>
      <c r="N1825" s="71"/>
      <c r="O1825" s="71"/>
      <c r="P1825" s="71"/>
      <c r="Q1825" s="71"/>
      <c r="R1825" s="71"/>
      <c r="S1825" s="71"/>
      <c r="T1825" s="15"/>
      <c r="U1825" s="15"/>
      <c r="V1825" s="15"/>
      <c r="W1825" s="15"/>
    </row>
    <row r="1826">
      <c r="A1826" s="69"/>
      <c r="B1826" s="69"/>
      <c r="C1826" s="70"/>
      <c r="D1826" s="70"/>
      <c r="E1826" s="69"/>
      <c r="F1826" s="69"/>
      <c r="G1826" s="69"/>
      <c r="H1826" s="69"/>
      <c r="I1826" s="69"/>
      <c r="J1826" s="69"/>
      <c r="K1826" s="69"/>
      <c r="L1826" s="69"/>
      <c r="M1826" s="69"/>
      <c r="N1826" s="69"/>
      <c r="O1826" s="69"/>
      <c r="P1826" s="69"/>
      <c r="Q1826" s="69"/>
      <c r="R1826" s="69"/>
      <c r="S1826" s="69"/>
      <c r="T1826" s="15"/>
      <c r="U1826" s="15"/>
      <c r="V1826" s="15"/>
      <c r="W1826" s="15"/>
    </row>
    <row r="1827">
      <c r="A1827" s="71"/>
      <c r="B1827" s="71"/>
      <c r="C1827" s="72"/>
      <c r="D1827" s="72"/>
      <c r="E1827" s="71"/>
      <c r="F1827" s="71"/>
      <c r="G1827" s="71"/>
      <c r="H1827" s="71"/>
      <c r="I1827" s="71"/>
      <c r="J1827" s="71"/>
      <c r="K1827" s="71"/>
      <c r="L1827" s="71"/>
      <c r="M1827" s="71"/>
      <c r="N1827" s="71"/>
      <c r="O1827" s="71"/>
      <c r="P1827" s="71"/>
      <c r="Q1827" s="71"/>
      <c r="R1827" s="71"/>
      <c r="S1827" s="71"/>
      <c r="T1827" s="15"/>
      <c r="U1827" s="15"/>
      <c r="V1827" s="15"/>
      <c r="W1827" s="15"/>
    </row>
    <row r="1828">
      <c r="A1828" s="69"/>
      <c r="B1828" s="69"/>
      <c r="C1828" s="70"/>
      <c r="D1828" s="70"/>
      <c r="E1828" s="69"/>
      <c r="F1828" s="69"/>
      <c r="G1828" s="69"/>
      <c r="H1828" s="69"/>
      <c r="I1828" s="69"/>
      <c r="J1828" s="69"/>
      <c r="K1828" s="69"/>
      <c r="L1828" s="69"/>
      <c r="M1828" s="69"/>
      <c r="N1828" s="69"/>
      <c r="O1828" s="69"/>
      <c r="P1828" s="69"/>
      <c r="Q1828" s="69"/>
      <c r="R1828" s="69"/>
      <c r="S1828" s="69"/>
      <c r="T1828" s="15"/>
      <c r="U1828" s="15"/>
      <c r="V1828" s="15"/>
      <c r="W1828" s="15"/>
    </row>
    <row r="1829">
      <c r="A1829" s="71"/>
      <c r="B1829" s="71"/>
      <c r="C1829" s="72"/>
      <c r="D1829" s="72"/>
      <c r="E1829" s="71"/>
      <c r="F1829" s="71"/>
      <c r="G1829" s="71"/>
      <c r="H1829" s="71"/>
      <c r="I1829" s="71"/>
      <c r="J1829" s="71"/>
      <c r="K1829" s="71"/>
      <c r="L1829" s="71"/>
      <c r="M1829" s="71"/>
      <c r="N1829" s="71"/>
      <c r="O1829" s="71"/>
      <c r="P1829" s="71"/>
      <c r="Q1829" s="71"/>
      <c r="R1829" s="71"/>
      <c r="S1829" s="71"/>
      <c r="T1829" s="15"/>
      <c r="U1829" s="15"/>
      <c r="V1829" s="15"/>
      <c r="W1829" s="15"/>
    </row>
    <row r="1830">
      <c r="A1830" s="69"/>
      <c r="B1830" s="69"/>
      <c r="C1830" s="70"/>
      <c r="D1830" s="70"/>
      <c r="E1830" s="69"/>
      <c r="F1830" s="69"/>
      <c r="G1830" s="69"/>
      <c r="H1830" s="69"/>
      <c r="I1830" s="69"/>
      <c r="J1830" s="69"/>
      <c r="K1830" s="69"/>
      <c r="L1830" s="69"/>
      <c r="M1830" s="69"/>
      <c r="N1830" s="69"/>
      <c r="O1830" s="69"/>
      <c r="P1830" s="69"/>
      <c r="Q1830" s="69"/>
      <c r="R1830" s="69"/>
      <c r="S1830" s="69"/>
      <c r="T1830" s="15"/>
      <c r="U1830" s="15"/>
      <c r="V1830" s="15"/>
      <c r="W1830" s="15"/>
    </row>
    <row r="1831">
      <c r="A1831" s="71"/>
      <c r="B1831" s="71"/>
      <c r="C1831" s="72"/>
      <c r="D1831" s="72"/>
      <c r="E1831" s="71"/>
      <c r="F1831" s="71"/>
      <c r="G1831" s="71"/>
      <c r="H1831" s="71"/>
      <c r="I1831" s="71"/>
      <c r="J1831" s="71"/>
      <c r="K1831" s="71"/>
      <c r="L1831" s="71"/>
      <c r="M1831" s="71"/>
      <c r="N1831" s="71"/>
      <c r="O1831" s="71"/>
      <c r="P1831" s="71"/>
      <c r="Q1831" s="71"/>
      <c r="R1831" s="71"/>
      <c r="S1831" s="71"/>
      <c r="T1831" s="15"/>
      <c r="U1831" s="15"/>
      <c r="V1831" s="15"/>
      <c r="W1831" s="15"/>
    </row>
    <row r="1832">
      <c r="A1832" s="69"/>
      <c r="B1832" s="69"/>
      <c r="C1832" s="70"/>
      <c r="D1832" s="70"/>
      <c r="E1832" s="69"/>
      <c r="F1832" s="69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69"/>
      <c r="T1832" s="15"/>
      <c r="U1832" s="15"/>
      <c r="V1832" s="15"/>
      <c r="W1832" s="15"/>
    </row>
    <row r="1833">
      <c r="A1833" s="71"/>
      <c r="B1833" s="71"/>
      <c r="C1833" s="72"/>
      <c r="D1833" s="72"/>
      <c r="E1833" s="71"/>
      <c r="F1833" s="71"/>
      <c r="G1833" s="71"/>
      <c r="H1833" s="71"/>
      <c r="I1833" s="71"/>
      <c r="J1833" s="71"/>
      <c r="K1833" s="71"/>
      <c r="L1833" s="71"/>
      <c r="M1833" s="71"/>
      <c r="N1833" s="71"/>
      <c r="O1833" s="71"/>
      <c r="P1833" s="71"/>
      <c r="Q1833" s="71"/>
      <c r="R1833" s="71"/>
      <c r="S1833" s="71"/>
      <c r="T1833" s="15"/>
      <c r="U1833" s="15"/>
      <c r="V1833" s="15"/>
      <c r="W1833" s="15"/>
    </row>
    <row r="1834">
      <c r="A1834" s="69"/>
      <c r="B1834" s="69"/>
      <c r="C1834" s="70"/>
      <c r="D1834" s="70"/>
      <c r="E1834" s="69"/>
      <c r="F1834" s="69"/>
      <c r="G1834" s="69"/>
      <c r="H1834" s="69"/>
      <c r="I1834" s="69"/>
      <c r="J1834" s="69"/>
      <c r="K1834" s="69"/>
      <c r="L1834" s="69"/>
      <c r="M1834" s="69"/>
      <c r="N1834" s="69"/>
      <c r="O1834" s="69"/>
      <c r="P1834" s="69"/>
      <c r="Q1834" s="69"/>
      <c r="R1834" s="69"/>
      <c r="S1834" s="69"/>
      <c r="T1834" s="15"/>
      <c r="U1834" s="15"/>
      <c r="V1834" s="15"/>
      <c r="W1834" s="15"/>
    </row>
    <row r="1835">
      <c r="A1835" s="71"/>
      <c r="B1835" s="71"/>
      <c r="C1835" s="72"/>
      <c r="D1835" s="72"/>
      <c r="E1835" s="71"/>
      <c r="F1835" s="71"/>
      <c r="G1835" s="71"/>
      <c r="H1835" s="71"/>
      <c r="I1835" s="71"/>
      <c r="J1835" s="71"/>
      <c r="K1835" s="71"/>
      <c r="L1835" s="71"/>
      <c r="M1835" s="71"/>
      <c r="N1835" s="71"/>
      <c r="O1835" s="71"/>
      <c r="P1835" s="71"/>
      <c r="Q1835" s="71"/>
      <c r="R1835" s="71"/>
      <c r="S1835" s="71"/>
      <c r="T1835" s="15"/>
      <c r="U1835" s="15"/>
      <c r="V1835" s="15"/>
      <c r="W1835" s="15"/>
    </row>
    <row r="1836">
      <c r="A1836" s="69"/>
      <c r="B1836" s="69"/>
      <c r="C1836" s="70"/>
      <c r="D1836" s="70"/>
      <c r="E1836" s="69"/>
      <c r="F1836" s="69"/>
      <c r="G1836" s="69"/>
      <c r="H1836" s="69"/>
      <c r="I1836" s="69"/>
      <c r="J1836" s="69"/>
      <c r="K1836" s="69"/>
      <c r="L1836" s="69"/>
      <c r="M1836" s="69"/>
      <c r="N1836" s="69"/>
      <c r="O1836" s="69"/>
      <c r="P1836" s="69"/>
      <c r="Q1836" s="69"/>
      <c r="R1836" s="69"/>
      <c r="S1836" s="69"/>
      <c r="T1836" s="15"/>
      <c r="U1836" s="15"/>
      <c r="V1836" s="15"/>
      <c r="W1836" s="15"/>
    </row>
    <row r="1837">
      <c r="A1837" s="71"/>
      <c r="B1837" s="71"/>
      <c r="C1837" s="72"/>
      <c r="D1837" s="72"/>
      <c r="E1837" s="71"/>
      <c r="F1837" s="71"/>
      <c r="G1837" s="71"/>
      <c r="H1837" s="71"/>
      <c r="I1837" s="71"/>
      <c r="J1837" s="71"/>
      <c r="K1837" s="71"/>
      <c r="L1837" s="71"/>
      <c r="M1837" s="71"/>
      <c r="N1837" s="71"/>
      <c r="O1837" s="71"/>
      <c r="P1837" s="71"/>
      <c r="Q1837" s="71"/>
      <c r="R1837" s="71"/>
      <c r="S1837" s="71"/>
      <c r="T1837" s="15"/>
      <c r="U1837" s="15"/>
      <c r="V1837" s="15"/>
      <c r="W1837" s="15"/>
    </row>
    <row r="1838">
      <c r="A1838" s="69"/>
      <c r="B1838" s="69"/>
      <c r="C1838" s="70"/>
      <c r="D1838" s="70"/>
      <c r="E1838" s="69"/>
      <c r="F1838" s="69"/>
      <c r="G1838" s="69"/>
      <c r="H1838" s="69"/>
      <c r="I1838" s="69"/>
      <c r="J1838" s="69"/>
      <c r="K1838" s="69"/>
      <c r="L1838" s="69"/>
      <c r="M1838" s="69"/>
      <c r="N1838" s="69"/>
      <c r="O1838" s="69"/>
      <c r="P1838" s="69"/>
      <c r="Q1838" s="69"/>
      <c r="R1838" s="69"/>
      <c r="S1838" s="69"/>
      <c r="T1838" s="15"/>
      <c r="U1838" s="15"/>
      <c r="V1838" s="15"/>
      <c r="W1838" s="15"/>
    </row>
    <row r="1839">
      <c r="A1839" s="71"/>
      <c r="B1839" s="71"/>
      <c r="C1839" s="72"/>
      <c r="D1839" s="72"/>
      <c r="E1839" s="71"/>
      <c r="F1839" s="71"/>
      <c r="G1839" s="71"/>
      <c r="H1839" s="71"/>
      <c r="I1839" s="71"/>
      <c r="J1839" s="71"/>
      <c r="K1839" s="71"/>
      <c r="L1839" s="71"/>
      <c r="M1839" s="71"/>
      <c r="N1839" s="71"/>
      <c r="O1839" s="71"/>
      <c r="P1839" s="71"/>
      <c r="Q1839" s="71"/>
      <c r="R1839" s="71"/>
      <c r="S1839" s="71"/>
      <c r="T1839" s="15"/>
      <c r="U1839" s="15"/>
      <c r="V1839" s="15"/>
      <c r="W1839" s="15"/>
    </row>
    <row r="1840">
      <c r="A1840" s="69"/>
      <c r="B1840" s="69"/>
      <c r="C1840" s="70"/>
      <c r="D1840" s="70"/>
      <c r="E1840" s="69"/>
      <c r="F1840" s="69"/>
      <c r="G1840" s="69"/>
      <c r="H1840" s="69"/>
      <c r="I1840" s="69"/>
      <c r="J1840" s="69"/>
      <c r="K1840" s="69"/>
      <c r="L1840" s="69"/>
      <c r="M1840" s="69"/>
      <c r="N1840" s="69"/>
      <c r="O1840" s="69"/>
      <c r="P1840" s="69"/>
      <c r="Q1840" s="69"/>
      <c r="R1840" s="69"/>
      <c r="S1840" s="69"/>
      <c r="T1840" s="15"/>
      <c r="U1840" s="15"/>
      <c r="V1840" s="15"/>
      <c r="W1840" s="15"/>
    </row>
    <row r="1841">
      <c r="A1841" s="71"/>
      <c r="B1841" s="71"/>
      <c r="C1841" s="72"/>
      <c r="D1841" s="72"/>
      <c r="E1841" s="71"/>
      <c r="F1841" s="71"/>
      <c r="G1841" s="71"/>
      <c r="H1841" s="71"/>
      <c r="I1841" s="71"/>
      <c r="J1841" s="71"/>
      <c r="K1841" s="71"/>
      <c r="L1841" s="71"/>
      <c r="M1841" s="71"/>
      <c r="N1841" s="71"/>
      <c r="O1841" s="71"/>
      <c r="P1841" s="71"/>
      <c r="Q1841" s="71"/>
      <c r="R1841" s="71"/>
      <c r="S1841" s="71"/>
      <c r="T1841" s="15"/>
      <c r="U1841" s="15"/>
      <c r="V1841" s="15"/>
      <c r="W1841" s="15"/>
    </row>
    <row r="1842">
      <c r="A1842" s="69"/>
      <c r="B1842" s="69"/>
      <c r="C1842" s="70"/>
      <c r="D1842" s="70"/>
      <c r="E1842" s="69"/>
      <c r="F1842" s="69"/>
      <c r="G1842" s="69"/>
      <c r="H1842" s="69"/>
      <c r="I1842" s="69"/>
      <c r="J1842" s="69"/>
      <c r="K1842" s="69"/>
      <c r="L1842" s="69"/>
      <c r="M1842" s="69"/>
      <c r="N1842" s="69"/>
      <c r="O1842" s="69"/>
      <c r="P1842" s="69"/>
      <c r="Q1842" s="69"/>
      <c r="R1842" s="69"/>
      <c r="S1842" s="69"/>
      <c r="T1842" s="15"/>
      <c r="U1842" s="15"/>
      <c r="V1842" s="15"/>
      <c r="W1842" s="15"/>
    </row>
    <row r="1843">
      <c r="A1843" s="71"/>
      <c r="B1843" s="71"/>
      <c r="C1843" s="72"/>
      <c r="D1843" s="72"/>
      <c r="E1843" s="71"/>
      <c r="F1843" s="71"/>
      <c r="G1843" s="71"/>
      <c r="H1843" s="71"/>
      <c r="I1843" s="71"/>
      <c r="J1843" s="71"/>
      <c r="K1843" s="71"/>
      <c r="L1843" s="71"/>
      <c r="M1843" s="71"/>
      <c r="N1843" s="71"/>
      <c r="O1843" s="71"/>
      <c r="P1843" s="71"/>
      <c r="Q1843" s="71"/>
      <c r="R1843" s="71"/>
      <c r="S1843" s="71"/>
      <c r="T1843" s="15"/>
      <c r="U1843" s="15"/>
      <c r="V1843" s="15"/>
      <c r="W1843" s="15"/>
    </row>
    <row r="1844">
      <c r="A1844" s="69"/>
      <c r="B1844" s="69"/>
      <c r="C1844" s="70"/>
      <c r="D1844" s="70"/>
      <c r="E1844" s="69"/>
      <c r="F1844" s="69"/>
      <c r="G1844" s="69"/>
      <c r="H1844" s="69"/>
      <c r="I1844" s="69"/>
      <c r="J1844" s="69"/>
      <c r="K1844" s="69"/>
      <c r="L1844" s="69"/>
      <c r="M1844" s="69"/>
      <c r="N1844" s="69"/>
      <c r="O1844" s="69"/>
      <c r="P1844" s="69"/>
      <c r="Q1844" s="69"/>
      <c r="R1844" s="69"/>
      <c r="S1844" s="69"/>
      <c r="T1844" s="15"/>
      <c r="U1844" s="15"/>
      <c r="V1844" s="15"/>
      <c r="W1844" s="15"/>
    </row>
    <row r="1845">
      <c r="A1845" s="71"/>
      <c r="B1845" s="71"/>
      <c r="C1845" s="72"/>
      <c r="D1845" s="72"/>
      <c r="E1845" s="71"/>
      <c r="F1845" s="71"/>
      <c r="G1845" s="71"/>
      <c r="H1845" s="71"/>
      <c r="I1845" s="71"/>
      <c r="J1845" s="71"/>
      <c r="K1845" s="71"/>
      <c r="L1845" s="71"/>
      <c r="M1845" s="71"/>
      <c r="N1845" s="71"/>
      <c r="O1845" s="71"/>
      <c r="P1845" s="71"/>
      <c r="Q1845" s="71"/>
      <c r="R1845" s="71"/>
      <c r="S1845" s="71"/>
      <c r="T1845" s="15"/>
      <c r="U1845" s="15"/>
      <c r="V1845" s="15"/>
      <c r="W1845" s="15"/>
    </row>
    <row r="1846">
      <c r="A1846" s="69"/>
      <c r="B1846" s="69"/>
      <c r="C1846" s="70"/>
      <c r="D1846" s="70"/>
      <c r="E1846" s="69"/>
      <c r="F1846" s="69"/>
      <c r="G1846" s="69"/>
      <c r="H1846" s="69"/>
      <c r="I1846" s="69"/>
      <c r="J1846" s="69"/>
      <c r="K1846" s="69"/>
      <c r="L1846" s="69"/>
      <c r="M1846" s="69"/>
      <c r="N1846" s="69"/>
      <c r="O1846" s="69"/>
      <c r="P1846" s="69"/>
      <c r="Q1846" s="69"/>
      <c r="R1846" s="69"/>
      <c r="S1846" s="69"/>
      <c r="T1846" s="15"/>
      <c r="U1846" s="15"/>
      <c r="V1846" s="15"/>
      <c r="W1846" s="15"/>
    </row>
    <row r="1847">
      <c r="A1847" s="71"/>
      <c r="B1847" s="71"/>
      <c r="C1847" s="72"/>
      <c r="D1847" s="72"/>
      <c r="E1847" s="71"/>
      <c r="F1847" s="71"/>
      <c r="G1847" s="71"/>
      <c r="H1847" s="71"/>
      <c r="I1847" s="71"/>
      <c r="J1847" s="71"/>
      <c r="K1847" s="71"/>
      <c r="L1847" s="71"/>
      <c r="M1847" s="71"/>
      <c r="N1847" s="71"/>
      <c r="O1847" s="71"/>
      <c r="P1847" s="71"/>
      <c r="Q1847" s="71"/>
      <c r="R1847" s="71"/>
      <c r="S1847" s="71"/>
      <c r="T1847" s="15"/>
      <c r="U1847" s="15"/>
      <c r="V1847" s="15"/>
      <c r="W1847" s="15"/>
    </row>
    <row r="1848">
      <c r="A1848" s="69"/>
      <c r="B1848" s="69"/>
      <c r="C1848" s="70"/>
      <c r="D1848" s="70"/>
      <c r="E1848" s="69"/>
      <c r="F1848" s="69"/>
      <c r="G1848" s="69"/>
      <c r="H1848" s="69"/>
      <c r="I1848" s="69"/>
      <c r="J1848" s="69"/>
      <c r="K1848" s="69"/>
      <c r="L1848" s="69"/>
      <c r="M1848" s="69"/>
      <c r="N1848" s="69"/>
      <c r="O1848" s="69"/>
      <c r="P1848" s="69"/>
      <c r="Q1848" s="69"/>
      <c r="R1848" s="69"/>
      <c r="S1848" s="69"/>
      <c r="T1848" s="15"/>
      <c r="U1848" s="15"/>
      <c r="V1848" s="15"/>
      <c r="W1848" s="15"/>
    </row>
    <row r="1849">
      <c r="A1849" s="71"/>
      <c r="B1849" s="71"/>
      <c r="C1849" s="72"/>
      <c r="D1849" s="72"/>
      <c r="E1849" s="71"/>
      <c r="F1849" s="71"/>
      <c r="G1849" s="71"/>
      <c r="H1849" s="71"/>
      <c r="I1849" s="71"/>
      <c r="J1849" s="71"/>
      <c r="K1849" s="71"/>
      <c r="L1849" s="71"/>
      <c r="M1849" s="71"/>
      <c r="N1849" s="71"/>
      <c r="O1849" s="71"/>
      <c r="P1849" s="71"/>
      <c r="Q1849" s="71"/>
      <c r="R1849" s="71"/>
      <c r="S1849" s="71"/>
      <c r="T1849" s="15"/>
      <c r="U1849" s="15"/>
      <c r="V1849" s="15"/>
      <c r="W1849" s="15"/>
    </row>
    <row r="1850">
      <c r="A1850" s="69"/>
      <c r="B1850" s="69"/>
      <c r="C1850" s="70"/>
      <c r="D1850" s="70"/>
      <c r="E1850" s="69"/>
      <c r="F1850" s="69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69"/>
      <c r="T1850" s="15"/>
      <c r="U1850" s="15"/>
      <c r="V1850" s="15"/>
      <c r="W1850" s="15"/>
    </row>
    <row r="1851">
      <c r="A1851" s="71"/>
      <c r="B1851" s="71"/>
      <c r="C1851" s="72"/>
      <c r="D1851" s="72"/>
      <c r="E1851" s="71"/>
      <c r="F1851" s="71"/>
      <c r="G1851" s="71"/>
      <c r="H1851" s="71"/>
      <c r="I1851" s="71"/>
      <c r="J1851" s="71"/>
      <c r="K1851" s="71"/>
      <c r="L1851" s="71"/>
      <c r="M1851" s="71"/>
      <c r="N1851" s="71"/>
      <c r="O1851" s="71"/>
      <c r="P1851" s="71"/>
      <c r="Q1851" s="71"/>
      <c r="R1851" s="71"/>
      <c r="S1851" s="71"/>
      <c r="T1851" s="15"/>
      <c r="U1851" s="15"/>
      <c r="V1851" s="15"/>
      <c r="W1851" s="15"/>
    </row>
    <row r="1852">
      <c r="A1852" s="69"/>
      <c r="B1852" s="69"/>
      <c r="C1852" s="70"/>
      <c r="D1852" s="70"/>
      <c r="E1852" s="69"/>
      <c r="F1852" s="69"/>
      <c r="G1852" s="69"/>
      <c r="H1852" s="69"/>
      <c r="I1852" s="69"/>
      <c r="J1852" s="69"/>
      <c r="K1852" s="69"/>
      <c r="L1852" s="69"/>
      <c r="M1852" s="69"/>
      <c r="N1852" s="69"/>
      <c r="O1852" s="69"/>
      <c r="P1852" s="69"/>
      <c r="Q1852" s="69"/>
      <c r="R1852" s="69"/>
      <c r="S1852" s="69"/>
      <c r="T1852" s="15"/>
      <c r="U1852" s="15"/>
      <c r="V1852" s="15"/>
      <c r="W1852" s="15"/>
    </row>
    <row r="1853">
      <c r="A1853" s="71"/>
      <c r="B1853" s="71"/>
      <c r="C1853" s="72"/>
      <c r="D1853" s="72"/>
      <c r="E1853" s="71"/>
      <c r="F1853" s="71"/>
      <c r="G1853" s="71"/>
      <c r="H1853" s="71"/>
      <c r="I1853" s="71"/>
      <c r="J1853" s="71"/>
      <c r="K1853" s="71"/>
      <c r="L1853" s="71"/>
      <c r="M1853" s="71"/>
      <c r="N1853" s="71"/>
      <c r="O1853" s="71"/>
      <c r="P1853" s="71"/>
      <c r="Q1853" s="71"/>
      <c r="R1853" s="71"/>
      <c r="S1853" s="71"/>
      <c r="T1853" s="15"/>
      <c r="U1853" s="15"/>
      <c r="V1853" s="15"/>
      <c r="W1853" s="15"/>
    </row>
    <row r="1854">
      <c r="A1854" s="69"/>
      <c r="B1854" s="69"/>
      <c r="C1854" s="70"/>
      <c r="D1854" s="70"/>
      <c r="E1854" s="69"/>
      <c r="F1854" s="69"/>
      <c r="G1854" s="69"/>
      <c r="H1854" s="69"/>
      <c r="I1854" s="69"/>
      <c r="J1854" s="69"/>
      <c r="K1854" s="69"/>
      <c r="L1854" s="69"/>
      <c r="M1854" s="69"/>
      <c r="N1854" s="69"/>
      <c r="O1854" s="69"/>
      <c r="P1854" s="69"/>
      <c r="Q1854" s="69"/>
      <c r="R1854" s="69"/>
      <c r="S1854" s="69"/>
      <c r="T1854" s="15"/>
      <c r="U1854" s="15"/>
      <c r="V1854" s="15"/>
      <c r="W1854" s="15"/>
    </row>
    <row r="1855">
      <c r="A1855" s="71"/>
      <c r="B1855" s="71"/>
      <c r="C1855" s="72"/>
      <c r="D1855" s="72"/>
      <c r="E1855" s="71"/>
      <c r="F1855" s="71"/>
      <c r="G1855" s="71"/>
      <c r="H1855" s="71"/>
      <c r="I1855" s="71"/>
      <c r="J1855" s="71"/>
      <c r="K1855" s="71"/>
      <c r="L1855" s="71"/>
      <c r="M1855" s="71"/>
      <c r="N1855" s="71"/>
      <c r="O1855" s="71"/>
      <c r="P1855" s="71"/>
      <c r="Q1855" s="71"/>
      <c r="R1855" s="71"/>
      <c r="S1855" s="71"/>
      <c r="T1855" s="15"/>
      <c r="U1855" s="15"/>
      <c r="V1855" s="15"/>
      <c r="W1855" s="15"/>
    </row>
    <row r="1856">
      <c r="A1856" s="69"/>
      <c r="B1856" s="69"/>
      <c r="C1856" s="70"/>
      <c r="D1856" s="70"/>
      <c r="E1856" s="69"/>
      <c r="F1856" s="69"/>
      <c r="G1856" s="69"/>
      <c r="H1856" s="69"/>
      <c r="I1856" s="69"/>
      <c r="J1856" s="69"/>
      <c r="K1856" s="69"/>
      <c r="L1856" s="69"/>
      <c r="M1856" s="69"/>
      <c r="N1856" s="69"/>
      <c r="O1856" s="69"/>
      <c r="P1856" s="69"/>
      <c r="Q1856" s="69"/>
      <c r="R1856" s="69"/>
      <c r="S1856" s="69"/>
      <c r="T1856" s="15"/>
      <c r="U1856" s="15"/>
      <c r="V1856" s="15"/>
      <c r="W1856" s="15"/>
    </row>
    <row r="1857">
      <c r="A1857" s="71"/>
      <c r="B1857" s="71"/>
      <c r="C1857" s="72"/>
      <c r="D1857" s="72"/>
      <c r="E1857" s="71"/>
      <c r="F1857" s="71"/>
      <c r="G1857" s="71"/>
      <c r="H1857" s="71"/>
      <c r="I1857" s="71"/>
      <c r="J1857" s="71"/>
      <c r="K1857" s="71"/>
      <c r="L1857" s="71"/>
      <c r="M1857" s="71"/>
      <c r="N1857" s="71"/>
      <c r="O1857" s="71"/>
      <c r="P1857" s="71"/>
      <c r="Q1857" s="71"/>
      <c r="R1857" s="71"/>
      <c r="S1857" s="71"/>
      <c r="T1857" s="15"/>
      <c r="U1857" s="15"/>
      <c r="V1857" s="15"/>
      <c r="W1857" s="15"/>
    </row>
    <row r="1858">
      <c r="A1858" s="69"/>
      <c r="B1858" s="69"/>
      <c r="C1858" s="70"/>
      <c r="D1858" s="70"/>
      <c r="E1858" s="69"/>
      <c r="F1858" s="69"/>
      <c r="G1858" s="69"/>
      <c r="H1858" s="69"/>
      <c r="I1858" s="69"/>
      <c r="J1858" s="69"/>
      <c r="K1858" s="69"/>
      <c r="L1858" s="69"/>
      <c r="M1858" s="69"/>
      <c r="N1858" s="69"/>
      <c r="O1858" s="69"/>
      <c r="P1858" s="69"/>
      <c r="Q1858" s="69"/>
      <c r="R1858" s="69"/>
      <c r="S1858" s="69"/>
      <c r="T1858" s="15"/>
      <c r="U1858" s="15"/>
      <c r="V1858" s="15"/>
      <c r="W1858" s="15"/>
    </row>
    <row r="1859">
      <c r="A1859" s="71"/>
      <c r="B1859" s="71"/>
      <c r="C1859" s="72"/>
      <c r="D1859" s="72"/>
      <c r="E1859" s="71"/>
      <c r="F1859" s="71"/>
      <c r="G1859" s="71"/>
      <c r="H1859" s="71"/>
      <c r="I1859" s="71"/>
      <c r="J1859" s="71"/>
      <c r="K1859" s="71"/>
      <c r="L1859" s="71"/>
      <c r="M1859" s="71"/>
      <c r="N1859" s="71"/>
      <c r="O1859" s="71"/>
      <c r="P1859" s="71"/>
      <c r="Q1859" s="71"/>
      <c r="R1859" s="71"/>
      <c r="S1859" s="71"/>
      <c r="T1859" s="15"/>
      <c r="U1859" s="15"/>
      <c r="V1859" s="15"/>
      <c r="W1859" s="15"/>
    </row>
    <row r="1860">
      <c r="A1860" s="69"/>
      <c r="B1860" s="69"/>
      <c r="C1860" s="70"/>
      <c r="D1860" s="70"/>
      <c r="E1860" s="69"/>
      <c r="F1860" s="69"/>
      <c r="G1860" s="69"/>
      <c r="H1860" s="69"/>
      <c r="I1860" s="69"/>
      <c r="J1860" s="69"/>
      <c r="K1860" s="69"/>
      <c r="L1860" s="69"/>
      <c r="M1860" s="69"/>
      <c r="N1860" s="69"/>
      <c r="O1860" s="69"/>
      <c r="P1860" s="69"/>
      <c r="Q1860" s="69"/>
      <c r="R1860" s="69"/>
      <c r="S1860" s="69"/>
      <c r="T1860" s="15"/>
      <c r="U1860" s="15"/>
      <c r="V1860" s="15"/>
      <c r="W1860" s="15"/>
    </row>
    <row r="1861">
      <c r="A1861" s="71"/>
      <c r="B1861" s="71"/>
      <c r="C1861" s="72"/>
      <c r="D1861" s="72"/>
      <c r="E1861" s="71"/>
      <c r="F1861" s="71"/>
      <c r="G1861" s="71"/>
      <c r="H1861" s="71"/>
      <c r="I1861" s="71"/>
      <c r="J1861" s="71"/>
      <c r="K1861" s="71"/>
      <c r="L1861" s="71"/>
      <c r="M1861" s="71"/>
      <c r="N1861" s="71"/>
      <c r="O1861" s="71"/>
      <c r="P1861" s="71"/>
      <c r="Q1861" s="71"/>
      <c r="R1861" s="71"/>
      <c r="S1861" s="71"/>
      <c r="T1861" s="15"/>
      <c r="U1861" s="15"/>
      <c r="V1861" s="15"/>
      <c r="W1861" s="15"/>
    </row>
    <row r="1862">
      <c r="A1862" s="69"/>
      <c r="B1862" s="69"/>
      <c r="C1862" s="70"/>
      <c r="D1862" s="70"/>
      <c r="E1862" s="69"/>
      <c r="F1862" s="69"/>
      <c r="G1862" s="69"/>
      <c r="H1862" s="69"/>
      <c r="I1862" s="69"/>
      <c r="J1862" s="69"/>
      <c r="K1862" s="69"/>
      <c r="L1862" s="69"/>
      <c r="M1862" s="69"/>
      <c r="N1862" s="69"/>
      <c r="O1862" s="69"/>
      <c r="P1862" s="69"/>
      <c r="Q1862" s="69"/>
      <c r="R1862" s="69"/>
      <c r="S1862" s="69"/>
      <c r="T1862" s="15"/>
      <c r="U1862" s="15"/>
      <c r="V1862" s="15"/>
      <c r="W1862" s="15"/>
    </row>
    <row r="1863">
      <c r="A1863" s="71"/>
      <c r="B1863" s="71"/>
      <c r="C1863" s="72"/>
      <c r="D1863" s="72"/>
      <c r="E1863" s="71"/>
      <c r="F1863" s="71"/>
      <c r="G1863" s="71"/>
      <c r="H1863" s="71"/>
      <c r="I1863" s="71"/>
      <c r="J1863" s="71"/>
      <c r="K1863" s="71"/>
      <c r="L1863" s="71"/>
      <c r="M1863" s="71"/>
      <c r="N1863" s="71"/>
      <c r="O1863" s="71"/>
      <c r="P1863" s="71"/>
      <c r="Q1863" s="71"/>
      <c r="R1863" s="71"/>
      <c r="S1863" s="71"/>
      <c r="T1863" s="15"/>
      <c r="U1863" s="15"/>
      <c r="V1863" s="15"/>
      <c r="W1863" s="15"/>
    </row>
    <row r="1864">
      <c r="A1864" s="69"/>
      <c r="B1864" s="69"/>
      <c r="C1864" s="70"/>
      <c r="D1864" s="70"/>
      <c r="E1864" s="69"/>
      <c r="F1864" s="69"/>
      <c r="G1864" s="69"/>
      <c r="H1864" s="69"/>
      <c r="I1864" s="69"/>
      <c r="J1864" s="69"/>
      <c r="K1864" s="69"/>
      <c r="L1864" s="69"/>
      <c r="M1864" s="69"/>
      <c r="N1864" s="69"/>
      <c r="O1864" s="69"/>
      <c r="P1864" s="69"/>
      <c r="Q1864" s="69"/>
      <c r="R1864" s="69"/>
      <c r="S1864" s="69"/>
      <c r="T1864" s="15"/>
      <c r="U1864" s="15"/>
      <c r="V1864" s="15"/>
      <c r="W1864" s="15"/>
    </row>
    <row r="1865">
      <c r="A1865" s="71"/>
      <c r="B1865" s="71"/>
      <c r="C1865" s="72"/>
      <c r="D1865" s="72"/>
      <c r="E1865" s="71"/>
      <c r="F1865" s="71"/>
      <c r="G1865" s="71"/>
      <c r="H1865" s="71"/>
      <c r="I1865" s="71"/>
      <c r="J1865" s="71"/>
      <c r="K1865" s="71"/>
      <c r="L1865" s="71"/>
      <c r="M1865" s="71"/>
      <c r="N1865" s="71"/>
      <c r="O1865" s="71"/>
      <c r="P1865" s="71"/>
      <c r="Q1865" s="71"/>
      <c r="R1865" s="71"/>
      <c r="S1865" s="71"/>
      <c r="T1865" s="15"/>
      <c r="U1865" s="15"/>
      <c r="V1865" s="15"/>
      <c r="W1865" s="15"/>
    </row>
    <row r="1866">
      <c r="A1866" s="69"/>
      <c r="B1866" s="69"/>
      <c r="C1866" s="70"/>
      <c r="D1866" s="70"/>
      <c r="E1866" s="69"/>
      <c r="F1866" s="69"/>
      <c r="G1866" s="69"/>
      <c r="H1866" s="69"/>
      <c r="I1866" s="69"/>
      <c r="J1866" s="69"/>
      <c r="K1866" s="69"/>
      <c r="L1866" s="69"/>
      <c r="M1866" s="69"/>
      <c r="N1866" s="69"/>
      <c r="O1866" s="69"/>
      <c r="P1866" s="69"/>
      <c r="Q1866" s="69"/>
      <c r="R1866" s="69"/>
      <c r="S1866" s="69"/>
      <c r="T1866" s="15"/>
      <c r="U1866" s="15"/>
      <c r="V1866" s="15"/>
      <c r="W1866" s="15"/>
    </row>
    <row r="1867">
      <c r="A1867" s="71"/>
      <c r="B1867" s="71"/>
      <c r="C1867" s="72"/>
      <c r="D1867" s="72"/>
      <c r="E1867" s="71"/>
      <c r="F1867" s="71"/>
      <c r="G1867" s="71"/>
      <c r="H1867" s="71"/>
      <c r="I1867" s="71"/>
      <c r="J1867" s="71"/>
      <c r="K1867" s="71"/>
      <c r="L1867" s="71"/>
      <c r="M1867" s="71"/>
      <c r="N1867" s="71"/>
      <c r="O1867" s="71"/>
      <c r="P1867" s="71"/>
      <c r="Q1867" s="71"/>
      <c r="R1867" s="71"/>
      <c r="S1867" s="71"/>
      <c r="T1867" s="15"/>
      <c r="U1867" s="15"/>
      <c r="V1867" s="15"/>
      <c r="W1867" s="15"/>
    </row>
    <row r="1868">
      <c r="A1868" s="69"/>
      <c r="B1868" s="69"/>
      <c r="C1868" s="70"/>
      <c r="D1868" s="70"/>
      <c r="E1868" s="69"/>
      <c r="F1868" s="69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69"/>
      <c r="T1868" s="15"/>
      <c r="U1868" s="15"/>
      <c r="V1868" s="15"/>
      <c r="W1868" s="15"/>
    </row>
    <row r="1869">
      <c r="A1869" s="71"/>
      <c r="B1869" s="71"/>
      <c r="C1869" s="72"/>
      <c r="D1869" s="72"/>
      <c r="E1869" s="71"/>
      <c r="F1869" s="71"/>
      <c r="G1869" s="71"/>
      <c r="H1869" s="71"/>
      <c r="I1869" s="71"/>
      <c r="J1869" s="71"/>
      <c r="K1869" s="71"/>
      <c r="L1869" s="71"/>
      <c r="M1869" s="71"/>
      <c r="N1869" s="71"/>
      <c r="O1869" s="71"/>
      <c r="P1869" s="71"/>
      <c r="Q1869" s="71"/>
      <c r="R1869" s="71"/>
      <c r="S1869" s="71"/>
      <c r="T1869" s="15"/>
      <c r="U1869" s="15"/>
      <c r="V1869" s="15"/>
      <c r="W1869" s="15"/>
    </row>
    <row r="1870">
      <c r="A1870" s="69"/>
      <c r="B1870" s="69"/>
      <c r="C1870" s="70"/>
      <c r="D1870" s="70"/>
      <c r="E1870" s="69"/>
      <c r="F1870" s="69"/>
      <c r="G1870" s="69"/>
      <c r="H1870" s="69"/>
      <c r="I1870" s="69"/>
      <c r="J1870" s="69"/>
      <c r="K1870" s="69"/>
      <c r="L1870" s="69"/>
      <c r="M1870" s="69"/>
      <c r="N1870" s="69"/>
      <c r="O1870" s="69"/>
      <c r="P1870" s="69"/>
      <c r="Q1870" s="69"/>
      <c r="R1870" s="69"/>
      <c r="S1870" s="69"/>
      <c r="T1870" s="15"/>
      <c r="U1870" s="15"/>
      <c r="V1870" s="15"/>
      <c r="W1870" s="15"/>
    </row>
    <row r="1871">
      <c r="A1871" s="71"/>
      <c r="B1871" s="71"/>
      <c r="C1871" s="72"/>
      <c r="D1871" s="72"/>
      <c r="E1871" s="71"/>
      <c r="F1871" s="71"/>
      <c r="G1871" s="71"/>
      <c r="H1871" s="71"/>
      <c r="I1871" s="71"/>
      <c r="J1871" s="71"/>
      <c r="K1871" s="71"/>
      <c r="L1871" s="71"/>
      <c r="M1871" s="71"/>
      <c r="N1871" s="71"/>
      <c r="O1871" s="71"/>
      <c r="P1871" s="71"/>
      <c r="Q1871" s="71"/>
      <c r="R1871" s="71"/>
      <c r="S1871" s="71"/>
      <c r="T1871" s="15"/>
      <c r="U1871" s="15"/>
      <c r="V1871" s="15"/>
      <c r="W1871" s="15"/>
    </row>
    <row r="1872">
      <c r="A1872" s="69"/>
      <c r="B1872" s="69"/>
      <c r="C1872" s="70"/>
      <c r="D1872" s="70"/>
      <c r="E1872" s="69"/>
      <c r="F1872" s="69"/>
      <c r="G1872" s="69"/>
      <c r="H1872" s="69"/>
      <c r="I1872" s="69"/>
      <c r="J1872" s="69"/>
      <c r="K1872" s="69"/>
      <c r="L1872" s="69"/>
      <c r="M1872" s="69"/>
      <c r="N1872" s="69"/>
      <c r="O1872" s="69"/>
      <c r="P1872" s="69"/>
      <c r="Q1872" s="69"/>
      <c r="R1872" s="69"/>
      <c r="S1872" s="69"/>
      <c r="T1872" s="15"/>
      <c r="U1872" s="15"/>
      <c r="V1872" s="15"/>
      <c r="W1872" s="15"/>
    </row>
    <row r="1873">
      <c r="A1873" s="71"/>
      <c r="B1873" s="71"/>
      <c r="C1873" s="72"/>
      <c r="D1873" s="72"/>
      <c r="E1873" s="71"/>
      <c r="F1873" s="71"/>
      <c r="G1873" s="71"/>
      <c r="H1873" s="71"/>
      <c r="I1873" s="71"/>
      <c r="J1873" s="71"/>
      <c r="K1873" s="71"/>
      <c r="L1873" s="71"/>
      <c r="M1873" s="71"/>
      <c r="N1873" s="71"/>
      <c r="O1873" s="71"/>
      <c r="P1873" s="71"/>
      <c r="Q1873" s="71"/>
      <c r="R1873" s="71"/>
      <c r="S1873" s="71"/>
      <c r="T1873" s="15"/>
      <c r="U1873" s="15"/>
      <c r="V1873" s="15"/>
      <c r="W1873" s="15"/>
    </row>
    <row r="1874">
      <c r="A1874" s="69"/>
      <c r="B1874" s="69"/>
      <c r="C1874" s="70"/>
      <c r="D1874" s="70"/>
      <c r="E1874" s="69"/>
      <c r="F1874" s="69"/>
      <c r="G1874" s="69"/>
      <c r="H1874" s="69"/>
      <c r="I1874" s="69"/>
      <c r="J1874" s="69"/>
      <c r="K1874" s="69"/>
      <c r="L1874" s="69"/>
      <c r="M1874" s="69"/>
      <c r="N1874" s="69"/>
      <c r="O1874" s="69"/>
      <c r="P1874" s="69"/>
      <c r="Q1874" s="69"/>
      <c r="R1874" s="69"/>
      <c r="S1874" s="69"/>
      <c r="T1874" s="15"/>
      <c r="U1874" s="15"/>
      <c r="V1874" s="15"/>
      <c r="W1874" s="15"/>
    </row>
    <row r="1875">
      <c r="A1875" s="71"/>
      <c r="B1875" s="71"/>
      <c r="C1875" s="72"/>
      <c r="D1875" s="72"/>
      <c r="E1875" s="71"/>
      <c r="F1875" s="71"/>
      <c r="G1875" s="71"/>
      <c r="H1875" s="71"/>
      <c r="I1875" s="71"/>
      <c r="J1875" s="71"/>
      <c r="K1875" s="71"/>
      <c r="L1875" s="71"/>
      <c r="M1875" s="71"/>
      <c r="N1875" s="71"/>
      <c r="O1875" s="71"/>
      <c r="P1875" s="71"/>
      <c r="Q1875" s="71"/>
      <c r="R1875" s="71"/>
      <c r="S1875" s="71"/>
      <c r="T1875" s="15"/>
      <c r="U1875" s="15"/>
      <c r="V1875" s="15"/>
      <c r="W1875" s="15"/>
    </row>
    <row r="1876">
      <c r="A1876" s="69"/>
      <c r="B1876" s="69"/>
      <c r="C1876" s="70"/>
      <c r="D1876" s="70"/>
      <c r="E1876" s="69"/>
      <c r="F1876" s="69"/>
      <c r="G1876" s="69"/>
      <c r="H1876" s="69"/>
      <c r="I1876" s="69"/>
      <c r="J1876" s="69"/>
      <c r="K1876" s="69"/>
      <c r="L1876" s="69"/>
      <c r="M1876" s="69"/>
      <c r="N1876" s="69"/>
      <c r="O1876" s="69"/>
      <c r="P1876" s="69"/>
      <c r="Q1876" s="69"/>
      <c r="R1876" s="69"/>
      <c r="S1876" s="69"/>
      <c r="T1876" s="15"/>
      <c r="U1876" s="15"/>
      <c r="V1876" s="15"/>
      <c r="W1876" s="15"/>
    </row>
    <row r="1877">
      <c r="A1877" s="71"/>
      <c r="B1877" s="71"/>
      <c r="C1877" s="72"/>
      <c r="D1877" s="72"/>
      <c r="E1877" s="71"/>
      <c r="F1877" s="71"/>
      <c r="G1877" s="71"/>
      <c r="H1877" s="71"/>
      <c r="I1877" s="71"/>
      <c r="J1877" s="71"/>
      <c r="K1877" s="71"/>
      <c r="L1877" s="71"/>
      <c r="M1877" s="71"/>
      <c r="N1877" s="71"/>
      <c r="O1877" s="71"/>
      <c r="P1877" s="71"/>
      <c r="Q1877" s="71"/>
      <c r="R1877" s="71"/>
      <c r="S1877" s="71"/>
      <c r="T1877" s="15"/>
      <c r="U1877" s="15"/>
      <c r="V1877" s="15"/>
      <c r="W1877" s="15"/>
    </row>
    <row r="1878">
      <c r="A1878" s="69"/>
      <c r="B1878" s="69"/>
      <c r="C1878" s="70"/>
      <c r="D1878" s="70"/>
      <c r="E1878" s="69"/>
      <c r="F1878" s="69"/>
      <c r="G1878" s="69"/>
      <c r="H1878" s="69"/>
      <c r="I1878" s="69"/>
      <c r="J1878" s="69"/>
      <c r="K1878" s="69"/>
      <c r="L1878" s="69"/>
      <c r="M1878" s="69"/>
      <c r="N1878" s="69"/>
      <c r="O1878" s="69"/>
      <c r="P1878" s="69"/>
      <c r="Q1878" s="69"/>
      <c r="R1878" s="69"/>
      <c r="S1878" s="69"/>
      <c r="T1878" s="15"/>
      <c r="U1878" s="15"/>
      <c r="V1878" s="15"/>
      <c r="W1878" s="15"/>
    </row>
    <row r="1879">
      <c r="A1879" s="71"/>
      <c r="B1879" s="71"/>
      <c r="C1879" s="72"/>
      <c r="D1879" s="72"/>
      <c r="E1879" s="71"/>
      <c r="F1879" s="71"/>
      <c r="G1879" s="71"/>
      <c r="H1879" s="71"/>
      <c r="I1879" s="71"/>
      <c r="J1879" s="71"/>
      <c r="K1879" s="71"/>
      <c r="L1879" s="71"/>
      <c r="M1879" s="71"/>
      <c r="N1879" s="71"/>
      <c r="O1879" s="71"/>
      <c r="P1879" s="71"/>
      <c r="Q1879" s="71"/>
      <c r="R1879" s="71"/>
      <c r="S1879" s="71"/>
      <c r="T1879" s="15"/>
      <c r="U1879" s="15"/>
      <c r="V1879" s="15"/>
      <c r="W1879" s="15"/>
    </row>
    <row r="1880">
      <c r="A1880" s="69"/>
      <c r="B1880" s="69"/>
      <c r="C1880" s="70"/>
      <c r="D1880" s="70"/>
      <c r="E1880" s="69"/>
      <c r="F1880" s="69"/>
      <c r="G1880" s="69"/>
      <c r="H1880" s="69"/>
      <c r="I1880" s="69"/>
      <c r="J1880" s="69"/>
      <c r="K1880" s="69"/>
      <c r="L1880" s="69"/>
      <c r="M1880" s="69"/>
      <c r="N1880" s="69"/>
      <c r="O1880" s="69"/>
      <c r="P1880" s="69"/>
      <c r="Q1880" s="69"/>
      <c r="R1880" s="69"/>
      <c r="S1880" s="69"/>
      <c r="T1880" s="15"/>
      <c r="U1880" s="15"/>
      <c r="V1880" s="15"/>
      <c r="W1880" s="15"/>
    </row>
    <row r="1881">
      <c r="A1881" s="71"/>
      <c r="B1881" s="71"/>
      <c r="C1881" s="72"/>
      <c r="D1881" s="72"/>
      <c r="E1881" s="71"/>
      <c r="F1881" s="71"/>
      <c r="G1881" s="71"/>
      <c r="H1881" s="71"/>
      <c r="I1881" s="71"/>
      <c r="J1881" s="71"/>
      <c r="K1881" s="71"/>
      <c r="L1881" s="71"/>
      <c r="M1881" s="71"/>
      <c r="N1881" s="71"/>
      <c r="O1881" s="71"/>
      <c r="P1881" s="71"/>
      <c r="Q1881" s="71"/>
      <c r="R1881" s="71"/>
      <c r="S1881" s="71"/>
      <c r="T1881" s="15"/>
      <c r="U1881" s="15"/>
      <c r="V1881" s="15"/>
      <c r="W1881" s="15"/>
    </row>
    <row r="1882">
      <c r="A1882" s="69"/>
      <c r="B1882" s="69"/>
      <c r="C1882" s="70"/>
      <c r="D1882" s="70"/>
      <c r="E1882" s="69"/>
      <c r="F1882" s="69"/>
      <c r="G1882" s="69"/>
      <c r="H1882" s="69"/>
      <c r="I1882" s="69"/>
      <c r="J1882" s="69"/>
      <c r="K1882" s="69"/>
      <c r="L1882" s="69"/>
      <c r="M1882" s="69"/>
      <c r="N1882" s="69"/>
      <c r="O1882" s="69"/>
      <c r="P1882" s="69"/>
      <c r="Q1882" s="69"/>
      <c r="R1882" s="69"/>
      <c r="S1882" s="69"/>
      <c r="T1882" s="15"/>
      <c r="U1882" s="15"/>
      <c r="V1882" s="15"/>
      <c r="W1882" s="15"/>
    </row>
    <row r="1883">
      <c r="A1883" s="71"/>
      <c r="B1883" s="71"/>
      <c r="C1883" s="72"/>
      <c r="D1883" s="72"/>
      <c r="E1883" s="71"/>
      <c r="F1883" s="71"/>
      <c r="G1883" s="71"/>
      <c r="H1883" s="71"/>
      <c r="I1883" s="71"/>
      <c r="J1883" s="71"/>
      <c r="K1883" s="71"/>
      <c r="L1883" s="71"/>
      <c r="M1883" s="71"/>
      <c r="N1883" s="71"/>
      <c r="O1883" s="71"/>
      <c r="P1883" s="71"/>
      <c r="Q1883" s="71"/>
      <c r="R1883" s="71"/>
      <c r="S1883" s="71"/>
      <c r="T1883" s="15"/>
      <c r="U1883" s="15"/>
      <c r="V1883" s="15"/>
      <c r="W1883" s="15"/>
    </row>
    <row r="1884">
      <c r="A1884" s="69"/>
      <c r="B1884" s="69"/>
      <c r="C1884" s="70"/>
      <c r="D1884" s="70"/>
      <c r="E1884" s="69"/>
      <c r="F1884" s="69"/>
      <c r="G1884" s="69"/>
      <c r="H1884" s="69"/>
      <c r="I1884" s="69"/>
      <c r="J1884" s="69"/>
      <c r="K1884" s="69"/>
      <c r="L1884" s="69"/>
      <c r="M1884" s="69"/>
      <c r="N1884" s="69"/>
      <c r="O1884" s="69"/>
      <c r="P1884" s="69"/>
      <c r="Q1884" s="69"/>
      <c r="R1884" s="69"/>
      <c r="S1884" s="69"/>
      <c r="T1884" s="15"/>
      <c r="U1884" s="15"/>
      <c r="V1884" s="15"/>
      <c r="W1884" s="15"/>
    </row>
    <row r="1885">
      <c r="A1885" s="71"/>
      <c r="B1885" s="71"/>
      <c r="C1885" s="72"/>
      <c r="D1885" s="72"/>
      <c r="E1885" s="71"/>
      <c r="F1885" s="71"/>
      <c r="G1885" s="71"/>
      <c r="H1885" s="71"/>
      <c r="I1885" s="71"/>
      <c r="J1885" s="71"/>
      <c r="K1885" s="71"/>
      <c r="L1885" s="71"/>
      <c r="M1885" s="71"/>
      <c r="N1885" s="71"/>
      <c r="O1885" s="71"/>
      <c r="P1885" s="71"/>
      <c r="Q1885" s="71"/>
      <c r="R1885" s="71"/>
      <c r="S1885" s="71"/>
      <c r="T1885" s="15"/>
      <c r="U1885" s="15"/>
      <c r="V1885" s="15"/>
      <c r="W1885" s="15"/>
    </row>
    <row r="1886">
      <c r="A1886" s="69"/>
      <c r="B1886" s="69"/>
      <c r="C1886" s="70"/>
      <c r="D1886" s="70"/>
      <c r="E1886" s="69"/>
      <c r="F1886" s="69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69"/>
      <c r="T1886" s="15"/>
      <c r="U1886" s="15"/>
      <c r="V1886" s="15"/>
      <c r="W1886" s="15"/>
    </row>
    <row r="1887">
      <c r="A1887" s="71"/>
      <c r="B1887" s="71"/>
      <c r="C1887" s="72"/>
      <c r="D1887" s="72"/>
      <c r="E1887" s="71"/>
      <c r="F1887" s="71"/>
      <c r="G1887" s="71"/>
      <c r="H1887" s="71"/>
      <c r="I1887" s="71"/>
      <c r="J1887" s="71"/>
      <c r="K1887" s="71"/>
      <c r="L1887" s="71"/>
      <c r="M1887" s="71"/>
      <c r="N1887" s="71"/>
      <c r="O1887" s="71"/>
      <c r="P1887" s="71"/>
      <c r="Q1887" s="71"/>
      <c r="R1887" s="71"/>
      <c r="S1887" s="71"/>
      <c r="T1887" s="15"/>
      <c r="U1887" s="15"/>
      <c r="V1887" s="15"/>
      <c r="W1887" s="15"/>
    </row>
    <row r="1888">
      <c r="A1888" s="69"/>
      <c r="B1888" s="69"/>
      <c r="C1888" s="70"/>
      <c r="D1888" s="70"/>
      <c r="E1888" s="69"/>
      <c r="F1888" s="69"/>
      <c r="G1888" s="69"/>
      <c r="H1888" s="69"/>
      <c r="I1888" s="69"/>
      <c r="J1888" s="69"/>
      <c r="K1888" s="69"/>
      <c r="L1888" s="69"/>
      <c r="M1888" s="69"/>
      <c r="N1888" s="69"/>
      <c r="O1888" s="69"/>
      <c r="P1888" s="69"/>
      <c r="Q1888" s="69"/>
      <c r="R1888" s="69"/>
      <c r="S1888" s="69"/>
      <c r="T1888" s="15"/>
      <c r="U1888" s="15"/>
      <c r="V1888" s="15"/>
      <c r="W1888" s="15"/>
    </row>
    <row r="1889">
      <c r="A1889" s="71"/>
      <c r="B1889" s="71"/>
      <c r="C1889" s="72"/>
      <c r="D1889" s="72"/>
      <c r="E1889" s="71"/>
      <c r="F1889" s="71"/>
      <c r="G1889" s="71"/>
      <c r="H1889" s="71"/>
      <c r="I1889" s="71"/>
      <c r="J1889" s="71"/>
      <c r="K1889" s="71"/>
      <c r="L1889" s="71"/>
      <c r="M1889" s="71"/>
      <c r="N1889" s="71"/>
      <c r="O1889" s="71"/>
      <c r="P1889" s="71"/>
      <c r="Q1889" s="71"/>
      <c r="R1889" s="71"/>
      <c r="S1889" s="71"/>
      <c r="T1889" s="15"/>
      <c r="U1889" s="15"/>
      <c r="V1889" s="15"/>
      <c r="W1889" s="15"/>
    </row>
    <row r="1890">
      <c r="A1890" s="69"/>
      <c r="B1890" s="69"/>
      <c r="C1890" s="70"/>
      <c r="D1890" s="70"/>
      <c r="E1890" s="69"/>
      <c r="F1890" s="69"/>
      <c r="G1890" s="69"/>
      <c r="H1890" s="69"/>
      <c r="I1890" s="69"/>
      <c r="J1890" s="69"/>
      <c r="K1890" s="69"/>
      <c r="L1890" s="69"/>
      <c r="M1890" s="69"/>
      <c r="N1890" s="69"/>
      <c r="O1890" s="69"/>
      <c r="P1890" s="69"/>
      <c r="Q1890" s="69"/>
      <c r="R1890" s="69"/>
      <c r="S1890" s="69"/>
      <c r="T1890" s="15"/>
      <c r="U1890" s="15"/>
      <c r="V1890" s="15"/>
      <c r="W1890" s="15"/>
    </row>
    <row r="1891">
      <c r="A1891" s="71"/>
      <c r="B1891" s="71"/>
      <c r="C1891" s="72"/>
      <c r="D1891" s="72"/>
      <c r="E1891" s="71"/>
      <c r="F1891" s="71"/>
      <c r="G1891" s="71"/>
      <c r="H1891" s="71"/>
      <c r="I1891" s="71"/>
      <c r="J1891" s="71"/>
      <c r="K1891" s="71"/>
      <c r="L1891" s="71"/>
      <c r="M1891" s="71"/>
      <c r="N1891" s="71"/>
      <c r="O1891" s="71"/>
      <c r="P1891" s="71"/>
      <c r="Q1891" s="71"/>
      <c r="R1891" s="71"/>
      <c r="S1891" s="71"/>
      <c r="T1891" s="15"/>
      <c r="U1891" s="15"/>
      <c r="V1891" s="15"/>
      <c r="W1891" s="15"/>
    </row>
    <row r="1892">
      <c r="A1892" s="69"/>
      <c r="B1892" s="69"/>
      <c r="C1892" s="70"/>
      <c r="D1892" s="70"/>
      <c r="E1892" s="69"/>
      <c r="F1892" s="69"/>
      <c r="G1892" s="69"/>
      <c r="H1892" s="69"/>
      <c r="I1892" s="69"/>
      <c r="J1892" s="69"/>
      <c r="K1892" s="69"/>
      <c r="L1892" s="69"/>
      <c r="M1892" s="69"/>
      <c r="N1892" s="69"/>
      <c r="O1892" s="69"/>
      <c r="P1892" s="69"/>
      <c r="Q1892" s="69"/>
      <c r="R1892" s="69"/>
      <c r="S1892" s="69"/>
      <c r="T1892" s="15"/>
      <c r="U1892" s="15"/>
      <c r="V1892" s="15"/>
      <c r="W1892" s="15"/>
    </row>
    <row r="1893">
      <c r="A1893" s="71"/>
      <c r="B1893" s="71"/>
      <c r="C1893" s="72"/>
      <c r="D1893" s="72"/>
      <c r="E1893" s="71"/>
      <c r="F1893" s="71"/>
      <c r="G1893" s="71"/>
      <c r="H1893" s="71"/>
      <c r="I1893" s="71"/>
      <c r="J1893" s="71"/>
      <c r="K1893" s="71"/>
      <c r="L1893" s="71"/>
      <c r="M1893" s="71"/>
      <c r="N1893" s="71"/>
      <c r="O1893" s="71"/>
      <c r="P1893" s="71"/>
      <c r="Q1893" s="71"/>
      <c r="R1893" s="71"/>
      <c r="S1893" s="71"/>
      <c r="T1893" s="15"/>
      <c r="U1893" s="15"/>
      <c r="V1893" s="15"/>
      <c r="W1893" s="15"/>
    </row>
    <row r="1894">
      <c r="A1894" s="69"/>
      <c r="B1894" s="69"/>
      <c r="C1894" s="70"/>
      <c r="D1894" s="70"/>
      <c r="E1894" s="69"/>
      <c r="F1894" s="69"/>
      <c r="G1894" s="69"/>
      <c r="H1894" s="69"/>
      <c r="I1894" s="69"/>
      <c r="J1894" s="69"/>
      <c r="K1894" s="69"/>
      <c r="L1894" s="69"/>
      <c r="M1894" s="69"/>
      <c r="N1894" s="69"/>
      <c r="O1894" s="69"/>
      <c r="P1894" s="69"/>
      <c r="Q1894" s="69"/>
      <c r="R1894" s="69"/>
      <c r="S1894" s="69"/>
      <c r="T1894" s="15"/>
      <c r="U1894" s="15"/>
      <c r="V1894" s="15"/>
      <c r="W1894" s="15"/>
    </row>
    <row r="1895">
      <c r="A1895" s="71"/>
      <c r="B1895" s="71"/>
      <c r="C1895" s="72"/>
      <c r="D1895" s="72"/>
      <c r="E1895" s="71"/>
      <c r="F1895" s="71"/>
      <c r="G1895" s="71"/>
      <c r="H1895" s="71"/>
      <c r="I1895" s="71"/>
      <c r="J1895" s="71"/>
      <c r="K1895" s="71"/>
      <c r="L1895" s="71"/>
      <c r="M1895" s="71"/>
      <c r="N1895" s="71"/>
      <c r="O1895" s="71"/>
      <c r="P1895" s="71"/>
      <c r="Q1895" s="71"/>
      <c r="R1895" s="71"/>
      <c r="S1895" s="71"/>
      <c r="T1895" s="15"/>
      <c r="U1895" s="15"/>
      <c r="V1895" s="15"/>
      <c r="W1895" s="15"/>
    </row>
    <row r="1896">
      <c r="A1896" s="69"/>
      <c r="B1896" s="69"/>
      <c r="C1896" s="70"/>
      <c r="D1896" s="70"/>
      <c r="E1896" s="69"/>
      <c r="F1896" s="69"/>
      <c r="G1896" s="69"/>
      <c r="H1896" s="69"/>
      <c r="I1896" s="69"/>
      <c r="J1896" s="69"/>
      <c r="K1896" s="69"/>
      <c r="L1896" s="69"/>
      <c r="M1896" s="69"/>
      <c r="N1896" s="69"/>
      <c r="O1896" s="69"/>
      <c r="P1896" s="69"/>
      <c r="Q1896" s="69"/>
      <c r="R1896" s="69"/>
      <c r="S1896" s="69"/>
      <c r="T1896" s="15"/>
      <c r="U1896" s="15"/>
      <c r="V1896" s="15"/>
      <c r="W1896" s="15"/>
    </row>
    <row r="1897">
      <c r="A1897" s="71"/>
      <c r="B1897" s="71"/>
      <c r="C1897" s="72"/>
      <c r="D1897" s="72"/>
      <c r="E1897" s="71"/>
      <c r="F1897" s="71"/>
      <c r="G1897" s="71"/>
      <c r="H1897" s="71"/>
      <c r="I1897" s="71"/>
      <c r="J1897" s="71"/>
      <c r="K1897" s="71"/>
      <c r="L1897" s="71"/>
      <c r="M1897" s="71"/>
      <c r="N1897" s="71"/>
      <c r="O1897" s="71"/>
      <c r="P1897" s="71"/>
      <c r="Q1897" s="71"/>
      <c r="R1897" s="71"/>
      <c r="S1897" s="71"/>
      <c r="T1897" s="15"/>
      <c r="U1897" s="15"/>
      <c r="V1897" s="15"/>
      <c r="W1897" s="15"/>
    </row>
    <row r="1898">
      <c r="A1898" s="69"/>
      <c r="B1898" s="69"/>
      <c r="C1898" s="70"/>
      <c r="D1898" s="70"/>
      <c r="E1898" s="69"/>
      <c r="F1898" s="69"/>
      <c r="G1898" s="69"/>
      <c r="H1898" s="69"/>
      <c r="I1898" s="69"/>
      <c r="J1898" s="69"/>
      <c r="K1898" s="69"/>
      <c r="L1898" s="69"/>
      <c r="M1898" s="69"/>
      <c r="N1898" s="69"/>
      <c r="O1898" s="69"/>
      <c r="P1898" s="69"/>
      <c r="Q1898" s="69"/>
      <c r="R1898" s="69"/>
      <c r="S1898" s="69"/>
      <c r="T1898" s="15"/>
      <c r="U1898" s="15"/>
      <c r="V1898" s="15"/>
      <c r="W1898" s="15"/>
    </row>
    <row r="1899">
      <c r="A1899" s="71"/>
      <c r="B1899" s="71"/>
      <c r="C1899" s="72"/>
      <c r="D1899" s="72"/>
      <c r="E1899" s="71"/>
      <c r="F1899" s="71"/>
      <c r="G1899" s="71"/>
      <c r="H1899" s="71"/>
      <c r="I1899" s="71"/>
      <c r="J1899" s="71"/>
      <c r="K1899" s="71"/>
      <c r="L1899" s="71"/>
      <c r="M1899" s="71"/>
      <c r="N1899" s="71"/>
      <c r="O1899" s="71"/>
      <c r="P1899" s="71"/>
      <c r="Q1899" s="71"/>
      <c r="R1899" s="71"/>
      <c r="S1899" s="71"/>
      <c r="T1899" s="15"/>
      <c r="U1899" s="15"/>
      <c r="V1899" s="15"/>
      <c r="W1899" s="15"/>
    </row>
    <row r="1900">
      <c r="A1900" s="69"/>
      <c r="B1900" s="69"/>
      <c r="C1900" s="70"/>
      <c r="D1900" s="70"/>
      <c r="E1900" s="69"/>
      <c r="F1900" s="69"/>
      <c r="G1900" s="69"/>
      <c r="H1900" s="69"/>
      <c r="I1900" s="69"/>
      <c r="J1900" s="69"/>
      <c r="K1900" s="69"/>
      <c r="L1900" s="69"/>
      <c r="M1900" s="69"/>
      <c r="N1900" s="69"/>
      <c r="O1900" s="69"/>
      <c r="P1900" s="69"/>
      <c r="Q1900" s="69"/>
      <c r="R1900" s="69"/>
      <c r="S1900" s="69"/>
      <c r="T1900" s="15"/>
      <c r="U1900" s="15"/>
      <c r="V1900" s="15"/>
      <c r="W1900" s="15"/>
    </row>
    <row r="1901">
      <c r="A1901" s="71"/>
      <c r="B1901" s="71"/>
      <c r="C1901" s="72"/>
      <c r="D1901" s="72"/>
      <c r="E1901" s="71"/>
      <c r="F1901" s="71"/>
      <c r="G1901" s="71"/>
      <c r="H1901" s="71"/>
      <c r="I1901" s="71"/>
      <c r="J1901" s="71"/>
      <c r="K1901" s="71"/>
      <c r="L1901" s="71"/>
      <c r="M1901" s="71"/>
      <c r="N1901" s="71"/>
      <c r="O1901" s="71"/>
      <c r="P1901" s="71"/>
      <c r="Q1901" s="71"/>
      <c r="R1901" s="71"/>
      <c r="S1901" s="71"/>
      <c r="T1901" s="15"/>
      <c r="U1901" s="15"/>
      <c r="V1901" s="15"/>
      <c r="W1901" s="15"/>
    </row>
    <row r="1902">
      <c r="A1902" s="69"/>
      <c r="B1902" s="69"/>
      <c r="C1902" s="70"/>
      <c r="D1902" s="70"/>
      <c r="E1902" s="69"/>
      <c r="F1902" s="69"/>
      <c r="G1902" s="69"/>
      <c r="H1902" s="69"/>
      <c r="I1902" s="69"/>
      <c r="J1902" s="69"/>
      <c r="K1902" s="69"/>
      <c r="L1902" s="69"/>
      <c r="M1902" s="69"/>
      <c r="N1902" s="69"/>
      <c r="O1902" s="69"/>
      <c r="P1902" s="69"/>
      <c r="Q1902" s="69"/>
      <c r="R1902" s="69"/>
      <c r="S1902" s="69"/>
      <c r="T1902" s="15"/>
      <c r="U1902" s="15"/>
      <c r="V1902" s="15"/>
      <c r="W1902" s="15"/>
    </row>
    <row r="1903">
      <c r="A1903" s="71"/>
      <c r="B1903" s="71"/>
      <c r="C1903" s="72"/>
      <c r="D1903" s="72"/>
      <c r="E1903" s="71"/>
      <c r="F1903" s="71"/>
      <c r="G1903" s="71"/>
      <c r="H1903" s="71"/>
      <c r="I1903" s="71"/>
      <c r="J1903" s="71"/>
      <c r="K1903" s="71"/>
      <c r="L1903" s="71"/>
      <c r="M1903" s="71"/>
      <c r="N1903" s="71"/>
      <c r="O1903" s="71"/>
      <c r="P1903" s="71"/>
      <c r="Q1903" s="71"/>
      <c r="R1903" s="71"/>
      <c r="S1903" s="71"/>
      <c r="T1903" s="15"/>
      <c r="U1903" s="15"/>
      <c r="V1903" s="15"/>
      <c r="W1903" s="15"/>
    </row>
    <row r="1904">
      <c r="A1904" s="69"/>
      <c r="B1904" s="69"/>
      <c r="C1904" s="70"/>
      <c r="D1904" s="70"/>
      <c r="E1904" s="69"/>
      <c r="F1904" s="69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69"/>
      <c r="T1904" s="15"/>
      <c r="U1904" s="15"/>
      <c r="V1904" s="15"/>
      <c r="W1904" s="15"/>
    </row>
    <row r="1905">
      <c r="A1905" s="71"/>
      <c r="B1905" s="71"/>
      <c r="C1905" s="72"/>
      <c r="D1905" s="72"/>
      <c r="E1905" s="71"/>
      <c r="F1905" s="71"/>
      <c r="G1905" s="71"/>
      <c r="H1905" s="71"/>
      <c r="I1905" s="71"/>
      <c r="J1905" s="71"/>
      <c r="K1905" s="71"/>
      <c r="L1905" s="71"/>
      <c r="M1905" s="71"/>
      <c r="N1905" s="71"/>
      <c r="O1905" s="71"/>
      <c r="P1905" s="71"/>
      <c r="Q1905" s="71"/>
      <c r="R1905" s="71"/>
      <c r="S1905" s="71"/>
      <c r="T1905" s="15"/>
      <c r="U1905" s="15"/>
      <c r="V1905" s="15"/>
      <c r="W1905" s="15"/>
    </row>
    <row r="1906">
      <c r="A1906" s="69"/>
      <c r="B1906" s="69"/>
      <c r="C1906" s="70"/>
      <c r="D1906" s="70"/>
      <c r="E1906" s="69"/>
      <c r="F1906" s="69"/>
      <c r="G1906" s="69"/>
      <c r="H1906" s="69"/>
      <c r="I1906" s="69"/>
      <c r="J1906" s="69"/>
      <c r="K1906" s="69"/>
      <c r="L1906" s="69"/>
      <c r="M1906" s="69"/>
      <c r="N1906" s="69"/>
      <c r="O1906" s="69"/>
      <c r="P1906" s="69"/>
      <c r="Q1906" s="69"/>
      <c r="R1906" s="69"/>
      <c r="S1906" s="69"/>
      <c r="T1906" s="15"/>
      <c r="U1906" s="15"/>
      <c r="V1906" s="15"/>
      <c r="W1906" s="15"/>
    </row>
    <row r="1907">
      <c r="A1907" s="71"/>
      <c r="B1907" s="71"/>
      <c r="C1907" s="72"/>
      <c r="D1907" s="72"/>
      <c r="E1907" s="71"/>
      <c r="F1907" s="71"/>
      <c r="G1907" s="71"/>
      <c r="H1907" s="71"/>
      <c r="I1907" s="71"/>
      <c r="J1907" s="71"/>
      <c r="K1907" s="71"/>
      <c r="L1907" s="71"/>
      <c r="M1907" s="71"/>
      <c r="N1907" s="71"/>
      <c r="O1907" s="71"/>
      <c r="P1907" s="71"/>
      <c r="Q1907" s="71"/>
      <c r="R1907" s="71"/>
      <c r="S1907" s="71"/>
      <c r="T1907" s="15"/>
      <c r="U1907" s="15"/>
      <c r="V1907" s="15"/>
      <c r="W1907" s="15"/>
    </row>
    <row r="1908">
      <c r="A1908" s="69"/>
      <c r="B1908" s="69"/>
      <c r="C1908" s="70"/>
      <c r="D1908" s="70"/>
      <c r="E1908" s="69"/>
      <c r="F1908" s="69"/>
      <c r="G1908" s="69"/>
      <c r="H1908" s="69"/>
      <c r="I1908" s="69"/>
      <c r="J1908" s="69"/>
      <c r="K1908" s="69"/>
      <c r="L1908" s="69"/>
      <c r="M1908" s="69"/>
      <c r="N1908" s="69"/>
      <c r="O1908" s="69"/>
      <c r="P1908" s="69"/>
      <c r="Q1908" s="69"/>
      <c r="R1908" s="69"/>
      <c r="S1908" s="69"/>
      <c r="T1908" s="15"/>
      <c r="U1908" s="15"/>
      <c r="V1908" s="15"/>
      <c r="W1908" s="15"/>
    </row>
    <row r="1909">
      <c r="A1909" s="71"/>
      <c r="B1909" s="71"/>
      <c r="C1909" s="72"/>
      <c r="D1909" s="72"/>
      <c r="E1909" s="71"/>
      <c r="F1909" s="71"/>
      <c r="G1909" s="71"/>
      <c r="H1909" s="71"/>
      <c r="I1909" s="71"/>
      <c r="J1909" s="71"/>
      <c r="K1909" s="71"/>
      <c r="L1909" s="71"/>
      <c r="M1909" s="71"/>
      <c r="N1909" s="71"/>
      <c r="O1909" s="71"/>
      <c r="P1909" s="71"/>
      <c r="Q1909" s="71"/>
      <c r="R1909" s="71"/>
      <c r="S1909" s="71"/>
      <c r="T1909" s="15"/>
      <c r="U1909" s="15"/>
      <c r="V1909" s="15"/>
      <c r="W1909" s="15"/>
    </row>
    <row r="1910">
      <c r="A1910" s="69"/>
      <c r="B1910" s="69"/>
      <c r="C1910" s="70"/>
      <c r="D1910" s="70"/>
      <c r="E1910" s="69"/>
      <c r="F1910" s="69"/>
      <c r="G1910" s="69"/>
      <c r="H1910" s="69"/>
      <c r="I1910" s="69"/>
      <c r="J1910" s="69"/>
      <c r="K1910" s="69"/>
      <c r="L1910" s="69"/>
      <c r="M1910" s="69"/>
      <c r="N1910" s="69"/>
      <c r="O1910" s="69"/>
      <c r="P1910" s="69"/>
      <c r="Q1910" s="69"/>
      <c r="R1910" s="69"/>
      <c r="S1910" s="69"/>
      <c r="T1910" s="15"/>
      <c r="U1910" s="15"/>
      <c r="V1910" s="15"/>
      <c r="W1910" s="15"/>
    </row>
    <row r="1911">
      <c r="A1911" s="71"/>
      <c r="B1911" s="71"/>
      <c r="C1911" s="72"/>
      <c r="D1911" s="72"/>
      <c r="E1911" s="71"/>
      <c r="F1911" s="71"/>
      <c r="G1911" s="71"/>
      <c r="H1911" s="71"/>
      <c r="I1911" s="71"/>
      <c r="J1911" s="71"/>
      <c r="K1911" s="71"/>
      <c r="L1911" s="71"/>
      <c r="M1911" s="71"/>
      <c r="N1911" s="71"/>
      <c r="O1911" s="71"/>
      <c r="P1911" s="71"/>
      <c r="Q1911" s="71"/>
      <c r="R1911" s="71"/>
      <c r="S1911" s="71"/>
      <c r="T1911" s="15"/>
      <c r="U1911" s="15"/>
      <c r="V1911" s="15"/>
      <c r="W1911" s="15"/>
    </row>
    <row r="1912">
      <c r="A1912" s="69"/>
      <c r="B1912" s="69"/>
      <c r="C1912" s="70"/>
      <c r="D1912" s="70"/>
      <c r="E1912" s="69"/>
      <c r="F1912" s="69"/>
      <c r="G1912" s="69"/>
      <c r="H1912" s="69"/>
      <c r="I1912" s="69"/>
      <c r="J1912" s="69"/>
      <c r="K1912" s="69"/>
      <c r="L1912" s="69"/>
      <c r="M1912" s="69"/>
      <c r="N1912" s="69"/>
      <c r="O1912" s="69"/>
      <c r="P1912" s="69"/>
      <c r="Q1912" s="69"/>
      <c r="R1912" s="69"/>
      <c r="S1912" s="69"/>
      <c r="T1912" s="15"/>
      <c r="U1912" s="15"/>
      <c r="V1912" s="15"/>
      <c r="W1912" s="15"/>
    </row>
    <row r="1913">
      <c r="A1913" s="71"/>
      <c r="B1913" s="71"/>
      <c r="C1913" s="72"/>
      <c r="D1913" s="72"/>
      <c r="E1913" s="71"/>
      <c r="F1913" s="71"/>
      <c r="G1913" s="71"/>
      <c r="H1913" s="71"/>
      <c r="I1913" s="71"/>
      <c r="J1913" s="71"/>
      <c r="K1913" s="71"/>
      <c r="L1913" s="71"/>
      <c r="M1913" s="71"/>
      <c r="N1913" s="71"/>
      <c r="O1913" s="71"/>
      <c r="P1913" s="71"/>
      <c r="Q1913" s="71"/>
      <c r="R1913" s="71"/>
      <c r="S1913" s="71"/>
      <c r="T1913" s="15"/>
      <c r="U1913" s="15"/>
      <c r="V1913" s="15"/>
      <c r="W1913" s="15"/>
    </row>
    <row r="1914">
      <c r="A1914" s="69"/>
      <c r="B1914" s="69"/>
      <c r="C1914" s="70"/>
      <c r="D1914" s="70"/>
      <c r="E1914" s="69"/>
      <c r="F1914" s="69"/>
      <c r="G1914" s="69"/>
      <c r="H1914" s="69"/>
      <c r="I1914" s="69"/>
      <c r="J1914" s="69"/>
      <c r="K1914" s="69"/>
      <c r="L1914" s="69"/>
      <c r="M1914" s="69"/>
      <c r="N1914" s="69"/>
      <c r="O1914" s="69"/>
      <c r="P1914" s="69"/>
      <c r="Q1914" s="69"/>
      <c r="R1914" s="69"/>
      <c r="S1914" s="69"/>
      <c r="T1914" s="15"/>
      <c r="U1914" s="15"/>
      <c r="V1914" s="15"/>
      <c r="W1914" s="15"/>
    </row>
    <row r="1915">
      <c r="A1915" s="71"/>
      <c r="B1915" s="71"/>
      <c r="C1915" s="72"/>
      <c r="D1915" s="72"/>
      <c r="E1915" s="71"/>
      <c r="F1915" s="71"/>
      <c r="G1915" s="71"/>
      <c r="H1915" s="71"/>
      <c r="I1915" s="71"/>
      <c r="J1915" s="71"/>
      <c r="K1915" s="71"/>
      <c r="L1915" s="71"/>
      <c r="M1915" s="71"/>
      <c r="N1915" s="71"/>
      <c r="O1915" s="71"/>
      <c r="P1915" s="71"/>
      <c r="Q1915" s="71"/>
      <c r="R1915" s="71"/>
      <c r="S1915" s="71"/>
      <c r="T1915" s="15"/>
      <c r="U1915" s="15"/>
      <c r="V1915" s="15"/>
      <c r="W1915" s="15"/>
    </row>
    <row r="1916">
      <c r="A1916" s="69"/>
      <c r="B1916" s="69"/>
      <c r="C1916" s="70"/>
      <c r="D1916" s="70"/>
      <c r="E1916" s="69"/>
      <c r="F1916" s="69"/>
      <c r="G1916" s="69"/>
      <c r="H1916" s="69"/>
      <c r="I1916" s="69"/>
      <c r="J1916" s="69"/>
      <c r="K1916" s="69"/>
      <c r="L1916" s="69"/>
      <c r="M1916" s="69"/>
      <c r="N1916" s="69"/>
      <c r="O1916" s="69"/>
      <c r="P1916" s="69"/>
      <c r="Q1916" s="69"/>
      <c r="R1916" s="69"/>
      <c r="S1916" s="69"/>
      <c r="T1916" s="15"/>
      <c r="U1916" s="15"/>
      <c r="V1916" s="15"/>
      <c r="W1916" s="15"/>
    </row>
    <row r="1917">
      <c r="A1917" s="71"/>
      <c r="B1917" s="71"/>
      <c r="C1917" s="72"/>
      <c r="D1917" s="72"/>
      <c r="E1917" s="71"/>
      <c r="F1917" s="71"/>
      <c r="G1917" s="71"/>
      <c r="H1917" s="71"/>
      <c r="I1917" s="71"/>
      <c r="J1917" s="71"/>
      <c r="K1917" s="71"/>
      <c r="L1917" s="71"/>
      <c r="M1917" s="71"/>
      <c r="N1917" s="71"/>
      <c r="O1917" s="71"/>
      <c r="P1917" s="71"/>
      <c r="Q1917" s="71"/>
      <c r="R1917" s="71"/>
      <c r="S1917" s="71"/>
      <c r="T1917" s="15"/>
      <c r="U1917" s="15"/>
      <c r="V1917" s="15"/>
      <c r="W1917" s="15"/>
    </row>
    <row r="1918">
      <c r="A1918" s="69"/>
      <c r="B1918" s="69"/>
      <c r="C1918" s="70"/>
      <c r="D1918" s="70"/>
      <c r="E1918" s="69"/>
      <c r="F1918" s="69"/>
      <c r="G1918" s="69"/>
      <c r="H1918" s="69"/>
      <c r="I1918" s="69"/>
      <c r="J1918" s="69"/>
      <c r="K1918" s="69"/>
      <c r="L1918" s="69"/>
      <c r="M1918" s="69"/>
      <c r="N1918" s="69"/>
      <c r="O1918" s="69"/>
      <c r="P1918" s="69"/>
      <c r="Q1918" s="69"/>
      <c r="R1918" s="69"/>
      <c r="S1918" s="69"/>
      <c r="T1918" s="15"/>
      <c r="U1918" s="15"/>
      <c r="V1918" s="15"/>
      <c r="W1918" s="15"/>
    </row>
    <row r="1919">
      <c r="A1919" s="71"/>
      <c r="B1919" s="71"/>
      <c r="C1919" s="72"/>
      <c r="D1919" s="72"/>
      <c r="E1919" s="71"/>
      <c r="F1919" s="71"/>
      <c r="G1919" s="71"/>
      <c r="H1919" s="71"/>
      <c r="I1919" s="71"/>
      <c r="J1919" s="71"/>
      <c r="K1919" s="71"/>
      <c r="L1919" s="71"/>
      <c r="M1919" s="71"/>
      <c r="N1919" s="71"/>
      <c r="O1919" s="71"/>
      <c r="P1919" s="71"/>
      <c r="Q1919" s="71"/>
      <c r="R1919" s="71"/>
      <c r="S1919" s="71"/>
      <c r="T1919" s="15"/>
      <c r="U1919" s="15"/>
      <c r="V1919" s="15"/>
      <c r="W1919" s="15"/>
    </row>
    <row r="1920">
      <c r="A1920" s="69"/>
      <c r="B1920" s="69"/>
      <c r="C1920" s="70"/>
      <c r="D1920" s="70"/>
      <c r="E1920" s="69"/>
      <c r="F1920" s="69"/>
      <c r="G1920" s="69"/>
      <c r="H1920" s="69"/>
      <c r="I1920" s="69"/>
      <c r="J1920" s="69"/>
      <c r="K1920" s="69"/>
      <c r="L1920" s="69"/>
      <c r="M1920" s="69"/>
      <c r="N1920" s="69"/>
      <c r="O1920" s="69"/>
      <c r="P1920" s="69"/>
      <c r="Q1920" s="69"/>
      <c r="R1920" s="69"/>
      <c r="S1920" s="69"/>
      <c r="T1920" s="15"/>
      <c r="U1920" s="15"/>
      <c r="V1920" s="15"/>
      <c r="W1920" s="15"/>
    </row>
    <row r="1921">
      <c r="A1921" s="71"/>
      <c r="B1921" s="71"/>
      <c r="C1921" s="72"/>
      <c r="D1921" s="72"/>
      <c r="E1921" s="71"/>
      <c r="F1921" s="71"/>
      <c r="G1921" s="71"/>
      <c r="H1921" s="71"/>
      <c r="I1921" s="71"/>
      <c r="J1921" s="71"/>
      <c r="K1921" s="71"/>
      <c r="L1921" s="71"/>
      <c r="M1921" s="71"/>
      <c r="N1921" s="71"/>
      <c r="O1921" s="71"/>
      <c r="P1921" s="71"/>
      <c r="Q1921" s="71"/>
      <c r="R1921" s="71"/>
      <c r="S1921" s="71"/>
      <c r="T1921" s="15"/>
      <c r="U1921" s="15"/>
      <c r="V1921" s="15"/>
      <c r="W1921" s="15"/>
    </row>
    <row r="1922">
      <c r="A1922" s="69"/>
      <c r="B1922" s="69"/>
      <c r="C1922" s="70"/>
      <c r="D1922" s="70"/>
      <c r="E1922" s="69"/>
      <c r="F1922" s="69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69"/>
      <c r="T1922" s="15"/>
      <c r="U1922" s="15"/>
      <c r="V1922" s="15"/>
      <c r="W1922" s="15"/>
    </row>
    <row r="1923">
      <c r="A1923" s="71"/>
      <c r="B1923" s="71"/>
      <c r="C1923" s="72"/>
      <c r="D1923" s="72"/>
      <c r="E1923" s="71"/>
      <c r="F1923" s="71"/>
      <c r="G1923" s="71"/>
      <c r="H1923" s="71"/>
      <c r="I1923" s="71"/>
      <c r="J1923" s="71"/>
      <c r="K1923" s="71"/>
      <c r="L1923" s="71"/>
      <c r="M1923" s="71"/>
      <c r="N1923" s="71"/>
      <c r="O1923" s="71"/>
      <c r="P1923" s="71"/>
      <c r="Q1923" s="71"/>
      <c r="R1923" s="71"/>
      <c r="S1923" s="71"/>
      <c r="T1923" s="15"/>
      <c r="U1923" s="15"/>
      <c r="V1923" s="15"/>
      <c r="W1923" s="15"/>
    </row>
    <row r="1924">
      <c r="A1924" s="69"/>
      <c r="B1924" s="69"/>
      <c r="C1924" s="70"/>
      <c r="D1924" s="70"/>
      <c r="E1924" s="69"/>
      <c r="F1924" s="69"/>
      <c r="G1924" s="69"/>
      <c r="H1924" s="69"/>
      <c r="I1924" s="69"/>
      <c r="J1924" s="69"/>
      <c r="K1924" s="69"/>
      <c r="L1924" s="69"/>
      <c r="M1924" s="69"/>
      <c r="N1924" s="69"/>
      <c r="O1924" s="69"/>
      <c r="P1924" s="69"/>
      <c r="Q1924" s="69"/>
      <c r="R1924" s="69"/>
      <c r="S1924" s="69"/>
      <c r="T1924" s="15"/>
      <c r="U1924" s="15"/>
      <c r="V1924" s="15"/>
      <c r="W1924" s="15"/>
    </row>
    <row r="1925">
      <c r="A1925" s="71"/>
      <c r="B1925" s="71"/>
      <c r="C1925" s="72"/>
      <c r="D1925" s="72"/>
      <c r="E1925" s="71"/>
      <c r="F1925" s="71"/>
      <c r="G1925" s="71"/>
      <c r="H1925" s="71"/>
      <c r="I1925" s="71"/>
      <c r="J1925" s="71"/>
      <c r="K1925" s="71"/>
      <c r="L1925" s="71"/>
      <c r="M1925" s="71"/>
      <c r="N1925" s="71"/>
      <c r="O1925" s="71"/>
      <c r="P1925" s="71"/>
      <c r="Q1925" s="71"/>
      <c r="R1925" s="71"/>
      <c r="S1925" s="71"/>
      <c r="T1925" s="15"/>
      <c r="U1925" s="15"/>
      <c r="V1925" s="15"/>
      <c r="W1925" s="15"/>
    </row>
    <row r="1926">
      <c r="A1926" s="69"/>
      <c r="B1926" s="69"/>
      <c r="C1926" s="70"/>
      <c r="D1926" s="70"/>
      <c r="E1926" s="69"/>
      <c r="F1926" s="69"/>
      <c r="G1926" s="69"/>
      <c r="H1926" s="69"/>
      <c r="I1926" s="69"/>
      <c r="J1926" s="69"/>
      <c r="K1926" s="69"/>
      <c r="L1926" s="69"/>
      <c r="M1926" s="69"/>
      <c r="N1926" s="69"/>
      <c r="O1926" s="69"/>
      <c r="P1926" s="69"/>
      <c r="Q1926" s="69"/>
      <c r="R1926" s="69"/>
      <c r="S1926" s="69"/>
      <c r="T1926" s="15"/>
      <c r="U1926" s="15"/>
      <c r="V1926" s="15"/>
      <c r="W1926" s="15"/>
    </row>
    <row r="1927">
      <c r="A1927" s="71"/>
      <c r="B1927" s="71"/>
      <c r="C1927" s="72"/>
      <c r="D1927" s="72"/>
      <c r="E1927" s="71"/>
      <c r="F1927" s="71"/>
      <c r="G1927" s="71"/>
      <c r="H1927" s="71"/>
      <c r="I1927" s="71"/>
      <c r="J1927" s="71"/>
      <c r="K1927" s="71"/>
      <c r="L1927" s="71"/>
      <c r="M1927" s="71"/>
      <c r="N1927" s="71"/>
      <c r="O1927" s="71"/>
      <c r="P1927" s="71"/>
      <c r="Q1927" s="71"/>
      <c r="R1927" s="71"/>
      <c r="S1927" s="71"/>
      <c r="T1927" s="15"/>
      <c r="U1927" s="15"/>
      <c r="V1927" s="15"/>
      <c r="W1927" s="15"/>
    </row>
    <row r="1928">
      <c r="A1928" s="69"/>
      <c r="B1928" s="69"/>
      <c r="C1928" s="70"/>
      <c r="D1928" s="70"/>
      <c r="E1928" s="69"/>
      <c r="F1928" s="69"/>
      <c r="G1928" s="69"/>
      <c r="H1928" s="69"/>
      <c r="I1928" s="69"/>
      <c r="J1928" s="69"/>
      <c r="K1928" s="69"/>
      <c r="L1928" s="69"/>
      <c r="M1928" s="69"/>
      <c r="N1928" s="69"/>
      <c r="O1928" s="69"/>
      <c r="P1928" s="69"/>
      <c r="Q1928" s="69"/>
      <c r="R1928" s="69"/>
      <c r="S1928" s="69"/>
      <c r="T1928" s="15"/>
      <c r="U1928" s="15"/>
      <c r="V1928" s="15"/>
      <c r="W1928" s="15"/>
    </row>
    <row r="1929">
      <c r="A1929" s="71"/>
      <c r="B1929" s="71"/>
      <c r="C1929" s="72"/>
      <c r="D1929" s="72"/>
      <c r="E1929" s="71"/>
      <c r="F1929" s="71"/>
      <c r="G1929" s="71"/>
      <c r="H1929" s="71"/>
      <c r="I1929" s="71"/>
      <c r="J1929" s="71"/>
      <c r="K1929" s="71"/>
      <c r="L1929" s="71"/>
      <c r="M1929" s="71"/>
      <c r="N1929" s="71"/>
      <c r="O1929" s="71"/>
      <c r="P1929" s="71"/>
      <c r="Q1929" s="71"/>
      <c r="R1929" s="71"/>
      <c r="S1929" s="71"/>
      <c r="T1929" s="15"/>
      <c r="U1929" s="15"/>
      <c r="V1929" s="15"/>
      <c r="W1929" s="15"/>
    </row>
    <row r="1930">
      <c r="A1930" s="69"/>
      <c r="B1930" s="69"/>
      <c r="C1930" s="70"/>
      <c r="D1930" s="70"/>
      <c r="E1930" s="69"/>
      <c r="F1930" s="69"/>
      <c r="G1930" s="69"/>
      <c r="H1930" s="69"/>
      <c r="I1930" s="69"/>
      <c r="J1930" s="69"/>
      <c r="K1930" s="69"/>
      <c r="L1930" s="69"/>
      <c r="M1930" s="69"/>
      <c r="N1930" s="69"/>
      <c r="O1930" s="69"/>
      <c r="P1930" s="69"/>
      <c r="Q1930" s="69"/>
      <c r="R1930" s="69"/>
      <c r="S1930" s="69"/>
      <c r="T1930" s="15"/>
      <c r="U1930" s="15"/>
      <c r="V1930" s="15"/>
      <c r="W1930" s="15"/>
    </row>
    <row r="1931">
      <c r="A1931" s="71"/>
      <c r="B1931" s="71"/>
      <c r="C1931" s="72"/>
      <c r="D1931" s="72"/>
      <c r="E1931" s="71"/>
      <c r="F1931" s="71"/>
      <c r="G1931" s="71"/>
      <c r="H1931" s="71"/>
      <c r="I1931" s="71"/>
      <c r="J1931" s="71"/>
      <c r="K1931" s="71"/>
      <c r="L1931" s="71"/>
      <c r="M1931" s="71"/>
      <c r="N1931" s="71"/>
      <c r="O1931" s="71"/>
      <c r="P1931" s="71"/>
      <c r="Q1931" s="71"/>
      <c r="R1931" s="71"/>
      <c r="S1931" s="71"/>
      <c r="T1931" s="15"/>
      <c r="U1931" s="15"/>
      <c r="V1931" s="15"/>
      <c r="W1931" s="15"/>
    </row>
    <row r="1932">
      <c r="A1932" s="69"/>
      <c r="B1932" s="69"/>
      <c r="C1932" s="70"/>
      <c r="D1932" s="70"/>
      <c r="E1932" s="69"/>
      <c r="F1932" s="69"/>
      <c r="G1932" s="69"/>
      <c r="H1932" s="69"/>
      <c r="I1932" s="69"/>
      <c r="J1932" s="69"/>
      <c r="K1932" s="69"/>
      <c r="L1932" s="69"/>
      <c r="M1932" s="69"/>
      <c r="N1932" s="69"/>
      <c r="O1932" s="69"/>
      <c r="P1932" s="69"/>
      <c r="Q1932" s="69"/>
      <c r="R1932" s="69"/>
      <c r="S1932" s="69"/>
      <c r="T1932" s="15"/>
      <c r="U1932" s="15"/>
      <c r="V1932" s="15"/>
      <c r="W1932" s="15"/>
    </row>
    <row r="1933">
      <c r="A1933" s="71"/>
      <c r="B1933" s="71"/>
      <c r="C1933" s="72"/>
      <c r="D1933" s="72"/>
      <c r="E1933" s="71"/>
      <c r="F1933" s="71"/>
      <c r="G1933" s="71"/>
      <c r="H1933" s="71"/>
      <c r="I1933" s="71"/>
      <c r="J1933" s="71"/>
      <c r="K1933" s="71"/>
      <c r="L1933" s="71"/>
      <c r="M1933" s="71"/>
      <c r="N1933" s="71"/>
      <c r="O1933" s="71"/>
      <c r="P1933" s="71"/>
      <c r="Q1933" s="71"/>
      <c r="R1933" s="71"/>
      <c r="S1933" s="71"/>
      <c r="T1933" s="15"/>
      <c r="U1933" s="15"/>
      <c r="V1933" s="15"/>
      <c r="W1933" s="15"/>
    </row>
    <row r="1934">
      <c r="A1934" s="69"/>
      <c r="B1934" s="69"/>
      <c r="C1934" s="70"/>
      <c r="D1934" s="70"/>
      <c r="E1934" s="69"/>
      <c r="F1934" s="69"/>
      <c r="G1934" s="69"/>
      <c r="H1934" s="69"/>
      <c r="I1934" s="69"/>
      <c r="J1934" s="69"/>
      <c r="K1934" s="69"/>
      <c r="L1934" s="69"/>
      <c r="M1934" s="69"/>
      <c r="N1934" s="69"/>
      <c r="O1934" s="69"/>
      <c r="P1934" s="69"/>
      <c r="Q1934" s="69"/>
      <c r="R1934" s="69"/>
      <c r="S1934" s="69"/>
      <c r="T1934" s="15"/>
      <c r="U1934" s="15"/>
      <c r="V1934" s="15"/>
      <c r="W1934" s="15"/>
    </row>
    <row r="1935">
      <c r="A1935" s="71"/>
      <c r="B1935" s="71"/>
      <c r="C1935" s="72"/>
      <c r="D1935" s="72"/>
      <c r="E1935" s="71"/>
      <c r="F1935" s="71"/>
      <c r="G1935" s="71"/>
      <c r="H1935" s="71"/>
      <c r="I1935" s="71"/>
      <c r="J1935" s="71"/>
      <c r="K1935" s="71"/>
      <c r="L1935" s="71"/>
      <c r="M1935" s="71"/>
      <c r="N1935" s="71"/>
      <c r="O1935" s="71"/>
      <c r="P1935" s="71"/>
      <c r="Q1935" s="71"/>
      <c r="R1935" s="71"/>
      <c r="S1935" s="71"/>
      <c r="T1935" s="15"/>
      <c r="U1935" s="15"/>
      <c r="V1935" s="15"/>
      <c r="W1935" s="15"/>
    </row>
    <row r="1936">
      <c r="A1936" s="69"/>
      <c r="B1936" s="69"/>
      <c r="C1936" s="70"/>
      <c r="D1936" s="70"/>
      <c r="E1936" s="69"/>
      <c r="F1936" s="69"/>
      <c r="G1936" s="69"/>
      <c r="H1936" s="69"/>
      <c r="I1936" s="69"/>
      <c r="J1936" s="69"/>
      <c r="K1936" s="69"/>
      <c r="L1936" s="69"/>
      <c r="M1936" s="69"/>
      <c r="N1936" s="69"/>
      <c r="O1936" s="69"/>
      <c r="P1936" s="69"/>
      <c r="Q1936" s="69"/>
      <c r="R1936" s="69"/>
      <c r="S1936" s="69"/>
      <c r="T1936" s="15"/>
      <c r="U1936" s="15"/>
      <c r="V1936" s="15"/>
      <c r="W1936" s="15"/>
    </row>
    <row r="1937">
      <c r="A1937" s="71"/>
      <c r="B1937" s="71"/>
      <c r="C1937" s="72"/>
      <c r="D1937" s="72"/>
      <c r="E1937" s="71"/>
      <c r="F1937" s="71"/>
      <c r="G1937" s="71"/>
      <c r="H1937" s="71"/>
      <c r="I1937" s="71"/>
      <c r="J1937" s="71"/>
      <c r="K1937" s="71"/>
      <c r="L1937" s="71"/>
      <c r="M1937" s="71"/>
      <c r="N1937" s="71"/>
      <c r="O1937" s="71"/>
      <c r="P1937" s="71"/>
      <c r="Q1937" s="71"/>
      <c r="R1937" s="71"/>
      <c r="S1937" s="71"/>
      <c r="T1937" s="15"/>
      <c r="U1937" s="15"/>
      <c r="V1937" s="15"/>
      <c r="W1937" s="15"/>
    </row>
    <row r="1938">
      <c r="A1938" s="69"/>
      <c r="B1938" s="69"/>
      <c r="C1938" s="70"/>
      <c r="D1938" s="70"/>
      <c r="E1938" s="69"/>
      <c r="F1938" s="69"/>
      <c r="G1938" s="69"/>
      <c r="H1938" s="69"/>
      <c r="I1938" s="69"/>
      <c r="J1938" s="69"/>
      <c r="K1938" s="69"/>
      <c r="L1938" s="69"/>
      <c r="M1938" s="69"/>
      <c r="N1938" s="69"/>
      <c r="O1938" s="69"/>
      <c r="P1938" s="69"/>
      <c r="Q1938" s="69"/>
      <c r="R1938" s="69"/>
      <c r="S1938" s="69"/>
      <c r="T1938" s="15"/>
      <c r="U1938" s="15"/>
      <c r="V1938" s="15"/>
      <c r="W1938" s="15"/>
    </row>
    <row r="1939">
      <c r="A1939" s="71"/>
      <c r="B1939" s="71"/>
      <c r="C1939" s="72"/>
      <c r="D1939" s="72"/>
      <c r="E1939" s="71"/>
      <c r="F1939" s="71"/>
      <c r="G1939" s="71"/>
      <c r="H1939" s="71"/>
      <c r="I1939" s="71"/>
      <c r="J1939" s="71"/>
      <c r="K1939" s="71"/>
      <c r="L1939" s="71"/>
      <c r="M1939" s="71"/>
      <c r="N1939" s="71"/>
      <c r="O1939" s="71"/>
      <c r="P1939" s="71"/>
      <c r="Q1939" s="71"/>
      <c r="R1939" s="71"/>
      <c r="S1939" s="71"/>
      <c r="T1939" s="15"/>
      <c r="U1939" s="15"/>
      <c r="V1939" s="15"/>
      <c r="W1939" s="15"/>
    </row>
    <row r="1940">
      <c r="A1940" s="69"/>
      <c r="B1940" s="69"/>
      <c r="C1940" s="70"/>
      <c r="D1940" s="70"/>
      <c r="E1940" s="69"/>
      <c r="F1940" s="69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69"/>
      <c r="T1940" s="15"/>
      <c r="U1940" s="15"/>
      <c r="V1940" s="15"/>
      <c r="W1940" s="15"/>
    </row>
    <row r="1941">
      <c r="A1941" s="71"/>
      <c r="B1941" s="71"/>
      <c r="C1941" s="72"/>
      <c r="D1941" s="72"/>
      <c r="E1941" s="71"/>
      <c r="F1941" s="71"/>
      <c r="G1941" s="71"/>
      <c r="H1941" s="71"/>
      <c r="I1941" s="71"/>
      <c r="J1941" s="71"/>
      <c r="K1941" s="71"/>
      <c r="L1941" s="71"/>
      <c r="M1941" s="71"/>
      <c r="N1941" s="71"/>
      <c r="O1941" s="71"/>
      <c r="P1941" s="71"/>
      <c r="Q1941" s="71"/>
      <c r="R1941" s="71"/>
      <c r="S1941" s="71"/>
      <c r="T1941" s="15"/>
      <c r="U1941" s="15"/>
      <c r="V1941" s="15"/>
      <c r="W1941" s="15"/>
    </row>
    <row r="1942">
      <c r="A1942" s="69"/>
      <c r="B1942" s="69"/>
      <c r="C1942" s="70"/>
      <c r="D1942" s="70"/>
      <c r="E1942" s="69"/>
      <c r="F1942" s="69"/>
      <c r="G1942" s="69"/>
      <c r="H1942" s="69"/>
      <c r="I1942" s="69"/>
      <c r="J1942" s="69"/>
      <c r="K1942" s="69"/>
      <c r="L1942" s="69"/>
      <c r="M1942" s="69"/>
      <c r="N1942" s="69"/>
      <c r="O1942" s="69"/>
      <c r="P1942" s="69"/>
      <c r="Q1942" s="69"/>
      <c r="R1942" s="69"/>
      <c r="S1942" s="69"/>
      <c r="T1942" s="15"/>
      <c r="U1942" s="15"/>
      <c r="V1942" s="15"/>
      <c r="W1942" s="15"/>
    </row>
    <row r="1943">
      <c r="A1943" s="71"/>
      <c r="B1943" s="71"/>
      <c r="C1943" s="72"/>
      <c r="D1943" s="72"/>
      <c r="E1943" s="71"/>
      <c r="F1943" s="71"/>
      <c r="G1943" s="71"/>
      <c r="H1943" s="71"/>
      <c r="I1943" s="71"/>
      <c r="J1943" s="71"/>
      <c r="K1943" s="71"/>
      <c r="L1943" s="71"/>
      <c r="M1943" s="71"/>
      <c r="N1943" s="71"/>
      <c r="O1943" s="71"/>
      <c r="P1943" s="71"/>
      <c r="Q1943" s="71"/>
      <c r="R1943" s="71"/>
      <c r="S1943" s="71"/>
      <c r="T1943" s="15"/>
      <c r="U1943" s="15"/>
      <c r="V1943" s="15"/>
      <c r="W1943" s="15"/>
    </row>
    <row r="1944">
      <c r="A1944" s="69"/>
      <c r="B1944" s="69"/>
      <c r="C1944" s="70"/>
      <c r="D1944" s="70"/>
      <c r="E1944" s="69"/>
      <c r="F1944" s="69"/>
      <c r="G1944" s="69"/>
      <c r="H1944" s="69"/>
      <c r="I1944" s="69"/>
      <c r="J1944" s="69"/>
      <c r="K1944" s="69"/>
      <c r="L1944" s="69"/>
      <c r="M1944" s="69"/>
      <c r="N1944" s="69"/>
      <c r="O1944" s="69"/>
      <c r="P1944" s="69"/>
      <c r="Q1944" s="69"/>
      <c r="R1944" s="69"/>
      <c r="S1944" s="69"/>
      <c r="T1944" s="15"/>
      <c r="U1944" s="15"/>
      <c r="V1944" s="15"/>
      <c r="W1944" s="15"/>
    </row>
    <row r="1945">
      <c r="A1945" s="71"/>
      <c r="B1945" s="71"/>
      <c r="C1945" s="72"/>
      <c r="D1945" s="72"/>
      <c r="E1945" s="71"/>
      <c r="F1945" s="71"/>
      <c r="G1945" s="71"/>
      <c r="H1945" s="71"/>
      <c r="I1945" s="71"/>
      <c r="J1945" s="71"/>
      <c r="K1945" s="71"/>
      <c r="L1945" s="71"/>
      <c r="M1945" s="71"/>
      <c r="N1945" s="71"/>
      <c r="O1945" s="71"/>
      <c r="P1945" s="71"/>
      <c r="Q1945" s="71"/>
      <c r="R1945" s="71"/>
      <c r="S1945" s="71"/>
      <c r="T1945" s="15"/>
      <c r="U1945" s="15"/>
      <c r="V1945" s="15"/>
      <c r="W1945" s="15"/>
    </row>
    <row r="1946">
      <c r="A1946" s="69"/>
      <c r="B1946" s="69"/>
      <c r="C1946" s="70"/>
      <c r="D1946" s="70"/>
      <c r="E1946" s="69"/>
      <c r="F1946" s="69"/>
      <c r="G1946" s="69"/>
      <c r="H1946" s="69"/>
      <c r="I1946" s="69"/>
      <c r="J1946" s="69"/>
      <c r="K1946" s="69"/>
      <c r="L1946" s="69"/>
      <c r="M1946" s="69"/>
      <c r="N1946" s="69"/>
      <c r="O1946" s="69"/>
      <c r="P1946" s="69"/>
      <c r="Q1946" s="69"/>
      <c r="R1946" s="69"/>
      <c r="S1946" s="69"/>
      <c r="T1946" s="15"/>
      <c r="U1946" s="15"/>
      <c r="V1946" s="15"/>
      <c r="W1946" s="15"/>
    </row>
    <row r="1947">
      <c r="A1947" s="71"/>
      <c r="B1947" s="71"/>
      <c r="C1947" s="72"/>
      <c r="D1947" s="72"/>
      <c r="E1947" s="71"/>
      <c r="F1947" s="71"/>
      <c r="G1947" s="71"/>
      <c r="H1947" s="71"/>
      <c r="I1947" s="71"/>
      <c r="J1947" s="71"/>
      <c r="K1947" s="71"/>
      <c r="L1947" s="71"/>
      <c r="M1947" s="71"/>
      <c r="N1947" s="71"/>
      <c r="O1947" s="71"/>
      <c r="P1947" s="71"/>
      <c r="Q1947" s="71"/>
      <c r="R1947" s="71"/>
      <c r="S1947" s="71"/>
      <c r="T1947" s="15"/>
      <c r="U1947" s="15"/>
      <c r="V1947" s="15"/>
      <c r="W1947" s="15"/>
    </row>
    <row r="1948">
      <c r="A1948" s="69"/>
      <c r="B1948" s="69"/>
      <c r="C1948" s="70"/>
      <c r="D1948" s="70"/>
      <c r="E1948" s="69"/>
      <c r="F1948" s="69"/>
      <c r="G1948" s="69"/>
      <c r="H1948" s="69"/>
      <c r="I1948" s="69"/>
      <c r="J1948" s="69"/>
      <c r="K1948" s="69"/>
      <c r="L1948" s="69"/>
      <c r="M1948" s="69"/>
      <c r="N1948" s="69"/>
      <c r="O1948" s="69"/>
      <c r="P1948" s="69"/>
      <c r="Q1948" s="69"/>
      <c r="R1948" s="69"/>
      <c r="S1948" s="69"/>
      <c r="T1948" s="15"/>
      <c r="U1948" s="15"/>
      <c r="V1948" s="15"/>
      <c r="W1948" s="15"/>
    </row>
    <row r="1949">
      <c r="A1949" s="71"/>
      <c r="B1949" s="71"/>
      <c r="C1949" s="72"/>
      <c r="D1949" s="72"/>
      <c r="E1949" s="71"/>
      <c r="F1949" s="71"/>
      <c r="G1949" s="71"/>
      <c r="H1949" s="71"/>
      <c r="I1949" s="71"/>
      <c r="J1949" s="71"/>
      <c r="K1949" s="71"/>
      <c r="L1949" s="71"/>
      <c r="M1949" s="71"/>
      <c r="N1949" s="71"/>
      <c r="O1949" s="71"/>
      <c r="P1949" s="71"/>
      <c r="Q1949" s="71"/>
      <c r="R1949" s="71"/>
      <c r="S1949" s="71"/>
      <c r="T1949" s="15"/>
      <c r="U1949" s="15"/>
      <c r="V1949" s="15"/>
      <c r="W1949" s="15"/>
    </row>
    <row r="1950">
      <c r="A1950" s="69"/>
      <c r="B1950" s="69"/>
      <c r="C1950" s="70"/>
      <c r="D1950" s="70"/>
      <c r="E1950" s="69"/>
      <c r="F1950" s="69"/>
      <c r="G1950" s="69"/>
      <c r="H1950" s="69"/>
      <c r="I1950" s="69"/>
      <c r="J1950" s="69"/>
      <c r="K1950" s="69"/>
      <c r="L1950" s="69"/>
      <c r="M1950" s="69"/>
      <c r="N1950" s="69"/>
      <c r="O1950" s="69"/>
      <c r="P1950" s="69"/>
      <c r="Q1950" s="69"/>
      <c r="R1950" s="69"/>
      <c r="S1950" s="69"/>
      <c r="T1950" s="15"/>
      <c r="U1950" s="15"/>
      <c r="V1950" s="15"/>
      <c r="W1950" s="15"/>
    </row>
    <row r="1951">
      <c r="A1951" s="71"/>
      <c r="B1951" s="71"/>
      <c r="C1951" s="72"/>
      <c r="D1951" s="72"/>
      <c r="E1951" s="71"/>
      <c r="F1951" s="71"/>
      <c r="G1951" s="71"/>
      <c r="H1951" s="71"/>
      <c r="I1951" s="71"/>
      <c r="J1951" s="71"/>
      <c r="K1951" s="71"/>
      <c r="L1951" s="71"/>
      <c r="M1951" s="71"/>
      <c r="N1951" s="71"/>
      <c r="O1951" s="71"/>
      <c r="P1951" s="71"/>
      <c r="Q1951" s="71"/>
      <c r="R1951" s="71"/>
      <c r="S1951" s="71"/>
      <c r="T1951" s="15"/>
      <c r="U1951" s="15"/>
      <c r="V1951" s="15"/>
      <c r="W1951" s="15"/>
    </row>
    <row r="1952">
      <c r="A1952" s="69"/>
      <c r="B1952" s="69"/>
      <c r="C1952" s="70"/>
      <c r="D1952" s="70"/>
      <c r="E1952" s="69"/>
      <c r="F1952" s="69"/>
      <c r="G1952" s="69"/>
      <c r="H1952" s="69"/>
      <c r="I1952" s="69"/>
      <c r="J1952" s="69"/>
      <c r="K1952" s="69"/>
      <c r="L1952" s="69"/>
      <c r="M1952" s="69"/>
      <c r="N1952" s="69"/>
      <c r="O1952" s="69"/>
      <c r="P1952" s="69"/>
      <c r="Q1952" s="69"/>
      <c r="R1952" s="69"/>
      <c r="S1952" s="69"/>
      <c r="T1952" s="15"/>
      <c r="U1952" s="15"/>
      <c r="V1952" s="15"/>
      <c r="W1952" s="15"/>
    </row>
    <row r="1953">
      <c r="A1953" s="71"/>
      <c r="B1953" s="71"/>
      <c r="C1953" s="72"/>
      <c r="D1953" s="72"/>
      <c r="E1953" s="71"/>
      <c r="F1953" s="71"/>
      <c r="G1953" s="71"/>
      <c r="H1953" s="71"/>
      <c r="I1953" s="71"/>
      <c r="J1953" s="71"/>
      <c r="K1953" s="71"/>
      <c r="L1953" s="71"/>
      <c r="M1953" s="71"/>
      <c r="N1953" s="71"/>
      <c r="O1953" s="71"/>
      <c r="P1953" s="71"/>
      <c r="Q1953" s="71"/>
      <c r="R1953" s="71"/>
      <c r="S1953" s="71"/>
      <c r="T1953" s="15"/>
      <c r="U1953" s="15"/>
      <c r="V1953" s="15"/>
      <c r="W1953" s="15"/>
    </row>
    <row r="1954">
      <c r="A1954" s="69"/>
      <c r="B1954" s="69"/>
      <c r="C1954" s="70"/>
      <c r="D1954" s="70"/>
      <c r="E1954" s="69"/>
      <c r="F1954" s="69"/>
      <c r="G1954" s="69"/>
      <c r="H1954" s="69"/>
      <c r="I1954" s="69"/>
      <c r="J1954" s="69"/>
      <c r="K1954" s="69"/>
      <c r="L1954" s="69"/>
      <c r="M1954" s="69"/>
      <c r="N1954" s="69"/>
      <c r="O1954" s="69"/>
      <c r="P1954" s="69"/>
      <c r="Q1954" s="69"/>
      <c r="R1954" s="69"/>
      <c r="S1954" s="69"/>
      <c r="T1954" s="15"/>
      <c r="U1954" s="15"/>
      <c r="V1954" s="15"/>
      <c r="W1954" s="15"/>
    </row>
    <row r="1955">
      <c r="A1955" s="71"/>
      <c r="B1955" s="71"/>
      <c r="C1955" s="72"/>
      <c r="D1955" s="72"/>
      <c r="E1955" s="71"/>
      <c r="F1955" s="71"/>
      <c r="G1955" s="71"/>
      <c r="H1955" s="71"/>
      <c r="I1955" s="71"/>
      <c r="J1955" s="71"/>
      <c r="K1955" s="71"/>
      <c r="L1955" s="71"/>
      <c r="M1955" s="71"/>
      <c r="N1955" s="71"/>
      <c r="O1955" s="71"/>
      <c r="P1955" s="71"/>
      <c r="Q1955" s="71"/>
      <c r="R1955" s="71"/>
      <c r="S1955" s="71"/>
      <c r="T1955" s="15"/>
      <c r="U1955" s="15"/>
      <c r="V1955" s="15"/>
      <c r="W1955" s="15"/>
    </row>
    <row r="1956">
      <c r="A1956" s="69"/>
      <c r="B1956" s="69"/>
      <c r="C1956" s="70"/>
      <c r="D1956" s="70"/>
      <c r="E1956" s="69"/>
      <c r="F1956" s="69"/>
      <c r="G1956" s="69"/>
      <c r="H1956" s="69"/>
      <c r="I1956" s="69"/>
      <c r="J1956" s="69"/>
      <c r="K1956" s="69"/>
      <c r="L1956" s="69"/>
      <c r="M1956" s="69"/>
      <c r="N1956" s="69"/>
      <c r="O1956" s="69"/>
      <c r="P1956" s="69"/>
      <c r="Q1956" s="69"/>
      <c r="R1956" s="69"/>
      <c r="S1956" s="69"/>
      <c r="T1956" s="15"/>
      <c r="U1956" s="15"/>
      <c r="V1956" s="15"/>
      <c r="W1956" s="15"/>
    </row>
    <row r="1957">
      <c r="A1957" s="71"/>
      <c r="B1957" s="71"/>
      <c r="C1957" s="72"/>
      <c r="D1957" s="72"/>
      <c r="E1957" s="71"/>
      <c r="F1957" s="71"/>
      <c r="G1957" s="71"/>
      <c r="H1957" s="71"/>
      <c r="I1957" s="71"/>
      <c r="J1957" s="71"/>
      <c r="K1957" s="71"/>
      <c r="L1957" s="71"/>
      <c r="M1957" s="71"/>
      <c r="N1957" s="71"/>
      <c r="O1957" s="71"/>
      <c r="P1957" s="71"/>
      <c r="Q1957" s="71"/>
      <c r="R1957" s="71"/>
      <c r="S1957" s="71"/>
      <c r="T1957" s="15"/>
      <c r="U1957" s="15"/>
      <c r="V1957" s="15"/>
      <c r="W1957" s="15"/>
    </row>
    <row r="1958">
      <c r="A1958" s="69"/>
      <c r="B1958" s="69"/>
      <c r="C1958" s="70"/>
      <c r="D1958" s="70"/>
      <c r="E1958" s="69"/>
      <c r="F1958" s="69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69"/>
      <c r="T1958" s="15"/>
      <c r="U1958" s="15"/>
      <c r="V1958" s="15"/>
      <c r="W1958" s="15"/>
    </row>
    <row r="1959">
      <c r="A1959" s="71"/>
      <c r="B1959" s="71"/>
      <c r="C1959" s="72"/>
      <c r="D1959" s="72"/>
      <c r="E1959" s="71"/>
      <c r="F1959" s="71"/>
      <c r="G1959" s="71"/>
      <c r="H1959" s="71"/>
      <c r="I1959" s="71"/>
      <c r="J1959" s="71"/>
      <c r="K1959" s="71"/>
      <c r="L1959" s="71"/>
      <c r="M1959" s="71"/>
      <c r="N1959" s="71"/>
      <c r="O1959" s="71"/>
      <c r="P1959" s="71"/>
      <c r="Q1959" s="71"/>
      <c r="R1959" s="71"/>
      <c r="S1959" s="71"/>
      <c r="T1959" s="15"/>
      <c r="U1959" s="15"/>
      <c r="V1959" s="15"/>
      <c r="W1959" s="15"/>
    </row>
    <row r="1960">
      <c r="A1960" s="69"/>
      <c r="B1960" s="69"/>
      <c r="C1960" s="70"/>
      <c r="D1960" s="70"/>
      <c r="E1960" s="69"/>
      <c r="F1960" s="69"/>
      <c r="G1960" s="69"/>
      <c r="H1960" s="69"/>
      <c r="I1960" s="69"/>
      <c r="J1960" s="69"/>
      <c r="K1960" s="69"/>
      <c r="L1960" s="69"/>
      <c r="M1960" s="69"/>
      <c r="N1960" s="69"/>
      <c r="O1960" s="69"/>
      <c r="P1960" s="69"/>
      <c r="Q1960" s="69"/>
      <c r="R1960" s="69"/>
      <c r="S1960" s="69"/>
      <c r="T1960" s="15"/>
      <c r="U1960" s="15"/>
      <c r="V1960" s="15"/>
      <c r="W1960" s="15"/>
    </row>
    <row r="1961">
      <c r="A1961" s="71"/>
      <c r="B1961" s="71"/>
      <c r="C1961" s="72"/>
      <c r="D1961" s="72"/>
      <c r="E1961" s="71"/>
      <c r="F1961" s="71"/>
      <c r="G1961" s="71"/>
      <c r="H1961" s="71"/>
      <c r="I1961" s="71"/>
      <c r="J1961" s="71"/>
      <c r="K1961" s="71"/>
      <c r="L1961" s="71"/>
      <c r="M1961" s="71"/>
      <c r="N1961" s="71"/>
      <c r="O1961" s="71"/>
      <c r="P1961" s="71"/>
      <c r="Q1961" s="71"/>
      <c r="R1961" s="71"/>
      <c r="S1961" s="71"/>
      <c r="T1961" s="15"/>
      <c r="U1961" s="15"/>
      <c r="V1961" s="15"/>
      <c r="W1961" s="15"/>
    </row>
    <row r="1962">
      <c r="A1962" s="69"/>
      <c r="B1962" s="69"/>
      <c r="C1962" s="70"/>
      <c r="D1962" s="70"/>
      <c r="E1962" s="69"/>
      <c r="F1962" s="69"/>
      <c r="G1962" s="69"/>
      <c r="H1962" s="69"/>
      <c r="I1962" s="69"/>
      <c r="J1962" s="69"/>
      <c r="K1962" s="69"/>
      <c r="L1962" s="69"/>
      <c r="M1962" s="69"/>
      <c r="N1962" s="69"/>
      <c r="O1962" s="69"/>
      <c r="P1962" s="69"/>
      <c r="Q1962" s="69"/>
      <c r="R1962" s="69"/>
      <c r="S1962" s="69"/>
      <c r="T1962" s="15"/>
      <c r="U1962" s="15"/>
      <c r="V1962" s="15"/>
      <c r="W1962" s="15"/>
    </row>
    <row r="1963">
      <c r="A1963" s="71"/>
      <c r="B1963" s="71"/>
      <c r="C1963" s="72"/>
      <c r="D1963" s="72"/>
      <c r="E1963" s="71"/>
      <c r="F1963" s="71"/>
      <c r="G1963" s="71"/>
      <c r="H1963" s="71"/>
      <c r="I1963" s="71"/>
      <c r="J1963" s="71"/>
      <c r="K1963" s="71"/>
      <c r="L1963" s="71"/>
      <c r="M1963" s="71"/>
      <c r="N1963" s="71"/>
      <c r="O1963" s="71"/>
      <c r="P1963" s="71"/>
      <c r="Q1963" s="71"/>
      <c r="R1963" s="71"/>
      <c r="S1963" s="71"/>
      <c r="T1963" s="15"/>
      <c r="U1963" s="15"/>
      <c r="V1963" s="15"/>
      <c r="W1963" s="15"/>
    </row>
    <row r="1964">
      <c r="A1964" s="69"/>
      <c r="B1964" s="69"/>
      <c r="C1964" s="70"/>
      <c r="D1964" s="70"/>
      <c r="E1964" s="69"/>
      <c r="F1964" s="69"/>
      <c r="G1964" s="69"/>
      <c r="H1964" s="69"/>
      <c r="I1964" s="69"/>
      <c r="J1964" s="69"/>
      <c r="K1964" s="69"/>
      <c r="L1964" s="69"/>
      <c r="M1964" s="69"/>
      <c r="N1964" s="69"/>
      <c r="O1964" s="69"/>
      <c r="P1964" s="69"/>
      <c r="Q1964" s="69"/>
      <c r="R1964" s="69"/>
      <c r="S1964" s="69"/>
      <c r="T1964" s="15"/>
      <c r="U1964" s="15"/>
      <c r="V1964" s="15"/>
      <c r="W1964" s="15"/>
    </row>
    <row r="1965">
      <c r="A1965" s="71"/>
      <c r="B1965" s="71"/>
      <c r="C1965" s="72"/>
      <c r="D1965" s="72"/>
      <c r="E1965" s="71"/>
      <c r="F1965" s="71"/>
      <c r="G1965" s="71"/>
      <c r="H1965" s="71"/>
      <c r="I1965" s="71"/>
      <c r="J1965" s="71"/>
      <c r="K1965" s="71"/>
      <c r="L1965" s="71"/>
      <c r="M1965" s="71"/>
      <c r="N1965" s="71"/>
      <c r="O1965" s="71"/>
      <c r="P1965" s="71"/>
      <c r="Q1965" s="71"/>
      <c r="R1965" s="71"/>
      <c r="S1965" s="71"/>
      <c r="T1965" s="15"/>
      <c r="U1965" s="15"/>
      <c r="V1965" s="15"/>
      <c r="W1965" s="15"/>
    </row>
    <row r="1966">
      <c r="A1966" s="69"/>
      <c r="B1966" s="69"/>
      <c r="C1966" s="70"/>
      <c r="D1966" s="70"/>
      <c r="E1966" s="69"/>
      <c r="F1966" s="69"/>
      <c r="G1966" s="69"/>
      <c r="H1966" s="69"/>
      <c r="I1966" s="69"/>
      <c r="J1966" s="69"/>
      <c r="K1966" s="69"/>
      <c r="L1966" s="69"/>
      <c r="M1966" s="69"/>
      <c r="N1966" s="69"/>
      <c r="O1966" s="69"/>
      <c r="P1966" s="69"/>
      <c r="Q1966" s="69"/>
      <c r="R1966" s="69"/>
      <c r="S1966" s="69"/>
      <c r="T1966" s="15"/>
      <c r="U1966" s="15"/>
      <c r="V1966" s="15"/>
      <c r="W1966" s="15"/>
    </row>
    <row r="1967">
      <c r="A1967" s="71"/>
      <c r="B1967" s="71"/>
      <c r="C1967" s="72"/>
      <c r="D1967" s="72"/>
      <c r="E1967" s="71"/>
      <c r="F1967" s="71"/>
      <c r="G1967" s="71"/>
      <c r="H1967" s="71"/>
      <c r="I1967" s="71"/>
      <c r="J1967" s="71"/>
      <c r="K1967" s="71"/>
      <c r="L1967" s="71"/>
      <c r="M1967" s="71"/>
      <c r="N1967" s="71"/>
      <c r="O1967" s="71"/>
      <c r="P1967" s="71"/>
      <c r="Q1967" s="71"/>
      <c r="R1967" s="71"/>
      <c r="S1967" s="71"/>
      <c r="T1967" s="15"/>
      <c r="U1967" s="15"/>
      <c r="V1967" s="15"/>
      <c r="W1967" s="15"/>
    </row>
    <row r="1968">
      <c r="A1968" s="69"/>
      <c r="B1968" s="69"/>
      <c r="C1968" s="70"/>
      <c r="D1968" s="70"/>
      <c r="E1968" s="69"/>
      <c r="F1968" s="69"/>
      <c r="G1968" s="69"/>
      <c r="H1968" s="69"/>
      <c r="I1968" s="69"/>
      <c r="J1968" s="69"/>
      <c r="K1968" s="69"/>
      <c r="L1968" s="69"/>
      <c r="M1968" s="69"/>
      <c r="N1968" s="69"/>
      <c r="O1968" s="69"/>
      <c r="P1968" s="69"/>
      <c r="Q1968" s="69"/>
      <c r="R1968" s="69"/>
      <c r="S1968" s="69"/>
      <c r="T1968" s="15"/>
      <c r="U1968" s="15"/>
      <c r="V1968" s="15"/>
      <c r="W1968" s="15"/>
    </row>
    <row r="1969">
      <c r="A1969" s="71"/>
      <c r="B1969" s="71"/>
      <c r="C1969" s="72"/>
      <c r="D1969" s="72"/>
      <c r="E1969" s="71"/>
      <c r="F1969" s="71"/>
      <c r="G1969" s="71"/>
      <c r="H1969" s="71"/>
      <c r="I1969" s="71"/>
      <c r="J1969" s="71"/>
      <c r="K1969" s="71"/>
      <c r="L1969" s="71"/>
      <c r="M1969" s="71"/>
      <c r="N1969" s="71"/>
      <c r="O1969" s="71"/>
      <c r="P1969" s="71"/>
      <c r="Q1969" s="71"/>
      <c r="R1969" s="71"/>
      <c r="S1969" s="71"/>
      <c r="T1969" s="15"/>
      <c r="U1969" s="15"/>
      <c r="V1969" s="15"/>
      <c r="W1969" s="15"/>
    </row>
    <row r="1970">
      <c r="A1970" s="69"/>
      <c r="B1970" s="69"/>
      <c r="C1970" s="70"/>
      <c r="D1970" s="70"/>
      <c r="E1970" s="69"/>
      <c r="F1970" s="69"/>
      <c r="G1970" s="69"/>
      <c r="H1970" s="69"/>
      <c r="I1970" s="69"/>
      <c r="J1970" s="69"/>
      <c r="K1970" s="69"/>
      <c r="L1970" s="69"/>
      <c r="M1970" s="69"/>
      <c r="N1970" s="69"/>
      <c r="O1970" s="69"/>
      <c r="P1970" s="69"/>
      <c r="Q1970" s="69"/>
      <c r="R1970" s="69"/>
      <c r="S1970" s="69"/>
      <c r="T1970" s="15"/>
      <c r="U1970" s="15"/>
      <c r="V1970" s="15"/>
      <c r="W1970" s="15"/>
    </row>
    <row r="1971">
      <c r="A1971" s="71"/>
      <c r="B1971" s="71"/>
      <c r="C1971" s="72"/>
      <c r="D1971" s="72"/>
      <c r="E1971" s="71"/>
      <c r="F1971" s="71"/>
      <c r="G1971" s="71"/>
      <c r="H1971" s="71"/>
      <c r="I1971" s="71"/>
      <c r="J1971" s="71"/>
      <c r="K1971" s="71"/>
      <c r="L1971" s="71"/>
      <c r="M1971" s="71"/>
      <c r="N1971" s="71"/>
      <c r="O1971" s="71"/>
      <c r="P1971" s="71"/>
      <c r="Q1971" s="71"/>
      <c r="R1971" s="71"/>
      <c r="S1971" s="71"/>
      <c r="T1971" s="15"/>
      <c r="U1971" s="15"/>
      <c r="V1971" s="15"/>
      <c r="W1971" s="15"/>
    </row>
    <row r="1972">
      <c r="A1972" s="69"/>
      <c r="B1972" s="69"/>
      <c r="C1972" s="70"/>
      <c r="D1972" s="70"/>
      <c r="E1972" s="69"/>
      <c r="F1972" s="69"/>
      <c r="G1972" s="69"/>
      <c r="H1972" s="69"/>
      <c r="I1972" s="69"/>
      <c r="J1972" s="69"/>
      <c r="K1972" s="69"/>
      <c r="L1972" s="69"/>
      <c r="M1972" s="69"/>
      <c r="N1972" s="69"/>
      <c r="O1972" s="69"/>
      <c r="P1972" s="69"/>
      <c r="Q1972" s="69"/>
      <c r="R1972" s="69"/>
      <c r="S1972" s="69"/>
      <c r="T1972" s="15"/>
      <c r="U1972" s="15"/>
      <c r="V1972" s="15"/>
      <c r="W1972" s="15"/>
    </row>
    <row r="1973">
      <c r="A1973" s="71"/>
      <c r="B1973" s="71"/>
      <c r="C1973" s="72"/>
      <c r="D1973" s="72"/>
      <c r="E1973" s="71"/>
      <c r="F1973" s="71"/>
      <c r="G1973" s="71"/>
      <c r="H1973" s="71"/>
      <c r="I1973" s="71"/>
      <c r="J1973" s="71"/>
      <c r="K1973" s="71"/>
      <c r="L1973" s="71"/>
      <c r="M1973" s="71"/>
      <c r="N1973" s="71"/>
      <c r="O1973" s="71"/>
      <c r="P1973" s="71"/>
      <c r="Q1973" s="71"/>
      <c r="R1973" s="71"/>
      <c r="S1973" s="71"/>
      <c r="T1973" s="15"/>
      <c r="U1973" s="15"/>
      <c r="V1973" s="15"/>
      <c r="W1973" s="15"/>
    </row>
    <row r="1974">
      <c r="A1974" s="69"/>
      <c r="B1974" s="69"/>
      <c r="C1974" s="70"/>
      <c r="D1974" s="70"/>
      <c r="E1974" s="69"/>
      <c r="F1974" s="69"/>
      <c r="G1974" s="69"/>
      <c r="H1974" s="69"/>
      <c r="I1974" s="69"/>
      <c r="J1974" s="69"/>
      <c r="K1974" s="69"/>
      <c r="L1974" s="69"/>
      <c r="M1974" s="69"/>
      <c r="N1974" s="69"/>
      <c r="O1974" s="69"/>
      <c r="P1974" s="69"/>
      <c r="Q1974" s="69"/>
      <c r="R1974" s="69"/>
      <c r="S1974" s="69"/>
      <c r="T1974" s="15"/>
      <c r="U1974" s="15"/>
      <c r="V1974" s="15"/>
      <c r="W1974" s="15"/>
    </row>
    <row r="1975">
      <c r="A1975" s="71"/>
      <c r="B1975" s="71"/>
      <c r="C1975" s="72"/>
      <c r="D1975" s="72"/>
      <c r="E1975" s="71"/>
      <c r="F1975" s="71"/>
      <c r="G1975" s="71"/>
      <c r="H1975" s="71"/>
      <c r="I1975" s="71"/>
      <c r="J1975" s="71"/>
      <c r="K1975" s="71"/>
      <c r="L1975" s="71"/>
      <c r="M1975" s="71"/>
      <c r="N1975" s="71"/>
      <c r="O1975" s="71"/>
      <c r="P1975" s="71"/>
      <c r="Q1975" s="71"/>
      <c r="R1975" s="71"/>
      <c r="S1975" s="71"/>
      <c r="T1975" s="15"/>
      <c r="U1975" s="15"/>
      <c r="V1975" s="15"/>
      <c r="W1975" s="15"/>
    </row>
    <row r="1976">
      <c r="A1976" s="69"/>
      <c r="B1976" s="69"/>
      <c r="C1976" s="70"/>
      <c r="D1976" s="70"/>
      <c r="E1976" s="69"/>
      <c r="F1976" s="69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69"/>
      <c r="T1976" s="15"/>
      <c r="U1976" s="15"/>
      <c r="V1976" s="15"/>
      <c r="W1976" s="15"/>
    </row>
    <row r="1977">
      <c r="A1977" s="71"/>
      <c r="B1977" s="71"/>
      <c r="C1977" s="72"/>
      <c r="D1977" s="72"/>
      <c r="E1977" s="71"/>
      <c r="F1977" s="71"/>
      <c r="G1977" s="71"/>
      <c r="H1977" s="71"/>
      <c r="I1977" s="71"/>
      <c r="J1977" s="71"/>
      <c r="K1977" s="71"/>
      <c r="L1977" s="71"/>
      <c r="M1977" s="71"/>
      <c r="N1977" s="71"/>
      <c r="O1977" s="71"/>
      <c r="P1977" s="71"/>
      <c r="Q1977" s="71"/>
      <c r="R1977" s="71"/>
      <c r="S1977" s="71"/>
      <c r="T1977" s="15"/>
      <c r="U1977" s="15"/>
      <c r="V1977" s="15"/>
      <c r="W1977" s="15"/>
    </row>
    <row r="1978">
      <c r="A1978" s="69"/>
      <c r="B1978" s="69"/>
      <c r="C1978" s="70"/>
      <c r="D1978" s="70"/>
      <c r="E1978" s="69"/>
      <c r="F1978" s="69"/>
      <c r="G1978" s="69"/>
      <c r="H1978" s="69"/>
      <c r="I1978" s="69"/>
      <c r="J1978" s="69"/>
      <c r="K1978" s="69"/>
      <c r="L1978" s="69"/>
      <c r="M1978" s="69"/>
      <c r="N1978" s="69"/>
      <c r="O1978" s="69"/>
      <c r="P1978" s="69"/>
      <c r="Q1978" s="69"/>
      <c r="R1978" s="69"/>
      <c r="S1978" s="69"/>
      <c r="T1978" s="15"/>
      <c r="U1978" s="15"/>
      <c r="V1978" s="15"/>
      <c r="W1978" s="15"/>
    </row>
    <row r="1979">
      <c r="A1979" s="71"/>
      <c r="B1979" s="71"/>
      <c r="C1979" s="72"/>
      <c r="D1979" s="72"/>
      <c r="E1979" s="71"/>
      <c r="F1979" s="71"/>
      <c r="G1979" s="71"/>
      <c r="H1979" s="71"/>
      <c r="I1979" s="71"/>
      <c r="J1979" s="71"/>
      <c r="K1979" s="71"/>
      <c r="L1979" s="71"/>
      <c r="M1979" s="71"/>
      <c r="N1979" s="71"/>
      <c r="O1979" s="71"/>
      <c r="P1979" s="71"/>
      <c r="Q1979" s="71"/>
      <c r="R1979" s="71"/>
      <c r="S1979" s="71"/>
      <c r="T1979" s="15"/>
      <c r="U1979" s="15"/>
      <c r="V1979" s="15"/>
      <c r="W1979" s="15"/>
    </row>
    <row r="1980">
      <c r="A1980" s="69"/>
      <c r="B1980" s="69"/>
      <c r="C1980" s="70"/>
      <c r="D1980" s="70"/>
      <c r="E1980" s="69"/>
      <c r="F1980" s="69"/>
      <c r="G1980" s="69"/>
      <c r="H1980" s="69"/>
      <c r="I1980" s="69"/>
      <c r="J1980" s="69"/>
      <c r="K1980" s="69"/>
      <c r="L1980" s="69"/>
      <c r="M1980" s="69"/>
      <c r="N1980" s="69"/>
      <c r="O1980" s="69"/>
      <c r="P1980" s="69"/>
      <c r="Q1980" s="69"/>
      <c r="R1980" s="69"/>
      <c r="S1980" s="69"/>
      <c r="T1980" s="15"/>
      <c r="U1980" s="15"/>
      <c r="V1980" s="15"/>
      <c r="W1980" s="15"/>
    </row>
    <row r="1981">
      <c r="A1981" s="71"/>
      <c r="B1981" s="71"/>
      <c r="C1981" s="72"/>
      <c r="D1981" s="72"/>
      <c r="E1981" s="71"/>
      <c r="F1981" s="71"/>
      <c r="G1981" s="71"/>
      <c r="H1981" s="71"/>
      <c r="I1981" s="71"/>
      <c r="J1981" s="71"/>
      <c r="K1981" s="71"/>
      <c r="L1981" s="71"/>
      <c r="M1981" s="71"/>
      <c r="N1981" s="71"/>
      <c r="O1981" s="71"/>
      <c r="P1981" s="71"/>
      <c r="Q1981" s="71"/>
      <c r="R1981" s="71"/>
      <c r="S1981" s="71"/>
      <c r="T1981" s="15"/>
      <c r="U1981" s="15"/>
      <c r="V1981" s="15"/>
      <c r="W1981" s="15"/>
    </row>
    <row r="1982">
      <c r="A1982" s="69"/>
      <c r="B1982" s="69"/>
      <c r="C1982" s="70"/>
      <c r="D1982" s="70"/>
      <c r="E1982" s="69"/>
      <c r="F1982" s="69"/>
      <c r="G1982" s="69"/>
      <c r="H1982" s="69"/>
      <c r="I1982" s="69"/>
      <c r="J1982" s="69"/>
      <c r="K1982" s="69"/>
      <c r="L1982" s="69"/>
      <c r="M1982" s="69"/>
      <c r="N1982" s="69"/>
      <c r="O1982" s="69"/>
      <c r="P1982" s="69"/>
      <c r="Q1982" s="69"/>
      <c r="R1982" s="69"/>
      <c r="S1982" s="69"/>
      <c r="T1982" s="15"/>
      <c r="U1982" s="15"/>
      <c r="V1982" s="15"/>
      <c r="W1982" s="15"/>
    </row>
    <row r="1983">
      <c r="A1983" s="71"/>
      <c r="B1983" s="71"/>
      <c r="C1983" s="72"/>
      <c r="D1983" s="72"/>
      <c r="E1983" s="71"/>
      <c r="F1983" s="71"/>
      <c r="G1983" s="71"/>
      <c r="H1983" s="71"/>
      <c r="I1983" s="71"/>
      <c r="J1983" s="71"/>
      <c r="K1983" s="71"/>
      <c r="L1983" s="71"/>
      <c r="M1983" s="71"/>
      <c r="N1983" s="71"/>
      <c r="O1983" s="71"/>
      <c r="P1983" s="71"/>
      <c r="Q1983" s="71"/>
      <c r="R1983" s="71"/>
      <c r="S1983" s="71"/>
      <c r="T1983" s="15"/>
      <c r="U1983" s="15"/>
      <c r="V1983" s="15"/>
      <c r="W1983" s="15"/>
    </row>
    <row r="1984">
      <c r="A1984" s="69"/>
      <c r="B1984" s="69"/>
      <c r="C1984" s="70"/>
      <c r="D1984" s="70"/>
      <c r="E1984" s="69"/>
      <c r="F1984" s="69"/>
      <c r="G1984" s="69"/>
      <c r="H1984" s="69"/>
      <c r="I1984" s="69"/>
      <c r="J1984" s="69"/>
      <c r="K1984" s="69"/>
      <c r="L1984" s="69"/>
      <c r="M1984" s="69"/>
      <c r="N1984" s="69"/>
      <c r="O1984" s="69"/>
      <c r="P1984" s="69"/>
      <c r="Q1984" s="69"/>
      <c r="R1984" s="69"/>
      <c r="S1984" s="69"/>
      <c r="T1984" s="15"/>
      <c r="U1984" s="15"/>
      <c r="V1984" s="15"/>
      <c r="W1984" s="15"/>
    </row>
    <row r="1985">
      <c r="A1985" s="71"/>
      <c r="B1985" s="71"/>
      <c r="C1985" s="72"/>
      <c r="D1985" s="72"/>
      <c r="E1985" s="71"/>
      <c r="F1985" s="71"/>
      <c r="G1985" s="71"/>
      <c r="H1985" s="71"/>
      <c r="I1985" s="71"/>
      <c r="J1985" s="71"/>
      <c r="K1985" s="71"/>
      <c r="L1985" s="71"/>
      <c r="M1985" s="71"/>
      <c r="N1985" s="71"/>
      <c r="O1985" s="71"/>
      <c r="P1985" s="71"/>
      <c r="Q1985" s="71"/>
      <c r="R1985" s="71"/>
      <c r="S1985" s="71"/>
      <c r="T1985" s="15"/>
      <c r="U1985" s="15"/>
      <c r="V1985" s="15"/>
      <c r="W1985" s="15"/>
    </row>
    <row r="1986">
      <c r="A1986" s="69"/>
      <c r="B1986" s="69"/>
      <c r="C1986" s="70"/>
      <c r="D1986" s="70"/>
      <c r="E1986" s="69"/>
      <c r="F1986" s="69"/>
      <c r="G1986" s="69"/>
      <c r="H1986" s="69"/>
      <c r="I1986" s="69"/>
      <c r="J1986" s="69"/>
      <c r="K1986" s="69"/>
      <c r="L1986" s="69"/>
      <c r="M1986" s="69"/>
      <c r="N1986" s="69"/>
      <c r="O1986" s="69"/>
      <c r="P1986" s="69"/>
      <c r="Q1986" s="69"/>
      <c r="R1986" s="69"/>
      <c r="S1986" s="69"/>
      <c r="T1986" s="15"/>
      <c r="U1986" s="15"/>
      <c r="V1986" s="15"/>
      <c r="W1986" s="15"/>
    </row>
    <row r="1987">
      <c r="A1987" s="71"/>
      <c r="B1987" s="71"/>
      <c r="C1987" s="72"/>
      <c r="D1987" s="72"/>
      <c r="E1987" s="71"/>
      <c r="F1987" s="71"/>
      <c r="G1987" s="71"/>
      <c r="H1987" s="71"/>
      <c r="I1987" s="71"/>
      <c r="J1987" s="71"/>
      <c r="K1987" s="71"/>
      <c r="L1987" s="71"/>
      <c r="M1987" s="71"/>
      <c r="N1987" s="71"/>
      <c r="O1987" s="71"/>
      <c r="P1987" s="71"/>
      <c r="Q1987" s="71"/>
      <c r="R1987" s="71"/>
      <c r="S1987" s="71"/>
      <c r="T1987" s="15"/>
      <c r="U1987" s="15"/>
      <c r="V1987" s="15"/>
      <c r="W1987" s="15"/>
    </row>
    <row r="1988">
      <c r="A1988" s="69"/>
      <c r="B1988" s="69"/>
      <c r="C1988" s="70"/>
      <c r="D1988" s="70"/>
      <c r="E1988" s="69"/>
      <c r="F1988" s="69"/>
      <c r="G1988" s="69"/>
      <c r="H1988" s="69"/>
      <c r="I1988" s="69"/>
      <c r="J1988" s="69"/>
      <c r="K1988" s="69"/>
      <c r="L1988" s="69"/>
      <c r="M1988" s="69"/>
      <c r="N1988" s="69"/>
      <c r="O1988" s="69"/>
      <c r="P1988" s="69"/>
      <c r="Q1988" s="69"/>
      <c r="R1988" s="69"/>
      <c r="S1988" s="69"/>
      <c r="T1988" s="15"/>
      <c r="U1988" s="15"/>
      <c r="V1988" s="15"/>
      <c r="W1988" s="15"/>
    </row>
    <row r="1989">
      <c r="A1989" s="71"/>
      <c r="B1989" s="71"/>
      <c r="C1989" s="72"/>
      <c r="D1989" s="72"/>
      <c r="E1989" s="71"/>
      <c r="F1989" s="71"/>
      <c r="G1989" s="71"/>
      <c r="H1989" s="71"/>
      <c r="I1989" s="71"/>
      <c r="J1989" s="71"/>
      <c r="K1989" s="71"/>
      <c r="L1989" s="71"/>
      <c r="M1989" s="71"/>
      <c r="N1989" s="71"/>
      <c r="O1989" s="71"/>
      <c r="P1989" s="71"/>
      <c r="Q1989" s="71"/>
      <c r="R1989" s="71"/>
      <c r="S1989" s="71"/>
      <c r="T1989" s="15"/>
      <c r="U1989" s="15"/>
      <c r="V1989" s="15"/>
      <c r="W1989" s="15"/>
    </row>
    <row r="1990">
      <c r="A1990" s="69"/>
      <c r="B1990" s="69"/>
      <c r="C1990" s="70"/>
      <c r="D1990" s="70"/>
      <c r="E1990" s="69"/>
      <c r="F1990" s="69"/>
      <c r="G1990" s="69"/>
      <c r="H1990" s="69"/>
      <c r="I1990" s="69"/>
      <c r="J1990" s="69"/>
      <c r="K1990" s="69"/>
      <c r="L1990" s="69"/>
      <c r="M1990" s="69"/>
      <c r="N1990" s="69"/>
      <c r="O1990" s="69"/>
      <c r="P1990" s="69"/>
      <c r="Q1990" s="69"/>
      <c r="R1990" s="69"/>
      <c r="S1990" s="69"/>
      <c r="T1990" s="15"/>
      <c r="U1990" s="15"/>
      <c r="V1990" s="15"/>
      <c r="W1990" s="15"/>
    </row>
    <row r="1991">
      <c r="A1991" s="71"/>
      <c r="B1991" s="71"/>
      <c r="C1991" s="72"/>
      <c r="D1991" s="72"/>
      <c r="E1991" s="71"/>
      <c r="F1991" s="71"/>
      <c r="G1991" s="71"/>
      <c r="H1991" s="71"/>
      <c r="I1991" s="71"/>
      <c r="J1991" s="71"/>
      <c r="K1991" s="71"/>
      <c r="L1991" s="71"/>
      <c r="M1991" s="71"/>
      <c r="N1991" s="71"/>
      <c r="O1991" s="71"/>
      <c r="P1991" s="71"/>
      <c r="Q1991" s="71"/>
      <c r="R1991" s="71"/>
      <c r="S1991" s="71"/>
      <c r="T1991" s="15"/>
      <c r="U1991" s="15"/>
      <c r="V1991" s="15"/>
      <c r="W1991" s="15"/>
    </row>
    <row r="1992">
      <c r="A1992" s="69"/>
      <c r="B1992" s="69"/>
      <c r="C1992" s="70"/>
      <c r="D1992" s="70"/>
      <c r="E1992" s="69"/>
      <c r="F1992" s="69"/>
      <c r="G1992" s="69"/>
      <c r="H1992" s="69"/>
      <c r="I1992" s="69"/>
      <c r="J1992" s="69"/>
      <c r="K1992" s="69"/>
      <c r="L1992" s="69"/>
      <c r="M1992" s="69"/>
      <c r="N1992" s="69"/>
      <c r="O1992" s="69"/>
      <c r="P1992" s="69"/>
      <c r="Q1992" s="69"/>
      <c r="R1992" s="69"/>
      <c r="S1992" s="69"/>
      <c r="T1992" s="15"/>
      <c r="U1992" s="15"/>
      <c r="V1992" s="15"/>
      <c r="W1992" s="15"/>
    </row>
    <row r="1993">
      <c r="A1993" s="71"/>
      <c r="B1993" s="71"/>
      <c r="C1993" s="72"/>
      <c r="D1993" s="72"/>
      <c r="E1993" s="71"/>
      <c r="F1993" s="71"/>
      <c r="G1993" s="71"/>
      <c r="H1993" s="71"/>
      <c r="I1993" s="71"/>
      <c r="J1993" s="71"/>
      <c r="K1993" s="71"/>
      <c r="L1993" s="71"/>
      <c r="M1993" s="71"/>
      <c r="N1993" s="71"/>
      <c r="O1993" s="71"/>
      <c r="P1993" s="71"/>
      <c r="Q1993" s="71"/>
      <c r="R1993" s="71"/>
      <c r="S1993" s="71"/>
      <c r="T1993" s="15"/>
      <c r="U1993" s="15"/>
      <c r="V1993" s="15"/>
      <c r="W1993" s="15"/>
    </row>
    <row r="1994">
      <c r="A1994" s="69"/>
      <c r="B1994" s="69"/>
      <c r="C1994" s="70"/>
      <c r="D1994" s="70"/>
      <c r="E1994" s="69"/>
      <c r="F1994" s="69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69"/>
      <c r="T1994" s="15"/>
      <c r="U1994" s="15"/>
      <c r="V1994" s="15"/>
      <c r="W1994" s="15"/>
    </row>
    <row r="1995">
      <c r="A1995" s="71"/>
      <c r="B1995" s="71"/>
      <c r="C1995" s="72"/>
      <c r="D1995" s="72"/>
      <c r="E1995" s="71"/>
      <c r="F1995" s="71"/>
      <c r="G1995" s="71"/>
      <c r="H1995" s="71"/>
      <c r="I1995" s="71"/>
      <c r="J1995" s="71"/>
      <c r="K1995" s="71"/>
      <c r="L1995" s="71"/>
      <c r="M1995" s="71"/>
      <c r="N1995" s="71"/>
      <c r="O1995" s="71"/>
      <c r="P1995" s="71"/>
      <c r="Q1995" s="71"/>
      <c r="R1995" s="71"/>
      <c r="S1995" s="71"/>
      <c r="T1995" s="15"/>
      <c r="U1995" s="15"/>
      <c r="V1995" s="15"/>
      <c r="W1995" s="15"/>
    </row>
    <row r="1996">
      <c r="A1996" s="69"/>
      <c r="B1996" s="69"/>
      <c r="C1996" s="70"/>
      <c r="D1996" s="70"/>
      <c r="E1996" s="69"/>
      <c r="F1996" s="69"/>
      <c r="G1996" s="69"/>
      <c r="H1996" s="69"/>
      <c r="I1996" s="69"/>
      <c r="J1996" s="69"/>
      <c r="K1996" s="69"/>
      <c r="L1996" s="69"/>
      <c r="M1996" s="69"/>
      <c r="N1996" s="69"/>
      <c r="O1996" s="69"/>
      <c r="P1996" s="69"/>
      <c r="Q1996" s="69"/>
      <c r="R1996" s="69"/>
      <c r="S1996" s="69"/>
      <c r="T1996" s="15"/>
      <c r="U1996" s="15"/>
      <c r="V1996" s="15"/>
      <c r="W1996" s="15"/>
    </row>
    <row r="1997">
      <c r="A1997" s="71"/>
      <c r="B1997" s="71"/>
      <c r="C1997" s="72"/>
      <c r="D1997" s="72"/>
      <c r="E1997" s="71"/>
      <c r="F1997" s="71"/>
      <c r="G1997" s="71"/>
      <c r="H1997" s="71"/>
      <c r="I1997" s="71"/>
      <c r="J1997" s="71"/>
      <c r="K1997" s="71"/>
      <c r="L1997" s="71"/>
      <c r="M1997" s="71"/>
      <c r="N1997" s="71"/>
      <c r="O1997" s="71"/>
      <c r="P1997" s="71"/>
      <c r="Q1997" s="71"/>
      <c r="R1997" s="71"/>
      <c r="S1997" s="71"/>
      <c r="T1997" s="15"/>
      <c r="U1997" s="15"/>
      <c r="V1997" s="15"/>
      <c r="W1997" s="15"/>
    </row>
    <row r="1998">
      <c r="A1998" s="69"/>
      <c r="B1998" s="69"/>
      <c r="C1998" s="70"/>
      <c r="D1998" s="70"/>
      <c r="E1998" s="69"/>
      <c r="F1998" s="69"/>
      <c r="G1998" s="69"/>
      <c r="H1998" s="69"/>
      <c r="I1998" s="69"/>
      <c r="J1998" s="69"/>
      <c r="K1998" s="69"/>
      <c r="L1998" s="69"/>
      <c r="M1998" s="69"/>
      <c r="N1998" s="69"/>
      <c r="O1998" s="69"/>
      <c r="P1998" s="69"/>
      <c r="Q1998" s="69"/>
      <c r="R1998" s="69"/>
      <c r="S1998" s="69"/>
      <c r="T1998" s="15"/>
      <c r="U1998" s="15"/>
      <c r="V1998" s="15"/>
      <c r="W1998" s="15"/>
    </row>
    <row r="1999">
      <c r="A1999" s="71"/>
      <c r="B1999" s="71"/>
      <c r="C1999" s="72"/>
      <c r="D1999" s="72"/>
      <c r="E1999" s="71"/>
      <c r="F1999" s="71"/>
      <c r="G1999" s="71"/>
      <c r="H1999" s="71"/>
      <c r="I1999" s="71"/>
      <c r="J1999" s="71"/>
      <c r="K1999" s="71"/>
      <c r="L1999" s="71"/>
      <c r="M1999" s="71"/>
      <c r="N1999" s="71"/>
      <c r="O1999" s="71"/>
      <c r="P1999" s="71"/>
      <c r="Q1999" s="71"/>
      <c r="R1999" s="71"/>
      <c r="S1999" s="71"/>
      <c r="T1999" s="15"/>
      <c r="U1999" s="15"/>
      <c r="V1999" s="15"/>
      <c r="W1999" s="15"/>
    </row>
    <row r="2000">
      <c r="A2000" s="69"/>
      <c r="B2000" s="69"/>
      <c r="C2000" s="70"/>
      <c r="D2000" s="70"/>
      <c r="E2000" s="69"/>
      <c r="F2000" s="69"/>
      <c r="G2000" s="69"/>
      <c r="H2000" s="69"/>
      <c r="I2000" s="69"/>
      <c r="J2000" s="69"/>
      <c r="K2000" s="69"/>
      <c r="L2000" s="69"/>
      <c r="M2000" s="69"/>
      <c r="N2000" s="69"/>
      <c r="O2000" s="69"/>
      <c r="P2000" s="69"/>
      <c r="Q2000" s="69"/>
      <c r="R2000" s="69"/>
      <c r="S2000" s="69"/>
      <c r="T2000" s="15"/>
      <c r="U2000" s="15"/>
      <c r="V2000" s="15"/>
      <c r="W2000" s="15"/>
    </row>
  </sheetData>
  <autoFilter ref="$D$1:$D$2000"/>
  <mergeCells count="2">
    <mergeCell ref="G2:I2"/>
    <mergeCell ref="J2:L2"/>
  </mergeCells>
  <conditionalFormatting sqref="G2:G2000">
    <cfRule type="cellIs" dxfId="3" priority="1" stopIfTrue="1" operator="lessThanOrEqual">
      <formula>2500</formula>
    </cfRule>
  </conditionalFormatting>
  <conditionalFormatting sqref="G2:G2000">
    <cfRule type="cellIs" dxfId="4" priority="2" stopIfTrue="1" operator="greaterThan">
      <formula>4000</formula>
    </cfRule>
  </conditionalFormatting>
  <conditionalFormatting sqref="G2:G2000">
    <cfRule type="cellIs" dxfId="5" priority="3" stopIfTrue="1" operator="between">
      <formula>2500</formula>
      <formula>4000</formula>
    </cfRule>
  </conditionalFormatting>
  <conditionalFormatting sqref="J2:J2000">
    <cfRule type="cellIs" dxfId="3" priority="4" stopIfTrue="1" operator="lessThanOrEqual">
      <formula>2500</formula>
    </cfRule>
  </conditionalFormatting>
  <conditionalFormatting sqref="J2:J2000">
    <cfRule type="cellIs" dxfId="4" priority="5" stopIfTrue="1" operator="greaterThan">
      <formula>4000</formula>
    </cfRule>
  </conditionalFormatting>
  <conditionalFormatting sqref="J2:J2000">
    <cfRule type="cellIs" dxfId="5" priority="6" stopIfTrue="1" operator="between">
      <formula>2500</formula>
      <formula>4000</formula>
    </cfRule>
  </conditionalFormatting>
  <conditionalFormatting sqref="H2:H2000">
    <cfRule type="cellIs" dxfId="3" priority="7" stopIfTrue="1" operator="lessThanOrEqual">
      <formula>120</formula>
    </cfRule>
  </conditionalFormatting>
  <conditionalFormatting sqref="H2:H2000">
    <cfRule type="cellIs" dxfId="4" priority="8" stopIfTrue="1" operator="greaterThan">
      <formula>500</formula>
    </cfRule>
  </conditionalFormatting>
  <conditionalFormatting sqref="H2:H2000">
    <cfRule type="cellIs" dxfId="5" priority="9" stopIfTrue="1" operator="between">
      <formula>120</formula>
      <formula>500</formula>
    </cfRule>
  </conditionalFormatting>
  <conditionalFormatting sqref="K2:K2000">
    <cfRule type="cellIs" dxfId="3" priority="10" stopIfTrue="1" operator="lessThanOrEqual">
      <formula>120</formula>
    </cfRule>
  </conditionalFormatting>
  <conditionalFormatting sqref="K2:K2000">
    <cfRule type="cellIs" dxfId="4" priority="11" stopIfTrue="1" operator="greaterThan">
      <formula>500</formula>
    </cfRule>
  </conditionalFormatting>
  <conditionalFormatting sqref="K2:K2000">
    <cfRule type="cellIs" dxfId="5" priority="12" stopIfTrue="1" operator="between">
      <formula>120</formula>
      <formula>500</formula>
    </cfRule>
  </conditionalFormatting>
  <conditionalFormatting sqref="I2:I2000">
    <cfRule type="cellIs" dxfId="3" priority="13" stopIfTrue="1" operator="lessThanOrEqual">
      <formula>0.12</formula>
    </cfRule>
  </conditionalFormatting>
  <conditionalFormatting sqref="I2:I2000">
    <cfRule type="cellIs" dxfId="4" priority="14" stopIfTrue="1" operator="greaterThan">
      <formula>0.25</formula>
    </cfRule>
  </conditionalFormatting>
  <conditionalFormatting sqref="I2:I2000">
    <cfRule type="cellIs" dxfId="5" priority="15" stopIfTrue="1" operator="between">
      <formula>0.12</formula>
      <formula>0.25</formula>
    </cfRule>
  </conditionalFormatting>
  <conditionalFormatting sqref="L2:L2000">
    <cfRule type="cellIs" dxfId="3" priority="16" stopIfTrue="1" operator="lessThanOrEqual">
      <formula>0.12</formula>
    </cfRule>
  </conditionalFormatting>
  <conditionalFormatting sqref="L2:L2000">
    <cfRule type="cellIs" dxfId="4" priority="17" stopIfTrue="1" operator="greaterThan">
      <formula>0.25</formula>
    </cfRule>
  </conditionalFormatting>
  <conditionalFormatting sqref="L2:L2000">
    <cfRule type="cellIs" dxfId="5" priority="18" stopIfTrue="1" operator="between">
      <formula>0.12</formula>
      <formula>0.25</formula>
    </cfRule>
  </conditionalFormatting>
  <conditionalFormatting sqref="F2:F2000">
    <cfRule type="cellIs" dxfId="4" priority="19" stopIfTrue="1" operator="lessThan">
      <formula>50</formula>
    </cfRule>
  </conditionalFormatting>
  <conditionalFormatting sqref="F2:F2000">
    <cfRule type="cellIs" dxfId="3" priority="20" stopIfTrue="1" operator="greaterThanOrEqual">
      <formula>90</formula>
    </cfRule>
  </conditionalFormatting>
  <conditionalFormatting sqref="F2:F2000">
    <cfRule type="cellIs" dxfId="5" priority="21" stopIfTrue="1" operator="between">
      <formula>50</formula>
      <formula>90</formula>
    </cfRule>
  </conditionalFormatting>
  <conditionalFormatting sqref="O2:O2000">
    <cfRule type="cellIs" dxfId="3" priority="22" stopIfTrue="1" operator="lessThanOrEqual">
      <formula>200</formula>
    </cfRule>
  </conditionalFormatting>
  <conditionalFormatting sqref="O2:O2000">
    <cfRule type="cellIs" dxfId="4" priority="23" stopIfTrue="1" operator="greaterThan">
      <formula>500</formula>
    </cfRule>
  </conditionalFormatting>
  <conditionalFormatting sqref="O2:O2000">
    <cfRule type="cellIs" dxfId="5" priority="24" stopIfTrue="1" operator="between">
      <formula>200</formula>
      <formula>500</formula>
    </cfRule>
  </conditionalFormatting>
  <conditionalFormatting sqref="N2:N2000">
    <cfRule type="cellIs" dxfId="3" priority="25" stopIfTrue="1" operator="lessThanOrEqual">
      <formula>1800</formula>
    </cfRule>
  </conditionalFormatting>
  <conditionalFormatting sqref="N2:N2000">
    <cfRule type="cellIs" dxfId="4" priority="26" stopIfTrue="1" operator="greaterThan">
      <formula>3000</formula>
    </cfRule>
  </conditionalFormatting>
  <conditionalFormatting sqref="N2:N2000">
    <cfRule type="cellIs" dxfId="5" priority="27" stopIfTrue="1" operator="between">
      <formula>1800</formula>
      <formula>3000</formula>
    </cfRule>
  </conditionalFormatting>
  <conditionalFormatting sqref="P2:P2000">
    <cfRule type="cellIs" dxfId="3" priority="28" stopIfTrue="1" operator="lessThanOrEqual">
      <formula>3400</formula>
    </cfRule>
  </conditionalFormatting>
  <conditionalFormatting sqref="P2:P2000">
    <cfRule type="cellIs" dxfId="4" priority="29" stopIfTrue="1" operator="greaterThan">
      <formula>5800</formula>
    </cfRule>
  </conditionalFormatting>
  <conditionalFormatting sqref="P2:P2000">
    <cfRule type="cellIs" dxfId="5" priority="30" stopIfTrue="1" operator="between">
      <formula>3400</formula>
      <formula>5800</formula>
    </cfRule>
  </conditionalFormatting>
  <conditionalFormatting sqref="Q2:Q2000">
    <cfRule type="cellIs" dxfId="3" priority="31" stopIfTrue="1" operator="lessThanOrEqual">
      <formula>3800</formula>
    </cfRule>
  </conditionalFormatting>
  <conditionalFormatting sqref="Q2:Q2000">
    <cfRule type="cellIs" dxfId="4" priority="32" stopIfTrue="1" operator="greaterThan">
      <formula>7300</formula>
    </cfRule>
  </conditionalFormatting>
  <conditionalFormatting sqref="Q2:Q2000">
    <cfRule type="cellIs" dxfId="5" priority="33" stopIfTrue="1" operator="between">
      <formula>3800</formula>
      <formula>7300</formula>
    </cfRule>
  </conditionalFormatting>
  <conditionalFormatting sqref="M2:M2000">
    <cfRule type="cellIs" dxfId="3" priority="34" stopIfTrue="1" operator="lessThanOrEqual">
      <formula>800</formula>
    </cfRule>
  </conditionalFormatting>
  <conditionalFormatting sqref="M2:M2000">
    <cfRule type="cellIs" dxfId="4" priority="35" stopIfTrue="1" operator="greaterThan">
      <formula>1800</formula>
    </cfRule>
  </conditionalFormatting>
  <conditionalFormatting sqref="M2:M2000">
    <cfRule type="cellIs" dxfId="5" priority="36" stopIfTrue="1" operator="between">
      <formula>800</formula>
      <formula>1800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0.75"/>
    <col customWidth="1" min="3" max="3" width="18.25"/>
    <col customWidth="1" min="4" max="4" width="11.38"/>
    <col customWidth="1" min="5" max="5" width="10.5"/>
    <col customWidth="1" min="6" max="6" width="7.63"/>
    <col customWidth="1" min="7" max="8" width="7.0"/>
    <col customWidth="1" min="9" max="9" width="7.63"/>
    <col customWidth="1" min="10" max="11" width="7.0"/>
    <col customWidth="1" min="12" max="13" width="7.63"/>
    <col customWidth="1" min="14" max="14" width="10.75"/>
    <col customWidth="1" min="15" max="16" width="8.88"/>
    <col customWidth="1" min="17" max="17" width="14.5"/>
    <col customWidth="1" min="18" max="18" width="18.25"/>
    <col customWidth="1" min="19" max="19" width="17.63"/>
    <col customWidth="1" hidden="1" min="20" max="23" width="17.63"/>
  </cols>
  <sheetData>
    <row r="1" ht="21.0" hidden="1" customHeight="1">
      <c r="A1" s="49" t="s">
        <v>0</v>
      </c>
      <c r="B1" s="49" t="s">
        <v>146</v>
      </c>
      <c r="C1" s="1" t="s">
        <v>2</v>
      </c>
      <c r="D1" s="49" t="s">
        <v>3</v>
      </c>
      <c r="E1" s="49" t="s">
        <v>4</v>
      </c>
      <c r="F1" s="49" t="s">
        <v>139</v>
      </c>
      <c r="G1" s="49" t="s">
        <v>5</v>
      </c>
      <c r="H1" s="49" t="s">
        <v>7</v>
      </c>
      <c r="I1" s="49" t="s">
        <v>8</v>
      </c>
      <c r="J1" s="49" t="s">
        <v>147</v>
      </c>
      <c r="K1" s="49" t="s">
        <v>148</v>
      </c>
      <c r="L1" s="49" t="s">
        <v>149</v>
      </c>
      <c r="M1" s="49" t="s">
        <v>150</v>
      </c>
      <c r="N1" s="49" t="s">
        <v>6</v>
      </c>
      <c r="O1" s="49" t="s">
        <v>151</v>
      </c>
      <c r="P1" s="49" t="s">
        <v>152</v>
      </c>
      <c r="Q1" s="49" t="s">
        <v>13</v>
      </c>
      <c r="R1" s="49" t="s">
        <v>14</v>
      </c>
      <c r="S1" s="49" t="s">
        <v>15</v>
      </c>
      <c r="T1" s="30" t="s">
        <v>1</v>
      </c>
      <c r="U1" s="30" t="s">
        <v>153</v>
      </c>
      <c r="V1" s="30" t="s">
        <v>154</v>
      </c>
      <c r="W1" s="30" t="s">
        <v>155</v>
      </c>
    </row>
    <row r="2">
      <c r="A2" s="50"/>
      <c r="B2" s="50"/>
      <c r="C2" s="3" t="s">
        <v>18</v>
      </c>
      <c r="D2" s="50"/>
      <c r="E2" s="50"/>
      <c r="F2" s="51" t="s">
        <v>156</v>
      </c>
      <c r="G2" s="51" t="s">
        <v>157</v>
      </c>
      <c r="J2" s="51" t="s">
        <v>158</v>
      </c>
      <c r="M2" s="51" t="s">
        <v>159</v>
      </c>
      <c r="N2" s="51" t="s">
        <v>160</v>
      </c>
      <c r="O2" s="51" t="s">
        <v>161</v>
      </c>
      <c r="P2" s="51" t="s">
        <v>162</v>
      </c>
      <c r="Q2" s="51" t="s">
        <v>23</v>
      </c>
      <c r="R2" s="50"/>
      <c r="S2" s="50"/>
      <c r="T2" s="15"/>
      <c r="U2" s="15"/>
      <c r="V2" s="15"/>
      <c r="W2" s="15"/>
    </row>
    <row r="3">
      <c r="A3" s="51" t="s">
        <v>16</v>
      </c>
      <c r="B3" s="51" t="s">
        <v>257</v>
      </c>
      <c r="C3" s="3" t="s">
        <v>26</v>
      </c>
      <c r="D3" s="51" t="s">
        <v>19</v>
      </c>
      <c r="E3" s="51" t="s">
        <v>20</v>
      </c>
      <c r="F3" s="51" t="s">
        <v>164</v>
      </c>
      <c r="G3" s="52" t="s">
        <v>5</v>
      </c>
      <c r="H3" s="52" t="s">
        <v>7</v>
      </c>
      <c r="I3" s="52" t="s">
        <v>8</v>
      </c>
      <c r="J3" s="53" t="s">
        <v>140</v>
      </c>
      <c r="K3" s="53" t="s">
        <v>141</v>
      </c>
      <c r="L3" s="53" t="s">
        <v>142</v>
      </c>
      <c r="M3" s="51" t="s">
        <v>150</v>
      </c>
      <c r="N3" s="51" t="s">
        <v>6</v>
      </c>
      <c r="O3" s="51" t="s">
        <v>165</v>
      </c>
      <c r="P3" s="51" t="s">
        <v>152</v>
      </c>
      <c r="Q3" s="51" t="s">
        <v>13</v>
      </c>
      <c r="R3" s="51" t="s">
        <v>14</v>
      </c>
      <c r="S3" s="51" t="s">
        <v>15</v>
      </c>
      <c r="T3" s="15"/>
      <c r="U3" s="15"/>
      <c r="V3" s="15"/>
      <c r="W3" s="15"/>
    </row>
    <row r="4">
      <c r="A4" s="54">
        <v>46100.0</v>
      </c>
      <c r="B4" s="7" t="s">
        <v>166</v>
      </c>
      <c r="C4" s="8" t="s">
        <v>45</v>
      </c>
      <c r="D4" s="9" t="str">
        <f>HYPERLINK("https://t.vrporn.com/", "main")</f>
        <v>main</v>
      </c>
      <c r="E4" s="7" t="s">
        <v>34</v>
      </c>
      <c r="F4" s="10">
        <v>81.0</v>
      </c>
      <c r="G4" s="10">
        <v>2.36</v>
      </c>
      <c r="H4" s="10">
        <v>166.0</v>
      </c>
      <c r="I4" s="10">
        <v>2.0E-4</v>
      </c>
      <c r="J4" s="10">
        <v>2.46</v>
      </c>
      <c r="K4" s="10">
        <v>172.0</v>
      </c>
      <c r="L4" s="10">
        <v>2.0E-4</v>
      </c>
      <c r="M4" s="10">
        <v>90.0</v>
      </c>
      <c r="N4" s="10">
        <v>1802.0</v>
      </c>
      <c r="O4" s="10">
        <v>2582.0</v>
      </c>
      <c r="P4" s="10">
        <v>2642.0</v>
      </c>
      <c r="Q4" s="10">
        <v>515.0</v>
      </c>
      <c r="R4" s="7" t="s">
        <v>130</v>
      </c>
      <c r="S4" s="7" t="s">
        <v>38</v>
      </c>
      <c r="T4" s="57" t="s">
        <v>168</v>
      </c>
      <c r="U4" s="57" t="s">
        <v>50</v>
      </c>
      <c r="V4" s="57" t="s">
        <v>169</v>
      </c>
      <c r="W4" s="57">
        <v>5.0</v>
      </c>
    </row>
    <row r="5">
      <c r="A5" s="54">
        <v>46100.0</v>
      </c>
      <c r="B5" s="7" t="s">
        <v>166</v>
      </c>
      <c r="C5" s="8" t="s">
        <v>45</v>
      </c>
      <c r="D5" s="9" t="str">
        <f>HYPERLINK("https://t.vrporn.com/pornstars/?sort=latest", "models")</f>
        <v>models</v>
      </c>
      <c r="E5" s="7" t="s">
        <v>34</v>
      </c>
      <c r="F5" s="10">
        <v>90.0</v>
      </c>
      <c r="G5" s="10">
        <v>1.48</v>
      </c>
      <c r="H5" s="10">
        <v>83.0</v>
      </c>
      <c r="I5" s="10">
        <v>2.0E-4</v>
      </c>
      <c r="J5" s="10">
        <v>1.68</v>
      </c>
      <c r="K5" s="10">
        <v>86.0</v>
      </c>
      <c r="L5" s="10">
        <v>2.0E-4</v>
      </c>
      <c r="M5" s="10">
        <v>22.0</v>
      </c>
      <c r="N5" s="10">
        <v>1240.0</v>
      </c>
      <c r="O5" s="10">
        <v>2099.0</v>
      </c>
      <c r="P5" s="10">
        <v>1520.0</v>
      </c>
      <c r="Q5" s="10">
        <v>382.0</v>
      </c>
      <c r="R5" s="7" t="s">
        <v>130</v>
      </c>
      <c r="S5" s="7" t="s">
        <v>38</v>
      </c>
      <c r="T5" s="57" t="s">
        <v>168</v>
      </c>
      <c r="U5" s="57" t="s">
        <v>50</v>
      </c>
      <c r="V5" s="57" t="s">
        <v>169</v>
      </c>
      <c r="W5" s="57">
        <v>5.0</v>
      </c>
    </row>
    <row r="6">
      <c r="A6" s="54">
        <v>46100.0</v>
      </c>
      <c r="B6" s="7" t="s">
        <v>166</v>
      </c>
      <c r="C6" s="8" t="s">
        <v>45</v>
      </c>
      <c r="D6" s="9" t="str">
        <f>HYPERLINK("https://t.vrporn.com/categories/", "categories")</f>
        <v>categories</v>
      </c>
      <c r="E6" s="7" t="s">
        <v>34</v>
      </c>
      <c r="F6" s="10">
        <v>90.0</v>
      </c>
      <c r="G6" s="10">
        <v>1.46</v>
      </c>
      <c r="H6" s="10">
        <v>67.0</v>
      </c>
      <c r="I6" s="10">
        <v>2.0E-4</v>
      </c>
      <c r="J6" s="10">
        <v>1.5</v>
      </c>
      <c r="K6" s="10">
        <v>67.0</v>
      </c>
      <c r="L6" s="10">
        <v>2.0E-4</v>
      </c>
      <c r="M6" s="10">
        <v>10.0</v>
      </c>
      <c r="N6" s="10">
        <v>1178.0</v>
      </c>
      <c r="O6" s="10">
        <v>1957.0</v>
      </c>
      <c r="P6" s="10">
        <v>1470.0</v>
      </c>
      <c r="Q6" s="10">
        <v>307.0</v>
      </c>
      <c r="R6" s="7" t="s">
        <v>130</v>
      </c>
      <c r="S6" s="7" t="s">
        <v>38</v>
      </c>
      <c r="T6" s="57" t="s">
        <v>168</v>
      </c>
      <c r="U6" s="57" t="s">
        <v>50</v>
      </c>
      <c r="V6" s="57" t="s">
        <v>169</v>
      </c>
      <c r="W6" s="57">
        <v>5.0</v>
      </c>
    </row>
    <row r="7">
      <c r="A7" s="54">
        <v>46100.0</v>
      </c>
      <c r="B7" s="7" t="s">
        <v>166</v>
      </c>
      <c r="C7" s="8" t="s">
        <v>45</v>
      </c>
      <c r="D7" s="9" t="str">
        <f>HYPERLINK("https://t.vrporn.com/tag/anal/", "s_category")</f>
        <v>s_category</v>
      </c>
      <c r="E7" s="7" t="s">
        <v>34</v>
      </c>
      <c r="F7" s="10">
        <v>90.0</v>
      </c>
      <c r="G7" s="10">
        <v>1.48</v>
      </c>
      <c r="H7" s="10">
        <v>73.0</v>
      </c>
      <c r="I7" s="10">
        <v>2.0E-4</v>
      </c>
      <c r="J7" s="10">
        <v>1.52</v>
      </c>
      <c r="K7" s="10">
        <v>76.0</v>
      </c>
      <c r="L7" s="10">
        <v>2.0E-4</v>
      </c>
      <c r="M7" s="10">
        <v>12.0</v>
      </c>
      <c r="N7" s="10">
        <v>1267.0</v>
      </c>
      <c r="O7" s="10">
        <v>2014.0</v>
      </c>
      <c r="P7" s="10">
        <v>1508.0</v>
      </c>
      <c r="Q7" s="10">
        <v>350.0</v>
      </c>
      <c r="R7" s="7" t="s">
        <v>130</v>
      </c>
      <c r="S7" s="7" t="s">
        <v>38</v>
      </c>
      <c r="T7" s="57" t="s">
        <v>168</v>
      </c>
      <c r="U7" s="57" t="s">
        <v>50</v>
      </c>
      <c r="V7" s="57" t="s">
        <v>169</v>
      </c>
      <c r="W7" s="57">
        <v>5.0</v>
      </c>
    </row>
    <row r="8">
      <c r="A8" s="54">
        <v>46100.0</v>
      </c>
      <c r="B8" s="7" t="s">
        <v>166</v>
      </c>
      <c r="C8" s="8" t="s">
        <v>45</v>
      </c>
      <c r="D8" s="9" t="str">
        <f>HYPERLINK("https://t.vrporn.com/camgirls/", "dreams")</f>
        <v>dreams</v>
      </c>
      <c r="E8" s="7" t="s">
        <v>34</v>
      </c>
      <c r="F8" s="10">
        <v>81.0</v>
      </c>
      <c r="G8" s="10">
        <v>1.79</v>
      </c>
      <c r="H8" s="10">
        <v>178.0</v>
      </c>
      <c r="I8" s="10">
        <v>2.0E-4</v>
      </c>
      <c r="J8" s="10">
        <v>1.95</v>
      </c>
      <c r="K8" s="10">
        <v>203.0</v>
      </c>
      <c r="L8" s="10">
        <v>2.0E-4</v>
      </c>
      <c r="M8" s="10">
        <v>178.0</v>
      </c>
      <c r="N8" s="10">
        <v>1281.0</v>
      </c>
      <c r="O8" s="10">
        <v>2746.0</v>
      </c>
      <c r="P8" s="10">
        <v>3209.0</v>
      </c>
      <c r="Q8" s="10">
        <v>902.0</v>
      </c>
      <c r="R8" s="7" t="s">
        <v>130</v>
      </c>
      <c r="S8" s="7" t="s">
        <v>38</v>
      </c>
      <c r="T8" s="57" t="s">
        <v>168</v>
      </c>
      <c r="U8" s="57" t="s">
        <v>50</v>
      </c>
      <c r="V8" s="57" t="s">
        <v>169</v>
      </c>
      <c r="W8" s="57">
        <v>5.0</v>
      </c>
    </row>
    <row r="9">
      <c r="A9" s="54">
        <v>46100.0</v>
      </c>
      <c r="B9" s="7" t="s">
        <v>166</v>
      </c>
      <c r="C9" s="8" t="s">
        <v>45</v>
      </c>
      <c r="D9" s="9" t="str">
        <f>HYPERLINK("https://t.vrporn.com/camgirls/model-vrporn/", "s_dream")</f>
        <v>s_dream</v>
      </c>
      <c r="E9" s="7" t="s">
        <v>34</v>
      </c>
      <c r="F9" s="10">
        <v>70.0</v>
      </c>
      <c r="G9" s="10">
        <v>3.0</v>
      </c>
      <c r="H9" s="10">
        <v>197.0</v>
      </c>
      <c r="I9" s="10">
        <v>2.0E-4</v>
      </c>
      <c r="J9" s="10">
        <v>3.06</v>
      </c>
      <c r="K9" s="10">
        <v>217.0</v>
      </c>
      <c r="L9" s="10">
        <v>2.0E-4</v>
      </c>
      <c r="M9" s="10">
        <v>167.0</v>
      </c>
      <c r="N9" s="10">
        <v>2534.0</v>
      </c>
      <c r="O9" s="10">
        <v>3879.0</v>
      </c>
      <c r="P9" s="10">
        <v>3559.0</v>
      </c>
      <c r="Q9" s="10">
        <v>1146.0</v>
      </c>
      <c r="R9" s="7" t="s">
        <v>130</v>
      </c>
      <c r="S9" s="7" t="s">
        <v>38</v>
      </c>
      <c r="T9" s="57" t="s">
        <v>168</v>
      </c>
      <c r="U9" s="57" t="s">
        <v>50</v>
      </c>
      <c r="V9" s="57" t="s">
        <v>169</v>
      </c>
      <c r="W9" s="57">
        <v>5.0</v>
      </c>
    </row>
    <row r="10">
      <c r="A10" s="54">
        <v>46100.0</v>
      </c>
      <c r="B10" s="7" t="s">
        <v>166</v>
      </c>
      <c r="C10" s="8" t="s">
        <v>45</v>
      </c>
      <c r="D10" s="9" t="str">
        <f>HYPERLINK("https://t.vrporn.com/", "main")</f>
        <v>main</v>
      </c>
      <c r="E10" s="7" t="s">
        <v>35</v>
      </c>
      <c r="F10" s="10">
        <v>57.0</v>
      </c>
      <c r="G10" s="10">
        <v>5.48</v>
      </c>
      <c r="H10" s="10">
        <v>548.0</v>
      </c>
      <c r="I10" s="10">
        <v>0.0039</v>
      </c>
      <c r="J10" s="10">
        <v>5.62</v>
      </c>
      <c r="K10" s="10">
        <v>549.0</v>
      </c>
      <c r="L10" s="10">
        <v>0.0039</v>
      </c>
      <c r="M10" s="10">
        <v>575.0</v>
      </c>
      <c r="N10" s="10">
        <v>4484.0</v>
      </c>
      <c r="O10" s="10">
        <v>5774.0</v>
      </c>
      <c r="P10" s="10">
        <v>7701.0</v>
      </c>
      <c r="Q10" s="10">
        <v>515.0</v>
      </c>
      <c r="R10" s="7" t="s">
        <v>130</v>
      </c>
      <c r="S10" s="7" t="s">
        <v>38</v>
      </c>
      <c r="T10" s="57" t="s">
        <v>168</v>
      </c>
      <c r="U10" s="57" t="s">
        <v>50</v>
      </c>
      <c r="V10" s="57" t="s">
        <v>169</v>
      </c>
      <c r="W10" s="57">
        <v>5.0</v>
      </c>
    </row>
    <row r="11">
      <c r="A11" s="54">
        <v>46100.0</v>
      </c>
      <c r="B11" s="7" t="s">
        <v>166</v>
      </c>
      <c r="C11" s="8" t="s">
        <v>45</v>
      </c>
      <c r="D11" s="9" t="str">
        <f>HYPERLINK("https://t.vrporn.com/pornstars/?sort=latest", "models")</f>
        <v>models</v>
      </c>
      <c r="E11" s="7" t="s">
        <v>35</v>
      </c>
      <c r="F11" s="10">
        <v>60.0</v>
      </c>
      <c r="G11" s="10">
        <v>4.79</v>
      </c>
      <c r="H11" s="10">
        <v>259.0</v>
      </c>
      <c r="I11" s="10">
        <v>0.0039</v>
      </c>
      <c r="J11" s="10">
        <v>4.83</v>
      </c>
      <c r="K11" s="10">
        <v>261.0</v>
      </c>
      <c r="L11" s="10">
        <v>0.0039</v>
      </c>
      <c r="M11" s="10">
        <v>530.0</v>
      </c>
      <c r="N11" s="10">
        <v>3834.0</v>
      </c>
      <c r="O11" s="10">
        <v>5203.0</v>
      </c>
      <c r="P11" s="10">
        <v>6389.0</v>
      </c>
      <c r="Q11" s="10">
        <v>402.0</v>
      </c>
      <c r="R11" s="7" t="s">
        <v>130</v>
      </c>
      <c r="S11" s="7" t="s">
        <v>38</v>
      </c>
      <c r="T11" s="57" t="s">
        <v>168</v>
      </c>
      <c r="U11" s="57" t="s">
        <v>50</v>
      </c>
      <c r="V11" s="57" t="s">
        <v>169</v>
      </c>
      <c r="W11" s="57">
        <v>5.0</v>
      </c>
    </row>
    <row r="12">
      <c r="A12" s="54">
        <v>46100.0</v>
      </c>
      <c r="B12" s="7" t="s">
        <v>166</v>
      </c>
      <c r="C12" s="8" t="s">
        <v>45</v>
      </c>
      <c r="D12" s="9" t="str">
        <f>HYPERLINK("https://t.vrporn.com/categories/", "categories")</f>
        <v>categories</v>
      </c>
      <c r="E12" s="7" t="s">
        <v>35</v>
      </c>
      <c r="F12" s="10">
        <v>63.0</v>
      </c>
      <c r="G12" s="10">
        <v>4.77</v>
      </c>
      <c r="H12" s="10">
        <v>257.0</v>
      </c>
      <c r="I12" s="10">
        <v>0.0039</v>
      </c>
      <c r="J12" s="10">
        <v>4.78</v>
      </c>
      <c r="K12" s="10">
        <v>261.0</v>
      </c>
      <c r="L12" s="10">
        <v>0.0039</v>
      </c>
      <c r="M12" s="10">
        <v>426.0</v>
      </c>
      <c r="N12" s="10">
        <v>3759.0</v>
      </c>
      <c r="O12" s="10">
        <v>5038.0</v>
      </c>
      <c r="P12" s="10">
        <v>6752.0</v>
      </c>
      <c r="Q12" s="10">
        <v>321.0</v>
      </c>
      <c r="R12" s="7" t="s">
        <v>130</v>
      </c>
      <c r="S12" s="7" t="s">
        <v>38</v>
      </c>
      <c r="T12" s="57" t="s">
        <v>168</v>
      </c>
      <c r="U12" s="57" t="s">
        <v>50</v>
      </c>
      <c r="V12" s="57" t="s">
        <v>169</v>
      </c>
      <c r="W12" s="57">
        <v>5.0</v>
      </c>
    </row>
    <row r="13">
      <c r="A13" s="54">
        <v>46100.0</v>
      </c>
      <c r="B13" s="7" t="s">
        <v>166</v>
      </c>
      <c r="C13" s="8" t="s">
        <v>45</v>
      </c>
      <c r="D13" s="9" t="str">
        <f>HYPERLINK("https://t.vrporn.com/tag/anal/", "s_category")</f>
        <v>s_category</v>
      </c>
      <c r="E13" s="7" t="s">
        <v>35</v>
      </c>
      <c r="F13" s="10">
        <v>56.0</v>
      </c>
      <c r="G13" s="10">
        <v>4.83</v>
      </c>
      <c r="H13" s="10">
        <v>343.0</v>
      </c>
      <c r="I13" s="10">
        <v>0.0039</v>
      </c>
      <c r="J13" s="10">
        <v>4.85</v>
      </c>
      <c r="K13" s="10">
        <v>349.0</v>
      </c>
      <c r="L13" s="10">
        <v>0.0039</v>
      </c>
      <c r="M13" s="10">
        <v>670.0</v>
      </c>
      <c r="N13" s="10">
        <v>3814.0</v>
      </c>
      <c r="O13" s="10">
        <v>5023.0</v>
      </c>
      <c r="P13" s="10">
        <v>6814.0</v>
      </c>
      <c r="Q13" s="10">
        <v>346.0</v>
      </c>
      <c r="R13" s="7" t="s">
        <v>130</v>
      </c>
      <c r="S13" s="7" t="s">
        <v>38</v>
      </c>
      <c r="T13" s="57" t="s">
        <v>168</v>
      </c>
      <c r="U13" s="57" t="s">
        <v>50</v>
      </c>
      <c r="V13" s="57" t="s">
        <v>169</v>
      </c>
      <c r="W13" s="57">
        <v>5.0</v>
      </c>
    </row>
    <row r="14">
      <c r="A14" s="54">
        <v>46100.0</v>
      </c>
      <c r="B14" s="7" t="s">
        <v>166</v>
      </c>
      <c r="C14" s="8" t="s">
        <v>45</v>
      </c>
      <c r="D14" s="9" t="str">
        <f>HYPERLINK("https://t.vrporn.com/camgirls/", "dreams")</f>
        <v>dreams</v>
      </c>
      <c r="E14" s="7" t="s">
        <v>35</v>
      </c>
      <c r="F14" s="10">
        <v>42.0</v>
      </c>
      <c r="G14" s="10">
        <v>5.31</v>
      </c>
      <c r="H14" s="10">
        <v>734.0</v>
      </c>
      <c r="I14" s="10">
        <v>0.0039</v>
      </c>
      <c r="J14" s="10">
        <v>5.43</v>
      </c>
      <c r="K14" s="10">
        <v>746.0</v>
      </c>
      <c r="L14" s="10">
        <v>0.0039</v>
      </c>
      <c r="M14" s="10">
        <v>1382.0</v>
      </c>
      <c r="N14" s="10">
        <v>3995.0</v>
      </c>
      <c r="O14" s="10">
        <v>6595.0</v>
      </c>
      <c r="P14" s="10">
        <v>11263.0</v>
      </c>
      <c r="Q14" s="10">
        <v>890.0</v>
      </c>
      <c r="R14" s="7" t="s">
        <v>130</v>
      </c>
      <c r="S14" s="7" t="s">
        <v>38</v>
      </c>
      <c r="T14" s="57" t="s">
        <v>168</v>
      </c>
      <c r="U14" s="57" t="s">
        <v>50</v>
      </c>
      <c r="V14" s="57" t="s">
        <v>169</v>
      </c>
      <c r="W14" s="57">
        <v>5.0</v>
      </c>
    </row>
    <row r="15">
      <c r="A15" s="54">
        <v>46100.0</v>
      </c>
      <c r="B15" s="7" t="s">
        <v>166</v>
      </c>
      <c r="C15" s="8" t="s">
        <v>45</v>
      </c>
      <c r="D15" s="9" t="str">
        <f>HYPERLINK("https://t.vrporn.com/camgirls/model-vrporn/", "s_dream")</f>
        <v>s_dream</v>
      </c>
      <c r="E15" s="7" t="s">
        <v>35</v>
      </c>
      <c r="F15" s="10">
        <v>49.0</v>
      </c>
      <c r="G15" s="10">
        <v>10.7</v>
      </c>
      <c r="H15" s="10">
        <v>381.0</v>
      </c>
      <c r="I15" s="10">
        <v>0.0039</v>
      </c>
      <c r="J15" s="10">
        <v>10.84</v>
      </c>
      <c r="K15" s="10">
        <v>412.0</v>
      </c>
      <c r="L15" s="10">
        <v>0.0039</v>
      </c>
      <c r="M15" s="10">
        <v>382.0</v>
      </c>
      <c r="N15" s="10">
        <v>9470.0</v>
      </c>
      <c r="O15" s="10">
        <v>9470.0</v>
      </c>
      <c r="P15" s="10">
        <v>13247.0</v>
      </c>
      <c r="Q15" s="10">
        <v>1152.0</v>
      </c>
      <c r="R15" s="7" t="s">
        <v>130</v>
      </c>
      <c r="S15" s="7" t="s">
        <v>38</v>
      </c>
      <c r="T15" s="57" t="s">
        <v>168</v>
      </c>
      <c r="U15" s="57" t="s">
        <v>50</v>
      </c>
      <c r="V15" s="57" t="s">
        <v>169</v>
      </c>
      <c r="W15" s="57">
        <v>5.0</v>
      </c>
    </row>
    <row r="16">
      <c r="A16" s="54">
        <v>46101.0</v>
      </c>
      <c r="B16" s="7" t="s">
        <v>166</v>
      </c>
      <c r="C16" s="8" t="s">
        <v>45</v>
      </c>
      <c r="D16" s="9" t="str">
        <f t="shared" ref="D16:D18" si="1">HYPERLINK("https://t.vrporn.com/", "main")</f>
        <v>main</v>
      </c>
      <c r="E16" s="7" t="s">
        <v>35</v>
      </c>
      <c r="F16" s="10">
        <v>56.0</v>
      </c>
      <c r="G16" s="10">
        <v>5140.0</v>
      </c>
      <c r="H16" s="10">
        <v>553.0</v>
      </c>
      <c r="I16" s="10">
        <v>0.0039</v>
      </c>
      <c r="J16" s="10">
        <v>5175.0</v>
      </c>
      <c r="K16" s="10">
        <v>606.0</v>
      </c>
      <c r="L16" s="10">
        <v>0.0039</v>
      </c>
      <c r="M16" s="10">
        <v>511.0</v>
      </c>
      <c r="N16" s="10">
        <v>3837.0</v>
      </c>
      <c r="O16" s="10">
        <v>5513.0</v>
      </c>
      <c r="P16" s="10">
        <v>7153.0</v>
      </c>
      <c r="Q16" s="10">
        <v>481.0</v>
      </c>
      <c r="R16" s="7" t="s">
        <v>132</v>
      </c>
      <c r="S16" s="7" t="s">
        <v>38</v>
      </c>
      <c r="T16" s="57" t="s">
        <v>168</v>
      </c>
      <c r="U16" s="57" t="s">
        <v>50</v>
      </c>
      <c r="V16" s="57" t="s">
        <v>169</v>
      </c>
      <c r="W16" s="57">
        <v>5.0</v>
      </c>
    </row>
    <row r="17">
      <c r="A17" s="54">
        <v>46101.0</v>
      </c>
      <c r="B17" s="7" t="s">
        <v>166</v>
      </c>
      <c r="C17" s="8" t="s">
        <v>45</v>
      </c>
      <c r="D17" s="9" t="str">
        <f t="shared" si="1"/>
        <v>main</v>
      </c>
      <c r="E17" s="7" t="s">
        <v>34</v>
      </c>
      <c r="F17" s="10">
        <v>87.0</v>
      </c>
      <c r="G17" s="10">
        <v>1719.0</v>
      </c>
      <c r="H17" s="10">
        <v>160.0</v>
      </c>
      <c r="I17" s="10">
        <v>2.0E-4</v>
      </c>
      <c r="J17" s="10">
        <v>1789.0</v>
      </c>
      <c r="K17" s="10">
        <v>174.0</v>
      </c>
      <c r="L17" s="10">
        <v>2.0E-4</v>
      </c>
      <c r="M17" s="10">
        <v>60.0</v>
      </c>
      <c r="N17" s="10">
        <v>1264.0</v>
      </c>
      <c r="O17" s="10">
        <v>2381.0</v>
      </c>
      <c r="P17" s="10">
        <v>2015.0</v>
      </c>
      <c r="Q17" s="10">
        <v>495.0</v>
      </c>
      <c r="R17" s="7" t="s">
        <v>132</v>
      </c>
      <c r="S17" s="7" t="s">
        <v>38</v>
      </c>
      <c r="T17" s="57" t="s">
        <v>168</v>
      </c>
      <c r="U17" s="57" t="s">
        <v>50</v>
      </c>
      <c r="V17" s="57" t="s">
        <v>169</v>
      </c>
      <c r="W17" s="57">
        <v>5.0</v>
      </c>
    </row>
    <row r="18">
      <c r="A18" s="54">
        <v>46101.0</v>
      </c>
      <c r="B18" s="7" t="s">
        <v>225</v>
      </c>
      <c r="C18" s="8" t="s">
        <v>45</v>
      </c>
      <c r="D18" s="9" t="str">
        <f t="shared" si="1"/>
        <v>main</v>
      </c>
      <c r="E18" s="7" t="s">
        <v>35</v>
      </c>
      <c r="F18" s="10">
        <v>43.0</v>
      </c>
      <c r="G18" s="10">
        <v>6710.0</v>
      </c>
      <c r="H18" s="10">
        <v>1948.0</v>
      </c>
      <c r="I18" s="10">
        <v>0.0039</v>
      </c>
      <c r="J18" s="10">
        <v>6801.0</v>
      </c>
      <c r="K18" s="10">
        <v>2051.0</v>
      </c>
      <c r="L18" s="10">
        <v>0.0039</v>
      </c>
      <c r="M18" s="10">
        <v>1262.0</v>
      </c>
      <c r="N18" s="10">
        <v>4288.0</v>
      </c>
      <c r="O18" s="10">
        <v>6463.0</v>
      </c>
      <c r="P18" s="10">
        <v>9447.0</v>
      </c>
      <c r="Q18" s="10">
        <v>410.0</v>
      </c>
      <c r="R18" s="7" t="s">
        <v>132</v>
      </c>
      <c r="S18" s="7" t="s">
        <v>38</v>
      </c>
      <c r="T18" s="57" t="s">
        <v>168</v>
      </c>
      <c r="U18" s="57" t="s">
        <v>50</v>
      </c>
      <c r="V18" s="57" t="s">
        <v>169</v>
      </c>
      <c r="W18" s="59">
        <v>10.0</v>
      </c>
    </row>
    <row r="19">
      <c r="A19" s="54">
        <v>46101.0</v>
      </c>
      <c r="B19" s="7" t="s">
        <v>225</v>
      </c>
      <c r="C19" s="8" t="s">
        <v>45</v>
      </c>
      <c r="D19" s="9" t="str">
        <f>HYPERLINK("https://t.vrporn.com/pornstars/?sort=latest", "models")</f>
        <v>models</v>
      </c>
      <c r="E19" s="7" t="s">
        <v>35</v>
      </c>
      <c r="F19" s="10">
        <v>46.0</v>
      </c>
      <c r="G19" s="10">
        <v>4932.0</v>
      </c>
      <c r="H19" s="10">
        <v>1007.0</v>
      </c>
      <c r="I19" s="10">
        <v>0.0039</v>
      </c>
      <c r="J19" s="10">
        <v>5385.0</v>
      </c>
      <c r="K19" s="10">
        <v>1095.0</v>
      </c>
      <c r="L19" s="10">
        <v>0.0039</v>
      </c>
      <c r="M19" s="10">
        <v>1668.0</v>
      </c>
      <c r="N19" s="10">
        <v>3796.0</v>
      </c>
      <c r="O19" s="10">
        <v>6510.0</v>
      </c>
      <c r="P19" s="10">
        <v>7286.0</v>
      </c>
      <c r="Q19" s="10">
        <v>332.0</v>
      </c>
      <c r="R19" s="7" t="s">
        <v>132</v>
      </c>
      <c r="S19" s="7" t="s">
        <v>38</v>
      </c>
      <c r="T19" s="57" t="s">
        <v>168</v>
      </c>
      <c r="U19" s="57" t="s">
        <v>50</v>
      </c>
      <c r="V19" s="57" t="s">
        <v>169</v>
      </c>
      <c r="W19" s="59">
        <v>10.0</v>
      </c>
    </row>
    <row r="20">
      <c r="A20" s="54">
        <v>46101.0</v>
      </c>
      <c r="B20" s="7" t="s">
        <v>225</v>
      </c>
      <c r="C20" s="8" t="s">
        <v>45</v>
      </c>
      <c r="D20" s="9" t="str">
        <f>HYPERLINK("https://t.vrporn.com/categories/", "categories")</f>
        <v>categories</v>
      </c>
      <c r="E20" s="7" t="s">
        <v>35</v>
      </c>
      <c r="F20" s="10">
        <v>42.0</v>
      </c>
      <c r="G20" s="10">
        <v>5506.0</v>
      </c>
      <c r="H20" s="10">
        <v>1191.0</v>
      </c>
      <c r="I20" s="10">
        <v>0.0039</v>
      </c>
      <c r="J20" s="10">
        <v>6495.0</v>
      </c>
      <c r="K20" s="10">
        <v>1283.0</v>
      </c>
      <c r="L20" s="10">
        <v>0.0039</v>
      </c>
      <c r="M20" s="10">
        <v>1518.0</v>
      </c>
      <c r="N20" s="10">
        <v>4292.0</v>
      </c>
      <c r="O20" s="10">
        <v>7491.0</v>
      </c>
      <c r="P20" s="10">
        <v>8700.0</v>
      </c>
      <c r="Q20" s="10">
        <v>445.0</v>
      </c>
      <c r="R20" s="7" t="s">
        <v>132</v>
      </c>
      <c r="S20" s="7" t="s">
        <v>38</v>
      </c>
      <c r="T20" s="57" t="s">
        <v>168</v>
      </c>
      <c r="U20" s="57" t="s">
        <v>50</v>
      </c>
      <c r="V20" s="57" t="s">
        <v>169</v>
      </c>
      <c r="W20" s="59">
        <v>10.0</v>
      </c>
    </row>
    <row r="21">
      <c r="A21" s="54">
        <v>46101.0</v>
      </c>
      <c r="B21" s="7" t="s">
        <v>225</v>
      </c>
      <c r="C21" s="8" t="s">
        <v>45</v>
      </c>
      <c r="D21" s="9" t="str">
        <f t="shared" ref="D21:D23" si="2">HYPERLINK("https://t.vrporn.com/", "main")</f>
        <v>main</v>
      </c>
      <c r="E21" s="7" t="s">
        <v>35</v>
      </c>
      <c r="F21" s="10">
        <v>31.0</v>
      </c>
      <c r="G21" s="10">
        <v>8753.0</v>
      </c>
      <c r="H21" s="10">
        <v>2531.0</v>
      </c>
      <c r="I21" s="10">
        <v>0.0039</v>
      </c>
      <c r="J21" s="10">
        <v>8753.0</v>
      </c>
      <c r="K21" s="10">
        <v>2531.0</v>
      </c>
      <c r="L21" s="10">
        <v>0.0039</v>
      </c>
      <c r="M21" s="10">
        <v>1864.0</v>
      </c>
      <c r="N21" s="10">
        <v>5677.0</v>
      </c>
      <c r="O21" s="10">
        <v>7993.0</v>
      </c>
      <c r="P21" s="10">
        <v>11410.0</v>
      </c>
      <c r="Q21" s="10">
        <v>467.0</v>
      </c>
      <c r="R21" s="7" t="s">
        <v>132</v>
      </c>
      <c r="S21" s="7" t="s">
        <v>38</v>
      </c>
      <c r="T21" s="57" t="s">
        <v>168</v>
      </c>
      <c r="U21" s="57" t="s">
        <v>50</v>
      </c>
      <c r="V21" s="57" t="s">
        <v>169</v>
      </c>
      <c r="W21" s="59">
        <v>10.0</v>
      </c>
    </row>
    <row r="22">
      <c r="A22" s="54">
        <v>46101.0</v>
      </c>
      <c r="B22" s="7" t="s">
        <v>225</v>
      </c>
      <c r="C22" s="8" t="s">
        <v>45</v>
      </c>
      <c r="D22" s="9" t="str">
        <f t="shared" si="2"/>
        <v>main</v>
      </c>
      <c r="E22" s="7" t="s">
        <v>34</v>
      </c>
      <c r="F22" s="10">
        <v>73.0</v>
      </c>
      <c r="G22" s="10">
        <v>2033.0</v>
      </c>
      <c r="H22" s="10">
        <v>516.0</v>
      </c>
      <c r="I22" s="10">
        <v>2.0E-4</v>
      </c>
      <c r="J22" s="10">
        <v>2033.0</v>
      </c>
      <c r="K22" s="10">
        <v>516.0</v>
      </c>
      <c r="L22" s="10">
        <v>2.0E-4</v>
      </c>
      <c r="M22" s="10">
        <v>243.0</v>
      </c>
      <c r="N22" s="10">
        <v>1291.0</v>
      </c>
      <c r="O22" s="10">
        <v>2392.0</v>
      </c>
      <c r="P22" s="10">
        <v>2629.0</v>
      </c>
      <c r="Q22" s="10">
        <v>424.0</v>
      </c>
      <c r="R22" s="7" t="s">
        <v>132</v>
      </c>
      <c r="S22" s="7" t="s">
        <v>38</v>
      </c>
      <c r="T22" s="57" t="s">
        <v>168</v>
      </c>
      <c r="U22" s="57" t="s">
        <v>50</v>
      </c>
      <c r="V22" s="57" t="s">
        <v>169</v>
      </c>
      <c r="W22" s="59">
        <v>10.0</v>
      </c>
    </row>
    <row r="23">
      <c r="A23" s="54">
        <v>46101.0</v>
      </c>
      <c r="B23" s="7" t="s">
        <v>225</v>
      </c>
      <c r="C23" s="8" t="s">
        <v>45</v>
      </c>
      <c r="D23" s="9" t="str">
        <f t="shared" si="2"/>
        <v>main</v>
      </c>
      <c r="E23" s="7" t="s">
        <v>34</v>
      </c>
      <c r="F23" s="10">
        <v>82.0</v>
      </c>
      <c r="G23" s="10">
        <v>1997.0</v>
      </c>
      <c r="H23" s="10">
        <v>393.0</v>
      </c>
      <c r="I23" s="10">
        <v>2.0E-4</v>
      </c>
      <c r="J23" s="10">
        <v>2097.0</v>
      </c>
      <c r="K23" s="10">
        <v>443.0</v>
      </c>
      <c r="L23" s="10">
        <v>2.0E-4</v>
      </c>
      <c r="M23" s="10">
        <v>172.0</v>
      </c>
      <c r="N23" s="10">
        <v>1206.0</v>
      </c>
      <c r="O23" s="10">
        <v>2413.0</v>
      </c>
      <c r="P23" s="10">
        <v>2303.0</v>
      </c>
      <c r="Q23" s="10">
        <v>434.0</v>
      </c>
      <c r="R23" s="7" t="s">
        <v>132</v>
      </c>
      <c r="S23" s="7" t="s">
        <v>38</v>
      </c>
      <c r="T23" s="57" t="s">
        <v>168</v>
      </c>
      <c r="U23" s="57" t="s">
        <v>50</v>
      </c>
      <c r="V23" s="57" t="s">
        <v>169</v>
      </c>
      <c r="W23" s="59">
        <v>10.0</v>
      </c>
    </row>
    <row r="24">
      <c r="A24" s="54">
        <v>46101.0</v>
      </c>
      <c r="B24" s="7" t="s">
        <v>225</v>
      </c>
      <c r="C24" s="8" t="s">
        <v>45</v>
      </c>
      <c r="D24" s="9" t="str">
        <f>HYPERLINK("https://t.vrporn.com/categories/", "categories")</f>
        <v>categories</v>
      </c>
      <c r="E24" s="7" t="s">
        <v>34</v>
      </c>
      <c r="F24" s="10">
        <v>86.0</v>
      </c>
      <c r="G24" s="10">
        <v>1634.0</v>
      </c>
      <c r="H24" s="10">
        <v>190.0</v>
      </c>
      <c r="I24" s="10">
        <v>2.0E-4</v>
      </c>
      <c r="J24" s="10">
        <v>1685.0</v>
      </c>
      <c r="K24" s="10">
        <v>229.0</v>
      </c>
      <c r="L24" s="10">
        <v>2.0E-4</v>
      </c>
      <c r="M24" s="10">
        <v>153.0</v>
      </c>
      <c r="N24" s="10">
        <v>1268.0</v>
      </c>
      <c r="O24" s="10">
        <v>2124.0</v>
      </c>
      <c r="P24" s="10">
        <v>1824.0</v>
      </c>
      <c r="Q24" s="10">
        <v>304.0</v>
      </c>
      <c r="R24" s="7" t="s">
        <v>132</v>
      </c>
      <c r="S24" s="7" t="s">
        <v>38</v>
      </c>
      <c r="T24" s="57" t="s">
        <v>168</v>
      </c>
      <c r="U24" s="57" t="s">
        <v>50</v>
      </c>
      <c r="V24" s="57" t="s">
        <v>169</v>
      </c>
      <c r="W24" s="59">
        <v>10.0</v>
      </c>
    </row>
    <row r="25">
      <c r="A25" s="54">
        <v>46101.0</v>
      </c>
      <c r="B25" s="7" t="s">
        <v>225</v>
      </c>
      <c r="C25" s="8" t="s">
        <v>45</v>
      </c>
      <c r="D25" s="9" t="str">
        <f>HYPERLINK("https://t.vrporn.com/camgirls/", "dreams")</f>
        <v>dreams</v>
      </c>
      <c r="E25" s="7" t="s">
        <v>34</v>
      </c>
      <c r="F25" s="10">
        <v>65.0</v>
      </c>
      <c r="G25" s="10">
        <v>2281.0</v>
      </c>
      <c r="H25" s="10">
        <v>278.0</v>
      </c>
      <c r="I25" s="10">
        <v>2.0E-4</v>
      </c>
      <c r="J25" s="10">
        <v>2737.0</v>
      </c>
      <c r="K25" s="10">
        <v>313.0</v>
      </c>
      <c r="L25" s="10">
        <v>2.0E-4</v>
      </c>
      <c r="M25" s="10">
        <v>350.0</v>
      </c>
      <c r="N25" s="10">
        <v>1761.0</v>
      </c>
      <c r="O25" s="10">
        <v>3352.0</v>
      </c>
      <c r="P25" s="10">
        <v>3899.0</v>
      </c>
      <c r="Q25" s="10">
        <v>953.0</v>
      </c>
      <c r="R25" s="7" t="s">
        <v>132</v>
      </c>
      <c r="S25" s="7" t="s">
        <v>38</v>
      </c>
      <c r="T25" s="57" t="s">
        <v>168</v>
      </c>
      <c r="U25" s="57" t="s">
        <v>50</v>
      </c>
      <c r="V25" s="57" t="s">
        <v>169</v>
      </c>
      <c r="W25" s="59">
        <v>10.0</v>
      </c>
    </row>
    <row r="26">
      <c r="A26" s="54">
        <v>46101.0</v>
      </c>
      <c r="B26" s="7" t="s">
        <v>225</v>
      </c>
      <c r="C26" s="8" t="s">
        <v>45</v>
      </c>
      <c r="D26" s="9" t="str">
        <f>HYPERLINK("https://t.vrporn.com/camgirls/model-vrporn/", "s_dream")</f>
        <v>s_dream</v>
      </c>
      <c r="E26" s="7" t="s">
        <v>34</v>
      </c>
      <c r="F26" s="10">
        <v>62.0</v>
      </c>
      <c r="G26" s="10">
        <v>2631.0</v>
      </c>
      <c r="H26" s="10">
        <v>277.0</v>
      </c>
      <c r="I26" s="10">
        <v>2.0E-4</v>
      </c>
      <c r="J26" s="10">
        <v>2688.0</v>
      </c>
      <c r="K26" s="10">
        <v>295.0</v>
      </c>
      <c r="L26" s="10">
        <v>2.0E-4</v>
      </c>
      <c r="M26" s="10">
        <v>420.0</v>
      </c>
      <c r="N26" s="10">
        <v>2219.0</v>
      </c>
      <c r="O26" s="10">
        <v>3691.0</v>
      </c>
      <c r="P26" s="10">
        <v>3633.0</v>
      </c>
      <c r="Q26" s="10">
        <v>1272.0</v>
      </c>
      <c r="R26" s="7" t="s">
        <v>132</v>
      </c>
      <c r="S26" s="7" t="s">
        <v>38</v>
      </c>
      <c r="T26" s="57" t="s">
        <v>168</v>
      </c>
      <c r="U26" s="57" t="s">
        <v>50</v>
      </c>
      <c r="V26" s="57" t="s">
        <v>169</v>
      </c>
      <c r="W26" s="59">
        <v>10.0</v>
      </c>
    </row>
    <row r="27">
      <c r="A27" s="54">
        <v>46101.0</v>
      </c>
      <c r="B27" s="7" t="s">
        <v>225</v>
      </c>
      <c r="C27" s="8" t="s">
        <v>45</v>
      </c>
      <c r="D27" s="9" t="str">
        <f t="shared" ref="D27:D28" si="3">HYPERLINK("https://t.vrporn.com/", "main")</f>
        <v>main</v>
      </c>
      <c r="E27" s="7" t="s">
        <v>34</v>
      </c>
      <c r="F27" s="10">
        <v>78.0</v>
      </c>
      <c r="G27" s="10">
        <v>2507.0</v>
      </c>
      <c r="H27" s="10">
        <v>426.0</v>
      </c>
      <c r="I27" s="10">
        <v>2.0E-4</v>
      </c>
      <c r="J27" s="10">
        <v>2666.0</v>
      </c>
      <c r="K27" s="10">
        <v>458.0</v>
      </c>
      <c r="L27" s="10">
        <v>2.0E-4</v>
      </c>
      <c r="M27" s="10">
        <v>208.0</v>
      </c>
      <c r="N27" s="10">
        <v>1855.0</v>
      </c>
      <c r="O27" s="10">
        <v>3169.0</v>
      </c>
      <c r="P27" s="10">
        <v>2761.0</v>
      </c>
      <c r="Q27" s="10">
        <v>489.0</v>
      </c>
      <c r="R27" s="7" t="s">
        <v>132</v>
      </c>
      <c r="S27" s="7" t="s">
        <v>38</v>
      </c>
      <c r="T27" s="57" t="s">
        <v>168</v>
      </c>
      <c r="U27" s="57" t="s">
        <v>50</v>
      </c>
      <c r="V27" s="57" t="s">
        <v>169</v>
      </c>
      <c r="W27" s="59">
        <v>10.0</v>
      </c>
    </row>
    <row r="28">
      <c r="A28" s="54">
        <v>46101.0</v>
      </c>
      <c r="B28" s="7" t="s">
        <v>225</v>
      </c>
      <c r="C28" s="8" t="s">
        <v>45</v>
      </c>
      <c r="D28" s="9" t="str">
        <f t="shared" si="3"/>
        <v>main</v>
      </c>
      <c r="E28" s="7" t="s">
        <v>35</v>
      </c>
      <c r="F28" s="10">
        <v>42.0</v>
      </c>
      <c r="G28" s="10">
        <v>6494.0</v>
      </c>
      <c r="H28" s="10">
        <v>1997.0</v>
      </c>
      <c r="I28" s="10">
        <v>0.0039</v>
      </c>
      <c r="J28" s="10">
        <v>7140.0</v>
      </c>
      <c r="K28" s="10">
        <v>2205.0</v>
      </c>
      <c r="L28" s="10">
        <v>0.0039</v>
      </c>
      <c r="M28" s="10">
        <v>1303.0</v>
      </c>
      <c r="N28" s="10">
        <v>4639.0</v>
      </c>
      <c r="O28" s="10">
        <v>7401.0</v>
      </c>
      <c r="P28" s="10">
        <v>9852.0</v>
      </c>
      <c r="Q28" s="10">
        <v>460.0</v>
      </c>
      <c r="R28" s="7" t="s">
        <v>132</v>
      </c>
      <c r="S28" s="7" t="s">
        <v>38</v>
      </c>
      <c r="T28" s="57" t="s">
        <v>168</v>
      </c>
      <c r="U28" s="57" t="s">
        <v>50</v>
      </c>
      <c r="V28" s="57" t="s">
        <v>169</v>
      </c>
      <c r="W28" s="59">
        <v>10.0</v>
      </c>
    </row>
    <row r="29">
      <c r="A29" s="54">
        <v>46101.0</v>
      </c>
      <c r="B29" s="7" t="s">
        <v>225</v>
      </c>
      <c r="C29" s="8" t="s">
        <v>45</v>
      </c>
      <c r="D29" s="9" t="str">
        <f>HYPERLINK("https://t.vrporn.com/pornstars/?sort=latest", "models")</f>
        <v>models</v>
      </c>
      <c r="E29" s="7" t="s">
        <v>35</v>
      </c>
      <c r="F29" s="10">
        <v>46.0</v>
      </c>
      <c r="G29" s="10">
        <v>4910.0</v>
      </c>
      <c r="H29" s="10">
        <v>862.0</v>
      </c>
      <c r="I29" s="10">
        <v>0.0039</v>
      </c>
      <c r="J29" s="10">
        <v>5209.0</v>
      </c>
      <c r="K29" s="10">
        <v>912.0</v>
      </c>
      <c r="L29" s="10">
        <v>0.0039</v>
      </c>
      <c r="M29" s="10">
        <v>1334.0</v>
      </c>
      <c r="N29" s="10">
        <v>3814.0</v>
      </c>
      <c r="O29" s="10">
        <v>6310.0</v>
      </c>
      <c r="P29" s="10">
        <v>7080.0</v>
      </c>
      <c r="Q29" s="10">
        <v>367.0</v>
      </c>
      <c r="R29" s="7" t="s">
        <v>132</v>
      </c>
      <c r="S29" s="7" t="s">
        <v>38</v>
      </c>
      <c r="T29" s="57" t="s">
        <v>168</v>
      </c>
      <c r="U29" s="57" t="s">
        <v>50</v>
      </c>
      <c r="V29" s="57" t="s">
        <v>169</v>
      </c>
      <c r="W29" s="59">
        <v>10.0</v>
      </c>
    </row>
    <row r="30">
      <c r="A30" s="54">
        <v>46101.0</v>
      </c>
      <c r="B30" s="7" t="s">
        <v>225</v>
      </c>
      <c r="C30" s="8" t="s">
        <v>45</v>
      </c>
      <c r="D30" s="9" t="str">
        <f>HYPERLINK("https://t.vrporn.com/categories/", "categories")</f>
        <v>categories</v>
      </c>
      <c r="E30" s="7" t="s">
        <v>35</v>
      </c>
      <c r="F30" s="10">
        <v>55.0</v>
      </c>
      <c r="G30" s="10">
        <v>5093.0</v>
      </c>
      <c r="H30" s="10">
        <v>709.0</v>
      </c>
      <c r="I30" s="10">
        <v>0.0039</v>
      </c>
      <c r="J30" s="10">
        <v>5161.0</v>
      </c>
      <c r="K30" s="10">
        <v>773.0</v>
      </c>
      <c r="L30" s="10">
        <v>0.0039</v>
      </c>
      <c r="M30" s="10">
        <v>673.0</v>
      </c>
      <c r="N30" s="10">
        <v>4087.0</v>
      </c>
      <c r="O30" s="10">
        <v>5644.0</v>
      </c>
      <c r="P30" s="10">
        <v>8033.0</v>
      </c>
      <c r="Q30" s="10">
        <v>322.0</v>
      </c>
      <c r="R30" s="7" t="s">
        <v>132</v>
      </c>
      <c r="S30" s="7" t="s">
        <v>38</v>
      </c>
      <c r="T30" s="57" t="s">
        <v>168</v>
      </c>
      <c r="U30" s="57" t="s">
        <v>50</v>
      </c>
      <c r="V30" s="57" t="s">
        <v>169</v>
      </c>
      <c r="W30" s="59">
        <v>10.0</v>
      </c>
    </row>
    <row r="31">
      <c r="A31" s="22">
        <v>46101.0</v>
      </c>
      <c r="B31" s="7" t="s">
        <v>225</v>
      </c>
      <c r="C31" s="8" t="s">
        <v>45</v>
      </c>
      <c r="D31" s="9" t="str">
        <f>HYPERLINK("https://t.vrporn.com/tag/anal/", "s_category")</f>
        <v>s_category</v>
      </c>
      <c r="E31" s="7" t="s">
        <v>35</v>
      </c>
      <c r="F31" s="10">
        <v>40.0</v>
      </c>
      <c r="G31" s="10">
        <v>6742.0</v>
      </c>
      <c r="H31" s="10">
        <v>1520.0</v>
      </c>
      <c r="I31" s="10">
        <v>0.0039</v>
      </c>
      <c r="J31" s="10">
        <v>6767.0</v>
      </c>
      <c r="K31" s="10">
        <v>1726.0</v>
      </c>
      <c r="L31" s="10">
        <v>0.0039</v>
      </c>
      <c r="M31" s="10">
        <v>1478.0</v>
      </c>
      <c r="N31" s="10">
        <v>3959.0</v>
      </c>
      <c r="O31" s="10">
        <v>5855.0</v>
      </c>
      <c r="P31" s="10">
        <v>9047.0</v>
      </c>
      <c r="Q31" s="10">
        <v>434.0</v>
      </c>
      <c r="R31" s="7" t="s">
        <v>132</v>
      </c>
      <c r="S31" s="7" t="s">
        <v>38</v>
      </c>
      <c r="T31" s="57" t="s">
        <v>168</v>
      </c>
      <c r="U31" s="57" t="s">
        <v>50</v>
      </c>
      <c r="V31" s="57" t="s">
        <v>169</v>
      </c>
      <c r="W31" s="59">
        <v>10.0</v>
      </c>
    </row>
    <row r="32">
      <c r="A32" s="22">
        <v>46101.0</v>
      </c>
      <c r="B32" s="7" t="s">
        <v>225</v>
      </c>
      <c r="C32" s="8" t="s">
        <v>45</v>
      </c>
      <c r="D32" s="9" t="str">
        <f>HYPERLINK("https://t.vrporn.com/studio/vrbangers/", "s_studio")</f>
        <v>s_studio</v>
      </c>
      <c r="E32" s="7" t="s">
        <v>35</v>
      </c>
      <c r="F32" s="10">
        <v>44.0</v>
      </c>
      <c r="G32" s="10">
        <v>6430.0</v>
      </c>
      <c r="H32" s="10">
        <v>1535.0</v>
      </c>
      <c r="I32" s="10">
        <v>0.0039</v>
      </c>
      <c r="J32" s="10">
        <v>6467.0</v>
      </c>
      <c r="K32" s="10">
        <v>1558.0</v>
      </c>
      <c r="L32" s="10">
        <v>0.0039</v>
      </c>
      <c r="M32" s="10">
        <v>977.0</v>
      </c>
      <c r="N32" s="10">
        <v>4391.0</v>
      </c>
      <c r="O32" s="10">
        <v>6196.0</v>
      </c>
      <c r="P32" s="10">
        <v>8526.0</v>
      </c>
      <c r="Q32" s="10">
        <v>444.0</v>
      </c>
      <c r="R32" s="7" t="s">
        <v>132</v>
      </c>
      <c r="S32" s="7" t="s">
        <v>38</v>
      </c>
      <c r="T32" s="57" t="s">
        <v>168</v>
      </c>
      <c r="U32" s="57" t="s">
        <v>50</v>
      </c>
      <c r="V32" s="57" t="s">
        <v>169</v>
      </c>
      <c r="W32" s="59">
        <v>10.0</v>
      </c>
    </row>
    <row r="33">
      <c r="A33" s="22">
        <v>46101.0</v>
      </c>
      <c r="B33" s="7" t="s">
        <v>225</v>
      </c>
      <c r="C33" s="8" t="s">
        <v>45</v>
      </c>
      <c r="D33" s="9" t="str">
        <f>HYPERLINK("https://t.vrporn.com/camgirls/", "dreams")</f>
        <v>dreams</v>
      </c>
      <c r="E33" s="7" t="s">
        <v>35</v>
      </c>
      <c r="F33" s="10">
        <v>42.0</v>
      </c>
      <c r="G33" s="10">
        <v>5390.0</v>
      </c>
      <c r="H33" s="10">
        <v>740.0</v>
      </c>
      <c r="I33" s="10">
        <v>0.0039</v>
      </c>
      <c r="J33" s="10">
        <v>5398.0</v>
      </c>
      <c r="K33" s="10">
        <v>744.0</v>
      </c>
      <c r="L33" s="10">
        <v>0.0039</v>
      </c>
      <c r="M33" s="10">
        <v>1378.0</v>
      </c>
      <c r="N33" s="10">
        <v>4008.0</v>
      </c>
      <c r="O33" s="10">
        <v>6646.0</v>
      </c>
      <c r="P33" s="10">
        <v>11352.0</v>
      </c>
      <c r="Q33" s="10">
        <v>868.0</v>
      </c>
      <c r="R33" s="7" t="s">
        <v>132</v>
      </c>
      <c r="S33" s="7" t="s">
        <v>38</v>
      </c>
      <c r="T33" s="57" t="s">
        <v>168</v>
      </c>
      <c r="U33" s="57" t="s">
        <v>50</v>
      </c>
      <c r="V33" s="57" t="s">
        <v>169</v>
      </c>
      <c r="W33" s="59">
        <v>10.0</v>
      </c>
    </row>
    <row r="34">
      <c r="A34" s="22">
        <v>46101.0</v>
      </c>
      <c r="B34" s="7" t="s">
        <v>225</v>
      </c>
      <c r="C34" s="8" t="s">
        <v>45</v>
      </c>
      <c r="D34" s="9" t="str">
        <f>HYPERLINK("https://t.vrporn.com/camgirls/model-vrporn/", "s_dream")</f>
        <v>s_dream</v>
      </c>
      <c r="E34" s="7" t="s">
        <v>35</v>
      </c>
      <c r="F34" s="10">
        <v>50.0</v>
      </c>
      <c r="G34" s="10">
        <v>10656.0</v>
      </c>
      <c r="H34" s="10">
        <v>576.0</v>
      </c>
      <c r="I34" s="10">
        <v>0.0039</v>
      </c>
      <c r="J34" s="10">
        <v>10853.0</v>
      </c>
      <c r="K34" s="10">
        <v>694.0</v>
      </c>
      <c r="L34" s="10">
        <v>0.0039</v>
      </c>
      <c r="M34" s="10">
        <v>388.0</v>
      </c>
      <c r="N34" s="10">
        <v>9432.0</v>
      </c>
      <c r="O34" s="10">
        <v>9512.0</v>
      </c>
      <c r="P34" s="10">
        <v>13572.0</v>
      </c>
      <c r="Q34" s="10">
        <v>1157.0</v>
      </c>
      <c r="R34" s="7" t="s">
        <v>132</v>
      </c>
      <c r="S34" s="7" t="s">
        <v>38</v>
      </c>
      <c r="T34" s="57" t="s">
        <v>168</v>
      </c>
      <c r="U34" s="57" t="s">
        <v>50</v>
      </c>
      <c r="V34" s="57" t="s">
        <v>169</v>
      </c>
      <c r="W34" s="59">
        <v>10.0</v>
      </c>
    </row>
    <row r="35">
      <c r="A35" s="54">
        <v>46104.0</v>
      </c>
      <c r="B35" s="7" t="s">
        <v>225</v>
      </c>
      <c r="C35" s="8" t="s">
        <v>45</v>
      </c>
      <c r="D35" s="9" t="str">
        <f>HYPERLINK("https://t.vrporn.com/", "main")</f>
        <v>main</v>
      </c>
      <c r="E35" s="7" t="s">
        <v>35</v>
      </c>
      <c r="F35" s="10">
        <v>45.0</v>
      </c>
      <c r="G35" s="10">
        <v>6294.0</v>
      </c>
      <c r="H35" s="10">
        <v>2299.0</v>
      </c>
      <c r="I35" s="10">
        <v>0.0039</v>
      </c>
      <c r="J35" s="10">
        <v>10929.0</v>
      </c>
      <c r="K35" s="10">
        <v>2461.0</v>
      </c>
      <c r="L35" s="10">
        <v>0.0039</v>
      </c>
      <c r="M35" s="10">
        <v>2299.0</v>
      </c>
      <c r="N35" s="10">
        <v>5689.0</v>
      </c>
      <c r="O35" s="10">
        <v>11261.0</v>
      </c>
      <c r="P35" s="10">
        <v>32273.0</v>
      </c>
      <c r="Q35" s="10">
        <v>480.0</v>
      </c>
      <c r="R35" s="7" t="s">
        <v>123</v>
      </c>
      <c r="S35" s="7" t="s">
        <v>38</v>
      </c>
      <c r="T35" s="57" t="s">
        <v>168</v>
      </c>
      <c r="U35" s="57" t="s">
        <v>50</v>
      </c>
      <c r="V35" s="57" t="s">
        <v>169</v>
      </c>
      <c r="W35" s="59">
        <v>10.0</v>
      </c>
    </row>
    <row r="36">
      <c r="A36" s="54">
        <v>46104.0</v>
      </c>
      <c r="B36" s="7" t="s">
        <v>225</v>
      </c>
      <c r="C36" s="8" t="s">
        <v>45</v>
      </c>
      <c r="D36" s="9" t="str">
        <f>HYPERLINK("https://t.vrporn.com/pornstars/?sort=latest", "models")</f>
        <v>models</v>
      </c>
      <c r="E36" s="7" t="s">
        <v>35</v>
      </c>
      <c r="F36" s="10">
        <v>45.0</v>
      </c>
      <c r="G36" s="10">
        <v>4792.0</v>
      </c>
      <c r="H36" s="10">
        <v>1146.0</v>
      </c>
      <c r="I36" s="10">
        <v>0.0039</v>
      </c>
      <c r="J36" s="10">
        <v>5122.0</v>
      </c>
      <c r="K36" s="10">
        <v>1249.0</v>
      </c>
      <c r="L36" s="10">
        <v>0.0039</v>
      </c>
      <c r="M36" s="10">
        <v>1893.0</v>
      </c>
      <c r="N36" s="10">
        <v>3961.0</v>
      </c>
      <c r="O36" s="10">
        <v>7132.0</v>
      </c>
      <c r="P36" s="10">
        <v>11845.0</v>
      </c>
      <c r="Q36" s="10">
        <v>354.0</v>
      </c>
      <c r="R36" s="7" t="s">
        <v>123</v>
      </c>
      <c r="S36" s="7" t="s">
        <v>38</v>
      </c>
      <c r="T36" s="57" t="s">
        <v>168</v>
      </c>
      <c r="U36" s="57" t="s">
        <v>50</v>
      </c>
      <c r="V36" s="57" t="s">
        <v>169</v>
      </c>
      <c r="W36" s="59">
        <v>10.0</v>
      </c>
    </row>
    <row r="37">
      <c r="A37" s="54">
        <v>46104.0</v>
      </c>
      <c r="B37" s="7" t="s">
        <v>225</v>
      </c>
      <c r="C37" s="8" t="s">
        <v>45</v>
      </c>
      <c r="D37" s="9" t="str">
        <f>HYPERLINK("https://t.vrporn.com/pornstars/samy-sun/", "s_model")</f>
        <v>s_model</v>
      </c>
      <c r="E37" s="7" t="s">
        <v>35</v>
      </c>
      <c r="F37" s="10">
        <v>47.0</v>
      </c>
      <c r="G37" s="10">
        <v>5613.0</v>
      </c>
      <c r="H37" s="10">
        <v>934.0</v>
      </c>
      <c r="I37" s="10">
        <v>0.0039</v>
      </c>
      <c r="J37" s="10">
        <v>5751.0</v>
      </c>
      <c r="K37" s="10">
        <v>1124.0</v>
      </c>
      <c r="L37" s="10">
        <v>0.0039</v>
      </c>
      <c r="M37" s="10">
        <v>1447.0</v>
      </c>
      <c r="N37" s="10">
        <v>4234.0</v>
      </c>
      <c r="O37" s="10">
        <v>5739.0</v>
      </c>
      <c r="P37" s="10">
        <v>8070.0</v>
      </c>
      <c r="Q37" s="10">
        <v>322.0</v>
      </c>
      <c r="R37" s="7" t="s">
        <v>123</v>
      </c>
      <c r="S37" s="7" t="s">
        <v>38</v>
      </c>
      <c r="T37" s="57" t="s">
        <v>168</v>
      </c>
      <c r="U37" s="57" t="s">
        <v>50</v>
      </c>
      <c r="V37" s="57" t="s">
        <v>169</v>
      </c>
      <c r="W37" s="59">
        <v>10.0</v>
      </c>
    </row>
    <row r="38">
      <c r="A38" s="54">
        <v>46104.0</v>
      </c>
      <c r="B38" s="7" t="s">
        <v>225</v>
      </c>
      <c r="C38" s="8" t="s">
        <v>45</v>
      </c>
      <c r="D38" s="9" t="str">
        <f>HYPERLINK("https://t.vrporn.com/categories/", "categories")</f>
        <v>categories</v>
      </c>
      <c r="E38" s="7" t="s">
        <v>35</v>
      </c>
      <c r="F38" s="10">
        <v>46.0</v>
      </c>
      <c r="G38" s="10">
        <v>5026.0</v>
      </c>
      <c r="H38" s="10">
        <v>904.0</v>
      </c>
      <c r="I38" s="10">
        <v>0.0039</v>
      </c>
      <c r="J38" s="10">
        <v>5880.0</v>
      </c>
      <c r="K38" s="10">
        <v>929.0</v>
      </c>
      <c r="L38" s="10">
        <v>0.0039</v>
      </c>
      <c r="M38" s="10">
        <v>1277.0</v>
      </c>
      <c r="N38" s="10">
        <v>4213.0</v>
      </c>
      <c r="O38" s="10">
        <v>7185.0</v>
      </c>
      <c r="P38" s="10">
        <v>11675.0</v>
      </c>
      <c r="Q38" s="10">
        <v>456.0</v>
      </c>
      <c r="R38" s="7" t="s">
        <v>123</v>
      </c>
      <c r="S38" s="7" t="s">
        <v>38</v>
      </c>
      <c r="T38" s="57" t="s">
        <v>168</v>
      </c>
      <c r="U38" s="57" t="s">
        <v>50</v>
      </c>
      <c r="V38" s="57" t="s">
        <v>169</v>
      </c>
      <c r="W38" s="59">
        <v>10.0</v>
      </c>
    </row>
    <row r="39">
      <c r="A39" s="54">
        <v>46104.0</v>
      </c>
      <c r="B39" s="7" t="s">
        <v>225</v>
      </c>
      <c r="C39" s="8" t="s">
        <v>45</v>
      </c>
      <c r="D39" s="9" t="str">
        <f>HYPERLINK("https://t.vrporn.com/tag/anal/", "s_category")</f>
        <v>s_category</v>
      </c>
      <c r="E39" s="7" t="s">
        <v>35</v>
      </c>
      <c r="F39" s="10">
        <v>37.0</v>
      </c>
      <c r="G39" s="10">
        <v>6482.0</v>
      </c>
      <c r="H39" s="10">
        <v>1739.0</v>
      </c>
      <c r="I39" s="10">
        <v>0.0039</v>
      </c>
      <c r="J39" s="10">
        <v>6482.0</v>
      </c>
      <c r="K39" s="10">
        <v>1739.0</v>
      </c>
      <c r="L39" s="10">
        <v>0.0039</v>
      </c>
      <c r="M39" s="10">
        <v>1909.0</v>
      </c>
      <c r="N39" s="10">
        <v>3917.0</v>
      </c>
      <c r="O39" s="10">
        <v>5724.0</v>
      </c>
      <c r="P39" s="10">
        <v>9355.0</v>
      </c>
      <c r="Q39" s="10">
        <v>391.0</v>
      </c>
      <c r="R39" s="7" t="s">
        <v>123</v>
      </c>
      <c r="S39" s="7" t="s">
        <v>38</v>
      </c>
      <c r="T39" s="57" t="s">
        <v>168</v>
      </c>
      <c r="U39" s="57" t="s">
        <v>50</v>
      </c>
      <c r="V39" s="57" t="s">
        <v>169</v>
      </c>
      <c r="W39" s="59">
        <v>10.0</v>
      </c>
    </row>
    <row r="40">
      <c r="A40" s="54">
        <v>46104.0</v>
      </c>
      <c r="B40" s="7" t="s">
        <v>225</v>
      </c>
      <c r="C40" s="8" t="s">
        <v>45</v>
      </c>
      <c r="D40" s="9" t="str">
        <f>HYPERLINK("https://t.vrporn.com/studio/vrbangers/", "s_studio")</f>
        <v>s_studio</v>
      </c>
      <c r="E40" s="7" t="s">
        <v>35</v>
      </c>
      <c r="F40" s="10">
        <v>41.0</v>
      </c>
      <c r="G40" s="10">
        <v>6642.0</v>
      </c>
      <c r="H40" s="10">
        <v>2059.0</v>
      </c>
      <c r="I40" s="10">
        <v>0.0039</v>
      </c>
      <c r="J40" s="10">
        <v>7203.0</v>
      </c>
      <c r="K40" s="10">
        <v>2154.0</v>
      </c>
      <c r="L40" s="10">
        <v>0.0039</v>
      </c>
      <c r="M40" s="10">
        <v>1699.0</v>
      </c>
      <c r="N40" s="10">
        <v>4330.0</v>
      </c>
      <c r="O40" s="10">
        <v>6578.0</v>
      </c>
      <c r="P40" s="10">
        <v>10150.0</v>
      </c>
      <c r="Q40" s="10">
        <v>423.0</v>
      </c>
      <c r="R40" s="7" t="s">
        <v>123</v>
      </c>
      <c r="S40" s="7" t="s">
        <v>38</v>
      </c>
      <c r="T40" s="57" t="s">
        <v>168</v>
      </c>
      <c r="U40" s="57" t="s">
        <v>50</v>
      </c>
      <c r="V40" s="57" t="s">
        <v>169</v>
      </c>
      <c r="W40" s="59">
        <v>10.0</v>
      </c>
    </row>
    <row r="41">
      <c r="A41" s="54">
        <v>46104.0</v>
      </c>
      <c r="B41" s="7" t="s">
        <v>225</v>
      </c>
      <c r="C41" s="8" t="s">
        <v>45</v>
      </c>
      <c r="D41" s="9" t="str">
        <f>HYPERLINK("https://t.vrporn.com/camgirls/", "dreams")</f>
        <v>dreams</v>
      </c>
      <c r="E41" s="7" t="s">
        <v>35</v>
      </c>
      <c r="F41" s="10">
        <v>41.0</v>
      </c>
      <c r="G41" s="10">
        <v>5711.0</v>
      </c>
      <c r="H41" s="10">
        <v>929.0</v>
      </c>
      <c r="I41" s="10">
        <v>0.0039</v>
      </c>
      <c r="J41" s="10">
        <v>6083.0</v>
      </c>
      <c r="K41" s="10">
        <v>971.0</v>
      </c>
      <c r="L41" s="10">
        <v>0.0039</v>
      </c>
      <c r="M41" s="10">
        <v>1624.0</v>
      </c>
      <c r="N41" s="10">
        <v>4330.0</v>
      </c>
      <c r="O41" s="10">
        <v>7432.0</v>
      </c>
      <c r="P41" s="10">
        <v>15328.0</v>
      </c>
      <c r="Q41" s="10">
        <v>983.0</v>
      </c>
      <c r="R41" s="7" t="s">
        <v>123</v>
      </c>
      <c r="S41" s="7" t="s">
        <v>38</v>
      </c>
      <c r="T41" s="57" t="s">
        <v>168</v>
      </c>
      <c r="U41" s="57" t="s">
        <v>50</v>
      </c>
      <c r="V41" s="57" t="s">
        <v>169</v>
      </c>
      <c r="W41" s="59">
        <v>10.0</v>
      </c>
    </row>
    <row r="42">
      <c r="A42" s="54">
        <v>46104.0</v>
      </c>
      <c r="B42" s="7" t="s">
        <v>225</v>
      </c>
      <c r="C42" s="8" t="s">
        <v>45</v>
      </c>
      <c r="D42" s="9" t="str">
        <f>HYPERLINK("https://t.vrporn.com/camgirls/model-vrporn/", "s_dream")</f>
        <v>s_dream</v>
      </c>
      <c r="E42" s="7" t="s">
        <v>35</v>
      </c>
      <c r="F42" s="10">
        <v>33.0</v>
      </c>
      <c r="G42" s="10">
        <v>10564.0</v>
      </c>
      <c r="H42" s="10">
        <v>864.0</v>
      </c>
      <c r="I42" s="10">
        <v>0.0039</v>
      </c>
      <c r="J42" s="10">
        <v>11789.0</v>
      </c>
      <c r="K42" s="10">
        <v>879.0</v>
      </c>
      <c r="L42" s="10">
        <v>0.0039</v>
      </c>
      <c r="M42" s="10">
        <v>1246.0</v>
      </c>
      <c r="N42" s="10">
        <v>9538.0</v>
      </c>
      <c r="O42" s="10">
        <v>10556.0</v>
      </c>
      <c r="P42" s="10">
        <v>15831.0</v>
      </c>
      <c r="Q42" s="10">
        <v>1164.0</v>
      </c>
      <c r="R42" s="7" t="s">
        <v>123</v>
      </c>
      <c r="S42" s="7" t="s">
        <v>38</v>
      </c>
      <c r="T42" s="57" t="s">
        <v>168</v>
      </c>
      <c r="U42" s="57" t="s">
        <v>50</v>
      </c>
      <c r="V42" s="57" t="s">
        <v>169</v>
      </c>
      <c r="W42" s="59">
        <v>10.0</v>
      </c>
    </row>
    <row r="43">
      <c r="A43" s="54">
        <v>46104.0</v>
      </c>
      <c r="B43" s="7" t="s">
        <v>225</v>
      </c>
      <c r="C43" s="8" t="s">
        <v>45</v>
      </c>
      <c r="D43" s="77" t="str">
        <f>HYPERLINK("https://t.vrporn.com/", "main")</f>
        <v>main</v>
      </c>
      <c r="E43" s="78" t="s">
        <v>34</v>
      </c>
      <c r="F43" s="10">
        <v>84.0</v>
      </c>
      <c r="G43" s="10">
        <v>1835.0</v>
      </c>
      <c r="H43" s="10">
        <v>252.0</v>
      </c>
      <c r="I43" s="10">
        <v>2.0E-4</v>
      </c>
      <c r="J43" s="10">
        <v>1863.0</v>
      </c>
      <c r="K43" s="10">
        <v>263.0</v>
      </c>
      <c r="L43" s="10">
        <v>2.0E-4</v>
      </c>
      <c r="M43" s="10">
        <v>116.0</v>
      </c>
      <c r="N43" s="10">
        <v>1234.0</v>
      </c>
      <c r="O43" s="10">
        <v>2258.0</v>
      </c>
      <c r="P43" s="10">
        <v>2311.0</v>
      </c>
      <c r="Q43" s="10">
        <v>302.0</v>
      </c>
      <c r="R43" s="7" t="s">
        <v>123</v>
      </c>
      <c r="S43" s="7" t="s">
        <v>38</v>
      </c>
      <c r="T43" s="57" t="s">
        <v>168</v>
      </c>
      <c r="U43" s="57" t="s">
        <v>50</v>
      </c>
      <c r="V43" s="57" t="s">
        <v>169</v>
      </c>
      <c r="W43" s="59">
        <v>10.0</v>
      </c>
    </row>
    <row r="44">
      <c r="A44" s="54">
        <v>46104.0</v>
      </c>
      <c r="B44" s="7" t="s">
        <v>225</v>
      </c>
      <c r="C44" s="8" t="s">
        <v>45</v>
      </c>
      <c r="D44" s="77" t="str">
        <f>HYPERLINK("https://t.vrporn.com/pornstars/?sort=latest", "models")</f>
        <v>models</v>
      </c>
      <c r="E44" s="78" t="s">
        <v>34</v>
      </c>
      <c r="F44" s="10">
        <v>81.0</v>
      </c>
      <c r="G44" s="10">
        <v>1511.0</v>
      </c>
      <c r="H44" s="10">
        <v>283.0</v>
      </c>
      <c r="I44" s="10">
        <v>2.0E-4</v>
      </c>
      <c r="J44" s="10">
        <v>1540.0</v>
      </c>
      <c r="K44" s="10">
        <v>291.0</v>
      </c>
      <c r="L44" s="10">
        <v>2.0E-4</v>
      </c>
      <c r="M44" s="10">
        <v>246.0</v>
      </c>
      <c r="N44" s="10">
        <v>1209.0</v>
      </c>
      <c r="O44" s="10">
        <v>2722.0</v>
      </c>
      <c r="P44" s="10">
        <v>2072.0</v>
      </c>
      <c r="Q44" s="10">
        <v>329.0</v>
      </c>
      <c r="R44" s="7" t="s">
        <v>123</v>
      </c>
      <c r="S44" s="7" t="s">
        <v>38</v>
      </c>
      <c r="T44" s="57" t="s">
        <v>168</v>
      </c>
      <c r="U44" s="57" t="s">
        <v>50</v>
      </c>
      <c r="V44" s="57" t="s">
        <v>169</v>
      </c>
      <c r="W44" s="59">
        <v>10.0</v>
      </c>
    </row>
    <row r="45">
      <c r="A45" s="54">
        <v>46104.0</v>
      </c>
      <c r="B45" s="7" t="s">
        <v>225</v>
      </c>
      <c r="C45" s="8" t="s">
        <v>45</v>
      </c>
      <c r="D45" s="77" t="str">
        <f>HYPERLINK("https://t.vrporn.com/pornstars/samy-sun/", "s_model")</f>
        <v>s_model</v>
      </c>
      <c r="E45" s="78" t="s">
        <v>34</v>
      </c>
      <c r="F45" s="10">
        <v>76.0</v>
      </c>
      <c r="G45" s="10">
        <v>2180.0</v>
      </c>
      <c r="H45" s="10">
        <v>223.0</v>
      </c>
      <c r="I45" s="10">
        <v>2.0E-4</v>
      </c>
      <c r="J45" s="10">
        <v>2207.0</v>
      </c>
      <c r="K45" s="10">
        <v>228.0</v>
      </c>
      <c r="L45" s="10">
        <v>2.0E-4</v>
      </c>
      <c r="M45" s="10">
        <v>181.0</v>
      </c>
      <c r="N45" s="10">
        <v>1741.0</v>
      </c>
      <c r="O45" s="10">
        <v>2319.0</v>
      </c>
      <c r="P45" s="10">
        <v>2216.0</v>
      </c>
      <c r="Q45" s="10">
        <v>315.0</v>
      </c>
      <c r="R45" s="7" t="s">
        <v>123</v>
      </c>
      <c r="S45" s="7" t="s">
        <v>38</v>
      </c>
      <c r="T45" s="57" t="s">
        <v>168</v>
      </c>
      <c r="U45" s="57" t="s">
        <v>50</v>
      </c>
      <c r="V45" s="57" t="s">
        <v>169</v>
      </c>
      <c r="W45" s="59">
        <v>10.0</v>
      </c>
    </row>
    <row r="46">
      <c r="A46" s="54">
        <v>46104.0</v>
      </c>
      <c r="B46" s="7" t="s">
        <v>225</v>
      </c>
      <c r="C46" s="8" t="s">
        <v>45</v>
      </c>
      <c r="D46" s="77" t="str">
        <f>HYPERLINK("https://t.vrporn.com/categories/", "categories")</f>
        <v>categories</v>
      </c>
      <c r="E46" s="78" t="s">
        <v>34</v>
      </c>
      <c r="F46" s="10">
        <v>83.0</v>
      </c>
      <c r="G46" s="10">
        <v>1588.0</v>
      </c>
      <c r="H46" s="10">
        <v>222.0</v>
      </c>
      <c r="I46" s="10">
        <v>2.0E-4</v>
      </c>
      <c r="J46" s="10">
        <v>1588.0</v>
      </c>
      <c r="K46" s="10">
        <v>222.0</v>
      </c>
      <c r="L46" s="10">
        <v>2.0E-4</v>
      </c>
      <c r="M46" s="10">
        <v>171.0</v>
      </c>
      <c r="N46" s="10">
        <v>1223.0</v>
      </c>
      <c r="O46" s="10">
        <v>2078.0</v>
      </c>
      <c r="P46" s="10">
        <v>1775.0</v>
      </c>
      <c r="Q46" s="10">
        <v>288.0</v>
      </c>
      <c r="R46" s="7" t="s">
        <v>123</v>
      </c>
      <c r="S46" s="7" t="s">
        <v>38</v>
      </c>
      <c r="T46" s="57" t="s">
        <v>168</v>
      </c>
      <c r="U46" s="57" t="s">
        <v>50</v>
      </c>
      <c r="V46" s="57" t="s">
        <v>169</v>
      </c>
      <c r="W46" s="59">
        <v>10.0</v>
      </c>
    </row>
    <row r="47">
      <c r="A47" s="54">
        <v>46104.0</v>
      </c>
      <c r="B47" s="7" t="s">
        <v>225</v>
      </c>
      <c r="C47" s="8" t="s">
        <v>45</v>
      </c>
      <c r="D47" s="77" t="str">
        <f>HYPERLINK("https://t.vrporn.com/tag/anal/", "s_category")</f>
        <v>s_category</v>
      </c>
      <c r="E47" s="78" t="s">
        <v>34</v>
      </c>
      <c r="F47" s="10">
        <v>85.0</v>
      </c>
      <c r="G47" s="10">
        <v>1669.0</v>
      </c>
      <c r="H47" s="10">
        <v>363.0</v>
      </c>
      <c r="I47" s="10">
        <v>2.0E-4</v>
      </c>
      <c r="J47" s="10">
        <v>1854.0</v>
      </c>
      <c r="K47" s="10">
        <v>403.0</v>
      </c>
      <c r="L47" s="10">
        <v>2.0E-4</v>
      </c>
      <c r="M47" s="10">
        <v>229.0</v>
      </c>
      <c r="N47" s="10">
        <v>1167.0</v>
      </c>
      <c r="O47" s="10">
        <v>2205.0</v>
      </c>
      <c r="P47" s="10">
        <v>2108.0</v>
      </c>
      <c r="Q47" s="10">
        <v>455.0</v>
      </c>
      <c r="R47" s="7" t="s">
        <v>123</v>
      </c>
      <c r="S47" s="7" t="s">
        <v>38</v>
      </c>
      <c r="T47" s="57" t="s">
        <v>168</v>
      </c>
      <c r="U47" s="57" t="s">
        <v>50</v>
      </c>
      <c r="V47" s="57" t="s">
        <v>169</v>
      </c>
      <c r="W47" s="59">
        <v>10.0</v>
      </c>
    </row>
    <row r="48">
      <c r="A48" s="54">
        <v>46104.0</v>
      </c>
      <c r="B48" s="7" t="s">
        <v>225</v>
      </c>
      <c r="C48" s="8" t="s">
        <v>45</v>
      </c>
      <c r="D48" s="77" t="str">
        <f>HYPERLINK("https://t.vrporn.com/studio/vrbangers/", "s_studio")</f>
        <v>s_studio</v>
      </c>
      <c r="E48" s="78" t="s">
        <v>34</v>
      </c>
      <c r="F48" s="10">
        <v>67.0</v>
      </c>
      <c r="G48" s="10">
        <v>2290.0</v>
      </c>
      <c r="H48" s="10">
        <v>354.0</v>
      </c>
      <c r="I48" s="10">
        <v>2.0E-4</v>
      </c>
      <c r="J48" s="10">
        <v>2967.0</v>
      </c>
      <c r="K48" s="10">
        <v>367.0</v>
      </c>
      <c r="L48" s="10">
        <v>2.0E-4</v>
      </c>
      <c r="M48" s="10">
        <v>311.0</v>
      </c>
      <c r="N48" s="10">
        <v>1720.0</v>
      </c>
      <c r="O48" s="10">
        <v>2434.0</v>
      </c>
      <c r="P48" s="10">
        <v>2576.0</v>
      </c>
      <c r="Q48" s="10">
        <v>405.0</v>
      </c>
      <c r="R48" s="7" t="s">
        <v>123</v>
      </c>
      <c r="S48" s="7" t="s">
        <v>38</v>
      </c>
      <c r="T48" s="57" t="s">
        <v>168</v>
      </c>
      <c r="U48" s="57" t="s">
        <v>50</v>
      </c>
      <c r="V48" s="57" t="s">
        <v>169</v>
      </c>
      <c r="W48" s="59">
        <v>10.0</v>
      </c>
    </row>
    <row r="49">
      <c r="A49" s="54">
        <v>46104.0</v>
      </c>
      <c r="B49" s="7" t="s">
        <v>225</v>
      </c>
      <c r="C49" s="8" t="s">
        <v>45</v>
      </c>
      <c r="D49" s="9" t="str">
        <f>HYPERLINK("https://t.vrporn.com/camgirls/", "dreams")</f>
        <v>dreams</v>
      </c>
      <c r="E49" s="7" t="s">
        <v>34</v>
      </c>
      <c r="F49" s="10">
        <v>84.0</v>
      </c>
      <c r="G49" s="10">
        <v>1672.0</v>
      </c>
      <c r="H49" s="10">
        <v>155.0</v>
      </c>
      <c r="I49" s="10">
        <v>2.0E-4</v>
      </c>
      <c r="J49" s="10">
        <v>1702.0</v>
      </c>
      <c r="K49" s="10">
        <v>161.0</v>
      </c>
      <c r="L49" s="10">
        <v>2.0E-4</v>
      </c>
      <c r="M49" s="10">
        <v>152.0</v>
      </c>
      <c r="N49" s="10">
        <v>1122.0</v>
      </c>
      <c r="O49" s="10">
        <v>2461.0</v>
      </c>
      <c r="P49" s="10">
        <v>3071.0</v>
      </c>
      <c r="Q49" s="10">
        <v>874.0</v>
      </c>
      <c r="R49" s="7" t="s">
        <v>123</v>
      </c>
      <c r="S49" s="7" t="s">
        <v>38</v>
      </c>
      <c r="T49" s="57" t="s">
        <v>168</v>
      </c>
      <c r="U49" s="57" t="s">
        <v>50</v>
      </c>
      <c r="V49" s="57" t="s">
        <v>169</v>
      </c>
      <c r="W49" s="59">
        <v>10.0</v>
      </c>
    </row>
    <row r="50">
      <c r="A50" s="22">
        <v>46104.0</v>
      </c>
      <c r="B50" s="7" t="s">
        <v>225</v>
      </c>
      <c r="C50" s="8" t="s">
        <v>45</v>
      </c>
      <c r="D50" s="9" t="str">
        <f>HYPERLINK("https://t.vrporn.com/camgirls/model-vrporn/", "s_dream")</f>
        <v>s_dream</v>
      </c>
      <c r="E50" s="7" t="s">
        <v>34</v>
      </c>
      <c r="F50" s="10">
        <v>71.0</v>
      </c>
      <c r="G50" s="10">
        <v>2384.0</v>
      </c>
      <c r="H50" s="10">
        <v>161.0</v>
      </c>
      <c r="I50" s="10">
        <v>2.0E-4</v>
      </c>
      <c r="J50" s="10">
        <v>2455.0</v>
      </c>
      <c r="K50" s="10">
        <v>163.0</v>
      </c>
      <c r="L50" s="10">
        <v>2.0E-4</v>
      </c>
      <c r="M50" s="10">
        <v>134.0</v>
      </c>
      <c r="N50" s="10">
        <v>2026.0</v>
      </c>
      <c r="O50" s="10">
        <v>3134.0</v>
      </c>
      <c r="P50" s="10">
        <v>3025.0</v>
      </c>
      <c r="Q50" s="10">
        <v>1142.0</v>
      </c>
      <c r="R50" s="7" t="s">
        <v>123</v>
      </c>
      <c r="S50" s="7" t="s">
        <v>38</v>
      </c>
      <c r="T50" s="57" t="s">
        <v>168</v>
      </c>
      <c r="U50" s="57" t="s">
        <v>50</v>
      </c>
      <c r="V50" s="57" t="s">
        <v>169</v>
      </c>
      <c r="W50" s="59">
        <v>10.0</v>
      </c>
    </row>
    <row r="51">
      <c r="A51" s="54">
        <v>46104.802303240744</v>
      </c>
      <c r="B51" s="7" t="s">
        <v>225</v>
      </c>
      <c r="C51" s="21" t="s">
        <v>45</v>
      </c>
      <c r="D51" s="9" t="str">
        <f t="shared" ref="D51:D53" si="4">HYPERLINK("https://t.vrporn.com/", "main")</f>
        <v>main</v>
      </c>
      <c r="E51" s="7" t="s">
        <v>34</v>
      </c>
      <c r="F51" s="10">
        <v>84.0</v>
      </c>
      <c r="G51" s="10">
        <v>1720.0</v>
      </c>
      <c r="H51" s="10">
        <v>298.0</v>
      </c>
      <c r="I51" s="10">
        <v>2.0E-4</v>
      </c>
      <c r="J51" s="10">
        <v>1738.0</v>
      </c>
      <c r="K51" s="10">
        <v>337.0</v>
      </c>
      <c r="L51" s="10">
        <v>2.0E-4</v>
      </c>
      <c r="M51" s="10">
        <v>124.0</v>
      </c>
      <c r="N51" s="10">
        <v>1182.0</v>
      </c>
      <c r="O51" s="10">
        <v>2538.0</v>
      </c>
      <c r="P51" s="10">
        <v>2012.0</v>
      </c>
      <c r="Q51" s="10">
        <v>698.0</v>
      </c>
      <c r="R51" s="7" t="s">
        <v>134</v>
      </c>
      <c r="S51" s="7" t="s">
        <v>38</v>
      </c>
      <c r="T51" s="57" t="s">
        <v>168</v>
      </c>
      <c r="U51" s="57" t="s">
        <v>50</v>
      </c>
      <c r="V51" s="57" t="s">
        <v>169</v>
      </c>
      <c r="W51" s="59">
        <v>10.0</v>
      </c>
    </row>
    <row r="52">
      <c r="A52" s="54">
        <v>46105.52092592593</v>
      </c>
      <c r="B52" s="7" t="s">
        <v>225</v>
      </c>
      <c r="C52" s="21" t="s">
        <v>45</v>
      </c>
      <c r="D52" s="9" t="str">
        <f t="shared" si="4"/>
        <v>main</v>
      </c>
      <c r="E52" s="7" t="s">
        <v>35</v>
      </c>
      <c r="F52" s="10">
        <v>42.0</v>
      </c>
      <c r="G52" s="10">
        <v>6764.0</v>
      </c>
      <c r="H52" s="10">
        <v>1616.0</v>
      </c>
      <c r="I52" s="10">
        <v>0.0039</v>
      </c>
      <c r="J52" s="10">
        <v>6882.0</v>
      </c>
      <c r="K52" s="10">
        <v>1736.0</v>
      </c>
      <c r="L52" s="10">
        <v>0.0039</v>
      </c>
      <c r="M52" s="10">
        <v>1082.0</v>
      </c>
      <c r="N52" s="10">
        <v>4240.0</v>
      </c>
      <c r="O52" s="10">
        <v>6527.0</v>
      </c>
      <c r="P52" s="10">
        <v>8882.0</v>
      </c>
      <c r="Q52" s="10">
        <v>694.0</v>
      </c>
      <c r="R52" s="7" t="s">
        <v>284</v>
      </c>
      <c r="S52" s="7" t="s">
        <v>285</v>
      </c>
      <c r="T52" s="57" t="s">
        <v>168</v>
      </c>
      <c r="U52" s="57" t="s">
        <v>50</v>
      </c>
      <c r="V52" s="57" t="s">
        <v>169</v>
      </c>
      <c r="W52" s="59">
        <v>10.0</v>
      </c>
    </row>
    <row r="53">
      <c r="A53" s="54">
        <v>46105.52276620371</v>
      </c>
      <c r="B53" s="7" t="s">
        <v>225</v>
      </c>
      <c r="C53" s="21" t="s">
        <v>45</v>
      </c>
      <c r="D53" s="9" t="str">
        <f t="shared" si="4"/>
        <v>main</v>
      </c>
      <c r="E53" s="7" t="s">
        <v>34</v>
      </c>
      <c r="F53" s="10">
        <v>81.0</v>
      </c>
      <c r="G53" s="10">
        <v>1948.0</v>
      </c>
      <c r="H53" s="10">
        <v>445.0</v>
      </c>
      <c r="I53" s="10">
        <v>2.0E-4</v>
      </c>
      <c r="J53" s="10">
        <v>2203.0</v>
      </c>
      <c r="K53" s="10">
        <v>508.0</v>
      </c>
      <c r="L53" s="10">
        <v>2.0E-4</v>
      </c>
      <c r="M53" s="10">
        <v>203.0</v>
      </c>
      <c r="N53" s="10">
        <v>1228.0</v>
      </c>
      <c r="O53" s="10">
        <v>2535.0</v>
      </c>
      <c r="P53" s="10">
        <v>2400.0</v>
      </c>
      <c r="Q53" s="10">
        <v>683.0</v>
      </c>
      <c r="R53" s="7" t="s">
        <v>286</v>
      </c>
      <c r="S53" s="7" t="s">
        <v>285</v>
      </c>
      <c r="T53" s="57" t="s">
        <v>168</v>
      </c>
      <c r="U53" s="57" t="s">
        <v>50</v>
      </c>
      <c r="V53" s="57" t="s">
        <v>169</v>
      </c>
      <c r="W53" s="59">
        <v>10.0</v>
      </c>
    </row>
    <row r="54">
      <c r="A54" s="54">
        <v>46105.52344907408</v>
      </c>
      <c r="B54" s="7" t="s">
        <v>225</v>
      </c>
      <c r="C54" s="21" t="s">
        <v>45</v>
      </c>
      <c r="D54" s="9" t="str">
        <f t="shared" ref="D54:D55" si="5">HYPERLINK("https://t.vrporn.com/pornstars/?sort=latest", "models")</f>
        <v>models</v>
      </c>
      <c r="E54" s="7" t="s">
        <v>35</v>
      </c>
      <c r="F54" s="10">
        <v>50.0</v>
      </c>
      <c r="G54" s="10">
        <v>4782.0</v>
      </c>
      <c r="H54" s="10">
        <v>1077.0</v>
      </c>
      <c r="I54" s="10">
        <v>0.0039</v>
      </c>
      <c r="J54" s="10">
        <v>4797.0</v>
      </c>
      <c r="K54" s="10">
        <v>1120.0</v>
      </c>
      <c r="L54" s="10">
        <v>0.0039</v>
      </c>
      <c r="M54" s="10">
        <v>1482.0</v>
      </c>
      <c r="N54" s="10">
        <v>3770.0</v>
      </c>
      <c r="O54" s="10">
        <v>5136.0</v>
      </c>
      <c r="P54" s="10">
        <v>6648.0</v>
      </c>
      <c r="Q54" s="10">
        <v>318.0</v>
      </c>
      <c r="R54" s="7" t="s">
        <v>284</v>
      </c>
      <c r="S54" s="7" t="s">
        <v>285</v>
      </c>
      <c r="T54" s="57" t="s">
        <v>168</v>
      </c>
      <c r="U54" s="57" t="s">
        <v>50</v>
      </c>
      <c r="V54" s="57" t="s">
        <v>169</v>
      </c>
      <c r="W54" s="59">
        <v>10.0</v>
      </c>
    </row>
    <row r="55">
      <c r="A55" s="54">
        <v>46105.52563657407</v>
      </c>
      <c r="B55" s="7" t="s">
        <v>225</v>
      </c>
      <c r="C55" s="21" t="s">
        <v>45</v>
      </c>
      <c r="D55" s="9" t="str">
        <f t="shared" si="5"/>
        <v>models</v>
      </c>
      <c r="E55" s="7" t="s">
        <v>34</v>
      </c>
      <c r="F55" s="10">
        <v>87.0</v>
      </c>
      <c r="G55" s="10">
        <v>1456.0</v>
      </c>
      <c r="H55" s="10">
        <v>209.0</v>
      </c>
      <c r="I55" s="10">
        <v>2.0E-4</v>
      </c>
      <c r="J55" s="10">
        <v>1460.0</v>
      </c>
      <c r="K55" s="10">
        <v>209.0</v>
      </c>
      <c r="L55" s="10">
        <v>2.0E-4</v>
      </c>
      <c r="M55" s="10">
        <v>153.0</v>
      </c>
      <c r="N55" s="10">
        <v>1141.0</v>
      </c>
      <c r="O55" s="10">
        <v>2020.0</v>
      </c>
      <c r="P55" s="10">
        <v>1580.0</v>
      </c>
      <c r="Q55" s="10">
        <v>314.0</v>
      </c>
      <c r="R55" s="7" t="s">
        <v>286</v>
      </c>
      <c r="S55" s="7" t="s">
        <v>285</v>
      </c>
      <c r="T55" s="57" t="s">
        <v>168</v>
      </c>
      <c r="U55" s="57" t="s">
        <v>50</v>
      </c>
      <c r="V55" s="57" t="s">
        <v>169</v>
      </c>
      <c r="W55" s="59">
        <v>10.0</v>
      </c>
    </row>
    <row r="56">
      <c r="A56" s="54">
        <v>46105.52583333333</v>
      </c>
      <c r="B56" s="7" t="s">
        <v>225</v>
      </c>
      <c r="C56" s="21" t="s">
        <v>45</v>
      </c>
      <c r="D56" s="9" t="str">
        <f>HYPERLINK("https://t.vrporn.com/pornstars/samy-sun/", "s_model")</f>
        <v>s_model</v>
      </c>
      <c r="E56" s="7" t="s">
        <v>35</v>
      </c>
      <c r="F56" s="10">
        <v>52.0</v>
      </c>
      <c r="G56" s="10">
        <v>4966.0</v>
      </c>
      <c r="H56" s="10">
        <v>763.0</v>
      </c>
      <c r="I56" s="10">
        <v>0.0039</v>
      </c>
      <c r="J56" s="10">
        <v>5002.0</v>
      </c>
      <c r="K56" s="10">
        <v>769.0</v>
      </c>
      <c r="L56" s="10">
        <v>0.0039</v>
      </c>
      <c r="M56" s="10">
        <v>976.0</v>
      </c>
      <c r="N56" s="10">
        <v>3832.0</v>
      </c>
      <c r="O56" s="10">
        <v>4885.0</v>
      </c>
      <c r="P56" s="10">
        <v>6512.0</v>
      </c>
      <c r="Q56" s="10">
        <v>306.0</v>
      </c>
      <c r="R56" s="7" t="s">
        <v>284</v>
      </c>
      <c r="S56" s="7" t="s">
        <v>285</v>
      </c>
      <c r="T56" s="57" t="s">
        <v>168</v>
      </c>
      <c r="U56" s="57" t="s">
        <v>50</v>
      </c>
      <c r="V56" s="57" t="s">
        <v>169</v>
      </c>
      <c r="W56" s="59">
        <v>10.0</v>
      </c>
    </row>
    <row r="57">
      <c r="A57" s="54">
        <v>46105.52819444444</v>
      </c>
      <c r="B57" s="7" t="s">
        <v>225</v>
      </c>
      <c r="C57" s="21" t="s">
        <v>45</v>
      </c>
      <c r="D57" s="9" t="str">
        <f>HYPERLINK("https://t.vrporn.com/categories/", "categories")</f>
        <v>categories</v>
      </c>
      <c r="E57" s="7" t="s">
        <v>35</v>
      </c>
      <c r="F57" s="10">
        <v>55.0</v>
      </c>
      <c r="G57" s="10">
        <v>5104.0</v>
      </c>
      <c r="H57" s="10">
        <v>748.0</v>
      </c>
      <c r="I57" s="10">
        <v>0.0039</v>
      </c>
      <c r="J57" s="10">
        <v>5428.0</v>
      </c>
      <c r="K57" s="10">
        <v>756.0</v>
      </c>
      <c r="L57" s="10">
        <v>0.0039</v>
      </c>
      <c r="M57" s="10">
        <v>621.0</v>
      </c>
      <c r="N57" s="10">
        <v>4094.0</v>
      </c>
      <c r="O57" s="10">
        <v>5512.0</v>
      </c>
      <c r="P57" s="10">
        <v>8020.0</v>
      </c>
      <c r="Q57" s="10">
        <v>307.0</v>
      </c>
      <c r="R57" s="7" t="s">
        <v>284</v>
      </c>
      <c r="S57" s="7" t="s">
        <v>285</v>
      </c>
      <c r="T57" s="57" t="s">
        <v>168</v>
      </c>
      <c r="U57" s="57" t="s">
        <v>50</v>
      </c>
      <c r="V57" s="57" t="s">
        <v>169</v>
      </c>
      <c r="W57" s="59">
        <v>10.0</v>
      </c>
    </row>
    <row r="58">
      <c r="A58" s="54">
        <v>46105.528865740744</v>
      </c>
      <c r="B58" s="7" t="s">
        <v>225</v>
      </c>
      <c r="C58" s="21" t="s">
        <v>45</v>
      </c>
      <c r="D58" s="9" t="str">
        <f>HYPERLINK("https://t.vrporn.com/pornstars/samy-sun/", "s_model")</f>
        <v>s_model</v>
      </c>
      <c r="E58" s="7" t="s">
        <v>34</v>
      </c>
      <c r="F58" s="10">
        <v>90.0</v>
      </c>
      <c r="G58" s="10">
        <v>1516.0</v>
      </c>
      <c r="H58" s="10">
        <v>166.0</v>
      </c>
      <c r="I58" s="10">
        <v>2.0E-4</v>
      </c>
      <c r="J58" s="10">
        <v>1531.0</v>
      </c>
      <c r="K58" s="10">
        <v>170.0</v>
      </c>
      <c r="L58" s="10">
        <v>2.0E-4</v>
      </c>
      <c r="M58" s="10">
        <v>58.0</v>
      </c>
      <c r="N58" s="10">
        <v>1180.0</v>
      </c>
      <c r="O58" s="10">
        <v>1923.0</v>
      </c>
      <c r="P58" s="10">
        <v>1617.0</v>
      </c>
      <c r="Q58" s="10">
        <v>304.0</v>
      </c>
      <c r="R58" s="7" t="s">
        <v>286</v>
      </c>
      <c r="S58" s="7" t="s">
        <v>285</v>
      </c>
      <c r="T58" s="57" t="s">
        <v>168</v>
      </c>
      <c r="U58" s="57" t="s">
        <v>50</v>
      </c>
      <c r="V58" s="57" t="s">
        <v>169</v>
      </c>
      <c r="W58" s="59">
        <v>10.0</v>
      </c>
    </row>
    <row r="59">
      <c r="A59" s="54">
        <v>46105.530752314815</v>
      </c>
      <c r="B59" s="7" t="s">
        <v>225</v>
      </c>
      <c r="C59" s="21" t="s">
        <v>45</v>
      </c>
      <c r="D59" s="9" t="str">
        <f>HYPERLINK("https://t.vrporn.com/tag/anal/", "s_category")</f>
        <v>s_category</v>
      </c>
      <c r="E59" s="7" t="s">
        <v>35</v>
      </c>
      <c r="F59" s="10">
        <v>39.0</v>
      </c>
      <c r="G59" s="10">
        <v>6413.0</v>
      </c>
      <c r="H59" s="10">
        <v>1520.0</v>
      </c>
      <c r="I59" s="10">
        <v>0.0039</v>
      </c>
      <c r="J59" s="10">
        <v>6620.0</v>
      </c>
      <c r="K59" s="10">
        <v>1550.0</v>
      </c>
      <c r="L59" s="10">
        <v>0.0039</v>
      </c>
      <c r="M59" s="10">
        <v>1554.0</v>
      </c>
      <c r="N59" s="10">
        <v>4077.0</v>
      </c>
      <c r="O59" s="10">
        <v>5809.0</v>
      </c>
      <c r="P59" s="10">
        <v>8921.0</v>
      </c>
      <c r="Q59" s="10">
        <v>417.0</v>
      </c>
      <c r="R59" s="7" t="s">
        <v>284</v>
      </c>
      <c r="S59" s="7" t="s">
        <v>285</v>
      </c>
      <c r="T59" s="57" t="s">
        <v>168</v>
      </c>
      <c r="U59" s="57" t="s">
        <v>50</v>
      </c>
      <c r="V59" s="57" t="s">
        <v>169</v>
      </c>
      <c r="W59" s="59">
        <v>10.0</v>
      </c>
    </row>
    <row r="60">
      <c r="A60" s="54">
        <v>46105.53328703704</v>
      </c>
      <c r="B60" s="7" t="s">
        <v>225</v>
      </c>
      <c r="C60" s="21" t="s">
        <v>45</v>
      </c>
      <c r="D60" s="9" t="str">
        <f>HYPERLINK("https://t.vrporn.com/studio/vrbangers/", "s_studio")</f>
        <v>s_studio</v>
      </c>
      <c r="E60" s="7" t="s">
        <v>35</v>
      </c>
      <c r="F60" s="10">
        <v>43.0</v>
      </c>
      <c r="G60" s="10">
        <v>6574.0</v>
      </c>
      <c r="H60" s="10">
        <v>1585.0</v>
      </c>
      <c r="I60" s="10">
        <v>0.0039</v>
      </c>
      <c r="J60" s="10">
        <v>6732.0</v>
      </c>
      <c r="K60" s="10">
        <v>1670.0</v>
      </c>
      <c r="L60" s="10">
        <v>0.0039</v>
      </c>
      <c r="M60" s="10">
        <v>1063.0</v>
      </c>
      <c r="N60" s="10">
        <v>4397.0</v>
      </c>
      <c r="O60" s="10">
        <v>6355.0</v>
      </c>
      <c r="P60" s="10">
        <v>8745.0</v>
      </c>
      <c r="Q60" s="10">
        <v>469.0</v>
      </c>
      <c r="R60" s="7" t="s">
        <v>284</v>
      </c>
      <c r="S60" s="7" t="s">
        <v>285</v>
      </c>
      <c r="T60" s="57" t="s">
        <v>168</v>
      </c>
      <c r="U60" s="57" t="s">
        <v>50</v>
      </c>
      <c r="V60" s="57" t="s">
        <v>169</v>
      </c>
      <c r="W60" s="59">
        <v>10.0</v>
      </c>
    </row>
    <row r="61">
      <c r="A61" s="54">
        <v>46105.53376157407</v>
      </c>
      <c r="B61" s="7" t="s">
        <v>225</v>
      </c>
      <c r="C61" s="21" t="s">
        <v>45</v>
      </c>
      <c r="D61" s="9" t="str">
        <f>HYPERLINK("https://t.vrporn.com/categories/", "categories")</f>
        <v>categories</v>
      </c>
      <c r="E61" s="7" t="s">
        <v>34</v>
      </c>
      <c r="F61" s="10">
        <v>87.0</v>
      </c>
      <c r="G61" s="10">
        <v>1551.0</v>
      </c>
      <c r="H61" s="10">
        <v>184.0</v>
      </c>
      <c r="I61" s="10">
        <v>2.0E-4</v>
      </c>
      <c r="J61" s="10">
        <v>1590.0</v>
      </c>
      <c r="K61" s="10">
        <v>188.0</v>
      </c>
      <c r="L61" s="10">
        <v>2.0E-4</v>
      </c>
      <c r="M61" s="10">
        <v>139.0</v>
      </c>
      <c r="N61" s="10">
        <v>1156.0</v>
      </c>
      <c r="O61" s="10">
        <v>2016.0</v>
      </c>
      <c r="P61" s="10">
        <v>1629.0</v>
      </c>
      <c r="Q61" s="10">
        <v>309.0</v>
      </c>
      <c r="R61" s="7" t="s">
        <v>286</v>
      </c>
      <c r="S61" s="7" t="s">
        <v>285</v>
      </c>
      <c r="T61" s="57" t="s">
        <v>168</v>
      </c>
      <c r="U61" s="57" t="s">
        <v>50</v>
      </c>
      <c r="V61" s="57" t="s">
        <v>169</v>
      </c>
      <c r="W61" s="59">
        <v>10.0</v>
      </c>
    </row>
    <row r="62">
      <c r="A62" s="54">
        <v>46105.53636574074</v>
      </c>
      <c r="B62" s="7" t="s">
        <v>225</v>
      </c>
      <c r="C62" s="21" t="s">
        <v>45</v>
      </c>
      <c r="D62" s="9" t="str">
        <f>HYPERLINK("https://t.vrporn.com/camgirls/", "dreams")</f>
        <v>dreams</v>
      </c>
      <c r="E62" s="7" t="s">
        <v>35</v>
      </c>
      <c r="F62" s="10">
        <v>45.0</v>
      </c>
      <c r="G62" s="10">
        <v>5078.0</v>
      </c>
      <c r="H62" s="10">
        <v>618.0</v>
      </c>
      <c r="I62" s="10">
        <v>0.0039</v>
      </c>
      <c r="J62" s="10">
        <v>5144.0</v>
      </c>
      <c r="K62" s="10">
        <v>628.0</v>
      </c>
      <c r="L62" s="10">
        <v>0.0039</v>
      </c>
      <c r="M62" s="10">
        <v>931.0</v>
      </c>
      <c r="N62" s="10">
        <v>3989.0</v>
      </c>
      <c r="O62" s="10">
        <v>11788.0</v>
      </c>
      <c r="P62" s="10">
        <v>7471.0</v>
      </c>
      <c r="Q62" s="10">
        <v>5060.0</v>
      </c>
      <c r="R62" s="7" t="s">
        <v>284</v>
      </c>
      <c r="S62" s="7" t="s">
        <v>285</v>
      </c>
      <c r="T62" s="57" t="s">
        <v>168</v>
      </c>
      <c r="U62" s="57" t="s">
        <v>50</v>
      </c>
      <c r="V62" s="57" t="s">
        <v>169</v>
      </c>
      <c r="W62" s="59">
        <v>10.0</v>
      </c>
    </row>
    <row r="63">
      <c r="A63" s="54">
        <v>46105.5412037037</v>
      </c>
      <c r="B63" s="7" t="s">
        <v>225</v>
      </c>
      <c r="C63" s="21" t="s">
        <v>45</v>
      </c>
      <c r="D63" s="9" t="str">
        <f>HYPERLINK("https://t.vrporn.com/tag/anal/", "s_category")</f>
        <v>s_category</v>
      </c>
      <c r="E63" s="7" t="s">
        <v>34</v>
      </c>
      <c r="F63" s="10">
        <v>83.0</v>
      </c>
      <c r="G63" s="10">
        <v>1667.0</v>
      </c>
      <c r="H63" s="10">
        <v>351.0</v>
      </c>
      <c r="I63" s="10">
        <v>2.0E-4</v>
      </c>
      <c r="J63" s="10">
        <v>1738.0</v>
      </c>
      <c r="K63" s="10">
        <v>378.0</v>
      </c>
      <c r="L63" s="10">
        <v>2.0E-4</v>
      </c>
      <c r="M63" s="10">
        <v>196.0</v>
      </c>
      <c r="N63" s="10">
        <v>1177.0</v>
      </c>
      <c r="O63" s="10">
        <v>2321.0</v>
      </c>
      <c r="P63" s="10">
        <v>2017.0</v>
      </c>
      <c r="Q63" s="10">
        <v>449.0</v>
      </c>
      <c r="R63" s="7" t="s">
        <v>286</v>
      </c>
      <c r="S63" s="7" t="s">
        <v>285</v>
      </c>
      <c r="T63" s="57" t="s">
        <v>168</v>
      </c>
      <c r="U63" s="57" t="s">
        <v>50</v>
      </c>
      <c r="V63" s="57" t="s">
        <v>169</v>
      </c>
      <c r="W63" s="59">
        <v>10.0</v>
      </c>
    </row>
    <row r="64">
      <c r="A64" s="54">
        <v>46105.54857638889</v>
      </c>
      <c r="B64" s="7" t="s">
        <v>225</v>
      </c>
      <c r="C64" s="21" t="s">
        <v>45</v>
      </c>
      <c r="D64" s="9" t="str">
        <f>HYPERLINK("https://t.vrporn.com/studio/vrbangers/", "s_studio")</f>
        <v>s_studio</v>
      </c>
      <c r="E64" s="7" t="s">
        <v>34</v>
      </c>
      <c r="F64" s="10">
        <v>66.0</v>
      </c>
      <c r="G64" s="10">
        <v>2316.0</v>
      </c>
      <c r="H64" s="10">
        <v>375.0</v>
      </c>
      <c r="I64" s="10">
        <v>2.0E-4</v>
      </c>
      <c r="J64" s="10">
        <v>2419.0</v>
      </c>
      <c r="K64" s="10">
        <v>387.0</v>
      </c>
      <c r="L64" s="10">
        <v>2.0E-4</v>
      </c>
      <c r="M64" s="10">
        <v>330.0</v>
      </c>
      <c r="N64" s="10">
        <v>1741.0</v>
      </c>
      <c r="O64" s="10">
        <v>2465.0</v>
      </c>
      <c r="P64" s="10">
        <v>2602.0</v>
      </c>
      <c r="Q64" s="10">
        <v>436.0</v>
      </c>
      <c r="R64" s="7" t="s">
        <v>286</v>
      </c>
      <c r="S64" s="7" t="s">
        <v>285</v>
      </c>
      <c r="T64" s="57" t="s">
        <v>168</v>
      </c>
      <c r="U64" s="57" t="s">
        <v>50</v>
      </c>
      <c r="V64" s="57" t="s">
        <v>169</v>
      </c>
      <c r="W64" s="59">
        <v>10.0</v>
      </c>
    </row>
    <row r="65">
      <c r="A65" s="54">
        <v>46105.555914351855</v>
      </c>
      <c r="B65" s="7" t="s">
        <v>225</v>
      </c>
      <c r="C65" s="21" t="s">
        <v>45</v>
      </c>
      <c r="D65" s="9" t="str">
        <f>HYPERLINK("https://t.vrporn.com/camgirls/", "dreams")</f>
        <v>dreams</v>
      </c>
      <c r="E65" s="7" t="s">
        <v>34</v>
      </c>
      <c r="F65" s="10">
        <v>84.0</v>
      </c>
      <c r="G65" s="10">
        <v>1548.0</v>
      </c>
      <c r="H65" s="10">
        <v>146.0</v>
      </c>
      <c r="I65" s="10">
        <v>2.0E-4</v>
      </c>
      <c r="J65" s="10">
        <v>1613.0</v>
      </c>
      <c r="K65" s="10">
        <v>181.0</v>
      </c>
      <c r="L65" s="10">
        <v>2.0E-4</v>
      </c>
      <c r="M65" s="10">
        <v>65.0</v>
      </c>
      <c r="N65" s="10">
        <v>1149.0</v>
      </c>
      <c r="O65" s="10">
        <v>4748.0</v>
      </c>
      <c r="P65" s="10">
        <v>1707.0</v>
      </c>
      <c r="Q65" s="10">
        <v>5058.0</v>
      </c>
      <c r="R65" s="7" t="s">
        <v>286</v>
      </c>
      <c r="S65" s="7" t="s">
        <v>285</v>
      </c>
      <c r="T65" s="57" t="s">
        <v>168</v>
      </c>
      <c r="U65" s="57" t="s">
        <v>50</v>
      </c>
      <c r="V65" s="57" t="s">
        <v>169</v>
      </c>
      <c r="W65" s="59">
        <v>10.0</v>
      </c>
    </row>
    <row r="66">
      <c r="A66" s="54"/>
      <c r="B66" s="11"/>
      <c r="C66" s="15"/>
      <c r="D66" s="20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5"/>
      <c r="U66" s="15"/>
      <c r="V66" s="15"/>
      <c r="W66" s="15"/>
    </row>
    <row r="67">
      <c r="A67" s="54"/>
      <c r="B67" s="11"/>
      <c r="C67" s="21"/>
      <c r="D67" s="20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5"/>
      <c r="U67" s="15"/>
      <c r="V67" s="15"/>
      <c r="W67" s="15"/>
    </row>
    <row r="68">
      <c r="A68" s="22"/>
      <c r="B68" s="11"/>
      <c r="C68" s="21"/>
      <c r="D68" s="2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5"/>
      <c r="U68" s="15"/>
      <c r="V68" s="15"/>
      <c r="W68" s="15"/>
    </row>
    <row r="69">
      <c r="A69" s="22"/>
      <c r="B69" s="11"/>
      <c r="C69" s="21"/>
      <c r="D69" s="2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5"/>
      <c r="U69" s="15"/>
      <c r="V69" s="15"/>
      <c r="W69" s="15"/>
    </row>
    <row r="70">
      <c r="A70" s="22"/>
      <c r="B70" s="11"/>
      <c r="C70" s="21"/>
      <c r="D70" s="2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5"/>
      <c r="U70" s="15"/>
      <c r="V70" s="15"/>
      <c r="W70" s="15"/>
    </row>
    <row r="71">
      <c r="A71" s="22"/>
      <c r="B71" s="11"/>
      <c r="C71" s="21"/>
      <c r="D71" s="2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5"/>
      <c r="U71" s="15"/>
      <c r="V71" s="15"/>
      <c r="W71" s="15"/>
    </row>
    <row r="72">
      <c r="A72" s="22"/>
      <c r="B72" s="11"/>
      <c r="C72" s="21"/>
      <c r="D72" s="2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5"/>
      <c r="U72" s="15"/>
      <c r="V72" s="15"/>
      <c r="W72" s="15"/>
    </row>
    <row r="73">
      <c r="A73" s="22"/>
      <c r="B73" s="11"/>
      <c r="C73" s="21"/>
      <c r="D73" s="2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5"/>
      <c r="U73" s="15"/>
      <c r="V73" s="15"/>
      <c r="W73" s="15"/>
    </row>
    <row r="74">
      <c r="A74" s="22"/>
      <c r="B74" s="11"/>
      <c r="C74" s="21"/>
      <c r="D74" s="2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5"/>
      <c r="U74" s="15"/>
      <c r="V74" s="15"/>
      <c r="W74" s="15"/>
    </row>
    <row r="75">
      <c r="A75" s="22"/>
      <c r="B75" s="11"/>
      <c r="C75" s="21"/>
      <c r="D75" s="2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5"/>
      <c r="U75" s="15"/>
      <c r="V75" s="15"/>
      <c r="W75" s="15"/>
    </row>
    <row r="76">
      <c r="A76" s="22"/>
      <c r="B76" s="11"/>
      <c r="C76" s="21"/>
      <c r="D76" s="2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5"/>
      <c r="U76" s="15"/>
      <c r="V76" s="15"/>
      <c r="W76" s="15"/>
    </row>
    <row r="77">
      <c r="A77" s="22"/>
      <c r="B77" s="11"/>
      <c r="C77" s="21"/>
      <c r="D77" s="2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5"/>
      <c r="U77" s="15"/>
      <c r="V77" s="15"/>
      <c r="W77" s="15"/>
    </row>
    <row r="78">
      <c r="A78" s="22"/>
      <c r="B78" s="11"/>
      <c r="C78" s="21"/>
      <c r="D78" s="2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5"/>
      <c r="U78" s="15"/>
      <c r="V78" s="15"/>
      <c r="W78" s="15"/>
    </row>
    <row r="79">
      <c r="A79" s="22"/>
      <c r="B79" s="11"/>
      <c r="C79" s="21"/>
      <c r="D79" s="2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5"/>
      <c r="U79" s="15"/>
      <c r="V79" s="15"/>
      <c r="W79" s="15"/>
    </row>
    <row r="80">
      <c r="A80" s="22"/>
      <c r="B80" s="11"/>
      <c r="C80" s="21"/>
      <c r="D80" s="2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5"/>
      <c r="U80" s="15"/>
      <c r="V80" s="15"/>
      <c r="W80" s="15"/>
    </row>
    <row r="81">
      <c r="A81" s="22"/>
      <c r="B81" s="11"/>
      <c r="C81" s="21"/>
      <c r="D81" s="2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5"/>
      <c r="U81" s="15"/>
      <c r="V81" s="15"/>
      <c r="W81" s="15"/>
    </row>
    <row r="82">
      <c r="A82" s="22"/>
      <c r="B82" s="11"/>
      <c r="C82" s="21"/>
      <c r="D82" s="2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5"/>
      <c r="U82" s="15"/>
      <c r="V82" s="15"/>
      <c r="W82" s="15"/>
    </row>
    <row r="83">
      <c r="A83" s="22"/>
      <c r="B83" s="11"/>
      <c r="C83" s="21"/>
      <c r="D83" s="2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5"/>
      <c r="U83" s="15"/>
      <c r="V83" s="15"/>
      <c r="W83" s="15"/>
    </row>
    <row r="84">
      <c r="A84" s="22"/>
      <c r="B84" s="11"/>
      <c r="C84" s="21"/>
      <c r="D84" s="2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5"/>
      <c r="U84" s="15"/>
      <c r="V84" s="15"/>
      <c r="W84" s="15"/>
    </row>
    <row r="85">
      <c r="A85" s="22"/>
      <c r="B85" s="11"/>
      <c r="C85" s="21"/>
      <c r="D85" s="2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5"/>
      <c r="U85" s="15"/>
      <c r="V85" s="15"/>
      <c r="W85" s="15"/>
    </row>
    <row r="86">
      <c r="A86" s="22"/>
      <c r="B86" s="11"/>
      <c r="C86" s="21"/>
      <c r="D86" s="2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5"/>
      <c r="U86" s="15"/>
      <c r="V86" s="15"/>
      <c r="W86" s="15"/>
    </row>
    <row r="87">
      <c r="A87" s="54"/>
      <c r="B87" s="11"/>
      <c r="C87" s="21"/>
      <c r="D87" s="20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5"/>
      <c r="U87" s="15"/>
      <c r="V87" s="15"/>
      <c r="W87" s="15"/>
    </row>
    <row r="88">
      <c r="A88" s="54"/>
      <c r="B88" s="11"/>
      <c r="C88" s="21"/>
      <c r="D88" s="2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5"/>
      <c r="U88" s="15"/>
      <c r="V88" s="15"/>
      <c r="W88" s="15"/>
    </row>
    <row r="89">
      <c r="A89" s="54"/>
      <c r="B89" s="11"/>
      <c r="C89" s="21"/>
      <c r="D89" s="2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5"/>
      <c r="U89" s="15"/>
      <c r="V89" s="15"/>
      <c r="W89" s="15"/>
    </row>
    <row r="90">
      <c r="A90" s="54"/>
      <c r="B90" s="11"/>
      <c r="C90" s="21"/>
      <c r="D90" s="2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5"/>
      <c r="U90" s="15"/>
      <c r="V90" s="15"/>
      <c r="W90" s="15"/>
    </row>
    <row r="91">
      <c r="A91" s="54"/>
      <c r="B91" s="11"/>
      <c r="C91" s="21"/>
      <c r="D91" s="2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5"/>
      <c r="U91" s="15"/>
      <c r="V91" s="15"/>
      <c r="W91" s="15"/>
    </row>
    <row r="92">
      <c r="A92" s="54"/>
      <c r="B92" s="11"/>
      <c r="C92" s="21"/>
      <c r="D92" s="2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5"/>
      <c r="U92" s="15"/>
      <c r="V92" s="15"/>
      <c r="W92" s="15"/>
    </row>
    <row r="93">
      <c r="A93" s="54"/>
      <c r="B93" s="11"/>
      <c r="C93" s="21"/>
      <c r="D93" s="2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5"/>
      <c r="U93" s="15"/>
      <c r="V93" s="15"/>
      <c r="W93" s="15"/>
    </row>
    <row r="94">
      <c r="A94" s="54"/>
      <c r="B94" s="11"/>
      <c r="C94" s="21"/>
      <c r="D94" s="2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5"/>
      <c r="U94" s="15"/>
      <c r="V94" s="15"/>
      <c r="W94" s="15"/>
    </row>
    <row r="95">
      <c r="A95" s="54"/>
      <c r="B95" s="11"/>
      <c r="C95" s="21"/>
      <c r="D95" s="2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5"/>
      <c r="U95" s="15"/>
      <c r="V95" s="15"/>
      <c r="W95" s="15"/>
    </row>
    <row r="96">
      <c r="A96" s="54"/>
      <c r="B96" s="11"/>
      <c r="C96" s="21"/>
      <c r="D96" s="2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5"/>
      <c r="U96" s="15"/>
      <c r="V96" s="15"/>
      <c r="W96" s="15"/>
    </row>
    <row r="97">
      <c r="A97" s="54"/>
      <c r="B97" s="11"/>
      <c r="C97" s="21"/>
      <c r="D97" s="2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5"/>
      <c r="U97" s="15"/>
      <c r="V97" s="15"/>
      <c r="W97" s="15"/>
    </row>
    <row r="98">
      <c r="A98" s="54"/>
      <c r="B98" s="11"/>
      <c r="C98" s="21"/>
      <c r="D98" s="2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5"/>
      <c r="U98" s="15"/>
      <c r="V98" s="15"/>
      <c r="W98" s="15"/>
    </row>
    <row r="99">
      <c r="A99" s="54"/>
      <c r="B99" s="11"/>
      <c r="C99" s="21"/>
      <c r="D99" s="2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5"/>
      <c r="U99" s="15"/>
      <c r="V99" s="15"/>
      <c r="W99" s="15"/>
    </row>
    <row r="100">
      <c r="A100" s="54"/>
      <c r="B100" s="11"/>
      <c r="C100" s="21"/>
      <c r="D100" s="2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5"/>
      <c r="U100" s="15"/>
      <c r="V100" s="15"/>
      <c r="W100" s="15"/>
    </row>
    <row r="101">
      <c r="A101" s="54"/>
      <c r="B101" s="11"/>
      <c r="C101" s="21"/>
      <c r="D101" s="2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5"/>
      <c r="U101" s="15"/>
      <c r="V101" s="15"/>
      <c r="W101" s="15"/>
    </row>
    <row r="102">
      <c r="A102" s="54"/>
      <c r="B102" s="11"/>
      <c r="C102" s="21"/>
      <c r="D102" s="2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5"/>
      <c r="U102" s="15"/>
      <c r="V102" s="15"/>
      <c r="W102" s="15"/>
    </row>
    <row r="103">
      <c r="A103" s="54"/>
      <c r="B103" s="11"/>
      <c r="C103" s="21"/>
      <c r="D103" s="2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5"/>
      <c r="U103" s="15"/>
      <c r="V103" s="15"/>
      <c r="W103" s="15"/>
    </row>
    <row r="104">
      <c r="A104" s="54"/>
      <c r="B104" s="11"/>
      <c r="C104" s="21"/>
      <c r="D104" s="2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5"/>
      <c r="U104" s="15"/>
      <c r="V104" s="15"/>
      <c r="W104" s="15"/>
    </row>
    <row r="105">
      <c r="A105" s="54"/>
      <c r="B105" s="11"/>
      <c r="C105" s="21"/>
      <c r="D105" s="2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5"/>
      <c r="U105" s="15"/>
      <c r="V105" s="15"/>
      <c r="W105" s="15"/>
    </row>
    <row r="106">
      <c r="A106" s="54"/>
      <c r="B106" s="11"/>
      <c r="C106" s="21"/>
      <c r="D106" s="2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5"/>
      <c r="U106" s="15"/>
      <c r="V106" s="15"/>
      <c r="W106" s="15"/>
    </row>
    <row r="107">
      <c r="A107" s="54"/>
      <c r="B107" s="11"/>
      <c r="C107" s="21"/>
      <c r="D107" s="2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5"/>
      <c r="U107" s="15"/>
      <c r="V107" s="15"/>
      <c r="W107" s="15"/>
    </row>
    <row r="108">
      <c r="A108" s="54"/>
      <c r="B108" s="11"/>
      <c r="C108" s="21"/>
      <c r="D108" s="2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5"/>
      <c r="U108" s="15"/>
      <c r="V108" s="15"/>
      <c r="W108" s="15"/>
    </row>
    <row r="109">
      <c r="A109" s="54"/>
      <c r="B109" s="11"/>
      <c r="C109" s="21"/>
      <c r="D109" s="2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5"/>
      <c r="U109" s="15"/>
      <c r="V109" s="15"/>
      <c r="W109" s="15"/>
    </row>
    <row r="110">
      <c r="A110" s="54"/>
      <c r="B110" s="11"/>
      <c r="C110" s="21"/>
      <c r="D110" s="2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5"/>
      <c r="U110" s="15"/>
      <c r="V110" s="15"/>
      <c r="W110" s="15"/>
    </row>
    <row r="111">
      <c r="A111" s="54"/>
      <c r="B111" s="11"/>
      <c r="C111" s="21"/>
      <c r="D111" s="2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5"/>
      <c r="U111" s="15"/>
      <c r="V111" s="15"/>
      <c r="W111" s="15"/>
    </row>
    <row r="112">
      <c r="A112" s="54"/>
      <c r="B112" s="11"/>
      <c r="C112" s="21"/>
      <c r="D112" s="2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5"/>
      <c r="U112" s="15"/>
      <c r="V112" s="15"/>
      <c r="W112" s="15"/>
    </row>
    <row r="113">
      <c r="A113" s="54"/>
      <c r="B113" s="11"/>
      <c r="C113" s="21"/>
      <c r="D113" s="2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5"/>
      <c r="U113" s="15"/>
      <c r="V113" s="15"/>
      <c r="W113" s="15"/>
    </row>
    <row r="114">
      <c r="A114" s="22"/>
      <c r="B114" s="11"/>
      <c r="C114" s="21"/>
      <c r="D114" s="2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5"/>
      <c r="U114" s="15"/>
      <c r="V114" s="15"/>
      <c r="W114" s="15"/>
    </row>
    <row r="115">
      <c r="A115" s="22"/>
      <c r="B115" s="11"/>
      <c r="C115" s="21"/>
      <c r="D115" s="2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5"/>
      <c r="U115" s="15"/>
      <c r="V115" s="15"/>
      <c r="W115" s="15"/>
    </row>
    <row r="116">
      <c r="A116" s="22"/>
      <c r="B116" s="11"/>
      <c r="C116" s="21"/>
      <c r="D116" s="2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5"/>
      <c r="U116" s="15"/>
      <c r="V116" s="15"/>
      <c r="W116" s="15"/>
    </row>
    <row r="117">
      <c r="A117" s="22"/>
      <c r="B117" s="11"/>
      <c r="C117" s="21"/>
      <c r="D117" s="2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5"/>
      <c r="U117" s="15"/>
      <c r="V117" s="15"/>
      <c r="W117" s="15"/>
    </row>
    <row r="118">
      <c r="A118" s="22"/>
      <c r="B118" s="11"/>
      <c r="C118" s="21"/>
      <c r="D118" s="2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5"/>
      <c r="U118" s="15"/>
      <c r="V118" s="15"/>
      <c r="W118" s="15"/>
    </row>
    <row r="119">
      <c r="A119" s="22"/>
      <c r="B119" s="11"/>
      <c r="C119" s="21"/>
      <c r="D119" s="2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5"/>
      <c r="U119" s="15"/>
      <c r="V119" s="15"/>
      <c r="W119" s="15"/>
    </row>
    <row r="120">
      <c r="A120" s="22"/>
      <c r="B120" s="11"/>
      <c r="C120" s="21"/>
      <c r="D120" s="2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5"/>
      <c r="U120" s="15"/>
      <c r="V120" s="15"/>
      <c r="W120" s="15"/>
    </row>
    <row r="121">
      <c r="A121" s="22"/>
      <c r="B121" s="11"/>
      <c r="C121" s="20"/>
      <c r="D121" s="2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5"/>
      <c r="U121" s="15"/>
      <c r="V121" s="15"/>
      <c r="W121" s="15"/>
    </row>
    <row r="122">
      <c r="A122" s="22"/>
      <c r="B122" s="11"/>
      <c r="C122" s="20"/>
      <c r="D122" s="2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5"/>
      <c r="U122" s="15"/>
      <c r="V122" s="15"/>
      <c r="W122" s="15"/>
    </row>
    <row r="123">
      <c r="A123" s="22"/>
      <c r="B123" s="11"/>
      <c r="C123" s="20"/>
      <c r="D123" s="2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5"/>
      <c r="U123" s="15"/>
      <c r="V123" s="15"/>
      <c r="W123" s="15"/>
    </row>
    <row r="124">
      <c r="A124" s="22"/>
      <c r="B124" s="11"/>
      <c r="C124" s="20"/>
      <c r="D124" s="2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5"/>
      <c r="U124" s="15"/>
      <c r="V124" s="15"/>
      <c r="W124" s="15"/>
    </row>
    <row r="125">
      <c r="A125" s="22"/>
      <c r="B125" s="11"/>
      <c r="C125" s="20"/>
      <c r="D125" s="2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5"/>
      <c r="U125" s="15"/>
      <c r="V125" s="15"/>
      <c r="W125" s="15"/>
    </row>
    <row r="126">
      <c r="A126" s="22"/>
      <c r="B126" s="11"/>
      <c r="C126" s="20"/>
      <c r="D126" s="2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5"/>
      <c r="U126" s="15"/>
      <c r="V126" s="15"/>
      <c r="W126" s="15"/>
    </row>
    <row r="127">
      <c r="A127" s="22"/>
      <c r="B127" s="11"/>
      <c r="C127" s="20"/>
      <c r="D127" s="2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5"/>
      <c r="U127" s="15"/>
      <c r="V127" s="15"/>
      <c r="W127" s="15"/>
    </row>
    <row r="128">
      <c r="A128" s="22"/>
      <c r="B128" s="11"/>
      <c r="C128" s="20"/>
      <c r="D128" s="2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5"/>
      <c r="U128" s="15"/>
      <c r="V128" s="15"/>
      <c r="W128" s="15"/>
    </row>
    <row r="129">
      <c r="A129" s="22"/>
      <c r="B129" s="11"/>
      <c r="C129" s="20"/>
      <c r="D129" s="2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5"/>
      <c r="U129" s="15"/>
      <c r="V129" s="15"/>
      <c r="W129" s="15"/>
    </row>
    <row r="130">
      <c r="A130" s="22"/>
      <c r="B130" s="11"/>
      <c r="C130" s="20"/>
      <c r="D130" s="2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5"/>
      <c r="U130" s="15"/>
      <c r="V130" s="15"/>
      <c r="W130" s="15"/>
    </row>
    <row r="131">
      <c r="A131" s="22"/>
      <c r="B131" s="11"/>
      <c r="C131" s="20"/>
      <c r="D131" s="2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5"/>
      <c r="U131" s="15"/>
      <c r="V131" s="15"/>
      <c r="W131" s="15"/>
    </row>
    <row r="132">
      <c r="A132" s="22"/>
      <c r="B132" s="11"/>
      <c r="C132" s="20"/>
      <c r="D132" s="2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5"/>
      <c r="U132" s="15"/>
      <c r="V132" s="15"/>
      <c r="W132" s="15"/>
    </row>
    <row r="133">
      <c r="A133" s="54"/>
      <c r="B133" s="11"/>
      <c r="C133" s="20"/>
      <c r="D133" s="2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5"/>
      <c r="U133" s="15"/>
      <c r="V133" s="15"/>
      <c r="W133" s="15"/>
    </row>
    <row r="134">
      <c r="A134" s="54"/>
      <c r="B134" s="11"/>
      <c r="C134" s="20"/>
      <c r="D134" s="2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5"/>
      <c r="U134" s="15"/>
      <c r="V134" s="15"/>
      <c r="W134" s="15"/>
    </row>
    <row r="135">
      <c r="A135" s="54"/>
      <c r="B135" s="11"/>
      <c r="C135" s="20"/>
      <c r="D135" s="2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5"/>
      <c r="U135" s="15"/>
      <c r="V135" s="15"/>
      <c r="W135" s="15"/>
    </row>
    <row r="136">
      <c r="A136" s="54"/>
      <c r="B136" s="11"/>
      <c r="C136" s="20"/>
      <c r="D136" s="2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5"/>
      <c r="U136" s="15"/>
      <c r="V136" s="15"/>
      <c r="W136" s="15"/>
    </row>
    <row r="137">
      <c r="A137" s="54"/>
      <c r="B137" s="11"/>
      <c r="C137" s="20"/>
      <c r="D137" s="2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5"/>
      <c r="U137" s="15"/>
      <c r="V137" s="15"/>
      <c r="W137" s="15"/>
    </row>
    <row r="138">
      <c r="A138" s="54"/>
      <c r="B138" s="11"/>
      <c r="C138" s="20"/>
      <c r="D138" s="2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5"/>
      <c r="U138" s="15"/>
      <c r="V138" s="15"/>
      <c r="W138" s="15"/>
    </row>
    <row r="139">
      <c r="A139" s="54"/>
      <c r="B139" s="11"/>
      <c r="C139" s="20"/>
      <c r="D139" s="2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5"/>
      <c r="U139" s="15"/>
      <c r="V139" s="15"/>
      <c r="W139" s="15"/>
    </row>
    <row r="140">
      <c r="A140" s="54"/>
      <c r="B140" s="11"/>
      <c r="C140" s="20"/>
      <c r="D140" s="2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5"/>
      <c r="U140" s="15"/>
      <c r="V140" s="15"/>
      <c r="W140" s="15"/>
    </row>
    <row r="141">
      <c r="A141" s="54"/>
      <c r="B141" s="11"/>
      <c r="C141" s="20"/>
      <c r="D141" s="2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5"/>
      <c r="U141" s="15"/>
      <c r="V141" s="15"/>
      <c r="W141" s="15"/>
    </row>
    <row r="142">
      <c r="A142" s="54"/>
      <c r="B142" s="11"/>
      <c r="C142" s="20"/>
      <c r="D142" s="2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5"/>
      <c r="U142" s="15"/>
      <c r="V142" s="15"/>
      <c r="W142" s="15"/>
    </row>
    <row r="143">
      <c r="A143" s="54"/>
      <c r="B143" s="11"/>
      <c r="C143" s="20"/>
      <c r="D143" s="2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5"/>
      <c r="U143" s="15"/>
      <c r="V143" s="15"/>
      <c r="W143" s="15"/>
    </row>
    <row r="144">
      <c r="A144" s="54"/>
      <c r="B144" s="11"/>
      <c r="C144" s="20"/>
      <c r="D144" s="2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5"/>
      <c r="U144" s="15"/>
      <c r="V144" s="15"/>
      <c r="W144" s="15"/>
    </row>
    <row r="145">
      <c r="A145" s="54"/>
      <c r="B145" s="11"/>
      <c r="C145" s="20"/>
      <c r="D145" s="2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5"/>
      <c r="U145" s="15"/>
      <c r="V145" s="15"/>
      <c r="W145" s="15"/>
    </row>
    <row r="146">
      <c r="A146" s="54"/>
      <c r="B146" s="11"/>
      <c r="C146" s="20"/>
      <c r="D146" s="2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5"/>
      <c r="U146" s="15"/>
      <c r="V146" s="15"/>
      <c r="W146" s="15"/>
    </row>
    <row r="147">
      <c r="A147" s="54"/>
      <c r="B147" s="11"/>
      <c r="C147" s="20"/>
      <c r="D147" s="2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5"/>
      <c r="U147" s="15"/>
      <c r="V147" s="15"/>
      <c r="W147" s="15"/>
    </row>
    <row r="148">
      <c r="A148" s="54"/>
      <c r="B148" s="11"/>
      <c r="C148" s="20"/>
      <c r="D148" s="2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5"/>
      <c r="U148" s="15"/>
      <c r="V148" s="15"/>
      <c r="W148" s="15"/>
    </row>
    <row r="149">
      <c r="A149" s="54"/>
      <c r="B149" s="11"/>
      <c r="C149" s="20"/>
      <c r="D149" s="2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5"/>
      <c r="U149" s="15"/>
      <c r="V149" s="15"/>
      <c r="W149" s="15"/>
    </row>
    <row r="150">
      <c r="A150" s="54"/>
      <c r="B150" s="11"/>
      <c r="C150" s="20"/>
      <c r="D150" s="2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5"/>
      <c r="U150" s="15"/>
      <c r="V150" s="15"/>
      <c r="W150" s="15"/>
    </row>
    <row r="151">
      <c r="A151" s="22"/>
      <c r="B151" s="11"/>
      <c r="C151" s="20"/>
      <c r="D151" s="2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5"/>
      <c r="U151" s="15"/>
      <c r="V151" s="15"/>
      <c r="W151" s="15"/>
    </row>
    <row r="152">
      <c r="A152" s="22"/>
      <c r="B152" s="11"/>
      <c r="C152" s="20"/>
      <c r="D152" s="2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5"/>
      <c r="U152" s="15"/>
      <c r="V152" s="15"/>
      <c r="W152" s="15"/>
    </row>
    <row r="153">
      <c r="A153" s="22"/>
      <c r="B153" s="11"/>
      <c r="C153" s="20"/>
      <c r="D153" s="2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5"/>
      <c r="U153" s="15"/>
      <c r="V153" s="15"/>
      <c r="W153" s="15"/>
    </row>
    <row r="154">
      <c r="A154" s="22"/>
      <c r="B154" s="11"/>
      <c r="C154" s="20"/>
      <c r="D154" s="2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5"/>
      <c r="U154" s="15"/>
      <c r="V154" s="15"/>
      <c r="W154" s="15"/>
    </row>
    <row r="155">
      <c r="A155" s="22"/>
      <c r="B155" s="11"/>
      <c r="C155" s="20"/>
      <c r="D155" s="2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5"/>
      <c r="U155" s="15"/>
      <c r="V155" s="15"/>
      <c r="W155" s="15"/>
    </row>
    <row r="156">
      <c r="A156" s="22"/>
      <c r="B156" s="11"/>
      <c r="C156" s="20"/>
      <c r="D156" s="2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5"/>
      <c r="U156" s="15"/>
      <c r="V156" s="15"/>
      <c r="W156" s="15"/>
    </row>
    <row r="157">
      <c r="A157" s="22"/>
      <c r="B157" s="11"/>
      <c r="C157" s="20"/>
      <c r="D157" s="2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5"/>
      <c r="U157" s="15"/>
      <c r="V157" s="15"/>
      <c r="W157" s="15"/>
    </row>
    <row r="158">
      <c r="A158" s="22"/>
      <c r="B158" s="11"/>
      <c r="C158" s="20"/>
      <c r="D158" s="2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5"/>
      <c r="U158" s="15"/>
      <c r="V158" s="15"/>
      <c r="W158" s="15"/>
    </row>
    <row r="159">
      <c r="A159" s="22"/>
      <c r="B159" s="11"/>
      <c r="C159" s="20"/>
      <c r="D159" s="2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5"/>
      <c r="U159" s="15"/>
      <c r="V159" s="15"/>
      <c r="W159" s="15"/>
    </row>
    <row r="160">
      <c r="A160" s="22"/>
      <c r="B160" s="11"/>
      <c r="C160" s="20"/>
      <c r="D160" s="2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5"/>
      <c r="U160" s="15"/>
      <c r="V160" s="15"/>
      <c r="W160" s="15"/>
    </row>
    <row r="161">
      <c r="A161" s="22"/>
      <c r="B161" s="11"/>
      <c r="C161" s="20"/>
      <c r="D161" s="2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5"/>
      <c r="U161" s="15"/>
      <c r="V161" s="15"/>
      <c r="W161" s="15"/>
    </row>
    <row r="162">
      <c r="A162" s="22"/>
      <c r="B162" s="11"/>
      <c r="C162" s="20"/>
      <c r="D162" s="2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5"/>
      <c r="U162" s="15"/>
      <c r="V162" s="15"/>
      <c r="W162" s="15"/>
    </row>
    <row r="163">
      <c r="A163" s="22"/>
      <c r="B163" s="11"/>
      <c r="C163" s="20"/>
      <c r="D163" s="2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5"/>
      <c r="U163" s="15"/>
      <c r="V163" s="15"/>
      <c r="W163" s="15"/>
    </row>
    <row r="164">
      <c r="A164" s="22"/>
      <c r="B164" s="11"/>
      <c r="C164" s="20"/>
      <c r="D164" s="2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5"/>
      <c r="U164" s="15"/>
      <c r="V164" s="15"/>
      <c r="W164" s="15"/>
    </row>
    <row r="165">
      <c r="A165" s="22"/>
      <c r="B165" s="11"/>
      <c r="C165" s="20"/>
      <c r="D165" s="2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5"/>
      <c r="U165" s="15"/>
      <c r="V165" s="15"/>
      <c r="W165" s="15"/>
    </row>
    <row r="166">
      <c r="A166" s="22"/>
      <c r="B166" s="11"/>
      <c r="C166" s="20"/>
      <c r="D166" s="2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5"/>
      <c r="U166" s="15"/>
      <c r="V166" s="15"/>
      <c r="W166" s="15"/>
    </row>
    <row r="167">
      <c r="A167" s="22"/>
      <c r="B167" s="11"/>
      <c r="C167" s="20"/>
      <c r="D167" s="2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5"/>
      <c r="U167" s="15"/>
      <c r="V167" s="15"/>
      <c r="W167" s="15"/>
    </row>
    <row r="168">
      <c r="A168" s="22"/>
      <c r="B168" s="11"/>
      <c r="C168" s="20"/>
      <c r="D168" s="2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5"/>
      <c r="U168" s="15"/>
      <c r="V168" s="15"/>
      <c r="W168" s="15"/>
    </row>
    <row r="169">
      <c r="A169" s="22"/>
      <c r="B169" s="11"/>
      <c r="C169" s="20"/>
      <c r="D169" s="2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5"/>
      <c r="U169" s="15"/>
      <c r="V169" s="15"/>
      <c r="W169" s="15"/>
    </row>
    <row r="170">
      <c r="A170" s="54"/>
      <c r="B170" s="11"/>
      <c r="C170" s="20"/>
      <c r="D170" s="2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5"/>
      <c r="U170" s="15"/>
      <c r="V170" s="15"/>
      <c r="W170" s="15"/>
    </row>
    <row r="171">
      <c r="A171" s="54"/>
      <c r="B171" s="11"/>
      <c r="C171" s="20"/>
      <c r="D171" s="2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5"/>
      <c r="U171" s="15"/>
      <c r="V171" s="15"/>
      <c r="W171" s="15"/>
    </row>
    <row r="172">
      <c r="A172" s="54"/>
      <c r="B172" s="11"/>
      <c r="C172" s="20"/>
      <c r="D172" s="2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5"/>
      <c r="U172" s="15"/>
      <c r="V172" s="15"/>
      <c r="W172" s="15"/>
    </row>
    <row r="173">
      <c r="A173" s="54"/>
      <c r="B173" s="11"/>
      <c r="C173" s="20"/>
      <c r="D173" s="2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5"/>
      <c r="U173" s="15"/>
      <c r="V173" s="15"/>
      <c r="W173" s="15"/>
    </row>
    <row r="174">
      <c r="A174" s="54"/>
      <c r="B174" s="11"/>
      <c r="C174" s="20"/>
      <c r="D174" s="2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5"/>
      <c r="U174" s="15"/>
      <c r="V174" s="15"/>
      <c r="W174" s="15"/>
    </row>
    <row r="175">
      <c r="A175" s="54"/>
      <c r="B175" s="11"/>
      <c r="C175" s="20"/>
      <c r="D175" s="2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5"/>
      <c r="U175" s="15"/>
      <c r="V175" s="15"/>
      <c r="W175" s="15"/>
    </row>
    <row r="176">
      <c r="A176" s="54"/>
      <c r="B176" s="11"/>
      <c r="C176" s="20"/>
      <c r="D176" s="2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5"/>
      <c r="U176" s="15"/>
      <c r="V176" s="15"/>
      <c r="W176" s="15"/>
    </row>
    <row r="177">
      <c r="A177" s="54"/>
      <c r="B177" s="11"/>
      <c r="C177" s="20"/>
      <c r="D177" s="2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5"/>
      <c r="U177" s="15"/>
      <c r="V177" s="15"/>
      <c r="W177" s="15"/>
    </row>
    <row r="178">
      <c r="A178" s="54"/>
      <c r="B178" s="11"/>
      <c r="C178" s="20"/>
      <c r="D178" s="2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5"/>
      <c r="U178" s="15"/>
      <c r="V178" s="15"/>
      <c r="W178" s="15"/>
    </row>
    <row r="179">
      <c r="A179" s="54"/>
      <c r="B179" s="11"/>
      <c r="C179" s="20"/>
      <c r="D179" s="2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5"/>
      <c r="U179" s="15"/>
      <c r="V179" s="15"/>
      <c r="W179" s="15"/>
    </row>
    <row r="180">
      <c r="A180" s="54"/>
      <c r="B180" s="11"/>
      <c r="C180" s="20"/>
      <c r="D180" s="2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5"/>
      <c r="U180" s="15"/>
      <c r="V180" s="15"/>
      <c r="W180" s="15"/>
    </row>
    <row r="181">
      <c r="A181" s="54"/>
      <c r="B181" s="11"/>
      <c r="C181" s="20"/>
      <c r="D181" s="2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5"/>
      <c r="U181" s="15"/>
      <c r="V181" s="15"/>
      <c r="W181" s="15"/>
    </row>
    <row r="182">
      <c r="A182" s="54"/>
      <c r="B182" s="11"/>
      <c r="C182" s="20"/>
      <c r="D182" s="2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5"/>
      <c r="U182" s="15"/>
      <c r="V182" s="15"/>
      <c r="W182" s="15"/>
    </row>
    <row r="183">
      <c r="A183" s="54"/>
      <c r="B183" s="11"/>
      <c r="C183" s="20"/>
      <c r="D183" s="2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5"/>
      <c r="U183" s="15"/>
      <c r="V183" s="15"/>
      <c r="W183" s="15"/>
    </row>
    <row r="184">
      <c r="A184" s="54"/>
      <c r="B184" s="11"/>
      <c r="C184" s="20"/>
      <c r="D184" s="2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5"/>
      <c r="U184" s="15"/>
      <c r="V184" s="15"/>
      <c r="W184" s="15"/>
    </row>
    <row r="185">
      <c r="A185" s="54"/>
      <c r="B185" s="11"/>
      <c r="C185" s="20"/>
      <c r="D185" s="2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5"/>
      <c r="U185" s="15"/>
      <c r="V185" s="15"/>
      <c r="W185" s="15"/>
    </row>
    <row r="186">
      <c r="A186" s="54"/>
      <c r="B186" s="11"/>
      <c r="C186" s="20"/>
      <c r="D186" s="2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5"/>
      <c r="U186" s="15"/>
      <c r="V186" s="15"/>
      <c r="W186" s="15"/>
    </row>
    <row r="187">
      <c r="A187" s="54"/>
      <c r="B187" s="11"/>
      <c r="C187" s="20"/>
      <c r="D187" s="2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5"/>
      <c r="U187" s="15"/>
      <c r="V187" s="15"/>
      <c r="W187" s="15"/>
    </row>
    <row r="188">
      <c r="A188" s="54"/>
      <c r="B188" s="11"/>
      <c r="C188" s="20"/>
      <c r="D188" s="2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5"/>
      <c r="U188" s="15"/>
      <c r="V188" s="15"/>
      <c r="W188" s="15"/>
    </row>
    <row r="189">
      <c r="A189" s="54"/>
      <c r="B189" s="11"/>
      <c r="C189" s="20"/>
      <c r="D189" s="2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5"/>
      <c r="U189" s="15"/>
      <c r="V189" s="15"/>
      <c r="W189" s="15"/>
    </row>
    <row r="190">
      <c r="A190" s="54"/>
      <c r="B190" s="11"/>
      <c r="C190" s="20"/>
      <c r="D190" s="2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5"/>
      <c r="U190" s="15"/>
      <c r="V190" s="15"/>
      <c r="W190" s="15"/>
    </row>
    <row r="191">
      <c r="A191" s="54"/>
      <c r="B191" s="11"/>
      <c r="C191" s="20"/>
      <c r="D191" s="2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5"/>
      <c r="U191" s="15"/>
      <c r="V191" s="15"/>
      <c r="W191" s="15"/>
    </row>
    <row r="192">
      <c r="A192" s="54"/>
      <c r="B192" s="11"/>
      <c r="C192" s="20"/>
      <c r="D192" s="2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5"/>
      <c r="U192" s="15"/>
      <c r="V192" s="15"/>
      <c r="W192" s="15"/>
    </row>
    <row r="193">
      <c r="A193" s="54"/>
      <c r="B193" s="11"/>
      <c r="C193" s="20"/>
      <c r="D193" s="2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5"/>
      <c r="U193" s="15"/>
      <c r="V193" s="15"/>
      <c r="W193" s="15"/>
    </row>
    <row r="194">
      <c r="A194" s="54"/>
      <c r="B194" s="11"/>
      <c r="C194" s="20"/>
      <c r="D194" s="2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5"/>
      <c r="U194" s="15"/>
      <c r="V194" s="15"/>
      <c r="W194" s="15"/>
    </row>
    <row r="195">
      <c r="A195" s="54"/>
      <c r="B195" s="11"/>
      <c r="C195" s="20"/>
      <c r="D195" s="2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5"/>
      <c r="U195" s="15"/>
      <c r="V195" s="15"/>
      <c r="W195" s="15"/>
    </row>
    <row r="196">
      <c r="A196" s="54"/>
      <c r="B196" s="11"/>
      <c r="C196" s="20"/>
      <c r="D196" s="2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5"/>
      <c r="U196" s="15"/>
      <c r="V196" s="15"/>
      <c r="W196" s="15"/>
    </row>
    <row r="197">
      <c r="A197" s="22"/>
      <c r="B197" s="11"/>
      <c r="C197" s="20"/>
      <c r="D197" s="2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5"/>
      <c r="U197" s="15"/>
      <c r="V197" s="15"/>
      <c r="W197" s="15"/>
    </row>
    <row r="198">
      <c r="A198" s="22"/>
      <c r="B198" s="11"/>
      <c r="C198" s="20"/>
      <c r="D198" s="2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5"/>
      <c r="U198" s="15"/>
      <c r="V198" s="15"/>
      <c r="W198" s="15"/>
    </row>
    <row r="199">
      <c r="A199" s="22"/>
      <c r="B199" s="11"/>
      <c r="C199" s="20"/>
      <c r="D199" s="2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5"/>
      <c r="U199" s="15"/>
      <c r="V199" s="15"/>
      <c r="W199" s="15"/>
    </row>
    <row r="200">
      <c r="A200" s="22"/>
      <c r="B200" s="11"/>
      <c r="C200" s="20"/>
      <c r="D200" s="2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5"/>
      <c r="U200" s="15"/>
      <c r="V200" s="15"/>
      <c r="W200" s="15"/>
    </row>
    <row r="201">
      <c r="A201" s="22"/>
      <c r="B201" s="11"/>
      <c r="C201" s="20"/>
      <c r="D201" s="2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5"/>
      <c r="U201" s="15"/>
      <c r="V201" s="15"/>
      <c r="W201" s="15"/>
    </row>
    <row r="202">
      <c r="A202" s="22"/>
      <c r="B202" s="11"/>
      <c r="C202" s="20"/>
      <c r="D202" s="2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5"/>
      <c r="U202" s="15"/>
      <c r="V202" s="15"/>
      <c r="W202" s="15"/>
    </row>
    <row r="203">
      <c r="A203" s="22"/>
      <c r="B203" s="11"/>
      <c r="C203" s="20"/>
      <c r="D203" s="2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5"/>
      <c r="U203" s="15"/>
      <c r="V203" s="15"/>
      <c r="W203" s="15"/>
    </row>
    <row r="204">
      <c r="A204" s="22"/>
      <c r="B204" s="11"/>
      <c r="C204" s="20"/>
      <c r="D204" s="2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5"/>
      <c r="U204" s="15"/>
      <c r="V204" s="15"/>
      <c r="W204" s="15"/>
    </row>
    <row r="205">
      <c r="A205" s="22"/>
      <c r="B205" s="11"/>
      <c r="C205" s="20"/>
      <c r="D205" s="2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5"/>
      <c r="U205" s="15"/>
      <c r="V205" s="15"/>
      <c r="W205" s="15"/>
    </row>
    <row r="206">
      <c r="A206" s="22"/>
      <c r="B206" s="11"/>
      <c r="C206" s="20"/>
      <c r="D206" s="2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5"/>
      <c r="U206" s="15"/>
      <c r="V206" s="15"/>
      <c r="W206" s="15"/>
    </row>
    <row r="207">
      <c r="A207" s="22"/>
      <c r="B207" s="11"/>
      <c r="C207" s="20"/>
      <c r="D207" s="2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5"/>
      <c r="U207" s="15"/>
      <c r="V207" s="15"/>
      <c r="W207" s="15"/>
    </row>
    <row r="208">
      <c r="A208" s="22"/>
      <c r="B208" s="11"/>
      <c r="C208" s="20"/>
      <c r="D208" s="2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5"/>
      <c r="U208" s="15"/>
      <c r="V208" s="15"/>
      <c r="W208" s="15"/>
    </row>
    <row r="209">
      <c r="A209" s="22"/>
      <c r="B209" s="11"/>
      <c r="C209" s="20"/>
      <c r="D209" s="2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5"/>
      <c r="U209" s="15"/>
      <c r="V209" s="15"/>
      <c r="W209" s="15"/>
    </row>
    <row r="210">
      <c r="A210" s="22"/>
      <c r="B210" s="11"/>
      <c r="C210" s="20"/>
      <c r="D210" s="2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5"/>
      <c r="U210" s="15"/>
      <c r="V210" s="15"/>
      <c r="W210" s="15"/>
    </row>
    <row r="211">
      <c r="A211" s="22"/>
      <c r="B211" s="11"/>
      <c r="C211" s="20"/>
      <c r="D211" s="2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5"/>
      <c r="U211" s="15"/>
      <c r="V211" s="15"/>
      <c r="W211" s="15"/>
    </row>
    <row r="212">
      <c r="A212" s="22"/>
      <c r="B212" s="11"/>
      <c r="C212" s="20"/>
      <c r="D212" s="2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5"/>
      <c r="U212" s="15"/>
      <c r="V212" s="15"/>
      <c r="W212" s="15"/>
    </row>
    <row r="213">
      <c r="A213" s="22"/>
      <c r="B213" s="11"/>
      <c r="C213" s="20"/>
      <c r="D213" s="2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5"/>
      <c r="U213" s="15"/>
      <c r="V213" s="15"/>
      <c r="W213" s="15"/>
    </row>
    <row r="214">
      <c r="A214" s="22"/>
      <c r="B214" s="11"/>
      <c r="C214" s="20"/>
      <c r="D214" s="2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5"/>
      <c r="U214" s="15"/>
      <c r="V214" s="15"/>
      <c r="W214" s="15"/>
    </row>
    <row r="215">
      <c r="A215" s="22"/>
      <c r="B215" s="11"/>
      <c r="C215" s="20"/>
      <c r="D215" s="2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5"/>
      <c r="U215" s="15"/>
      <c r="V215" s="15"/>
      <c r="W215" s="15"/>
    </row>
    <row r="216">
      <c r="A216" s="54"/>
      <c r="B216" s="11"/>
      <c r="C216" s="20"/>
      <c r="D216" s="2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5"/>
      <c r="U216" s="15"/>
      <c r="V216" s="15"/>
      <c r="W216" s="15"/>
    </row>
    <row r="217">
      <c r="A217" s="54"/>
      <c r="B217" s="11"/>
      <c r="C217" s="20"/>
      <c r="D217" s="2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5"/>
      <c r="U217" s="15"/>
      <c r="V217" s="15"/>
      <c r="W217" s="15"/>
    </row>
    <row r="218">
      <c r="A218" s="54"/>
      <c r="B218" s="11"/>
      <c r="C218" s="20"/>
      <c r="D218" s="2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5"/>
      <c r="U218" s="15"/>
      <c r="V218" s="15"/>
      <c r="W218" s="15"/>
    </row>
    <row r="219">
      <c r="A219" s="54"/>
      <c r="B219" s="11"/>
      <c r="C219" s="20"/>
      <c r="D219" s="2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5"/>
      <c r="U219" s="15"/>
      <c r="V219" s="15"/>
      <c r="W219" s="15"/>
    </row>
    <row r="220">
      <c r="A220" s="54"/>
      <c r="B220" s="11"/>
      <c r="C220" s="20"/>
      <c r="D220" s="2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5"/>
      <c r="U220" s="15"/>
      <c r="V220" s="15"/>
      <c r="W220" s="15"/>
    </row>
    <row r="221">
      <c r="A221" s="54"/>
      <c r="B221" s="11"/>
      <c r="C221" s="20"/>
      <c r="D221" s="2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5"/>
      <c r="U221" s="15"/>
      <c r="V221" s="15"/>
      <c r="W221" s="15"/>
    </row>
    <row r="222">
      <c r="A222" s="54"/>
      <c r="B222" s="11"/>
      <c r="C222" s="20"/>
      <c r="D222" s="2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5"/>
      <c r="U222" s="15"/>
      <c r="V222" s="15"/>
      <c r="W222" s="15"/>
    </row>
    <row r="223">
      <c r="A223" s="54"/>
      <c r="B223" s="11"/>
      <c r="C223" s="20"/>
      <c r="D223" s="2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5"/>
      <c r="U223" s="15"/>
      <c r="V223" s="15"/>
      <c r="W223" s="15"/>
    </row>
    <row r="224">
      <c r="A224" s="54"/>
      <c r="B224" s="11"/>
      <c r="C224" s="20"/>
      <c r="D224" s="2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5"/>
      <c r="U224" s="15"/>
      <c r="V224" s="15"/>
      <c r="W224" s="15"/>
    </row>
    <row r="225">
      <c r="A225" s="54"/>
      <c r="B225" s="11"/>
      <c r="C225" s="20"/>
      <c r="D225" s="2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5"/>
      <c r="U225" s="15"/>
      <c r="V225" s="15"/>
      <c r="W225" s="15"/>
    </row>
    <row r="226">
      <c r="A226" s="54"/>
      <c r="B226" s="11"/>
      <c r="C226" s="20"/>
      <c r="D226" s="2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5"/>
      <c r="U226" s="15"/>
      <c r="V226" s="15"/>
      <c r="W226" s="15"/>
    </row>
    <row r="227">
      <c r="A227" s="54"/>
      <c r="B227" s="11"/>
      <c r="C227" s="20"/>
      <c r="D227" s="2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5"/>
      <c r="U227" s="15"/>
      <c r="V227" s="15"/>
      <c r="W227" s="15"/>
    </row>
    <row r="228">
      <c r="A228" s="54"/>
      <c r="B228" s="11"/>
      <c r="C228" s="20"/>
      <c r="D228" s="2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5"/>
      <c r="U228" s="15"/>
      <c r="V228" s="15"/>
      <c r="W228" s="15"/>
    </row>
    <row r="229">
      <c r="A229" s="54"/>
      <c r="B229" s="11"/>
      <c r="C229" s="20"/>
      <c r="D229" s="2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5"/>
      <c r="U229" s="15"/>
      <c r="V229" s="15"/>
      <c r="W229" s="15"/>
    </row>
    <row r="230">
      <c r="A230" s="54"/>
      <c r="B230" s="11"/>
      <c r="C230" s="20"/>
      <c r="D230" s="2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5"/>
      <c r="U230" s="15"/>
      <c r="V230" s="15"/>
      <c r="W230" s="15"/>
    </row>
    <row r="231">
      <c r="A231" s="54"/>
      <c r="B231" s="11"/>
      <c r="C231" s="20"/>
      <c r="D231" s="2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5"/>
      <c r="U231" s="15"/>
      <c r="V231" s="15"/>
      <c r="W231" s="15"/>
    </row>
    <row r="232">
      <c r="A232" s="54"/>
      <c r="B232" s="11"/>
      <c r="C232" s="20"/>
      <c r="D232" s="2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5"/>
      <c r="U232" s="15"/>
      <c r="V232" s="15"/>
      <c r="W232" s="15"/>
    </row>
    <row r="233">
      <c r="A233" s="54"/>
      <c r="B233" s="11"/>
      <c r="C233" s="20"/>
      <c r="D233" s="2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5"/>
      <c r="U233" s="15"/>
      <c r="V233" s="15"/>
      <c r="W233" s="15"/>
    </row>
    <row r="234">
      <c r="A234" s="22"/>
      <c r="B234" s="11"/>
      <c r="C234" s="20"/>
      <c r="D234" s="2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5"/>
      <c r="U234" s="15"/>
      <c r="V234" s="15"/>
      <c r="W234" s="15"/>
    </row>
    <row r="235">
      <c r="A235" s="22"/>
      <c r="B235" s="11"/>
      <c r="C235" s="20"/>
      <c r="D235" s="2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5"/>
      <c r="U235" s="15"/>
      <c r="V235" s="15"/>
      <c r="W235" s="15"/>
    </row>
    <row r="236">
      <c r="A236" s="22"/>
      <c r="B236" s="11"/>
      <c r="C236" s="20"/>
      <c r="D236" s="2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5"/>
      <c r="U236" s="15"/>
      <c r="V236" s="15"/>
      <c r="W236" s="15"/>
    </row>
    <row r="237">
      <c r="A237" s="22"/>
      <c r="B237" s="11"/>
      <c r="C237" s="20"/>
      <c r="D237" s="2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5"/>
      <c r="U237" s="15"/>
      <c r="V237" s="15"/>
      <c r="W237" s="15"/>
    </row>
    <row r="238">
      <c r="A238" s="22"/>
      <c r="B238" s="11"/>
      <c r="C238" s="20"/>
      <c r="D238" s="2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5"/>
      <c r="U238" s="15"/>
      <c r="V238" s="15"/>
      <c r="W238" s="15"/>
    </row>
    <row r="239">
      <c r="A239" s="22"/>
      <c r="B239" s="11"/>
      <c r="C239" s="20"/>
      <c r="D239" s="2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5"/>
      <c r="U239" s="15"/>
      <c r="V239" s="15"/>
      <c r="W239" s="15"/>
    </row>
    <row r="240">
      <c r="A240" s="22"/>
      <c r="B240" s="11"/>
      <c r="C240" s="20"/>
      <c r="D240" s="2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5"/>
      <c r="U240" s="15"/>
      <c r="V240" s="15"/>
      <c r="W240" s="15"/>
    </row>
    <row r="241">
      <c r="A241" s="22"/>
      <c r="B241" s="11"/>
      <c r="C241" s="20"/>
      <c r="D241" s="2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5"/>
      <c r="U241" s="15"/>
      <c r="V241" s="15"/>
      <c r="W241" s="15"/>
    </row>
    <row r="242">
      <c r="A242" s="22"/>
      <c r="B242" s="11"/>
      <c r="C242" s="20"/>
      <c r="D242" s="2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5"/>
      <c r="U242" s="15"/>
      <c r="V242" s="15"/>
      <c r="W242" s="15"/>
    </row>
    <row r="243">
      <c r="A243" s="22"/>
      <c r="B243" s="11"/>
      <c r="C243" s="20"/>
      <c r="D243" s="2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5"/>
      <c r="U243" s="15"/>
      <c r="V243" s="15"/>
      <c r="W243" s="15"/>
    </row>
    <row r="244">
      <c r="A244" s="22"/>
      <c r="B244" s="11"/>
      <c r="C244" s="20"/>
      <c r="D244" s="2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5"/>
      <c r="U244" s="15"/>
      <c r="V244" s="15"/>
      <c r="W244" s="15"/>
    </row>
    <row r="245">
      <c r="A245" s="22"/>
      <c r="B245" s="11"/>
      <c r="C245" s="20"/>
      <c r="D245" s="2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5"/>
      <c r="U245" s="15"/>
      <c r="V245" s="15"/>
      <c r="W245" s="15"/>
    </row>
    <row r="246">
      <c r="A246" s="22"/>
      <c r="B246" s="11"/>
      <c r="C246" s="20"/>
      <c r="D246" s="2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5"/>
      <c r="U246" s="15"/>
      <c r="V246" s="15"/>
      <c r="W246" s="15"/>
    </row>
    <row r="247">
      <c r="A247" s="22"/>
      <c r="B247" s="11"/>
      <c r="C247" s="20"/>
      <c r="D247" s="2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5"/>
      <c r="U247" s="15"/>
      <c r="V247" s="15"/>
      <c r="W247" s="15"/>
    </row>
    <row r="248">
      <c r="A248" s="22"/>
      <c r="B248" s="11"/>
      <c r="C248" s="20"/>
      <c r="D248" s="2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5"/>
      <c r="U248" s="15"/>
      <c r="V248" s="15"/>
      <c r="W248" s="15"/>
    </row>
    <row r="249">
      <c r="A249" s="22"/>
      <c r="B249" s="11"/>
      <c r="C249" s="20"/>
      <c r="D249" s="2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5"/>
      <c r="U249" s="15"/>
      <c r="V249" s="15"/>
      <c r="W249" s="15"/>
    </row>
    <row r="250">
      <c r="A250" s="22"/>
      <c r="B250" s="11"/>
      <c r="C250" s="20"/>
      <c r="D250" s="2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5"/>
      <c r="U250" s="15"/>
      <c r="V250" s="15"/>
      <c r="W250" s="15"/>
    </row>
    <row r="251">
      <c r="A251" s="22"/>
      <c r="B251" s="11"/>
      <c r="C251" s="20"/>
      <c r="D251" s="2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5"/>
      <c r="U251" s="15"/>
      <c r="V251" s="15"/>
      <c r="W251" s="15"/>
    </row>
    <row r="252">
      <c r="A252" s="22"/>
      <c r="B252" s="11"/>
      <c r="C252" s="20"/>
      <c r="D252" s="2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5"/>
      <c r="U252" s="15"/>
      <c r="V252" s="15"/>
      <c r="W252" s="15"/>
    </row>
    <row r="253">
      <c r="A253" s="54"/>
      <c r="B253" s="11"/>
      <c r="C253" s="20"/>
      <c r="D253" s="2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5"/>
      <c r="U253" s="15"/>
      <c r="V253" s="15"/>
      <c r="W253" s="15"/>
    </row>
    <row r="254">
      <c r="A254" s="54"/>
      <c r="B254" s="11"/>
      <c r="C254" s="20"/>
      <c r="D254" s="2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5"/>
      <c r="U254" s="15"/>
      <c r="V254" s="15"/>
      <c r="W254" s="15"/>
    </row>
    <row r="255">
      <c r="A255" s="54"/>
      <c r="B255" s="11"/>
      <c r="C255" s="20"/>
      <c r="D255" s="2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5"/>
      <c r="U255" s="15"/>
      <c r="V255" s="15"/>
      <c r="W255" s="15"/>
    </row>
    <row r="256">
      <c r="A256" s="54"/>
      <c r="B256" s="11"/>
      <c r="C256" s="20"/>
      <c r="D256" s="2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5"/>
      <c r="U256" s="15"/>
      <c r="V256" s="15"/>
      <c r="W256" s="15"/>
    </row>
    <row r="257">
      <c r="A257" s="54"/>
      <c r="B257" s="11"/>
      <c r="C257" s="20"/>
      <c r="D257" s="2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5"/>
      <c r="U257" s="15"/>
      <c r="V257" s="15"/>
      <c r="W257" s="15"/>
    </row>
    <row r="258">
      <c r="A258" s="54"/>
      <c r="B258" s="11"/>
      <c r="C258" s="20"/>
      <c r="D258" s="2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5"/>
      <c r="U258" s="15"/>
      <c r="V258" s="15"/>
      <c r="W258" s="15"/>
    </row>
    <row r="259">
      <c r="A259" s="54"/>
      <c r="B259" s="11"/>
      <c r="C259" s="20"/>
      <c r="D259" s="2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5"/>
      <c r="U259" s="15"/>
      <c r="V259" s="15"/>
      <c r="W259" s="15"/>
    </row>
    <row r="260">
      <c r="A260" s="54"/>
      <c r="B260" s="11"/>
      <c r="C260" s="20"/>
      <c r="D260" s="2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5"/>
      <c r="U260" s="15"/>
      <c r="V260" s="15"/>
      <c r="W260" s="15"/>
    </row>
    <row r="261">
      <c r="A261" s="54"/>
      <c r="B261" s="11"/>
      <c r="C261" s="20"/>
      <c r="D261" s="2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5"/>
      <c r="U261" s="15"/>
      <c r="V261" s="15"/>
      <c r="W261" s="15"/>
    </row>
    <row r="262">
      <c r="A262" s="54"/>
      <c r="B262" s="11"/>
      <c r="C262" s="20"/>
      <c r="D262" s="2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5"/>
      <c r="U262" s="15"/>
      <c r="V262" s="15"/>
      <c r="W262" s="15"/>
    </row>
    <row r="263">
      <c r="A263" s="54"/>
      <c r="B263" s="11"/>
      <c r="C263" s="20"/>
      <c r="D263" s="2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5"/>
      <c r="U263" s="15"/>
      <c r="V263" s="15"/>
      <c r="W263" s="15"/>
    </row>
    <row r="264">
      <c r="A264" s="54"/>
      <c r="B264" s="11"/>
      <c r="C264" s="20"/>
      <c r="D264" s="20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5"/>
      <c r="U264" s="15"/>
      <c r="V264" s="15"/>
      <c r="W264" s="15"/>
    </row>
    <row r="265">
      <c r="A265" s="54"/>
      <c r="B265" s="11"/>
      <c r="C265" s="20"/>
      <c r="D265" s="20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5"/>
      <c r="U265" s="15"/>
      <c r="V265" s="15"/>
      <c r="W265" s="15"/>
    </row>
    <row r="266">
      <c r="A266" s="54"/>
      <c r="B266" s="11"/>
      <c r="C266" s="20"/>
      <c r="D266" s="20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5"/>
      <c r="U266" s="15"/>
      <c r="V266" s="15"/>
      <c r="W266" s="15"/>
    </row>
    <row r="267">
      <c r="A267" s="54"/>
      <c r="B267" s="11"/>
      <c r="C267" s="20"/>
      <c r="D267" s="20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5"/>
      <c r="U267" s="15"/>
      <c r="V267" s="15"/>
      <c r="W267" s="15"/>
    </row>
    <row r="268">
      <c r="A268" s="54"/>
      <c r="B268" s="11"/>
      <c r="C268" s="20"/>
      <c r="D268" s="20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5"/>
      <c r="U268" s="15"/>
      <c r="V268" s="15"/>
      <c r="W268" s="15"/>
    </row>
    <row r="269">
      <c r="A269" s="54"/>
      <c r="B269" s="11"/>
      <c r="C269" s="20"/>
      <c r="D269" s="20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5"/>
      <c r="U269" s="15"/>
      <c r="V269" s="15"/>
      <c r="W269" s="15"/>
    </row>
    <row r="270">
      <c r="A270" s="54"/>
      <c r="B270" s="11"/>
      <c r="C270" s="20"/>
      <c r="D270" s="20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5"/>
      <c r="U270" s="15"/>
      <c r="V270" s="15"/>
      <c r="W270" s="15"/>
    </row>
    <row r="271">
      <c r="A271" s="54"/>
      <c r="B271" s="11"/>
      <c r="C271" s="20"/>
      <c r="D271" s="20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5"/>
      <c r="U271" s="15"/>
      <c r="V271" s="15"/>
      <c r="W271" s="15"/>
    </row>
    <row r="272">
      <c r="A272" s="54"/>
      <c r="B272" s="11"/>
      <c r="C272" s="20"/>
      <c r="D272" s="20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5"/>
      <c r="U272" s="15"/>
      <c r="V272" s="15"/>
      <c r="W272" s="15"/>
    </row>
    <row r="273">
      <c r="A273" s="54"/>
      <c r="B273" s="11"/>
      <c r="C273" s="20"/>
      <c r="D273" s="20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5"/>
      <c r="U273" s="15"/>
      <c r="V273" s="15"/>
      <c r="W273" s="15"/>
    </row>
    <row r="274">
      <c r="A274" s="54"/>
      <c r="B274" s="11"/>
      <c r="C274" s="20"/>
      <c r="D274" s="2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5"/>
      <c r="U274" s="15"/>
      <c r="V274" s="15"/>
      <c r="W274" s="15"/>
    </row>
    <row r="275">
      <c r="A275" s="54"/>
      <c r="B275" s="11"/>
      <c r="C275" s="20"/>
      <c r="D275" s="20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5"/>
      <c r="U275" s="15"/>
      <c r="V275" s="15"/>
      <c r="W275" s="15"/>
    </row>
    <row r="276">
      <c r="A276" s="54"/>
      <c r="B276" s="11"/>
      <c r="C276" s="20"/>
      <c r="D276" s="20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5"/>
      <c r="U276" s="15"/>
      <c r="V276" s="15"/>
      <c r="W276" s="15"/>
    </row>
    <row r="277">
      <c r="A277" s="54"/>
      <c r="B277" s="11"/>
      <c r="C277" s="20"/>
      <c r="D277" s="20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5"/>
      <c r="U277" s="15"/>
      <c r="V277" s="15"/>
      <c r="W277" s="15"/>
    </row>
    <row r="278">
      <c r="A278" s="54"/>
      <c r="B278" s="11"/>
      <c r="C278" s="20"/>
      <c r="D278" s="20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5"/>
      <c r="U278" s="15"/>
      <c r="V278" s="15"/>
      <c r="W278" s="15"/>
    </row>
    <row r="279">
      <c r="A279" s="54"/>
      <c r="B279" s="11"/>
      <c r="C279" s="20"/>
      <c r="D279" s="20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5"/>
      <c r="U279" s="15"/>
      <c r="V279" s="15"/>
      <c r="W279" s="15"/>
    </row>
    <row r="280">
      <c r="A280" s="22"/>
      <c r="B280" s="11"/>
      <c r="C280" s="20"/>
      <c r="D280" s="2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5"/>
      <c r="U280" s="15"/>
      <c r="V280" s="15"/>
      <c r="W280" s="15"/>
    </row>
    <row r="281">
      <c r="A281" s="22"/>
      <c r="B281" s="11"/>
      <c r="C281" s="20"/>
      <c r="D281" s="20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5"/>
      <c r="U281" s="15"/>
      <c r="V281" s="15"/>
      <c r="W281" s="15"/>
    </row>
    <row r="282">
      <c r="A282" s="22"/>
      <c r="B282" s="11"/>
      <c r="C282" s="20"/>
      <c r="D282" s="20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5"/>
      <c r="U282" s="15"/>
      <c r="V282" s="15"/>
      <c r="W282" s="15"/>
    </row>
    <row r="283">
      <c r="A283" s="22"/>
      <c r="B283" s="11"/>
      <c r="C283" s="20"/>
      <c r="D283" s="20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5"/>
      <c r="U283" s="15"/>
      <c r="V283" s="15"/>
      <c r="W283" s="15"/>
    </row>
    <row r="284">
      <c r="A284" s="22"/>
      <c r="B284" s="11"/>
      <c r="C284" s="20"/>
      <c r="D284" s="20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5"/>
      <c r="U284" s="15"/>
      <c r="V284" s="15"/>
      <c r="W284" s="15"/>
    </row>
    <row r="285">
      <c r="A285" s="22"/>
      <c r="B285" s="11"/>
      <c r="C285" s="20"/>
      <c r="D285" s="20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5"/>
      <c r="U285" s="15"/>
      <c r="V285" s="15"/>
      <c r="W285" s="15"/>
    </row>
    <row r="286">
      <c r="A286" s="22"/>
      <c r="B286" s="11"/>
      <c r="C286" s="20"/>
      <c r="D286" s="20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5"/>
      <c r="U286" s="15"/>
      <c r="V286" s="15"/>
      <c r="W286" s="15"/>
    </row>
    <row r="287">
      <c r="A287" s="22"/>
      <c r="B287" s="11"/>
      <c r="C287" s="20"/>
      <c r="D287" s="20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5"/>
      <c r="U287" s="15"/>
      <c r="V287" s="15"/>
      <c r="W287" s="15"/>
    </row>
    <row r="288">
      <c r="A288" s="22"/>
      <c r="B288" s="11"/>
      <c r="C288" s="20"/>
      <c r="D288" s="20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5"/>
      <c r="U288" s="15"/>
      <c r="V288" s="15"/>
      <c r="W288" s="15"/>
    </row>
    <row r="289">
      <c r="A289" s="22"/>
      <c r="B289" s="11"/>
      <c r="C289" s="20"/>
      <c r="D289" s="20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5"/>
      <c r="U289" s="15"/>
      <c r="V289" s="15"/>
      <c r="W289" s="15"/>
    </row>
    <row r="290">
      <c r="A290" s="22"/>
      <c r="B290" s="11"/>
      <c r="C290" s="20"/>
      <c r="D290" s="20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5"/>
      <c r="U290" s="15"/>
      <c r="V290" s="15"/>
      <c r="W290" s="15"/>
    </row>
    <row r="291">
      <c r="A291" s="22"/>
      <c r="B291" s="11"/>
      <c r="C291" s="20"/>
      <c r="D291" s="20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5"/>
      <c r="U291" s="15"/>
      <c r="V291" s="15"/>
      <c r="W291" s="15"/>
    </row>
    <row r="292">
      <c r="A292" s="22"/>
      <c r="B292" s="11"/>
      <c r="C292" s="20"/>
      <c r="D292" s="20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5"/>
      <c r="U292" s="15"/>
      <c r="V292" s="15"/>
      <c r="W292" s="15"/>
    </row>
    <row r="293">
      <c r="A293" s="22"/>
      <c r="B293" s="11"/>
      <c r="C293" s="20"/>
      <c r="D293" s="20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5"/>
      <c r="U293" s="15"/>
      <c r="V293" s="15"/>
      <c r="W293" s="15"/>
    </row>
    <row r="294">
      <c r="A294" s="22"/>
      <c r="B294" s="11"/>
      <c r="C294" s="20"/>
      <c r="D294" s="20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5"/>
      <c r="U294" s="15"/>
      <c r="V294" s="15"/>
      <c r="W294" s="15"/>
    </row>
    <row r="295">
      <c r="A295" s="22"/>
      <c r="B295" s="11"/>
      <c r="C295" s="20"/>
      <c r="D295" s="20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5"/>
      <c r="U295" s="15"/>
      <c r="V295" s="15"/>
      <c r="W295" s="15"/>
    </row>
    <row r="296">
      <c r="A296" s="22"/>
      <c r="B296" s="11"/>
      <c r="C296" s="20"/>
      <c r="D296" s="20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5"/>
      <c r="U296" s="15"/>
      <c r="V296" s="15"/>
      <c r="W296" s="15"/>
    </row>
    <row r="297">
      <c r="A297" s="22"/>
      <c r="B297" s="11"/>
      <c r="C297" s="20"/>
      <c r="D297" s="20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5"/>
      <c r="U297" s="15"/>
      <c r="V297" s="15"/>
      <c r="W297" s="15"/>
    </row>
    <row r="298">
      <c r="A298" s="22"/>
      <c r="B298" s="11"/>
      <c r="C298" s="20"/>
      <c r="D298" s="20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5"/>
      <c r="U298" s="15"/>
      <c r="V298" s="15"/>
      <c r="W298" s="15"/>
    </row>
    <row r="299">
      <c r="A299" s="54"/>
      <c r="B299" s="11"/>
      <c r="C299" s="20"/>
      <c r="D299" s="20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5"/>
      <c r="U299" s="15"/>
      <c r="V299" s="15"/>
      <c r="W299" s="15"/>
    </row>
    <row r="300">
      <c r="A300" s="54"/>
      <c r="B300" s="11"/>
      <c r="C300" s="20"/>
      <c r="D300" s="20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5"/>
      <c r="U300" s="15"/>
      <c r="V300" s="15"/>
      <c r="W300" s="15"/>
    </row>
    <row r="301">
      <c r="A301" s="54"/>
      <c r="B301" s="11"/>
      <c r="C301" s="20"/>
      <c r="D301" s="20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5"/>
      <c r="U301" s="15"/>
      <c r="V301" s="15"/>
      <c r="W301" s="15"/>
    </row>
    <row r="302">
      <c r="A302" s="54"/>
      <c r="B302" s="11"/>
      <c r="C302" s="20"/>
      <c r="D302" s="20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5"/>
      <c r="U302" s="15"/>
      <c r="V302" s="15"/>
      <c r="W302" s="15"/>
    </row>
    <row r="303">
      <c r="A303" s="54"/>
      <c r="B303" s="11"/>
      <c r="C303" s="20"/>
      <c r="D303" s="20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5"/>
      <c r="U303" s="15"/>
      <c r="V303" s="15"/>
      <c r="W303" s="15"/>
    </row>
    <row r="304">
      <c r="A304" s="54"/>
      <c r="B304" s="11"/>
      <c r="C304" s="20"/>
      <c r="D304" s="20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5"/>
      <c r="U304" s="15"/>
      <c r="V304" s="15"/>
      <c r="W304" s="15"/>
    </row>
    <row r="305">
      <c r="A305" s="54"/>
      <c r="B305" s="11"/>
      <c r="C305" s="20"/>
      <c r="D305" s="20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5"/>
      <c r="U305" s="15"/>
      <c r="V305" s="15"/>
      <c r="W305" s="15"/>
    </row>
    <row r="306">
      <c r="A306" s="54"/>
      <c r="B306" s="11"/>
      <c r="C306" s="20"/>
      <c r="D306" s="20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5"/>
      <c r="U306" s="15"/>
      <c r="V306" s="15"/>
      <c r="W306" s="15"/>
    </row>
    <row r="307">
      <c r="A307" s="54"/>
      <c r="B307" s="11"/>
      <c r="C307" s="20"/>
      <c r="D307" s="20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5"/>
      <c r="U307" s="15"/>
      <c r="V307" s="15"/>
      <c r="W307" s="15"/>
    </row>
    <row r="308">
      <c r="A308" s="54"/>
      <c r="B308" s="11"/>
      <c r="C308" s="20"/>
      <c r="D308" s="20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5"/>
      <c r="U308" s="15"/>
      <c r="V308" s="15"/>
      <c r="W308" s="15"/>
    </row>
    <row r="309">
      <c r="A309" s="54"/>
      <c r="B309" s="11"/>
      <c r="C309" s="20"/>
      <c r="D309" s="20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5"/>
      <c r="U309" s="15"/>
      <c r="V309" s="15"/>
      <c r="W309" s="15"/>
    </row>
    <row r="310">
      <c r="A310" s="54"/>
      <c r="B310" s="11"/>
      <c r="C310" s="20"/>
      <c r="D310" s="20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5"/>
      <c r="U310" s="15"/>
      <c r="V310" s="15"/>
      <c r="W310" s="15"/>
    </row>
    <row r="311">
      <c r="A311" s="54"/>
      <c r="B311" s="11"/>
      <c r="C311" s="20"/>
      <c r="D311" s="2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5"/>
      <c r="U311" s="15"/>
      <c r="V311" s="15"/>
      <c r="W311" s="15"/>
    </row>
    <row r="312">
      <c r="A312" s="54"/>
      <c r="B312" s="11"/>
      <c r="C312" s="20"/>
      <c r="D312" s="20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5"/>
      <c r="U312" s="15"/>
      <c r="V312" s="15"/>
      <c r="W312" s="15"/>
    </row>
    <row r="313">
      <c r="A313" s="54"/>
      <c r="B313" s="11"/>
      <c r="C313" s="20"/>
      <c r="D313" s="20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5"/>
      <c r="U313" s="15"/>
      <c r="V313" s="15"/>
      <c r="W313" s="15"/>
    </row>
    <row r="314">
      <c r="A314" s="54"/>
      <c r="B314" s="11"/>
      <c r="C314" s="20"/>
      <c r="D314" s="20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5"/>
      <c r="U314" s="15"/>
      <c r="V314" s="15"/>
      <c r="W314" s="15"/>
    </row>
    <row r="315">
      <c r="A315" s="54"/>
      <c r="B315" s="11"/>
      <c r="C315" s="20"/>
      <c r="D315" s="20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5"/>
      <c r="U315" s="15"/>
      <c r="V315" s="15"/>
      <c r="W315" s="15"/>
    </row>
    <row r="316">
      <c r="A316" s="54"/>
      <c r="B316" s="11"/>
      <c r="C316" s="20"/>
      <c r="D316" s="20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5"/>
      <c r="U316" s="15"/>
      <c r="V316" s="15"/>
      <c r="W316" s="15"/>
    </row>
    <row r="317">
      <c r="A317" s="22"/>
      <c r="B317" s="11"/>
      <c r="C317" s="20"/>
      <c r="D317" s="20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5"/>
      <c r="U317" s="15"/>
      <c r="V317" s="15"/>
      <c r="W317" s="15"/>
    </row>
    <row r="318">
      <c r="A318" s="22"/>
      <c r="B318" s="11"/>
      <c r="C318" s="20"/>
      <c r="D318" s="20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5"/>
      <c r="U318" s="15"/>
      <c r="V318" s="15"/>
      <c r="W318" s="15"/>
    </row>
    <row r="319">
      <c r="A319" s="22"/>
      <c r="B319" s="11"/>
      <c r="C319" s="20"/>
      <c r="D319" s="20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5"/>
      <c r="U319" s="15"/>
      <c r="V319" s="15"/>
      <c r="W319" s="15"/>
    </row>
    <row r="320">
      <c r="A320" s="22"/>
      <c r="B320" s="11"/>
      <c r="C320" s="20"/>
      <c r="D320" s="20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5"/>
      <c r="U320" s="15"/>
      <c r="V320" s="15"/>
      <c r="W320" s="15"/>
    </row>
    <row r="321">
      <c r="A321" s="22"/>
      <c r="B321" s="11"/>
      <c r="C321" s="20"/>
      <c r="D321" s="20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5"/>
      <c r="U321" s="15"/>
      <c r="V321" s="15"/>
      <c r="W321" s="15"/>
    </row>
    <row r="322">
      <c r="A322" s="22"/>
      <c r="B322" s="11"/>
      <c r="C322" s="20"/>
      <c r="D322" s="2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5"/>
      <c r="U322" s="15"/>
      <c r="V322" s="15"/>
      <c r="W322" s="15"/>
    </row>
    <row r="323">
      <c r="A323" s="22"/>
      <c r="B323" s="11"/>
      <c r="C323" s="20"/>
      <c r="D323" s="20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5"/>
      <c r="U323" s="15"/>
      <c r="V323" s="15"/>
      <c r="W323" s="15"/>
    </row>
    <row r="324">
      <c r="A324" s="22"/>
      <c r="B324" s="11"/>
      <c r="C324" s="20"/>
      <c r="D324" s="20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5"/>
      <c r="U324" s="15"/>
      <c r="V324" s="15"/>
      <c r="W324" s="15"/>
    </row>
    <row r="325">
      <c r="A325" s="22"/>
      <c r="B325" s="11"/>
      <c r="C325" s="20"/>
      <c r="D325" s="20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5"/>
      <c r="U325" s="15"/>
      <c r="V325" s="15"/>
      <c r="W325" s="15"/>
    </row>
    <row r="326">
      <c r="A326" s="22"/>
      <c r="B326" s="11"/>
      <c r="C326" s="20"/>
      <c r="D326" s="20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5"/>
      <c r="U326" s="15"/>
      <c r="V326" s="15"/>
      <c r="W326" s="15"/>
    </row>
    <row r="327">
      <c r="A327" s="22"/>
      <c r="B327" s="11"/>
      <c r="C327" s="20"/>
      <c r="D327" s="20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5"/>
      <c r="U327" s="15"/>
      <c r="V327" s="15"/>
      <c r="W327" s="15"/>
    </row>
    <row r="328">
      <c r="A328" s="22"/>
      <c r="B328" s="11"/>
      <c r="C328" s="20"/>
      <c r="D328" s="2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5"/>
      <c r="U328" s="15"/>
      <c r="V328" s="15"/>
      <c r="W328" s="15"/>
    </row>
    <row r="329">
      <c r="A329" s="22"/>
      <c r="B329" s="11"/>
      <c r="C329" s="20"/>
      <c r="D329" s="20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5"/>
      <c r="U329" s="15"/>
      <c r="V329" s="15"/>
      <c r="W329" s="15"/>
    </row>
    <row r="330">
      <c r="A330" s="22"/>
      <c r="B330" s="11"/>
      <c r="C330" s="20"/>
      <c r="D330" s="2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5"/>
      <c r="U330" s="15"/>
      <c r="V330" s="15"/>
      <c r="W330" s="15"/>
    </row>
    <row r="331">
      <c r="A331" s="22"/>
      <c r="B331" s="11"/>
      <c r="C331" s="20"/>
      <c r="D331" s="20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5"/>
      <c r="U331" s="15"/>
      <c r="V331" s="15"/>
      <c r="W331" s="15"/>
    </row>
    <row r="332">
      <c r="A332" s="22"/>
      <c r="B332" s="11"/>
      <c r="C332" s="20"/>
      <c r="D332" s="20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5"/>
      <c r="U332" s="15"/>
      <c r="V332" s="15"/>
      <c r="W332" s="15"/>
    </row>
    <row r="333">
      <c r="A333" s="22"/>
      <c r="B333" s="11"/>
      <c r="C333" s="20"/>
      <c r="D333" s="20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5"/>
      <c r="U333" s="15"/>
      <c r="V333" s="15"/>
      <c r="W333" s="15"/>
    </row>
    <row r="334">
      <c r="A334" s="22"/>
      <c r="B334" s="11"/>
      <c r="C334" s="20"/>
      <c r="D334" s="20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5"/>
      <c r="U334" s="15"/>
      <c r="V334" s="15"/>
      <c r="W334" s="15"/>
    </row>
    <row r="335">
      <c r="A335" s="22"/>
      <c r="B335" s="11"/>
      <c r="C335" s="20"/>
      <c r="D335" s="20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5"/>
      <c r="U335" s="15"/>
      <c r="V335" s="15"/>
      <c r="W335" s="15"/>
    </row>
    <row r="336">
      <c r="A336" s="54"/>
      <c r="B336" s="11"/>
      <c r="C336" s="20"/>
      <c r="D336" s="2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5"/>
      <c r="U336" s="15"/>
      <c r="V336" s="15"/>
      <c r="W336" s="15"/>
    </row>
    <row r="337">
      <c r="A337" s="54"/>
      <c r="B337" s="11"/>
      <c r="C337" s="20"/>
      <c r="D337" s="20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5"/>
      <c r="U337" s="15"/>
      <c r="V337" s="15"/>
      <c r="W337" s="15"/>
    </row>
    <row r="338">
      <c r="A338" s="54"/>
      <c r="B338" s="11"/>
      <c r="C338" s="20"/>
      <c r="D338" s="20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5"/>
      <c r="U338" s="15"/>
      <c r="V338" s="15"/>
      <c r="W338" s="15"/>
    </row>
    <row r="339">
      <c r="A339" s="54"/>
      <c r="B339" s="11"/>
      <c r="C339" s="20"/>
      <c r="D339" s="20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5"/>
      <c r="U339" s="15"/>
      <c r="V339" s="15"/>
      <c r="W339" s="15"/>
    </row>
    <row r="340">
      <c r="A340" s="54"/>
      <c r="B340" s="11"/>
      <c r="C340" s="20"/>
      <c r="D340" s="20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5"/>
      <c r="U340" s="15"/>
      <c r="V340" s="15"/>
      <c r="W340" s="15"/>
    </row>
    <row r="341">
      <c r="A341" s="54"/>
      <c r="B341" s="11"/>
      <c r="C341" s="20"/>
      <c r="D341" s="20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5"/>
      <c r="U341" s="15"/>
      <c r="V341" s="15"/>
      <c r="W341" s="15"/>
    </row>
    <row r="342">
      <c r="A342" s="54"/>
      <c r="B342" s="11"/>
      <c r="C342" s="20"/>
      <c r="D342" s="20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5"/>
      <c r="U342" s="15"/>
      <c r="V342" s="15"/>
      <c r="W342" s="15"/>
    </row>
    <row r="343">
      <c r="A343" s="54"/>
      <c r="B343" s="11"/>
      <c r="C343" s="20"/>
      <c r="D343" s="20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5"/>
      <c r="U343" s="15"/>
      <c r="V343" s="15"/>
      <c r="W343" s="15"/>
    </row>
    <row r="344">
      <c r="A344" s="54"/>
      <c r="B344" s="11"/>
      <c r="C344" s="20"/>
      <c r="D344" s="20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5"/>
      <c r="U344" s="15"/>
      <c r="V344" s="15"/>
      <c r="W344" s="15"/>
    </row>
    <row r="345">
      <c r="A345" s="54"/>
      <c r="B345" s="11"/>
      <c r="C345" s="20"/>
      <c r="D345" s="20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5"/>
      <c r="U345" s="15"/>
      <c r="V345" s="15"/>
      <c r="W345" s="15"/>
    </row>
    <row r="346">
      <c r="A346" s="54"/>
      <c r="B346" s="11"/>
      <c r="C346" s="20"/>
      <c r="D346" s="20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5"/>
      <c r="U346" s="15"/>
      <c r="V346" s="15"/>
      <c r="W346" s="15"/>
    </row>
    <row r="347">
      <c r="A347" s="54"/>
      <c r="B347" s="11"/>
      <c r="C347" s="20"/>
      <c r="D347" s="20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5"/>
      <c r="U347" s="15"/>
      <c r="V347" s="15"/>
      <c r="W347" s="15"/>
    </row>
    <row r="348">
      <c r="A348" s="54"/>
      <c r="B348" s="11"/>
      <c r="C348" s="20"/>
      <c r="D348" s="20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5"/>
      <c r="U348" s="15"/>
      <c r="V348" s="15"/>
      <c r="W348" s="15"/>
    </row>
    <row r="349">
      <c r="A349" s="54"/>
      <c r="B349" s="11"/>
      <c r="C349" s="20"/>
      <c r="D349" s="20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5"/>
      <c r="U349" s="15"/>
      <c r="V349" s="15"/>
      <c r="W349" s="15"/>
    </row>
    <row r="350">
      <c r="A350" s="54"/>
      <c r="B350" s="11"/>
      <c r="C350" s="20"/>
      <c r="D350" s="20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5"/>
      <c r="U350" s="15"/>
      <c r="V350" s="15"/>
      <c r="W350" s="15"/>
    </row>
    <row r="351">
      <c r="A351" s="54"/>
      <c r="B351" s="11"/>
      <c r="C351" s="20"/>
      <c r="D351" s="20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5"/>
      <c r="U351" s="15"/>
      <c r="V351" s="15"/>
      <c r="W351" s="15"/>
    </row>
    <row r="352">
      <c r="A352" s="54"/>
      <c r="B352" s="11"/>
      <c r="C352" s="20"/>
      <c r="D352" s="20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5"/>
      <c r="U352" s="15"/>
      <c r="V352" s="15"/>
      <c r="W352" s="15"/>
    </row>
    <row r="353">
      <c r="A353" s="54"/>
      <c r="B353" s="11"/>
      <c r="C353" s="20"/>
      <c r="D353" s="20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5"/>
      <c r="U353" s="15"/>
      <c r="V353" s="15"/>
      <c r="W353" s="15"/>
    </row>
    <row r="354">
      <c r="A354" s="54"/>
      <c r="B354" s="11"/>
      <c r="C354" s="20"/>
      <c r="D354" s="20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5"/>
      <c r="U354" s="15"/>
      <c r="V354" s="15"/>
      <c r="W354" s="15"/>
    </row>
    <row r="355">
      <c r="A355" s="54"/>
      <c r="B355" s="11"/>
      <c r="C355" s="20"/>
      <c r="D355" s="20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5"/>
      <c r="U355" s="15"/>
      <c r="V355" s="15"/>
      <c r="W355" s="15"/>
    </row>
    <row r="356">
      <c r="A356" s="54"/>
      <c r="B356" s="11"/>
      <c r="C356" s="20"/>
      <c r="D356" s="20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5"/>
      <c r="U356" s="15"/>
      <c r="V356" s="15"/>
      <c r="W356" s="15"/>
    </row>
    <row r="357">
      <c r="A357" s="54"/>
      <c r="B357" s="11"/>
      <c r="C357" s="20"/>
      <c r="D357" s="20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5"/>
      <c r="U357" s="15"/>
      <c r="V357" s="15"/>
      <c r="W357" s="15"/>
    </row>
    <row r="358">
      <c r="A358" s="54"/>
      <c r="B358" s="11"/>
      <c r="C358" s="20"/>
      <c r="D358" s="20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5"/>
      <c r="U358" s="15"/>
      <c r="V358" s="15"/>
      <c r="W358" s="15"/>
    </row>
    <row r="359">
      <c r="A359" s="54"/>
      <c r="B359" s="11"/>
      <c r="C359" s="20"/>
      <c r="D359" s="20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5"/>
      <c r="U359" s="15"/>
      <c r="V359" s="15"/>
      <c r="W359" s="15"/>
    </row>
    <row r="360">
      <c r="A360" s="54"/>
      <c r="B360" s="11"/>
      <c r="C360" s="20"/>
      <c r="D360" s="20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5"/>
      <c r="U360" s="15"/>
      <c r="V360" s="15"/>
      <c r="W360" s="15"/>
    </row>
    <row r="361">
      <c r="A361" s="54"/>
      <c r="B361" s="11"/>
      <c r="C361" s="20"/>
      <c r="D361" s="2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5"/>
      <c r="U361" s="15"/>
      <c r="V361" s="15"/>
      <c r="W361" s="15"/>
    </row>
    <row r="362">
      <c r="A362" s="54"/>
      <c r="B362" s="11"/>
      <c r="C362" s="20"/>
      <c r="D362" s="20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5"/>
      <c r="U362" s="15"/>
      <c r="V362" s="15"/>
      <c r="W362" s="15"/>
    </row>
    <row r="363">
      <c r="A363" s="22"/>
      <c r="B363" s="11"/>
      <c r="C363" s="20"/>
      <c r="D363" s="20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5"/>
      <c r="U363" s="15"/>
      <c r="V363" s="15"/>
      <c r="W363" s="15"/>
    </row>
    <row r="364">
      <c r="A364" s="22"/>
      <c r="B364" s="11"/>
      <c r="C364" s="20"/>
      <c r="D364" s="20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5"/>
      <c r="U364" s="15"/>
      <c r="V364" s="15"/>
      <c r="W364" s="15"/>
    </row>
    <row r="365">
      <c r="A365" s="22"/>
      <c r="B365" s="11"/>
      <c r="C365" s="20"/>
      <c r="D365" s="20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5"/>
      <c r="U365" s="15"/>
      <c r="V365" s="15"/>
      <c r="W365" s="15"/>
    </row>
    <row r="366">
      <c r="A366" s="22"/>
      <c r="B366" s="11"/>
      <c r="C366" s="20"/>
      <c r="D366" s="2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5"/>
      <c r="U366" s="15"/>
      <c r="V366" s="15"/>
      <c r="W366" s="15"/>
    </row>
    <row r="367">
      <c r="A367" s="22"/>
      <c r="B367" s="11"/>
      <c r="C367" s="20"/>
      <c r="D367" s="20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5"/>
      <c r="U367" s="15"/>
      <c r="V367" s="15"/>
      <c r="W367" s="15"/>
    </row>
    <row r="368">
      <c r="A368" s="22"/>
      <c r="B368" s="11"/>
      <c r="C368" s="20"/>
      <c r="D368" s="20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5"/>
      <c r="U368" s="15"/>
      <c r="V368" s="15"/>
      <c r="W368" s="15"/>
    </row>
    <row r="369">
      <c r="A369" s="22"/>
      <c r="B369" s="11"/>
      <c r="C369" s="20"/>
      <c r="D369" s="20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5"/>
      <c r="U369" s="15"/>
      <c r="V369" s="15"/>
      <c r="W369" s="15"/>
    </row>
    <row r="370">
      <c r="A370" s="22"/>
      <c r="B370" s="11"/>
      <c r="C370" s="20"/>
      <c r="D370" s="20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5"/>
      <c r="U370" s="15"/>
      <c r="V370" s="15"/>
      <c r="W370" s="15"/>
    </row>
    <row r="371">
      <c r="A371" s="22"/>
      <c r="B371" s="11"/>
      <c r="C371" s="20"/>
      <c r="D371" s="20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5"/>
      <c r="U371" s="15"/>
      <c r="V371" s="15"/>
      <c r="W371" s="15"/>
    </row>
    <row r="372">
      <c r="A372" s="22"/>
      <c r="B372" s="11"/>
      <c r="C372" s="20"/>
      <c r="D372" s="20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5"/>
      <c r="U372" s="15"/>
      <c r="V372" s="15"/>
      <c r="W372" s="15"/>
    </row>
    <row r="373">
      <c r="A373" s="22"/>
      <c r="B373" s="11"/>
      <c r="C373" s="20"/>
      <c r="D373" s="20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5"/>
      <c r="U373" s="15"/>
      <c r="V373" s="15"/>
      <c r="W373" s="15"/>
    </row>
    <row r="374">
      <c r="A374" s="22"/>
      <c r="B374" s="11"/>
      <c r="C374" s="20"/>
      <c r="D374" s="20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5"/>
      <c r="U374" s="15"/>
      <c r="V374" s="15"/>
      <c r="W374" s="15"/>
    </row>
    <row r="375">
      <c r="A375" s="22"/>
      <c r="B375" s="11"/>
      <c r="C375" s="20"/>
      <c r="D375" s="20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5"/>
      <c r="U375" s="15"/>
      <c r="V375" s="15"/>
      <c r="W375" s="15"/>
    </row>
    <row r="376">
      <c r="A376" s="22"/>
      <c r="B376" s="11"/>
      <c r="C376" s="20"/>
      <c r="D376" s="20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5"/>
      <c r="U376" s="15"/>
      <c r="V376" s="15"/>
      <c r="W376" s="15"/>
    </row>
    <row r="377">
      <c r="A377" s="22"/>
      <c r="B377" s="11"/>
      <c r="C377" s="20"/>
      <c r="D377" s="20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5"/>
      <c r="U377" s="15"/>
      <c r="V377" s="15"/>
      <c r="W377" s="15"/>
    </row>
    <row r="378">
      <c r="A378" s="22"/>
      <c r="B378" s="11"/>
      <c r="C378" s="20"/>
      <c r="D378" s="20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5"/>
      <c r="U378" s="15"/>
      <c r="V378" s="15"/>
      <c r="W378" s="15"/>
    </row>
    <row r="379">
      <c r="A379" s="22"/>
      <c r="B379" s="11"/>
      <c r="C379" s="20"/>
      <c r="D379" s="20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5"/>
      <c r="U379" s="15"/>
      <c r="V379" s="15"/>
      <c r="W379" s="15"/>
    </row>
    <row r="380">
      <c r="A380" s="22"/>
      <c r="B380" s="11"/>
      <c r="C380" s="20"/>
      <c r="D380" s="20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5"/>
      <c r="U380" s="15"/>
      <c r="V380" s="15"/>
      <c r="W380" s="15"/>
    </row>
    <row r="381">
      <c r="A381" s="22"/>
      <c r="B381" s="11"/>
      <c r="C381" s="20"/>
      <c r="D381" s="20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5"/>
      <c r="U381" s="15"/>
      <c r="V381" s="15"/>
      <c r="W381" s="15"/>
    </row>
    <row r="382">
      <c r="A382" s="54"/>
      <c r="B382" s="11"/>
      <c r="C382" s="20"/>
      <c r="D382" s="20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5"/>
      <c r="U382" s="15"/>
      <c r="V382" s="15"/>
      <c r="W382" s="15"/>
    </row>
    <row r="383">
      <c r="A383" s="54"/>
      <c r="B383" s="11"/>
      <c r="C383" s="20"/>
      <c r="D383" s="20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5"/>
      <c r="U383" s="15"/>
      <c r="V383" s="15"/>
      <c r="W383" s="15"/>
    </row>
    <row r="384">
      <c r="A384" s="54"/>
      <c r="B384" s="11"/>
      <c r="C384" s="20"/>
      <c r="D384" s="20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5"/>
      <c r="U384" s="15"/>
      <c r="V384" s="15"/>
      <c r="W384" s="15"/>
    </row>
    <row r="385">
      <c r="A385" s="54"/>
      <c r="B385" s="11"/>
      <c r="C385" s="20"/>
      <c r="D385" s="20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5"/>
      <c r="U385" s="15"/>
      <c r="V385" s="15"/>
      <c r="W385" s="15"/>
    </row>
    <row r="386">
      <c r="A386" s="54"/>
      <c r="B386" s="11"/>
      <c r="C386" s="20"/>
      <c r="D386" s="2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5"/>
      <c r="U386" s="15"/>
      <c r="V386" s="15"/>
      <c r="W386" s="15"/>
    </row>
    <row r="387">
      <c r="A387" s="54"/>
      <c r="B387" s="11"/>
      <c r="C387" s="20"/>
      <c r="D387" s="20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5"/>
      <c r="U387" s="15"/>
      <c r="V387" s="15"/>
      <c r="W387" s="15"/>
    </row>
    <row r="388">
      <c r="A388" s="54"/>
      <c r="B388" s="11"/>
      <c r="C388" s="20"/>
      <c r="D388" s="20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5"/>
      <c r="U388" s="15"/>
      <c r="V388" s="15"/>
      <c r="W388" s="15"/>
    </row>
    <row r="389">
      <c r="A389" s="54"/>
      <c r="B389" s="11"/>
      <c r="C389" s="20"/>
      <c r="D389" s="20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5"/>
      <c r="U389" s="15"/>
      <c r="V389" s="15"/>
      <c r="W389" s="15"/>
    </row>
    <row r="390">
      <c r="A390" s="54"/>
      <c r="B390" s="11"/>
      <c r="C390" s="20"/>
      <c r="D390" s="20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5"/>
      <c r="U390" s="15"/>
      <c r="V390" s="15"/>
      <c r="W390" s="15"/>
    </row>
    <row r="391">
      <c r="A391" s="54"/>
      <c r="B391" s="11"/>
      <c r="C391" s="20"/>
      <c r="D391" s="20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5"/>
      <c r="U391" s="15"/>
      <c r="V391" s="15"/>
      <c r="W391" s="15"/>
    </row>
    <row r="392">
      <c r="A392" s="54"/>
      <c r="B392" s="11"/>
      <c r="C392" s="20"/>
      <c r="D392" s="20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5"/>
      <c r="U392" s="15"/>
      <c r="V392" s="15"/>
      <c r="W392" s="15"/>
    </row>
    <row r="393">
      <c r="A393" s="54"/>
      <c r="B393" s="11"/>
      <c r="C393" s="20"/>
      <c r="D393" s="20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5"/>
      <c r="U393" s="15"/>
      <c r="V393" s="15"/>
      <c r="W393" s="15"/>
    </row>
    <row r="394">
      <c r="A394" s="54"/>
      <c r="B394" s="11"/>
      <c r="C394" s="20"/>
      <c r="D394" s="20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5"/>
      <c r="U394" s="15"/>
      <c r="V394" s="15"/>
      <c r="W394" s="15"/>
    </row>
    <row r="395">
      <c r="A395" s="54"/>
      <c r="B395" s="11"/>
      <c r="C395" s="20"/>
      <c r="D395" s="20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5"/>
      <c r="U395" s="15"/>
      <c r="V395" s="15"/>
      <c r="W395" s="15"/>
    </row>
    <row r="396">
      <c r="A396" s="54"/>
      <c r="B396" s="11"/>
      <c r="C396" s="20"/>
      <c r="D396" s="2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5"/>
      <c r="U396" s="15"/>
      <c r="V396" s="15"/>
      <c r="W396" s="15"/>
    </row>
    <row r="397">
      <c r="A397" s="54"/>
      <c r="B397" s="11"/>
      <c r="C397" s="20"/>
      <c r="D397" s="20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5"/>
      <c r="U397" s="15"/>
      <c r="V397" s="15"/>
      <c r="W397" s="15"/>
    </row>
    <row r="398">
      <c r="A398" s="54"/>
      <c r="B398" s="11"/>
      <c r="C398" s="20"/>
      <c r="D398" s="2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5"/>
      <c r="U398" s="15"/>
      <c r="V398" s="15"/>
      <c r="W398" s="15"/>
    </row>
    <row r="399">
      <c r="A399" s="54"/>
      <c r="B399" s="11"/>
      <c r="C399" s="20"/>
      <c r="D399" s="20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5"/>
      <c r="U399" s="15"/>
      <c r="V399" s="15"/>
      <c r="W399" s="15"/>
    </row>
    <row r="400">
      <c r="A400" s="22"/>
      <c r="B400" s="11"/>
      <c r="C400" s="20"/>
      <c r="D400" s="20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5"/>
      <c r="U400" s="15"/>
      <c r="V400" s="15"/>
      <c r="W400" s="15"/>
    </row>
    <row r="401">
      <c r="A401" s="22"/>
      <c r="B401" s="11"/>
      <c r="C401" s="20"/>
      <c r="D401" s="20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5"/>
      <c r="U401" s="15"/>
      <c r="V401" s="15"/>
      <c r="W401" s="15"/>
    </row>
    <row r="402">
      <c r="A402" s="22"/>
      <c r="B402" s="11"/>
      <c r="C402" s="20"/>
      <c r="D402" s="20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5"/>
      <c r="U402" s="15"/>
      <c r="V402" s="15"/>
      <c r="W402" s="15"/>
    </row>
    <row r="403">
      <c r="A403" s="22"/>
      <c r="B403" s="11"/>
      <c r="C403" s="20"/>
      <c r="D403" s="20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5"/>
      <c r="U403" s="15"/>
      <c r="V403" s="15"/>
      <c r="W403" s="15"/>
    </row>
    <row r="404">
      <c r="A404" s="22"/>
      <c r="B404" s="11"/>
      <c r="C404" s="20"/>
      <c r="D404" s="20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5"/>
      <c r="U404" s="15"/>
      <c r="V404" s="15"/>
      <c r="W404" s="15"/>
    </row>
    <row r="405">
      <c r="A405" s="22"/>
      <c r="B405" s="11"/>
      <c r="C405" s="20"/>
      <c r="D405" s="20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5"/>
      <c r="U405" s="15"/>
      <c r="V405" s="15"/>
      <c r="W405" s="15"/>
    </row>
    <row r="406">
      <c r="A406" s="22"/>
      <c r="B406" s="11"/>
      <c r="C406" s="20"/>
      <c r="D406" s="20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5"/>
      <c r="U406" s="15"/>
      <c r="V406" s="15"/>
      <c r="W406" s="15"/>
    </row>
    <row r="407">
      <c r="A407" s="22"/>
      <c r="B407" s="11"/>
      <c r="C407" s="20"/>
      <c r="D407" s="20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5"/>
      <c r="U407" s="15"/>
      <c r="V407" s="15"/>
      <c r="W407" s="15"/>
    </row>
    <row r="408">
      <c r="A408" s="22"/>
      <c r="B408" s="11"/>
      <c r="C408" s="20"/>
      <c r="D408" s="20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5"/>
      <c r="U408" s="15"/>
      <c r="V408" s="15"/>
      <c r="W408" s="15"/>
    </row>
    <row r="409">
      <c r="A409" s="22"/>
      <c r="B409" s="11"/>
      <c r="C409" s="20"/>
      <c r="D409" s="20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5"/>
      <c r="U409" s="15"/>
      <c r="V409" s="15"/>
      <c r="W409" s="15"/>
    </row>
    <row r="410">
      <c r="A410" s="22"/>
      <c r="B410" s="11"/>
      <c r="C410" s="20"/>
      <c r="D410" s="20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5"/>
      <c r="U410" s="15"/>
      <c r="V410" s="15"/>
      <c r="W410" s="15"/>
    </row>
    <row r="411">
      <c r="A411" s="22"/>
      <c r="B411" s="11"/>
      <c r="C411" s="20"/>
      <c r="D411" s="2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5"/>
      <c r="U411" s="15"/>
      <c r="V411" s="15"/>
      <c r="W411" s="15"/>
    </row>
    <row r="412">
      <c r="A412" s="22"/>
      <c r="B412" s="11"/>
      <c r="C412" s="20"/>
      <c r="D412" s="20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5"/>
      <c r="U412" s="15"/>
      <c r="V412" s="15"/>
      <c r="W412" s="15"/>
    </row>
    <row r="413">
      <c r="A413" s="22"/>
      <c r="B413" s="11"/>
      <c r="C413" s="20"/>
      <c r="D413" s="20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5"/>
      <c r="U413" s="15"/>
      <c r="V413" s="15"/>
      <c r="W413" s="15"/>
    </row>
    <row r="414">
      <c r="A414" s="22"/>
      <c r="B414" s="11"/>
      <c r="C414" s="20"/>
      <c r="D414" s="20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5"/>
      <c r="U414" s="15"/>
      <c r="V414" s="15"/>
      <c r="W414" s="15"/>
    </row>
    <row r="415">
      <c r="A415" s="22"/>
      <c r="B415" s="11"/>
      <c r="C415" s="20"/>
      <c r="D415" s="20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5"/>
      <c r="U415" s="15"/>
      <c r="V415" s="15"/>
      <c r="W415" s="15"/>
    </row>
    <row r="416">
      <c r="A416" s="22"/>
      <c r="B416" s="11"/>
      <c r="C416" s="20"/>
      <c r="D416" s="20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5"/>
      <c r="U416" s="15"/>
      <c r="V416" s="15"/>
      <c r="W416" s="15"/>
    </row>
    <row r="417">
      <c r="A417" s="22"/>
      <c r="B417" s="11"/>
      <c r="C417" s="20"/>
      <c r="D417" s="20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5"/>
      <c r="U417" s="15"/>
      <c r="V417" s="15"/>
      <c r="W417" s="15"/>
    </row>
    <row r="418">
      <c r="A418" s="22"/>
      <c r="B418" s="11"/>
      <c r="C418" s="20"/>
      <c r="D418" s="20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5"/>
      <c r="U418" s="15"/>
      <c r="V418" s="15"/>
      <c r="W418" s="15"/>
    </row>
    <row r="419">
      <c r="A419" s="54"/>
      <c r="B419" s="11"/>
      <c r="C419" s="20"/>
      <c r="D419" s="20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5"/>
      <c r="U419" s="15"/>
      <c r="V419" s="15"/>
      <c r="W419" s="15"/>
    </row>
    <row r="420">
      <c r="A420" s="54"/>
      <c r="B420" s="11"/>
      <c r="C420" s="20"/>
      <c r="D420" s="20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5"/>
      <c r="U420" s="15"/>
      <c r="V420" s="15"/>
      <c r="W420" s="15"/>
    </row>
    <row r="421">
      <c r="A421" s="54"/>
      <c r="B421" s="11"/>
      <c r="C421" s="20"/>
      <c r="D421" s="20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5"/>
      <c r="U421" s="15"/>
      <c r="V421" s="15"/>
      <c r="W421" s="15"/>
    </row>
    <row r="422">
      <c r="A422" s="54"/>
      <c r="B422" s="11"/>
      <c r="C422" s="20"/>
      <c r="D422" s="2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5"/>
      <c r="U422" s="15"/>
      <c r="V422" s="15"/>
      <c r="W422" s="15"/>
    </row>
    <row r="423">
      <c r="A423" s="54"/>
      <c r="B423" s="11"/>
      <c r="C423" s="20"/>
      <c r="D423" s="20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5"/>
      <c r="U423" s="15"/>
      <c r="V423" s="15"/>
      <c r="W423" s="15"/>
    </row>
    <row r="424">
      <c r="A424" s="54"/>
      <c r="B424" s="11"/>
      <c r="C424" s="20"/>
      <c r="D424" s="20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5"/>
      <c r="U424" s="15"/>
      <c r="V424" s="15"/>
      <c r="W424" s="15"/>
    </row>
    <row r="425">
      <c r="A425" s="54"/>
      <c r="B425" s="11"/>
      <c r="C425" s="20"/>
      <c r="D425" s="20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5"/>
      <c r="U425" s="15"/>
      <c r="V425" s="15"/>
      <c r="W425" s="15"/>
    </row>
    <row r="426">
      <c r="A426" s="54"/>
      <c r="B426" s="11"/>
      <c r="C426" s="20"/>
      <c r="D426" s="20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5"/>
      <c r="U426" s="15"/>
      <c r="V426" s="15"/>
      <c r="W426" s="15"/>
    </row>
    <row r="427">
      <c r="A427" s="54"/>
      <c r="B427" s="11"/>
      <c r="C427" s="20"/>
      <c r="D427" s="20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5"/>
      <c r="U427" s="15"/>
      <c r="V427" s="15"/>
      <c r="W427" s="15"/>
    </row>
    <row r="428">
      <c r="A428" s="54"/>
      <c r="B428" s="11"/>
      <c r="C428" s="20"/>
      <c r="D428" s="20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5"/>
      <c r="U428" s="15"/>
      <c r="V428" s="15"/>
      <c r="W428" s="15"/>
    </row>
    <row r="429">
      <c r="A429" s="54"/>
      <c r="B429" s="11"/>
      <c r="C429" s="20"/>
      <c r="D429" s="20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5"/>
      <c r="U429" s="15"/>
      <c r="V429" s="15"/>
      <c r="W429" s="15"/>
    </row>
    <row r="430">
      <c r="A430" s="54"/>
      <c r="B430" s="11"/>
      <c r="C430" s="20"/>
      <c r="D430" s="20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5"/>
      <c r="U430" s="15"/>
      <c r="V430" s="15"/>
      <c r="W430" s="15"/>
    </row>
    <row r="431">
      <c r="A431" s="54"/>
      <c r="B431" s="11"/>
      <c r="C431" s="20"/>
      <c r="D431" s="20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5"/>
      <c r="U431" s="15"/>
      <c r="V431" s="15"/>
      <c r="W431" s="15"/>
    </row>
    <row r="432">
      <c r="A432" s="54"/>
      <c r="B432" s="11"/>
      <c r="C432" s="20"/>
      <c r="D432" s="20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5"/>
      <c r="U432" s="15"/>
      <c r="V432" s="15"/>
      <c r="W432" s="15"/>
    </row>
    <row r="433">
      <c r="A433" s="54"/>
      <c r="B433" s="11"/>
      <c r="C433" s="20"/>
      <c r="D433" s="20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5"/>
      <c r="U433" s="15"/>
      <c r="V433" s="15"/>
      <c r="W433" s="15"/>
    </row>
    <row r="434">
      <c r="A434" s="54"/>
      <c r="B434" s="11"/>
      <c r="C434" s="20"/>
      <c r="D434" s="20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5"/>
      <c r="U434" s="15"/>
      <c r="V434" s="15"/>
      <c r="W434" s="15"/>
    </row>
    <row r="435">
      <c r="A435" s="54"/>
      <c r="B435" s="11"/>
      <c r="C435" s="20"/>
      <c r="D435" s="20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5"/>
      <c r="U435" s="15"/>
      <c r="V435" s="15"/>
      <c r="W435" s="15"/>
    </row>
    <row r="436">
      <c r="A436" s="54"/>
      <c r="B436" s="11"/>
      <c r="C436" s="20"/>
      <c r="D436" s="2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5"/>
      <c r="U436" s="15"/>
      <c r="V436" s="15"/>
      <c r="W436" s="15"/>
    </row>
    <row r="437">
      <c r="A437" s="54"/>
      <c r="B437" s="11"/>
      <c r="C437" s="20"/>
      <c r="D437" s="20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5"/>
      <c r="U437" s="15"/>
      <c r="V437" s="15"/>
      <c r="W437" s="15"/>
    </row>
    <row r="438">
      <c r="A438" s="54"/>
      <c r="B438" s="11"/>
      <c r="C438" s="20"/>
      <c r="D438" s="20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5"/>
      <c r="U438" s="15"/>
      <c r="V438" s="15"/>
      <c r="W438" s="15"/>
    </row>
    <row r="439">
      <c r="A439" s="54"/>
      <c r="B439" s="11"/>
      <c r="C439" s="20"/>
      <c r="D439" s="20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5"/>
      <c r="U439" s="15"/>
      <c r="V439" s="15"/>
      <c r="W439" s="15"/>
    </row>
    <row r="440">
      <c r="A440" s="54"/>
      <c r="B440" s="11"/>
      <c r="C440" s="20"/>
      <c r="D440" s="20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5"/>
      <c r="U440" s="15"/>
      <c r="V440" s="15"/>
      <c r="W440" s="15"/>
    </row>
    <row r="441">
      <c r="A441" s="54"/>
      <c r="B441" s="11"/>
      <c r="C441" s="20"/>
      <c r="D441" s="20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5"/>
      <c r="U441" s="15"/>
      <c r="V441" s="15"/>
      <c r="W441" s="15"/>
    </row>
    <row r="442">
      <c r="A442" s="54"/>
      <c r="B442" s="11"/>
      <c r="C442" s="20"/>
      <c r="D442" s="20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5"/>
      <c r="U442" s="15"/>
      <c r="V442" s="15"/>
      <c r="W442" s="15"/>
    </row>
    <row r="443">
      <c r="A443" s="54"/>
      <c r="B443" s="11"/>
      <c r="C443" s="20"/>
      <c r="D443" s="20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5"/>
      <c r="U443" s="15"/>
      <c r="V443" s="15"/>
      <c r="W443" s="15"/>
    </row>
    <row r="444">
      <c r="A444" s="54"/>
      <c r="B444" s="11"/>
      <c r="C444" s="20"/>
      <c r="D444" s="20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5"/>
      <c r="U444" s="15"/>
      <c r="V444" s="15"/>
      <c r="W444" s="15"/>
    </row>
    <row r="445">
      <c r="A445" s="54"/>
      <c r="B445" s="11"/>
      <c r="C445" s="20"/>
      <c r="D445" s="20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5"/>
      <c r="U445" s="15"/>
      <c r="V445" s="15"/>
      <c r="W445" s="15"/>
    </row>
    <row r="446">
      <c r="A446" s="22"/>
      <c r="B446" s="11"/>
      <c r="C446" s="20"/>
      <c r="D446" s="20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5"/>
      <c r="U446" s="15"/>
      <c r="V446" s="15"/>
      <c r="W446" s="15"/>
    </row>
    <row r="447">
      <c r="A447" s="22"/>
      <c r="B447" s="11"/>
      <c r="C447" s="20"/>
      <c r="D447" s="20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5"/>
      <c r="U447" s="15"/>
      <c r="V447" s="15"/>
      <c r="W447" s="15"/>
    </row>
    <row r="448">
      <c r="A448" s="22"/>
      <c r="B448" s="11"/>
      <c r="C448" s="20"/>
      <c r="D448" s="20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5"/>
      <c r="U448" s="15"/>
      <c r="V448" s="15"/>
      <c r="W448" s="15"/>
    </row>
    <row r="449">
      <c r="A449" s="22"/>
      <c r="B449" s="11"/>
      <c r="C449" s="20"/>
      <c r="D449" s="20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5"/>
      <c r="U449" s="15"/>
      <c r="V449" s="15"/>
      <c r="W449" s="15"/>
    </row>
    <row r="450">
      <c r="A450" s="22"/>
      <c r="B450" s="11"/>
      <c r="C450" s="20"/>
      <c r="D450" s="20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5"/>
      <c r="U450" s="15"/>
      <c r="V450" s="15"/>
      <c r="W450" s="15"/>
    </row>
    <row r="451">
      <c r="A451" s="22"/>
      <c r="B451" s="11"/>
      <c r="C451" s="20"/>
      <c r="D451" s="20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5"/>
      <c r="U451" s="15"/>
      <c r="V451" s="15"/>
      <c r="W451" s="15"/>
    </row>
    <row r="452">
      <c r="A452" s="22"/>
      <c r="B452" s="11"/>
      <c r="C452" s="20"/>
      <c r="D452" s="20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5"/>
      <c r="U452" s="15"/>
      <c r="V452" s="15"/>
      <c r="W452" s="15"/>
    </row>
    <row r="453">
      <c r="A453" s="22"/>
      <c r="B453" s="11"/>
      <c r="C453" s="20"/>
      <c r="D453" s="20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5"/>
      <c r="U453" s="15"/>
      <c r="V453" s="15"/>
      <c r="W453" s="15"/>
    </row>
    <row r="454">
      <c r="A454" s="22"/>
      <c r="B454" s="11"/>
      <c r="C454" s="20"/>
      <c r="D454" s="20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5"/>
      <c r="U454" s="15"/>
      <c r="V454" s="15"/>
      <c r="W454" s="15"/>
    </row>
    <row r="455">
      <c r="A455" s="22"/>
      <c r="B455" s="11"/>
      <c r="C455" s="20"/>
      <c r="D455" s="20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5"/>
      <c r="U455" s="15"/>
      <c r="V455" s="15"/>
      <c r="W455" s="15"/>
    </row>
    <row r="456">
      <c r="A456" s="22"/>
      <c r="B456" s="11"/>
      <c r="C456" s="20"/>
      <c r="D456" s="20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5"/>
      <c r="U456" s="15"/>
      <c r="V456" s="15"/>
      <c r="W456" s="15"/>
    </row>
    <row r="457">
      <c r="A457" s="22"/>
      <c r="B457" s="11"/>
      <c r="C457" s="20"/>
      <c r="D457" s="20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5"/>
      <c r="U457" s="15"/>
      <c r="V457" s="15"/>
      <c r="W457" s="15"/>
    </row>
    <row r="458">
      <c r="A458" s="22"/>
      <c r="B458" s="11"/>
      <c r="C458" s="20"/>
      <c r="D458" s="20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5"/>
      <c r="U458" s="15"/>
      <c r="V458" s="15"/>
      <c r="W458" s="15"/>
    </row>
    <row r="459">
      <c r="A459" s="22"/>
      <c r="B459" s="11"/>
      <c r="C459" s="20"/>
      <c r="D459" s="20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5"/>
      <c r="U459" s="15"/>
      <c r="V459" s="15"/>
      <c r="W459" s="15"/>
    </row>
    <row r="460">
      <c r="A460" s="22"/>
      <c r="B460" s="11"/>
      <c r="C460" s="20"/>
      <c r="D460" s="20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5"/>
      <c r="U460" s="15"/>
      <c r="V460" s="15"/>
      <c r="W460" s="15"/>
    </row>
    <row r="461">
      <c r="A461" s="22"/>
      <c r="B461" s="11"/>
      <c r="C461" s="20"/>
      <c r="D461" s="2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5"/>
      <c r="U461" s="15"/>
      <c r="V461" s="15"/>
      <c r="W461" s="15"/>
    </row>
    <row r="462">
      <c r="A462" s="22"/>
      <c r="B462" s="11"/>
      <c r="C462" s="20"/>
      <c r="D462" s="20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5"/>
      <c r="U462" s="15"/>
      <c r="V462" s="15"/>
      <c r="W462" s="15"/>
    </row>
    <row r="463">
      <c r="A463" s="22"/>
      <c r="B463" s="11"/>
      <c r="C463" s="20"/>
      <c r="D463" s="20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5"/>
      <c r="U463" s="15"/>
      <c r="V463" s="15"/>
      <c r="W463" s="15"/>
    </row>
    <row r="464">
      <c r="A464" s="22"/>
      <c r="B464" s="11"/>
      <c r="C464" s="20"/>
      <c r="D464" s="20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5"/>
      <c r="U464" s="15"/>
      <c r="V464" s="15"/>
      <c r="W464" s="15"/>
    </row>
    <row r="465">
      <c r="A465" s="54"/>
      <c r="B465" s="11"/>
      <c r="C465" s="20"/>
      <c r="D465" s="20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5"/>
      <c r="U465" s="15"/>
      <c r="V465" s="15"/>
      <c r="W465" s="15"/>
    </row>
    <row r="466">
      <c r="A466" s="54"/>
      <c r="B466" s="11"/>
      <c r="C466" s="20"/>
      <c r="D466" s="20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5"/>
      <c r="U466" s="15"/>
      <c r="V466" s="15"/>
      <c r="W466" s="15"/>
    </row>
    <row r="467">
      <c r="A467" s="54"/>
      <c r="B467" s="11"/>
      <c r="C467" s="20"/>
      <c r="D467" s="20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5"/>
      <c r="U467" s="15"/>
      <c r="V467" s="15"/>
      <c r="W467" s="15"/>
    </row>
    <row r="468">
      <c r="A468" s="54"/>
      <c r="B468" s="11"/>
      <c r="C468" s="20"/>
      <c r="D468" s="20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5"/>
      <c r="U468" s="15"/>
      <c r="V468" s="15"/>
      <c r="W468" s="15"/>
    </row>
    <row r="469">
      <c r="A469" s="54"/>
      <c r="B469" s="11"/>
      <c r="C469" s="20"/>
      <c r="D469" s="20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5"/>
      <c r="U469" s="15"/>
      <c r="V469" s="15"/>
      <c r="W469" s="15"/>
    </row>
    <row r="470">
      <c r="A470" s="54"/>
      <c r="B470" s="11"/>
      <c r="C470" s="20"/>
      <c r="D470" s="20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5"/>
      <c r="U470" s="15"/>
      <c r="V470" s="15"/>
      <c r="W470" s="15"/>
    </row>
    <row r="471">
      <c r="A471" s="54"/>
      <c r="B471" s="11"/>
      <c r="C471" s="20"/>
      <c r="D471" s="20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5"/>
      <c r="U471" s="15"/>
      <c r="V471" s="15"/>
      <c r="W471" s="15"/>
    </row>
    <row r="472">
      <c r="A472" s="54"/>
      <c r="B472" s="11"/>
      <c r="C472" s="20"/>
      <c r="D472" s="20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5"/>
      <c r="U472" s="15"/>
      <c r="V472" s="15"/>
      <c r="W472" s="15"/>
    </row>
    <row r="473">
      <c r="A473" s="54"/>
      <c r="B473" s="11"/>
      <c r="C473" s="20"/>
      <c r="D473" s="20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5"/>
      <c r="U473" s="15"/>
      <c r="V473" s="15"/>
      <c r="W473" s="15"/>
    </row>
    <row r="474">
      <c r="A474" s="54"/>
      <c r="B474" s="11"/>
      <c r="C474" s="20"/>
      <c r="D474" s="20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5"/>
      <c r="U474" s="15"/>
      <c r="V474" s="15"/>
      <c r="W474" s="15"/>
    </row>
    <row r="475">
      <c r="A475" s="54"/>
      <c r="B475" s="11"/>
      <c r="C475" s="20"/>
      <c r="D475" s="20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5"/>
      <c r="U475" s="15"/>
      <c r="V475" s="15"/>
      <c r="W475" s="15"/>
    </row>
    <row r="476">
      <c r="A476" s="54"/>
      <c r="B476" s="11"/>
      <c r="C476" s="20"/>
      <c r="D476" s="20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5"/>
      <c r="U476" s="15"/>
      <c r="V476" s="15"/>
      <c r="W476" s="15"/>
    </row>
    <row r="477">
      <c r="A477" s="54"/>
      <c r="B477" s="11"/>
      <c r="C477" s="20"/>
      <c r="D477" s="20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5"/>
      <c r="U477" s="15"/>
      <c r="V477" s="15"/>
      <c r="W477" s="15"/>
    </row>
    <row r="478">
      <c r="A478" s="54"/>
      <c r="B478" s="11"/>
      <c r="C478" s="20"/>
      <c r="D478" s="20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5"/>
      <c r="U478" s="15"/>
      <c r="V478" s="15"/>
      <c r="W478" s="15"/>
    </row>
    <row r="479">
      <c r="A479" s="54"/>
      <c r="B479" s="11"/>
      <c r="C479" s="20"/>
      <c r="D479" s="20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5"/>
      <c r="U479" s="15"/>
      <c r="V479" s="15"/>
      <c r="W479" s="15"/>
    </row>
    <row r="480">
      <c r="A480" s="54"/>
      <c r="B480" s="11"/>
      <c r="C480" s="20"/>
      <c r="D480" s="20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5"/>
      <c r="U480" s="15"/>
      <c r="V480" s="15"/>
      <c r="W480" s="15"/>
    </row>
    <row r="481">
      <c r="A481" s="54"/>
      <c r="B481" s="11"/>
      <c r="C481" s="20"/>
      <c r="D481" s="20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5"/>
      <c r="U481" s="15"/>
      <c r="V481" s="15"/>
      <c r="W481" s="15"/>
    </row>
    <row r="482">
      <c r="A482" s="54"/>
      <c r="B482" s="11"/>
      <c r="C482" s="20"/>
      <c r="D482" s="20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5"/>
      <c r="U482" s="15"/>
      <c r="V482" s="15"/>
      <c r="W482" s="15"/>
    </row>
    <row r="483">
      <c r="A483" s="22"/>
      <c r="B483" s="11"/>
      <c r="C483" s="20"/>
      <c r="D483" s="20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5"/>
      <c r="U483" s="15"/>
      <c r="V483" s="15"/>
      <c r="W483" s="15"/>
    </row>
    <row r="484">
      <c r="A484" s="22"/>
      <c r="B484" s="11"/>
      <c r="C484" s="20"/>
      <c r="D484" s="20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5"/>
      <c r="U484" s="15"/>
      <c r="V484" s="15"/>
      <c r="W484" s="15"/>
    </row>
    <row r="485">
      <c r="A485" s="22"/>
      <c r="B485" s="11"/>
      <c r="C485" s="20"/>
      <c r="D485" s="20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5"/>
      <c r="U485" s="15"/>
      <c r="V485" s="15"/>
      <c r="W485" s="15"/>
    </row>
    <row r="486">
      <c r="A486" s="22"/>
      <c r="B486" s="11"/>
      <c r="C486" s="20"/>
      <c r="D486" s="2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5"/>
      <c r="U486" s="15"/>
      <c r="V486" s="15"/>
      <c r="W486" s="15"/>
    </row>
    <row r="487">
      <c r="A487" s="22"/>
      <c r="B487" s="11"/>
      <c r="C487" s="20"/>
      <c r="D487" s="2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5"/>
      <c r="U487" s="15"/>
      <c r="V487" s="15"/>
      <c r="W487" s="15"/>
    </row>
    <row r="488">
      <c r="A488" s="22"/>
      <c r="B488" s="11"/>
      <c r="C488" s="20"/>
      <c r="D488" s="20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5"/>
      <c r="U488" s="15"/>
      <c r="V488" s="15"/>
      <c r="W488" s="15"/>
    </row>
    <row r="489">
      <c r="A489" s="22"/>
      <c r="B489" s="11"/>
      <c r="C489" s="20"/>
      <c r="D489" s="20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5"/>
      <c r="U489" s="15"/>
      <c r="V489" s="15"/>
      <c r="W489" s="15"/>
    </row>
    <row r="490">
      <c r="A490" s="22"/>
      <c r="B490" s="11"/>
      <c r="C490" s="20"/>
      <c r="D490" s="20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5"/>
      <c r="U490" s="15"/>
      <c r="V490" s="15"/>
      <c r="W490" s="15"/>
    </row>
    <row r="491">
      <c r="A491" s="22"/>
      <c r="B491" s="11"/>
      <c r="C491" s="20"/>
      <c r="D491" s="20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5"/>
      <c r="U491" s="15"/>
      <c r="V491" s="15"/>
      <c r="W491" s="15"/>
    </row>
    <row r="492">
      <c r="A492" s="22"/>
      <c r="B492" s="11"/>
      <c r="C492" s="20"/>
      <c r="D492" s="20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5"/>
      <c r="U492" s="15"/>
      <c r="V492" s="15"/>
      <c r="W492" s="15"/>
    </row>
    <row r="493">
      <c r="A493" s="22"/>
      <c r="B493" s="11"/>
      <c r="C493" s="20"/>
      <c r="D493" s="20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5"/>
      <c r="U493" s="15"/>
      <c r="V493" s="15"/>
      <c r="W493" s="15"/>
    </row>
    <row r="494">
      <c r="A494" s="22"/>
      <c r="B494" s="11"/>
      <c r="C494" s="20"/>
      <c r="D494" s="20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5"/>
      <c r="U494" s="15"/>
      <c r="V494" s="15"/>
      <c r="W494" s="15"/>
    </row>
    <row r="495">
      <c r="A495" s="22"/>
      <c r="B495" s="11"/>
      <c r="C495" s="20"/>
      <c r="D495" s="20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5"/>
      <c r="U495" s="15"/>
      <c r="V495" s="15"/>
      <c r="W495" s="15"/>
    </row>
    <row r="496">
      <c r="A496" s="22"/>
      <c r="B496" s="11"/>
      <c r="C496" s="20"/>
      <c r="D496" s="20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5"/>
      <c r="U496" s="15"/>
      <c r="V496" s="15"/>
      <c r="W496" s="15"/>
    </row>
    <row r="497">
      <c r="A497" s="22"/>
      <c r="B497" s="11"/>
      <c r="C497" s="20"/>
      <c r="D497" s="20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5"/>
      <c r="U497" s="15"/>
      <c r="V497" s="15"/>
      <c r="W497" s="15"/>
    </row>
    <row r="498">
      <c r="A498" s="22"/>
      <c r="B498" s="11"/>
      <c r="C498" s="20"/>
      <c r="D498" s="20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5"/>
      <c r="U498" s="15"/>
      <c r="V498" s="15"/>
      <c r="W498" s="15"/>
    </row>
    <row r="499">
      <c r="A499" s="22"/>
      <c r="B499" s="11"/>
      <c r="C499" s="20"/>
      <c r="D499" s="20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5"/>
      <c r="U499" s="15"/>
      <c r="V499" s="15"/>
      <c r="W499" s="15"/>
    </row>
    <row r="500">
      <c r="A500" s="22"/>
      <c r="B500" s="11"/>
      <c r="C500" s="20"/>
      <c r="D500" s="20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5"/>
      <c r="U500" s="15"/>
      <c r="V500" s="15"/>
      <c r="W500" s="15"/>
    </row>
    <row r="501">
      <c r="A501" s="22"/>
      <c r="B501" s="11"/>
      <c r="C501" s="20"/>
      <c r="D501" s="20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5"/>
      <c r="U501" s="15"/>
      <c r="V501" s="15"/>
      <c r="W501" s="15"/>
    </row>
    <row r="502">
      <c r="A502" s="54"/>
      <c r="B502" s="11"/>
      <c r="C502" s="20"/>
      <c r="D502" s="20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5"/>
      <c r="U502" s="15"/>
      <c r="V502" s="15"/>
      <c r="W502" s="15"/>
    </row>
    <row r="503">
      <c r="A503" s="54"/>
      <c r="B503" s="11"/>
      <c r="C503" s="20"/>
      <c r="D503" s="20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5"/>
      <c r="U503" s="15"/>
      <c r="V503" s="15"/>
      <c r="W503" s="15"/>
    </row>
    <row r="504">
      <c r="A504" s="54"/>
      <c r="B504" s="11"/>
      <c r="C504" s="20"/>
      <c r="D504" s="20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5"/>
      <c r="U504" s="15"/>
      <c r="V504" s="15"/>
      <c r="W504" s="15"/>
    </row>
    <row r="505">
      <c r="A505" s="54"/>
      <c r="B505" s="11"/>
      <c r="C505" s="20"/>
      <c r="D505" s="20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5"/>
      <c r="U505" s="15"/>
      <c r="V505" s="15"/>
      <c r="W505" s="15"/>
    </row>
    <row r="506">
      <c r="A506" s="54"/>
      <c r="B506" s="11"/>
      <c r="C506" s="20"/>
      <c r="D506" s="20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5"/>
      <c r="U506" s="15"/>
      <c r="V506" s="15"/>
      <c r="W506" s="15"/>
    </row>
    <row r="507">
      <c r="A507" s="54"/>
      <c r="B507" s="11"/>
      <c r="C507" s="20"/>
      <c r="D507" s="20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5"/>
      <c r="U507" s="15"/>
      <c r="V507" s="15"/>
      <c r="W507" s="15"/>
    </row>
    <row r="508">
      <c r="A508" s="54"/>
      <c r="B508" s="11"/>
      <c r="C508" s="20"/>
      <c r="D508" s="20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5"/>
      <c r="U508" s="15"/>
      <c r="V508" s="15"/>
      <c r="W508" s="15"/>
    </row>
    <row r="509">
      <c r="A509" s="54"/>
      <c r="B509" s="11"/>
      <c r="C509" s="20"/>
      <c r="D509" s="20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5"/>
      <c r="U509" s="15"/>
      <c r="V509" s="15"/>
      <c r="W509" s="15"/>
    </row>
    <row r="510">
      <c r="A510" s="54"/>
      <c r="B510" s="11"/>
      <c r="C510" s="20"/>
      <c r="D510" s="20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5"/>
      <c r="U510" s="15"/>
      <c r="V510" s="15"/>
      <c r="W510" s="15"/>
    </row>
    <row r="511">
      <c r="A511" s="54"/>
      <c r="B511" s="11"/>
      <c r="C511" s="20"/>
      <c r="D511" s="20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5"/>
      <c r="U511" s="15"/>
      <c r="V511" s="15"/>
      <c r="W511" s="15"/>
    </row>
    <row r="512">
      <c r="A512" s="54"/>
      <c r="B512" s="11"/>
      <c r="C512" s="20"/>
      <c r="D512" s="20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5"/>
      <c r="U512" s="15"/>
      <c r="V512" s="15"/>
      <c r="W512" s="15"/>
    </row>
    <row r="513">
      <c r="A513" s="54"/>
      <c r="B513" s="11"/>
      <c r="C513" s="20"/>
      <c r="D513" s="20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5"/>
      <c r="U513" s="15"/>
      <c r="V513" s="15"/>
      <c r="W513" s="15"/>
    </row>
    <row r="514">
      <c r="A514" s="54"/>
      <c r="B514" s="11"/>
      <c r="C514" s="20"/>
      <c r="D514" s="20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5"/>
      <c r="U514" s="15"/>
      <c r="V514" s="15"/>
      <c r="W514" s="15"/>
    </row>
    <row r="515">
      <c r="A515" s="54"/>
      <c r="B515" s="11"/>
      <c r="C515" s="20"/>
      <c r="D515" s="20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5"/>
      <c r="U515" s="15"/>
      <c r="V515" s="15"/>
      <c r="W515" s="15"/>
    </row>
    <row r="516">
      <c r="A516" s="54"/>
      <c r="B516" s="11"/>
      <c r="C516" s="20"/>
      <c r="D516" s="20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5"/>
      <c r="U516" s="15"/>
      <c r="V516" s="15"/>
      <c r="W516" s="15"/>
    </row>
    <row r="517">
      <c r="A517" s="54"/>
      <c r="B517" s="11"/>
      <c r="C517" s="20"/>
      <c r="D517" s="20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5"/>
      <c r="U517" s="15"/>
      <c r="V517" s="15"/>
      <c r="W517" s="15"/>
    </row>
    <row r="518">
      <c r="A518" s="54"/>
      <c r="B518" s="11"/>
      <c r="C518" s="20"/>
      <c r="D518" s="20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5"/>
      <c r="U518" s="15"/>
      <c r="V518" s="15"/>
      <c r="W518" s="15"/>
    </row>
    <row r="519">
      <c r="A519" s="54"/>
      <c r="B519" s="11"/>
      <c r="C519" s="20"/>
      <c r="D519" s="20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5"/>
      <c r="U519" s="15"/>
      <c r="V519" s="15"/>
      <c r="W519" s="15"/>
    </row>
    <row r="520">
      <c r="A520" s="54"/>
      <c r="B520" s="11"/>
      <c r="C520" s="20"/>
      <c r="D520" s="20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5"/>
      <c r="U520" s="15"/>
      <c r="V520" s="15"/>
      <c r="W520" s="15"/>
    </row>
    <row r="521">
      <c r="A521" s="54"/>
      <c r="B521" s="11"/>
      <c r="C521" s="20"/>
      <c r="D521" s="20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5"/>
      <c r="U521" s="15"/>
      <c r="V521" s="15"/>
      <c r="W521" s="15"/>
    </row>
    <row r="522">
      <c r="A522" s="54"/>
      <c r="B522" s="11"/>
      <c r="C522" s="20"/>
      <c r="D522" s="20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5"/>
      <c r="U522" s="15"/>
      <c r="V522" s="15"/>
      <c r="W522" s="15"/>
    </row>
    <row r="523">
      <c r="A523" s="54"/>
      <c r="B523" s="11"/>
      <c r="C523" s="20"/>
      <c r="D523" s="20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5"/>
      <c r="U523" s="15"/>
      <c r="V523" s="15"/>
      <c r="W523" s="15"/>
    </row>
    <row r="524">
      <c r="A524" s="54"/>
      <c r="B524" s="11"/>
      <c r="C524" s="20"/>
      <c r="D524" s="20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5"/>
      <c r="U524" s="15"/>
      <c r="V524" s="15"/>
      <c r="W524" s="15"/>
    </row>
    <row r="525">
      <c r="A525" s="54"/>
      <c r="B525" s="11"/>
      <c r="C525" s="20"/>
      <c r="D525" s="20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5"/>
      <c r="U525" s="15"/>
      <c r="V525" s="15"/>
      <c r="W525" s="15"/>
    </row>
    <row r="526">
      <c r="A526" s="54"/>
      <c r="B526" s="11"/>
      <c r="C526" s="20"/>
      <c r="D526" s="20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5"/>
      <c r="U526" s="15"/>
      <c r="V526" s="15"/>
      <c r="W526" s="15"/>
    </row>
    <row r="527">
      <c r="A527" s="54"/>
      <c r="B527" s="11"/>
      <c r="C527" s="20"/>
      <c r="D527" s="20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5"/>
      <c r="U527" s="15"/>
      <c r="V527" s="15"/>
      <c r="W527" s="15"/>
    </row>
    <row r="528">
      <c r="A528" s="54"/>
      <c r="B528" s="11"/>
      <c r="C528" s="20"/>
      <c r="D528" s="20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5"/>
      <c r="U528" s="15"/>
      <c r="V528" s="15"/>
      <c r="W528" s="15"/>
    </row>
    <row r="529">
      <c r="A529" s="22"/>
      <c r="B529" s="11"/>
      <c r="C529" s="20"/>
      <c r="D529" s="20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5"/>
      <c r="U529" s="15"/>
      <c r="V529" s="15"/>
      <c r="W529" s="15"/>
    </row>
    <row r="530">
      <c r="A530" s="22"/>
      <c r="B530" s="11"/>
      <c r="C530" s="20"/>
      <c r="D530" s="20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5"/>
      <c r="U530" s="15"/>
      <c r="V530" s="15"/>
      <c r="W530" s="15"/>
    </row>
    <row r="531">
      <c r="A531" s="22"/>
      <c r="B531" s="11"/>
      <c r="C531" s="20"/>
      <c r="D531" s="20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5"/>
      <c r="U531" s="15"/>
      <c r="V531" s="15"/>
      <c r="W531" s="15"/>
    </row>
    <row r="532">
      <c r="A532" s="22"/>
      <c r="B532" s="11"/>
      <c r="C532" s="20"/>
      <c r="D532" s="20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5"/>
      <c r="U532" s="15"/>
      <c r="V532" s="15"/>
      <c r="W532" s="15"/>
    </row>
    <row r="533">
      <c r="A533" s="22"/>
      <c r="B533" s="11"/>
      <c r="C533" s="20"/>
      <c r="D533" s="20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5"/>
      <c r="U533" s="15"/>
      <c r="V533" s="15"/>
      <c r="W533" s="15"/>
    </row>
    <row r="534">
      <c r="A534" s="22"/>
      <c r="B534" s="11"/>
      <c r="C534" s="20"/>
      <c r="D534" s="20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5"/>
      <c r="U534" s="15"/>
      <c r="V534" s="15"/>
      <c r="W534" s="15"/>
    </row>
    <row r="535">
      <c r="A535" s="22"/>
      <c r="B535" s="11"/>
      <c r="C535" s="20"/>
      <c r="D535" s="20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5"/>
      <c r="U535" s="15"/>
      <c r="V535" s="15"/>
      <c r="W535" s="15"/>
    </row>
    <row r="536">
      <c r="A536" s="22"/>
      <c r="B536" s="11"/>
      <c r="C536" s="20"/>
      <c r="D536" s="20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5"/>
      <c r="U536" s="15"/>
      <c r="V536" s="15"/>
      <c r="W536" s="15"/>
    </row>
    <row r="537">
      <c r="A537" s="22"/>
      <c r="B537" s="11"/>
      <c r="C537" s="20"/>
      <c r="D537" s="20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5"/>
      <c r="U537" s="15"/>
      <c r="V537" s="15"/>
      <c r="W537" s="15"/>
    </row>
    <row r="538">
      <c r="A538" s="22"/>
      <c r="B538" s="11"/>
      <c r="C538" s="20"/>
      <c r="D538" s="20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5"/>
      <c r="U538" s="15"/>
      <c r="V538" s="15"/>
      <c r="W538" s="15"/>
    </row>
    <row r="539">
      <c r="A539" s="22"/>
      <c r="B539" s="11"/>
      <c r="C539" s="20"/>
      <c r="D539" s="20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5"/>
      <c r="U539" s="15"/>
      <c r="V539" s="15"/>
      <c r="W539" s="15"/>
    </row>
    <row r="540">
      <c r="A540" s="22"/>
      <c r="B540" s="11"/>
      <c r="C540" s="20"/>
      <c r="D540" s="20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5"/>
      <c r="U540" s="15"/>
      <c r="V540" s="15"/>
      <c r="W540" s="15"/>
    </row>
    <row r="541">
      <c r="A541" s="22"/>
      <c r="B541" s="11"/>
      <c r="C541" s="20"/>
      <c r="D541" s="20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5"/>
      <c r="U541" s="15"/>
      <c r="V541" s="15"/>
      <c r="W541" s="15"/>
    </row>
    <row r="542">
      <c r="A542" s="22"/>
      <c r="B542" s="11"/>
      <c r="C542" s="20"/>
      <c r="D542" s="20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5"/>
      <c r="U542" s="15"/>
      <c r="V542" s="15"/>
      <c r="W542" s="15"/>
    </row>
    <row r="543">
      <c r="A543" s="22"/>
      <c r="B543" s="11"/>
      <c r="C543" s="20"/>
      <c r="D543" s="20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5"/>
      <c r="U543" s="15"/>
      <c r="V543" s="15"/>
      <c r="W543" s="15"/>
    </row>
    <row r="544">
      <c r="A544" s="22"/>
      <c r="B544" s="11"/>
      <c r="C544" s="20"/>
      <c r="D544" s="20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5"/>
      <c r="U544" s="15"/>
      <c r="V544" s="15"/>
      <c r="W544" s="15"/>
    </row>
    <row r="545">
      <c r="A545" s="22"/>
      <c r="B545" s="11"/>
      <c r="C545" s="20"/>
      <c r="D545" s="20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5"/>
      <c r="U545" s="15"/>
      <c r="V545" s="15"/>
      <c r="W545" s="15"/>
    </row>
    <row r="546">
      <c r="A546" s="22"/>
      <c r="B546" s="11"/>
      <c r="C546" s="20"/>
      <c r="D546" s="20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5"/>
      <c r="U546" s="15"/>
      <c r="V546" s="15"/>
      <c r="W546" s="15"/>
    </row>
    <row r="547">
      <c r="A547" s="22"/>
      <c r="B547" s="11"/>
      <c r="C547" s="20"/>
      <c r="D547" s="20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5"/>
      <c r="U547" s="15"/>
      <c r="V547" s="15"/>
      <c r="W547" s="15"/>
    </row>
    <row r="548">
      <c r="A548" s="54"/>
      <c r="B548" s="11"/>
      <c r="C548" s="20"/>
      <c r="D548" s="20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5"/>
      <c r="U548" s="15"/>
      <c r="V548" s="15"/>
      <c r="W548" s="15"/>
    </row>
    <row r="549">
      <c r="A549" s="54"/>
      <c r="B549" s="11"/>
      <c r="C549" s="20"/>
      <c r="D549" s="20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5"/>
      <c r="U549" s="15"/>
      <c r="V549" s="15"/>
      <c r="W549" s="15"/>
    </row>
    <row r="550">
      <c r="A550" s="54"/>
      <c r="B550" s="11"/>
      <c r="C550" s="20"/>
      <c r="D550" s="20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5"/>
      <c r="U550" s="15"/>
      <c r="V550" s="15"/>
      <c r="W550" s="15"/>
    </row>
    <row r="551">
      <c r="A551" s="54"/>
      <c r="B551" s="11"/>
      <c r="C551" s="20"/>
      <c r="D551" s="20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5"/>
      <c r="U551" s="15"/>
      <c r="V551" s="15"/>
      <c r="W551" s="15"/>
    </row>
    <row r="552">
      <c r="A552" s="54"/>
      <c r="B552" s="11"/>
      <c r="C552" s="20"/>
      <c r="D552" s="20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5"/>
      <c r="U552" s="15"/>
      <c r="V552" s="15"/>
      <c r="W552" s="15"/>
    </row>
    <row r="553">
      <c r="A553" s="54"/>
      <c r="B553" s="11"/>
      <c r="C553" s="20"/>
      <c r="D553" s="20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5"/>
      <c r="U553" s="15"/>
      <c r="V553" s="15"/>
      <c r="W553" s="15"/>
    </row>
    <row r="554">
      <c r="A554" s="54"/>
      <c r="B554" s="11"/>
      <c r="C554" s="20"/>
      <c r="D554" s="20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5"/>
      <c r="U554" s="15"/>
      <c r="V554" s="15"/>
      <c r="W554" s="15"/>
    </row>
    <row r="555">
      <c r="A555" s="54"/>
      <c r="B555" s="11"/>
      <c r="C555" s="20"/>
      <c r="D555" s="20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5"/>
      <c r="U555" s="15"/>
      <c r="V555" s="15"/>
      <c r="W555" s="15"/>
    </row>
    <row r="556">
      <c r="A556" s="54"/>
      <c r="B556" s="11"/>
      <c r="C556" s="20"/>
      <c r="D556" s="20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5"/>
      <c r="U556" s="15"/>
      <c r="V556" s="15"/>
      <c r="W556" s="15"/>
    </row>
    <row r="557">
      <c r="A557" s="54"/>
      <c r="B557" s="11"/>
      <c r="C557" s="20"/>
      <c r="D557" s="20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5"/>
      <c r="U557" s="15"/>
      <c r="V557" s="15"/>
      <c r="W557" s="15"/>
    </row>
    <row r="558">
      <c r="A558" s="54"/>
      <c r="B558" s="11"/>
      <c r="C558" s="20"/>
      <c r="D558" s="20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5"/>
      <c r="U558" s="15"/>
      <c r="V558" s="15"/>
      <c r="W558" s="15"/>
    </row>
    <row r="559">
      <c r="A559" s="54"/>
      <c r="B559" s="11"/>
      <c r="C559" s="20"/>
      <c r="D559" s="20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5"/>
      <c r="U559" s="15"/>
      <c r="V559" s="15"/>
      <c r="W559" s="15"/>
    </row>
    <row r="560">
      <c r="A560" s="54"/>
      <c r="B560" s="11"/>
      <c r="C560" s="20"/>
      <c r="D560" s="20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5"/>
      <c r="U560" s="15"/>
      <c r="V560" s="15"/>
      <c r="W560" s="15"/>
    </row>
    <row r="561">
      <c r="A561" s="54"/>
      <c r="B561" s="11"/>
      <c r="C561" s="20"/>
      <c r="D561" s="20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5"/>
      <c r="U561" s="15"/>
      <c r="V561" s="15"/>
      <c r="W561" s="15"/>
    </row>
    <row r="562">
      <c r="A562" s="54"/>
      <c r="B562" s="11"/>
      <c r="C562" s="20"/>
      <c r="D562" s="20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5"/>
      <c r="U562" s="15"/>
      <c r="V562" s="15"/>
      <c r="W562" s="15"/>
    </row>
    <row r="563">
      <c r="A563" s="54"/>
      <c r="B563" s="11"/>
      <c r="C563" s="20"/>
      <c r="D563" s="20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5"/>
      <c r="U563" s="15"/>
      <c r="V563" s="15"/>
      <c r="W563" s="15"/>
    </row>
    <row r="564">
      <c r="A564" s="54"/>
      <c r="B564" s="11"/>
      <c r="C564" s="20"/>
      <c r="D564" s="20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5"/>
      <c r="U564" s="15"/>
      <c r="V564" s="15"/>
      <c r="W564" s="15"/>
    </row>
    <row r="565">
      <c r="A565" s="54"/>
      <c r="B565" s="11"/>
      <c r="C565" s="20"/>
      <c r="D565" s="20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5"/>
      <c r="U565" s="15"/>
      <c r="V565" s="15"/>
      <c r="W565" s="15"/>
    </row>
    <row r="566">
      <c r="A566" s="22"/>
      <c r="B566" s="11"/>
      <c r="C566" s="20"/>
      <c r="D566" s="20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5"/>
      <c r="U566" s="15"/>
      <c r="V566" s="15"/>
      <c r="W566" s="15"/>
    </row>
    <row r="567">
      <c r="A567" s="22"/>
      <c r="B567" s="11"/>
      <c r="C567" s="20"/>
      <c r="D567" s="20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5"/>
      <c r="U567" s="15"/>
      <c r="V567" s="15"/>
      <c r="W567" s="15"/>
    </row>
    <row r="568">
      <c r="A568" s="22"/>
      <c r="B568" s="11"/>
      <c r="C568" s="20"/>
      <c r="D568" s="20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5"/>
      <c r="U568" s="15"/>
      <c r="V568" s="15"/>
      <c r="W568" s="15"/>
    </row>
    <row r="569">
      <c r="A569" s="22"/>
      <c r="B569" s="11"/>
      <c r="C569" s="20"/>
      <c r="D569" s="20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5"/>
      <c r="U569" s="15"/>
      <c r="V569" s="15"/>
      <c r="W569" s="15"/>
    </row>
    <row r="570">
      <c r="A570" s="22"/>
      <c r="B570" s="11"/>
      <c r="C570" s="20"/>
      <c r="D570" s="20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5"/>
      <c r="U570" s="15"/>
      <c r="V570" s="15"/>
      <c r="W570" s="15"/>
    </row>
    <row r="571">
      <c r="A571" s="22"/>
      <c r="B571" s="11"/>
      <c r="C571" s="20"/>
      <c r="D571" s="20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5"/>
      <c r="U571" s="15"/>
      <c r="V571" s="15"/>
      <c r="W571" s="15"/>
    </row>
    <row r="572">
      <c r="A572" s="22"/>
      <c r="B572" s="11"/>
      <c r="C572" s="20"/>
      <c r="D572" s="20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5"/>
      <c r="U572" s="15"/>
      <c r="V572" s="15"/>
      <c r="W572" s="15"/>
    </row>
    <row r="573">
      <c r="A573" s="22"/>
      <c r="B573" s="11"/>
      <c r="C573" s="20"/>
      <c r="D573" s="20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5"/>
      <c r="U573" s="15"/>
      <c r="V573" s="15"/>
      <c r="W573" s="15"/>
    </row>
    <row r="574">
      <c r="A574" s="22"/>
      <c r="B574" s="11"/>
      <c r="C574" s="20"/>
      <c r="D574" s="20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5"/>
      <c r="U574" s="15"/>
      <c r="V574" s="15"/>
      <c r="W574" s="15"/>
    </row>
    <row r="575">
      <c r="A575" s="22"/>
      <c r="B575" s="11"/>
      <c r="C575" s="20"/>
      <c r="D575" s="20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5"/>
      <c r="U575" s="15"/>
      <c r="V575" s="15"/>
      <c r="W575" s="15"/>
    </row>
    <row r="576">
      <c r="A576" s="22"/>
      <c r="B576" s="11"/>
      <c r="C576" s="20"/>
      <c r="D576" s="20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5"/>
      <c r="U576" s="15"/>
      <c r="V576" s="15"/>
      <c r="W576" s="15"/>
    </row>
    <row r="577">
      <c r="A577" s="22"/>
      <c r="B577" s="11"/>
      <c r="C577" s="20"/>
      <c r="D577" s="20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5"/>
      <c r="U577" s="15"/>
      <c r="V577" s="15"/>
      <c r="W577" s="15"/>
    </row>
    <row r="578">
      <c r="A578" s="22"/>
      <c r="B578" s="11"/>
      <c r="C578" s="20"/>
      <c r="D578" s="20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5"/>
      <c r="U578" s="15"/>
      <c r="V578" s="15"/>
      <c r="W578" s="15"/>
    </row>
    <row r="579">
      <c r="A579" s="22"/>
      <c r="B579" s="11"/>
      <c r="C579" s="20"/>
      <c r="D579" s="20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5"/>
      <c r="U579" s="15"/>
      <c r="V579" s="15"/>
      <c r="W579" s="15"/>
    </row>
    <row r="580">
      <c r="A580" s="22"/>
      <c r="B580" s="11"/>
      <c r="C580" s="20"/>
      <c r="D580" s="20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5"/>
      <c r="U580" s="15"/>
      <c r="V580" s="15"/>
      <c r="W580" s="15"/>
    </row>
    <row r="581">
      <c r="A581" s="22"/>
      <c r="B581" s="11"/>
      <c r="C581" s="20"/>
      <c r="D581" s="20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5"/>
      <c r="U581" s="15"/>
      <c r="V581" s="15"/>
      <c r="W581" s="15"/>
    </row>
    <row r="582">
      <c r="A582" s="22"/>
      <c r="B582" s="11"/>
      <c r="C582" s="20"/>
      <c r="D582" s="20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5"/>
      <c r="U582" s="15"/>
      <c r="V582" s="15"/>
      <c r="W582" s="15"/>
    </row>
    <row r="583">
      <c r="A583" s="22"/>
      <c r="B583" s="11"/>
      <c r="C583" s="20"/>
      <c r="D583" s="20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5"/>
      <c r="U583" s="15"/>
      <c r="V583" s="15"/>
      <c r="W583" s="15"/>
    </row>
    <row r="584">
      <c r="A584" s="22"/>
      <c r="B584" s="11"/>
      <c r="C584" s="20"/>
      <c r="D584" s="20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5"/>
      <c r="U584" s="15"/>
      <c r="V584" s="15"/>
      <c r="W584" s="15"/>
    </row>
    <row r="585">
      <c r="A585" s="54"/>
      <c r="B585" s="11"/>
      <c r="C585" s="20"/>
      <c r="D585" s="20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5"/>
      <c r="U585" s="15"/>
      <c r="V585" s="15"/>
      <c r="W585" s="15"/>
    </row>
    <row r="586">
      <c r="A586" s="54"/>
      <c r="B586" s="11"/>
      <c r="C586" s="20"/>
      <c r="D586" s="20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5"/>
      <c r="U586" s="15"/>
      <c r="V586" s="15"/>
      <c r="W586" s="15"/>
    </row>
    <row r="587">
      <c r="A587" s="54"/>
      <c r="B587" s="11"/>
      <c r="C587" s="20"/>
      <c r="D587" s="20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5"/>
      <c r="U587" s="15"/>
      <c r="V587" s="15"/>
      <c r="W587" s="15"/>
    </row>
    <row r="588">
      <c r="A588" s="54"/>
      <c r="B588" s="11"/>
      <c r="C588" s="20"/>
      <c r="D588" s="20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5"/>
      <c r="U588" s="15"/>
      <c r="V588" s="15"/>
      <c r="W588" s="15"/>
    </row>
    <row r="589">
      <c r="A589" s="54"/>
      <c r="B589" s="11"/>
      <c r="C589" s="20"/>
      <c r="D589" s="20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5"/>
      <c r="U589" s="15"/>
      <c r="V589" s="15"/>
      <c r="W589" s="15"/>
    </row>
    <row r="590">
      <c r="A590" s="54"/>
      <c r="B590" s="11"/>
      <c r="C590" s="20"/>
      <c r="D590" s="20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5"/>
      <c r="U590" s="15"/>
      <c r="V590" s="15"/>
      <c r="W590" s="15"/>
    </row>
    <row r="591">
      <c r="A591" s="54"/>
      <c r="B591" s="11"/>
      <c r="C591" s="20"/>
      <c r="D591" s="20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5"/>
      <c r="U591" s="15"/>
      <c r="V591" s="15"/>
      <c r="W591" s="15"/>
    </row>
    <row r="592">
      <c r="A592" s="54"/>
      <c r="B592" s="11"/>
      <c r="C592" s="20"/>
      <c r="D592" s="20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5"/>
      <c r="U592" s="15"/>
      <c r="V592" s="15"/>
      <c r="W592" s="15"/>
    </row>
    <row r="593">
      <c r="A593" s="54"/>
      <c r="B593" s="11"/>
      <c r="C593" s="20"/>
      <c r="D593" s="20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5"/>
      <c r="U593" s="15"/>
      <c r="V593" s="15"/>
      <c r="W593" s="15"/>
    </row>
    <row r="594">
      <c r="A594" s="54"/>
      <c r="B594" s="11"/>
      <c r="C594" s="20"/>
      <c r="D594" s="20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5"/>
      <c r="U594" s="15"/>
      <c r="V594" s="15"/>
      <c r="W594" s="15"/>
    </row>
    <row r="595">
      <c r="A595" s="54"/>
      <c r="B595" s="11"/>
      <c r="C595" s="20"/>
      <c r="D595" s="20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5"/>
      <c r="U595" s="15"/>
      <c r="V595" s="15"/>
      <c r="W595" s="15"/>
    </row>
    <row r="596">
      <c r="A596" s="54"/>
      <c r="B596" s="11"/>
      <c r="C596" s="20"/>
      <c r="D596" s="20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5"/>
      <c r="U596" s="15"/>
      <c r="V596" s="15"/>
      <c r="W596" s="15"/>
    </row>
    <row r="597">
      <c r="A597" s="54"/>
      <c r="B597" s="11"/>
      <c r="C597" s="20"/>
      <c r="D597" s="20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5"/>
      <c r="U597" s="15"/>
      <c r="V597" s="15"/>
      <c r="W597" s="15"/>
    </row>
    <row r="598">
      <c r="A598" s="54"/>
      <c r="B598" s="11"/>
      <c r="C598" s="20"/>
      <c r="D598" s="20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5"/>
      <c r="U598" s="15"/>
      <c r="V598" s="15"/>
      <c r="W598" s="15"/>
    </row>
    <row r="599">
      <c r="A599" s="54"/>
      <c r="B599" s="11"/>
      <c r="C599" s="20"/>
      <c r="D599" s="20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5"/>
      <c r="U599" s="15"/>
      <c r="V599" s="15"/>
      <c r="W599" s="15"/>
    </row>
    <row r="600">
      <c r="A600" s="54"/>
      <c r="B600" s="11"/>
      <c r="C600" s="20"/>
      <c r="D600" s="20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5"/>
      <c r="U600" s="15"/>
      <c r="V600" s="15"/>
      <c r="W600" s="15"/>
    </row>
    <row r="601">
      <c r="A601" s="54"/>
      <c r="B601" s="11"/>
      <c r="C601" s="20"/>
      <c r="D601" s="20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5"/>
      <c r="U601" s="15"/>
      <c r="V601" s="15"/>
      <c r="W601" s="15"/>
    </row>
    <row r="602">
      <c r="A602" s="54"/>
      <c r="B602" s="11"/>
      <c r="C602" s="20"/>
      <c r="D602" s="20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5"/>
      <c r="U602" s="15"/>
      <c r="V602" s="15"/>
      <c r="W602" s="15"/>
    </row>
    <row r="603">
      <c r="A603" s="54"/>
      <c r="B603" s="11"/>
      <c r="C603" s="20"/>
      <c r="D603" s="20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5"/>
      <c r="U603" s="15"/>
      <c r="V603" s="15"/>
      <c r="W603" s="15"/>
    </row>
    <row r="604">
      <c r="A604" s="54"/>
      <c r="B604" s="11"/>
      <c r="C604" s="20"/>
      <c r="D604" s="20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5"/>
      <c r="U604" s="15"/>
      <c r="V604" s="15"/>
      <c r="W604" s="15"/>
    </row>
    <row r="605">
      <c r="A605" s="54"/>
      <c r="B605" s="11"/>
      <c r="C605" s="20"/>
      <c r="D605" s="20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5"/>
      <c r="U605" s="15"/>
      <c r="V605" s="15"/>
      <c r="W605" s="15"/>
    </row>
    <row r="606">
      <c r="A606" s="54"/>
      <c r="B606" s="11"/>
      <c r="C606" s="20"/>
      <c r="D606" s="20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5"/>
      <c r="U606" s="15"/>
      <c r="V606" s="15"/>
      <c r="W606" s="15"/>
    </row>
    <row r="607">
      <c r="A607" s="54"/>
      <c r="B607" s="11"/>
      <c r="C607" s="20"/>
      <c r="D607" s="20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5"/>
      <c r="U607" s="15"/>
      <c r="V607" s="15"/>
      <c r="W607" s="15"/>
    </row>
    <row r="608">
      <c r="A608" s="54"/>
      <c r="B608" s="11"/>
      <c r="C608" s="20"/>
      <c r="D608" s="20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5"/>
      <c r="U608" s="15"/>
      <c r="V608" s="15"/>
      <c r="W608" s="15"/>
    </row>
    <row r="609">
      <c r="A609" s="54"/>
      <c r="B609" s="11"/>
      <c r="C609" s="20"/>
      <c r="D609" s="20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5"/>
      <c r="U609" s="15"/>
      <c r="V609" s="15"/>
      <c r="W609" s="15"/>
    </row>
    <row r="610">
      <c r="A610" s="54"/>
      <c r="B610" s="11"/>
      <c r="C610" s="20"/>
      <c r="D610" s="20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5"/>
      <c r="U610" s="15"/>
      <c r="V610" s="15"/>
      <c r="W610" s="15"/>
    </row>
    <row r="611">
      <c r="A611" s="54"/>
      <c r="B611" s="11"/>
      <c r="C611" s="20"/>
      <c r="D611" s="20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5"/>
      <c r="U611" s="15"/>
      <c r="V611" s="15"/>
      <c r="W611" s="15"/>
    </row>
    <row r="612">
      <c r="A612" s="22"/>
      <c r="B612" s="11"/>
      <c r="C612" s="20"/>
      <c r="D612" s="20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5"/>
      <c r="U612" s="15"/>
      <c r="V612" s="15"/>
      <c r="W612" s="15"/>
    </row>
    <row r="613">
      <c r="A613" s="22"/>
      <c r="B613" s="11"/>
      <c r="C613" s="20"/>
      <c r="D613" s="20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5"/>
      <c r="U613" s="15"/>
      <c r="V613" s="15"/>
      <c r="W613" s="15"/>
    </row>
    <row r="614">
      <c r="A614" s="22"/>
      <c r="B614" s="11"/>
      <c r="C614" s="20"/>
      <c r="D614" s="20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5"/>
      <c r="U614" s="15"/>
      <c r="V614" s="15"/>
      <c r="W614" s="15"/>
    </row>
    <row r="615">
      <c r="A615" s="22"/>
      <c r="B615" s="11"/>
      <c r="C615" s="20"/>
      <c r="D615" s="20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5"/>
      <c r="U615" s="15"/>
      <c r="V615" s="15"/>
      <c r="W615" s="15"/>
    </row>
    <row r="616">
      <c r="A616" s="22"/>
      <c r="B616" s="11"/>
      <c r="C616" s="20"/>
      <c r="D616" s="20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5"/>
      <c r="U616" s="15"/>
      <c r="V616" s="15"/>
      <c r="W616" s="15"/>
    </row>
    <row r="617">
      <c r="A617" s="22"/>
      <c r="B617" s="11"/>
      <c r="C617" s="20"/>
      <c r="D617" s="20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5"/>
      <c r="U617" s="15"/>
      <c r="V617" s="15"/>
      <c r="W617" s="15"/>
    </row>
    <row r="618">
      <c r="A618" s="22"/>
      <c r="B618" s="11"/>
      <c r="C618" s="20"/>
      <c r="D618" s="20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5"/>
      <c r="U618" s="15"/>
      <c r="V618" s="15"/>
      <c r="W618" s="15"/>
    </row>
    <row r="619">
      <c r="A619" s="22"/>
      <c r="B619" s="11"/>
      <c r="C619" s="20"/>
      <c r="D619" s="20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5"/>
      <c r="U619" s="15"/>
      <c r="V619" s="15"/>
      <c r="W619" s="15"/>
    </row>
    <row r="620">
      <c r="A620" s="22"/>
      <c r="B620" s="11"/>
      <c r="C620" s="20"/>
      <c r="D620" s="20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5"/>
      <c r="U620" s="15"/>
      <c r="V620" s="15"/>
      <c r="W620" s="15"/>
    </row>
    <row r="621">
      <c r="A621" s="22"/>
      <c r="B621" s="11"/>
      <c r="C621" s="20"/>
      <c r="D621" s="20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5"/>
      <c r="U621" s="15"/>
      <c r="V621" s="15"/>
      <c r="W621" s="15"/>
    </row>
    <row r="622">
      <c r="A622" s="22"/>
      <c r="B622" s="11"/>
      <c r="C622" s="20"/>
      <c r="D622" s="20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5"/>
      <c r="U622" s="15"/>
      <c r="V622" s="15"/>
      <c r="W622" s="15"/>
    </row>
    <row r="623">
      <c r="A623" s="22"/>
      <c r="B623" s="11"/>
      <c r="C623" s="20"/>
      <c r="D623" s="20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5"/>
      <c r="U623" s="15"/>
      <c r="V623" s="15"/>
      <c r="W623" s="15"/>
    </row>
    <row r="624">
      <c r="A624" s="22"/>
      <c r="B624" s="11"/>
      <c r="C624" s="20"/>
      <c r="D624" s="20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5"/>
      <c r="U624" s="15"/>
      <c r="V624" s="15"/>
      <c r="W624" s="15"/>
    </row>
    <row r="625">
      <c r="A625" s="22"/>
      <c r="B625" s="11"/>
      <c r="C625" s="20"/>
      <c r="D625" s="20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5"/>
      <c r="U625" s="15"/>
      <c r="V625" s="15"/>
      <c r="W625" s="15"/>
    </row>
    <row r="626">
      <c r="A626" s="22"/>
      <c r="B626" s="11"/>
      <c r="C626" s="20"/>
      <c r="D626" s="20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5"/>
      <c r="U626" s="15"/>
      <c r="V626" s="15"/>
      <c r="W626" s="15"/>
    </row>
    <row r="627">
      <c r="A627" s="22"/>
      <c r="B627" s="11"/>
      <c r="C627" s="20"/>
      <c r="D627" s="20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5"/>
      <c r="U627" s="15"/>
      <c r="V627" s="15"/>
      <c r="W627" s="15"/>
    </row>
    <row r="628">
      <c r="A628" s="22"/>
      <c r="B628" s="11"/>
      <c r="C628" s="20"/>
      <c r="D628" s="20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5"/>
      <c r="U628" s="15"/>
      <c r="V628" s="15"/>
      <c r="W628" s="15"/>
    </row>
    <row r="629">
      <c r="A629" s="22"/>
      <c r="B629" s="11"/>
      <c r="C629" s="20"/>
      <c r="D629" s="20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5"/>
      <c r="U629" s="15"/>
      <c r="V629" s="15"/>
      <c r="W629" s="15"/>
    </row>
    <row r="630">
      <c r="A630" s="22"/>
      <c r="B630" s="11"/>
      <c r="C630" s="20"/>
      <c r="D630" s="20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5"/>
      <c r="U630" s="15"/>
      <c r="V630" s="15"/>
      <c r="W630" s="15"/>
    </row>
    <row r="631">
      <c r="A631" s="54"/>
      <c r="B631" s="11"/>
      <c r="C631" s="20"/>
      <c r="D631" s="20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5"/>
      <c r="U631" s="15"/>
      <c r="V631" s="15"/>
      <c r="W631" s="15"/>
    </row>
    <row r="632">
      <c r="A632" s="54"/>
      <c r="B632" s="11"/>
      <c r="C632" s="20"/>
      <c r="D632" s="20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5"/>
      <c r="U632" s="15"/>
      <c r="V632" s="15"/>
      <c r="W632" s="15"/>
    </row>
    <row r="633">
      <c r="A633" s="54"/>
      <c r="B633" s="11"/>
      <c r="C633" s="20"/>
      <c r="D633" s="20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5"/>
      <c r="U633" s="15"/>
      <c r="V633" s="15"/>
      <c r="W633" s="15"/>
    </row>
    <row r="634">
      <c r="A634" s="54"/>
      <c r="B634" s="11"/>
      <c r="C634" s="20"/>
      <c r="D634" s="20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5"/>
      <c r="U634" s="15"/>
      <c r="V634" s="15"/>
      <c r="W634" s="15"/>
    </row>
    <row r="635">
      <c r="A635" s="54"/>
      <c r="B635" s="11"/>
      <c r="C635" s="20"/>
      <c r="D635" s="20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5"/>
      <c r="U635" s="15"/>
      <c r="V635" s="15"/>
      <c r="W635" s="15"/>
    </row>
    <row r="636">
      <c r="A636" s="54"/>
      <c r="B636" s="11"/>
      <c r="C636" s="20"/>
      <c r="D636" s="20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5"/>
      <c r="U636" s="15"/>
      <c r="V636" s="15"/>
      <c r="W636" s="15"/>
    </row>
    <row r="637">
      <c r="A637" s="54"/>
      <c r="B637" s="11"/>
      <c r="C637" s="20"/>
      <c r="D637" s="20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5"/>
      <c r="U637" s="15"/>
      <c r="V637" s="15"/>
      <c r="W637" s="15"/>
    </row>
    <row r="638">
      <c r="A638" s="54"/>
      <c r="B638" s="11"/>
      <c r="C638" s="20"/>
      <c r="D638" s="20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5"/>
      <c r="U638" s="15"/>
      <c r="V638" s="15"/>
      <c r="W638" s="15"/>
    </row>
    <row r="639">
      <c r="A639" s="54"/>
      <c r="B639" s="11"/>
      <c r="C639" s="20"/>
      <c r="D639" s="20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5"/>
      <c r="U639" s="15"/>
      <c r="V639" s="15"/>
      <c r="W639" s="15"/>
    </row>
    <row r="640">
      <c r="A640" s="54"/>
      <c r="B640" s="11"/>
      <c r="C640" s="20"/>
      <c r="D640" s="20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5"/>
      <c r="U640" s="15"/>
      <c r="V640" s="15"/>
      <c r="W640" s="15"/>
    </row>
    <row r="641">
      <c r="A641" s="54"/>
      <c r="B641" s="11"/>
      <c r="C641" s="20"/>
      <c r="D641" s="20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5"/>
      <c r="U641" s="15"/>
      <c r="V641" s="15"/>
      <c r="W641" s="15"/>
    </row>
    <row r="642">
      <c r="A642" s="54"/>
      <c r="B642" s="11"/>
      <c r="C642" s="20"/>
      <c r="D642" s="20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5"/>
      <c r="U642" s="15"/>
      <c r="V642" s="15"/>
      <c r="W642" s="15"/>
    </row>
    <row r="643">
      <c r="A643" s="54"/>
      <c r="B643" s="11"/>
      <c r="C643" s="20"/>
      <c r="D643" s="20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5"/>
      <c r="U643" s="15"/>
      <c r="V643" s="15"/>
      <c r="W643" s="15"/>
    </row>
    <row r="644">
      <c r="A644" s="54"/>
      <c r="B644" s="11"/>
      <c r="C644" s="20"/>
      <c r="D644" s="20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5"/>
      <c r="U644" s="15"/>
      <c r="V644" s="15"/>
      <c r="W644" s="15"/>
    </row>
    <row r="645">
      <c r="A645" s="54"/>
      <c r="B645" s="11"/>
      <c r="C645" s="20"/>
      <c r="D645" s="20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5"/>
      <c r="U645" s="15"/>
      <c r="V645" s="15"/>
      <c r="W645" s="15"/>
    </row>
    <row r="646">
      <c r="A646" s="54"/>
      <c r="B646" s="11"/>
      <c r="C646" s="20"/>
      <c r="D646" s="20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5"/>
      <c r="U646" s="15"/>
      <c r="V646" s="15"/>
      <c r="W646" s="15"/>
    </row>
    <row r="647">
      <c r="A647" s="54"/>
      <c r="B647" s="11"/>
      <c r="C647" s="20"/>
      <c r="D647" s="20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5"/>
      <c r="U647" s="15"/>
      <c r="V647" s="15"/>
      <c r="W647" s="15"/>
    </row>
    <row r="648">
      <c r="A648" s="54"/>
      <c r="B648" s="11"/>
      <c r="C648" s="20"/>
      <c r="D648" s="20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5"/>
      <c r="U648" s="15"/>
      <c r="V648" s="15"/>
      <c r="W648" s="15"/>
    </row>
    <row r="649">
      <c r="A649" s="22"/>
      <c r="B649" s="11"/>
      <c r="C649" s="20"/>
      <c r="D649" s="20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5"/>
      <c r="U649" s="15"/>
      <c r="V649" s="15"/>
      <c r="W649" s="15"/>
    </row>
    <row r="650">
      <c r="A650" s="22"/>
      <c r="B650" s="11"/>
      <c r="C650" s="20"/>
      <c r="D650" s="20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5"/>
      <c r="U650" s="15"/>
      <c r="V650" s="15"/>
      <c r="W650" s="15"/>
    </row>
    <row r="651">
      <c r="A651" s="22"/>
      <c r="B651" s="11"/>
      <c r="C651" s="20"/>
      <c r="D651" s="20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5"/>
      <c r="U651" s="15"/>
      <c r="V651" s="15"/>
      <c r="W651" s="15"/>
    </row>
    <row r="652">
      <c r="A652" s="22"/>
      <c r="B652" s="11"/>
      <c r="C652" s="20"/>
      <c r="D652" s="20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5"/>
      <c r="U652" s="15"/>
      <c r="V652" s="15"/>
      <c r="W652" s="15"/>
    </row>
    <row r="653">
      <c r="A653" s="22"/>
      <c r="B653" s="11"/>
      <c r="C653" s="20"/>
      <c r="D653" s="20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5"/>
      <c r="U653" s="15"/>
      <c r="V653" s="15"/>
      <c r="W653" s="15"/>
    </row>
    <row r="654">
      <c r="A654" s="22"/>
      <c r="B654" s="11"/>
      <c r="C654" s="20"/>
      <c r="D654" s="20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5"/>
      <c r="U654" s="15"/>
      <c r="V654" s="15"/>
      <c r="W654" s="15"/>
    </row>
    <row r="655">
      <c r="A655" s="22"/>
      <c r="B655" s="11"/>
      <c r="C655" s="20"/>
      <c r="D655" s="20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5"/>
      <c r="U655" s="15"/>
      <c r="V655" s="15"/>
      <c r="W655" s="15"/>
    </row>
    <row r="656">
      <c r="A656" s="22"/>
      <c r="B656" s="11"/>
      <c r="C656" s="20"/>
      <c r="D656" s="20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5"/>
      <c r="U656" s="15"/>
      <c r="V656" s="15"/>
      <c r="W656" s="15"/>
    </row>
    <row r="657">
      <c r="A657" s="22"/>
      <c r="B657" s="11"/>
      <c r="C657" s="20"/>
      <c r="D657" s="20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5"/>
      <c r="U657" s="15"/>
      <c r="V657" s="15"/>
      <c r="W657" s="15"/>
    </row>
    <row r="658">
      <c r="A658" s="22"/>
      <c r="B658" s="11"/>
      <c r="C658" s="20"/>
      <c r="D658" s="20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5"/>
      <c r="U658" s="15"/>
      <c r="V658" s="15"/>
      <c r="W658" s="15"/>
    </row>
    <row r="659">
      <c r="A659" s="22"/>
      <c r="B659" s="11"/>
      <c r="C659" s="20"/>
      <c r="D659" s="20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5"/>
      <c r="U659" s="15"/>
      <c r="V659" s="15"/>
      <c r="W659" s="15"/>
    </row>
    <row r="660">
      <c r="A660" s="22"/>
      <c r="B660" s="11"/>
      <c r="C660" s="20"/>
      <c r="D660" s="20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5"/>
      <c r="U660" s="15"/>
      <c r="V660" s="15"/>
      <c r="W660" s="15"/>
    </row>
    <row r="661">
      <c r="A661" s="22"/>
      <c r="B661" s="11"/>
      <c r="C661" s="20"/>
      <c r="D661" s="20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5"/>
      <c r="U661" s="15"/>
      <c r="V661" s="15"/>
      <c r="W661" s="15"/>
    </row>
    <row r="662">
      <c r="A662" s="22"/>
      <c r="B662" s="11"/>
      <c r="C662" s="20"/>
      <c r="D662" s="20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5"/>
      <c r="U662" s="15"/>
      <c r="V662" s="15"/>
      <c r="W662" s="15"/>
    </row>
    <row r="663">
      <c r="A663" s="22"/>
      <c r="B663" s="11"/>
      <c r="C663" s="20"/>
      <c r="D663" s="20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5"/>
      <c r="U663" s="15"/>
      <c r="V663" s="15"/>
      <c r="W663" s="15"/>
    </row>
    <row r="664">
      <c r="A664" s="22"/>
      <c r="B664" s="11"/>
      <c r="C664" s="20"/>
      <c r="D664" s="20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5"/>
      <c r="U664" s="15"/>
      <c r="V664" s="15"/>
      <c r="W664" s="15"/>
    </row>
    <row r="665">
      <c r="A665" s="22"/>
      <c r="B665" s="11"/>
      <c r="C665" s="20"/>
      <c r="D665" s="20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5"/>
      <c r="U665" s="15"/>
      <c r="V665" s="15"/>
      <c r="W665" s="15"/>
    </row>
    <row r="666">
      <c r="A666" s="22"/>
      <c r="B666" s="11"/>
      <c r="C666" s="20"/>
      <c r="D666" s="20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5"/>
      <c r="U666" s="15"/>
      <c r="V666" s="15"/>
      <c r="W666" s="15"/>
    </row>
    <row r="667">
      <c r="A667" s="22"/>
      <c r="B667" s="11"/>
      <c r="C667" s="20"/>
      <c r="D667" s="20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5"/>
      <c r="U667" s="15"/>
      <c r="V667" s="15"/>
      <c r="W667" s="15"/>
    </row>
    <row r="668">
      <c r="A668" s="54"/>
      <c r="B668" s="11"/>
      <c r="C668" s="20"/>
      <c r="D668" s="20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5"/>
      <c r="U668" s="15"/>
      <c r="V668" s="15"/>
      <c r="W668" s="15"/>
    </row>
    <row r="669">
      <c r="A669" s="54"/>
      <c r="B669" s="11"/>
      <c r="C669" s="20"/>
      <c r="D669" s="20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5"/>
      <c r="U669" s="15"/>
      <c r="V669" s="15"/>
      <c r="W669" s="15"/>
    </row>
    <row r="670">
      <c r="A670" s="54"/>
      <c r="B670" s="11"/>
      <c r="C670" s="20"/>
      <c r="D670" s="20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5"/>
      <c r="U670" s="15"/>
      <c r="V670" s="15"/>
      <c r="W670" s="15"/>
    </row>
    <row r="671">
      <c r="A671" s="54"/>
      <c r="B671" s="11"/>
      <c r="C671" s="20"/>
      <c r="D671" s="20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5"/>
      <c r="U671" s="15"/>
      <c r="V671" s="15"/>
      <c r="W671" s="15"/>
    </row>
    <row r="672">
      <c r="A672" s="54"/>
      <c r="B672" s="11"/>
      <c r="C672" s="20"/>
      <c r="D672" s="20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5"/>
      <c r="U672" s="15"/>
      <c r="V672" s="15"/>
      <c r="W672" s="15"/>
    </row>
    <row r="673">
      <c r="A673" s="54"/>
      <c r="B673" s="11"/>
      <c r="C673" s="20"/>
      <c r="D673" s="20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5"/>
      <c r="U673" s="15"/>
      <c r="V673" s="15"/>
      <c r="W673" s="15"/>
    </row>
    <row r="674">
      <c r="A674" s="54"/>
      <c r="B674" s="11"/>
      <c r="C674" s="20"/>
      <c r="D674" s="20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5"/>
      <c r="U674" s="15"/>
      <c r="V674" s="15"/>
      <c r="W674" s="15"/>
    </row>
    <row r="675">
      <c r="A675" s="54"/>
      <c r="B675" s="11"/>
      <c r="C675" s="20"/>
      <c r="D675" s="20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5"/>
      <c r="U675" s="15"/>
      <c r="V675" s="15"/>
      <c r="W675" s="15"/>
    </row>
    <row r="676">
      <c r="A676" s="54"/>
      <c r="B676" s="11"/>
      <c r="C676" s="20"/>
      <c r="D676" s="20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5"/>
      <c r="U676" s="15"/>
      <c r="V676" s="15"/>
      <c r="W676" s="15"/>
    </row>
    <row r="677">
      <c r="A677" s="54"/>
      <c r="B677" s="11"/>
      <c r="C677" s="20"/>
      <c r="D677" s="20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5"/>
      <c r="U677" s="15"/>
      <c r="V677" s="15"/>
      <c r="W677" s="15"/>
    </row>
    <row r="678">
      <c r="A678" s="54"/>
      <c r="B678" s="11"/>
      <c r="C678" s="20"/>
      <c r="D678" s="20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5"/>
      <c r="U678" s="15"/>
      <c r="V678" s="15"/>
      <c r="W678" s="15"/>
    </row>
    <row r="679">
      <c r="A679" s="54"/>
      <c r="B679" s="11"/>
      <c r="C679" s="20"/>
      <c r="D679" s="20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5"/>
      <c r="U679" s="15"/>
      <c r="V679" s="15"/>
      <c r="W679" s="15"/>
    </row>
    <row r="680">
      <c r="A680" s="54"/>
      <c r="B680" s="11"/>
      <c r="C680" s="20"/>
      <c r="D680" s="20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5"/>
      <c r="U680" s="15"/>
      <c r="V680" s="15"/>
      <c r="W680" s="15"/>
    </row>
    <row r="681">
      <c r="A681" s="54"/>
      <c r="B681" s="11"/>
      <c r="C681" s="20"/>
      <c r="D681" s="20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5"/>
      <c r="U681" s="15"/>
      <c r="V681" s="15"/>
      <c r="W681" s="15"/>
    </row>
    <row r="682">
      <c r="A682" s="54"/>
      <c r="B682" s="11"/>
      <c r="C682" s="20"/>
      <c r="D682" s="20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5"/>
      <c r="U682" s="15"/>
      <c r="V682" s="15"/>
      <c r="W682" s="15"/>
    </row>
    <row r="683">
      <c r="A683" s="54"/>
      <c r="B683" s="11"/>
      <c r="C683" s="20"/>
      <c r="D683" s="20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5"/>
      <c r="U683" s="15"/>
      <c r="V683" s="15"/>
      <c r="W683" s="15"/>
    </row>
    <row r="684">
      <c r="A684" s="54"/>
      <c r="B684" s="11"/>
      <c r="C684" s="20"/>
      <c r="D684" s="20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5"/>
      <c r="U684" s="15"/>
      <c r="V684" s="15"/>
      <c r="W684" s="15"/>
    </row>
    <row r="685">
      <c r="A685" s="54"/>
      <c r="B685" s="11"/>
      <c r="C685" s="20"/>
      <c r="D685" s="20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5"/>
      <c r="U685" s="15"/>
      <c r="V685" s="15"/>
      <c r="W685" s="15"/>
    </row>
    <row r="686">
      <c r="A686" s="54"/>
      <c r="B686" s="11"/>
      <c r="C686" s="20"/>
      <c r="D686" s="20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5"/>
      <c r="U686" s="15"/>
      <c r="V686" s="15"/>
      <c r="W686" s="15"/>
    </row>
    <row r="687">
      <c r="A687" s="54"/>
      <c r="B687" s="11"/>
      <c r="C687" s="20"/>
      <c r="D687" s="20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5"/>
      <c r="U687" s="15"/>
      <c r="V687" s="15"/>
      <c r="W687" s="15"/>
    </row>
    <row r="688">
      <c r="A688" s="54"/>
      <c r="B688" s="11"/>
      <c r="C688" s="20"/>
      <c r="D688" s="20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5"/>
      <c r="U688" s="15"/>
      <c r="V688" s="15"/>
      <c r="W688" s="15"/>
    </row>
    <row r="689">
      <c r="A689" s="54"/>
      <c r="B689" s="11"/>
      <c r="C689" s="20"/>
      <c r="D689" s="20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5"/>
      <c r="U689" s="15"/>
      <c r="V689" s="15"/>
      <c r="W689" s="15"/>
    </row>
    <row r="690">
      <c r="A690" s="54"/>
      <c r="B690" s="11"/>
      <c r="C690" s="20"/>
      <c r="D690" s="20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5"/>
      <c r="U690" s="15"/>
      <c r="V690" s="15"/>
      <c r="W690" s="15"/>
    </row>
    <row r="691">
      <c r="A691" s="54"/>
      <c r="B691" s="11"/>
      <c r="C691" s="20"/>
      <c r="D691" s="20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5"/>
      <c r="U691" s="15"/>
      <c r="V691" s="15"/>
      <c r="W691" s="15"/>
    </row>
    <row r="692">
      <c r="A692" s="54"/>
      <c r="B692" s="11"/>
      <c r="C692" s="20"/>
      <c r="D692" s="20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5"/>
      <c r="U692" s="15"/>
      <c r="V692" s="15"/>
      <c r="W692" s="15"/>
    </row>
    <row r="693">
      <c r="A693" s="54"/>
      <c r="B693" s="11"/>
      <c r="C693" s="20"/>
      <c r="D693" s="20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5"/>
      <c r="U693" s="15"/>
      <c r="V693" s="15"/>
      <c r="W693" s="15"/>
    </row>
    <row r="694">
      <c r="A694" s="54"/>
      <c r="B694" s="11"/>
      <c r="C694" s="20"/>
      <c r="D694" s="20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5"/>
      <c r="U694" s="15"/>
      <c r="V694" s="15"/>
      <c r="W694" s="15"/>
    </row>
    <row r="695">
      <c r="A695" s="22"/>
      <c r="B695" s="11"/>
      <c r="C695" s="20"/>
      <c r="D695" s="20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5"/>
      <c r="U695" s="15"/>
      <c r="V695" s="15"/>
      <c r="W695" s="15"/>
    </row>
    <row r="696">
      <c r="A696" s="22"/>
      <c r="B696" s="11"/>
      <c r="C696" s="20"/>
      <c r="D696" s="20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5"/>
      <c r="U696" s="15"/>
      <c r="V696" s="15"/>
      <c r="W696" s="15"/>
    </row>
    <row r="697">
      <c r="A697" s="22"/>
      <c r="B697" s="11"/>
      <c r="C697" s="20"/>
      <c r="D697" s="20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5"/>
      <c r="U697" s="15"/>
      <c r="V697" s="15"/>
      <c r="W697" s="15"/>
    </row>
    <row r="698">
      <c r="A698" s="22"/>
      <c r="B698" s="11"/>
      <c r="C698" s="20"/>
      <c r="D698" s="20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5"/>
      <c r="U698" s="15"/>
      <c r="V698" s="15"/>
      <c r="W698" s="15"/>
    </row>
    <row r="699">
      <c r="A699" s="22"/>
      <c r="B699" s="11"/>
      <c r="C699" s="20"/>
      <c r="D699" s="20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5"/>
      <c r="U699" s="15"/>
      <c r="V699" s="15"/>
      <c r="W699" s="15"/>
    </row>
    <row r="700">
      <c r="A700" s="22"/>
      <c r="B700" s="11"/>
      <c r="C700" s="20"/>
      <c r="D700" s="20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5"/>
      <c r="U700" s="15"/>
      <c r="V700" s="15"/>
      <c r="W700" s="15"/>
    </row>
    <row r="701">
      <c r="A701" s="22"/>
      <c r="B701" s="11"/>
      <c r="C701" s="20"/>
      <c r="D701" s="20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5"/>
      <c r="U701" s="15"/>
      <c r="V701" s="15"/>
      <c r="W701" s="15"/>
    </row>
    <row r="702">
      <c r="A702" s="22"/>
      <c r="B702" s="11"/>
      <c r="C702" s="20"/>
      <c r="D702" s="20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5"/>
      <c r="U702" s="15"/>
      <c r="V702" s="15"/>
      <c r="W702" s="15"/>
    </row>
    <row r="703">
      <c r="A703" s="22"/>
      <c r="B703" s="11"/>
      <c r="C703" s="20"/>
      <c r="D703" s="20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5"/>
      <c r="U703" s="15"/>
      <c r="V703" s="15"/>
      <c r="W703" s="15"/>
    </row>
    <row r="704">
      <c r="A704" s="22"/>
      <c r="B704" s="11"/>
      <c r="C704" s="20"/>
      <c r="D704" s="20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5"/>
      <c r="U704" s="15"/>
      <c r="V704" s="15"/>
      <c r="W704" s="15"/>
    </row>
    <row r="705">
      <c r="A705" s="22"/>
      <c r="B705" s="11"/>
      <c r="C705" s="20"/>
      <c r="D705" s="20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5"/>
      <c r="U705" s="15"/>
      <c r="V705" s="15"/>
      <c r="W705" s="15"/>
    </row>
    <row r="706">
      <c r="A706" s="22"/>
      <c r="B706" s="11"/>
      <c r="C706" s="20"/>
      <c r="D706" s="20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5"/>
      <c r="U706" s="15"/>
      <c r="V706" s="15"/>
      <c r="W706" s="15"/>
    </row>
    <row r="707">
      <c r="A707" s="22"/>
      <c r="B707" s="11"/>
      <c r="C707" s="20"/>
      <c r="D707" s="20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5"/>
      <c r="U707" s="15"/>
      <c r="V707" s="15"/>
      <c r="W707" s="15"/>
    </row>
    <row r="708">
      <c r="A708" s="22"/>
      <c r="B708" s="11"/>
      <c r="C708" s="20"/>
      <c r="D708" s="20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5"/>
      <c r="U708" s="15"/>
      <c r="V708" s="15"/>
      <c r="W708" s="15"/>
    </row>
    <row r="709">
      <c r="A709" s="22"/>
      <c r="B709" s="11"/>
      <c r="C709" s="20"/>
      <c r="D709" s="20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5"/>
      <c r="U709" s="15"/>
      <c r="V709" s="15"/>
      <c r="W709" s="15"/>
    </row>
    <row r="710">
      <c r="A710" s="22"/>
      <c r="B710" s="11"/>
      <c r="C710" s="20"/>
      <c r="D710" s="20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5"/>
      <c r="U710" s="15"/>
      <c r="V710" s="15"/>
      <c r="W710" s="15"/>
    </row>
    <row r="711">
      <c r="A711" s="22"/>
      <c r="B711" s="11"/>
      <c r="C711" s="20"/>
      <c r="D711" s="20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5"/>
      <c r="U711" s="15"/>
      <c r="V711" s="15"/>
      <c r="W711" s="15"/>
    </row>
    <row r="712">
      <c r="A712" s="22"/>
      <c r="B712" s="11"/>
      <c r="C712" s="20"/>
      <c r="D712" s="20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5"/>
      <c r="U712" s="15"/>
      <c r="V712" s="15"/>
      <c r="W712" s="15"/>
    </row>
    <row r="713">
      <c r="A713" s="22"/>
      <c r="B713" s="11"/>
      <c r="C713" s="20"/>
      <c r="D713" s="20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5"/>
      <c r="U713" s="15"/>
      <c r="V713" s="15"/>
      <c r="W713" s="15"/>
    </row>
    <row r="714">
      <c r="A714" s="54"/>
      <c r="B714" s="11"/>
      <c r="C714" s="20"/>
      <c r="D714" s="20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5"/>
      <c r="U714" s="15"/>
      <c r="V714" s="15"/>
      <c r="W714" s="15"/>
    </row>
    <row r="715">
      <c r="A715" s="54"/>
      <c r="B715" s="11"/>
      <c r="C715" s="20"/>
      <c r="D715" s="20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5"/>
      <c r="U715" s="15"/>
      <c r="V715" s="15"/>
      <c r="W715" s="15"/>
    </row>
    <row r="716">
      <c r="A716" s="54"/>
      <c r="B716" s="11"/>
      <c r="C716" s="20"/>
      <c r="D716" s="20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5"/>
      <c r="U716" s="15"/>
      <c r="V716" s="15"/>
      <c r="W716" s="15"/>
    </row>
    <row r="717">
      <c r="A717" s="54"/>
      <c r="B717" s="11"/>
      <c r="C717" s="20"/>
      <c r="D717" s="20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5"/>
      <c r="U717" s="15"/>
      <c r="V717" s="15"/>
      <c r="W717" s="15"/>
    </row>
    <row r="718">
      <c r="A718" s="54"/>
      <c r="B718" s="11"/>
      <c r="C718" s="20"/>
      <c r="D718" s="20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5"/>
      <c r="U718" s="15"/>
      <c r="V718" s="15"/>
      <c r="W718" s="15"/>
    </row>
    <row r="719">
      <c r="A719" s="54"/>
      <c r="B719" s="11"/>
      <c r="C719" s="20"/>
      <c r="D719" s="20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5"/>
      <c r="U719" s="15"/>
      <c r="V719" s="15"/>
      <c r="W719" s="15"/>
    </row>
    <row r="720">
      <c r="A720" s="54"/>
      <c r="B720" s="11"/>
      <c r="C720" s="20"/>
      <c r="D720" s="20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5"/>
      <c r="U720" s="15"/>
      <c r="V720" s="15"/>
      <c r="W720" s="15"/>
    </row>
    <row r="721">
      <c r="A721" s="54"/>
      <c r="B721" s="11"/>
      <c r="C721" s="20"/>
      <c r="D721" s="20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5"/>
      <c r="U721" s="15"/>
      <c r="V721" s="15"/>
      <c r="W721" s="15"/>
    </row>
    <row r="722">
      <c r="A722" s="54"/>
      <c r="B722" s="11"/>
      <c r="C722" s="20"/>
      <c r="D722" s="20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5"/>
      <c r="U722" s="15"/>
      <c r="V722" s="15"/>
      <c r="W722" s="15"/>
    </row>
    <row r="723">
      <c r="A723" s="54"/>
      <c r="B723" s="11"/>
      <c r="C723" s="20"/>
      <c r="D723" s="20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5"/>
      <c r="U723" s="15"/>
      <c r="V723" s="15"/>
      <c r="W723" s="15"/>
    </row>
    <row r="724">
      <c r="A724" s="54"/>
      <c r="B724" s="11"/>
      <c r="C724" s="20"/>
      <c r="D724" s="20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5"/>
      <c r="U724" s="15"/>
      <c r="V724" s="15"/>
      <c r="W724" s="15"/>
    </row>
    <row r="725">
      <c r="A725" s="54"/>
      <c r="B725" s="11"/>
      <c r="C725" s="20"/>
      <c r="D725" s="20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5"/>
      <c r="U725" s="15"/>
      <c r="V725" s="15"/>
      <c r="W725" s="15"/>
    </row>
    <row r="726">
      <c r="A726" s="54"/>
      <c r="B726" s="11"/>
      <c r="C726" s="20"/>
      <c r="D726" s="20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5"/>
      <c r="U726" s="15"/>
      <c r="V726" s="15"/>
      <c r="W726" s="15"/>
    </row>
    <row r="727">
      <c r="A727" s="54"/>
      <c r="B727" s="11"/>
      <c r="C727" s="20"/>
      <c r="D727" s="20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5"/>
      <c r="U727" s="15"/>
      <c r="V727" s="15"/>
      <c r="W727" s="15"/>
    </row>
    <row r="728">
      <c r="A728" s="54"/>
      <c r="B728" s="11"/>
      <c r="C728" s="20"/>
      <c r="D728" s="20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5"/>
      <c r="U728" s="15"/>
      <c r="V728" s="15"/>
      <c r="W728" s="15"/>
    </row>
    <row r="729">
      <c r="A729" s="54"/>
      <c r="B729" s="11"/>
      <c r="C729" s="20"/>
      <c r="D729" s="20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5"/>
      <c r="U729" s="15"/>
      <c r="V729" s="15"/>
      <c r="W729" s="15"/>
    </row>
    <row r="730">
      <c r="A730" s="54"/>
      <c r="B730" s="11"/>
      <c r="C730" s="20"/>
      <c r="D730" s="20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5"/>
      <c r="U730" s="15"/>
      <c r="V730" s="15"/>
      <c r="W730" s="15"/>
    </row>
    <row r="731">
      <c r="A731" s="54"/>
      <c r="B731" s="11"/>
      <c r="C731" s="20"/>
      <c r="D731" s="20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5"/>
      <c r="U731" s="15"/>
      <c r="V731" s="15"/>
      <c r="W731" s="15"/>
    </row>
    <row r="732">
      <c r="A732" s="22"/>
      <c r="B732" s="11"/>
      <c r="C732" s="20"/>
      <c r="D732" s="20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5"/>
      <c r="U732" s="15"/>
      <c r="V732" s="15"/>
      <c r="W732" s="15"/>
    </row>
    <row r="733">
      <c r="A733" s="22"/>
      <c r="B733" s="11"/>
      <c r="C733" s="20"/>
      <c r="D733" s="20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5"/>
      <c r="U733" s="15"/>
      <c r="V733" s="15"/>
      <c r="W733" s="15"/>
    </row>
    <row r="734">
      <c r="A734" s="22"/>
      <c r="B734" s="11"/>
      <c r="C734" s="20"/>
      <c r="D734" s="20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5"/>
      <c r="U734" s="15"/>
      <c r="V734" s="15"/>
      <c r="W734" s="15"/>
    </row>
    <row r="735">
      <c r="A735" s="22"/>
      <c r="B735" s="11"/>
      <c r="C735" s="20"/>
      <c r="D735" s="20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5"/>
      <c r="U735" s="15"/>
      <c r="V735" s="15"/>
      <c r="W735" s="15"/>
    </row>
    <row r="736">
      <c r="A736" s="22"/>
      <c r="B736" s="11"/>
      <c r="C736" s="20"/>
      <c r="D736" s="20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5"/>
      <c r="U736" s="15"/>
      <c r="V736" s="15"/>
      <c r="W736" s="15"/>
    </row>
    <row r="737">
      <c r="A737" s="22"/>
      <c r="B737" s="11"/>
      <c r="C737" s="20"/>
      <c r="D737" s="20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5"/>
      <c r="U737" s="15"/>
      <c r="V737" s="15"/>
      <c r="W737" s="15"/>
    </row>
    <row r="738">
      <c r="A738" s="22"/>
      <c r="B738" s="11"/>
      <c r="C738" s="20"/>
      <c r="D738" s="20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5"/>
      <c r="U738" s="15"/>
      <c r="V738" s="15"/>
      <c r="W738" s="15"/>
    </row>
    <row r="739">
      <c r="A739" s="22"/>
      <c r="B739" s="11"/>
      <c r="C739" s="20"/>
      <c r="D739" s="20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5"/>
      <c r="U739" s="15"/>
      <c r="V739" s="15"/>
      <c r="W739" s="15"/>
    </row>
    <row r="740">
      <c r="A740" s="22"/>
      <c r="B740" s="11"/>
      <c r="C740" s="20"/>
      <c r="D740" s="20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5"/>
      <c r="U740" s="15"/>
      <c r="V740" s="15"/>
      <c r="W740" s="15"/>
    </row>
    <row r="741">
      <c r="A741" s="22"/>
      <c r="B741" s="11"/>
      <c r="C741" s="20"/>
      <c r="D741" s="20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5"/>
      <c r="U741" s="15"/>
      <c r="V741" s="15"/>
      <c r="W741" s="15"/>
    </row>
    <row r="742">
      <c r="A742" s="22"/>
      <c r="B742" s="11"/>
      <c r="C742" s="20"/>
      <c r="D742" s="20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5"/>
      <c r="U742" s="15"/>
      <c r="V742" s="15"/>
      <c r="W742" s="15"/>
    </row>
    <row r="743">
      <c r="A743" s="22"/>
      <c r="B743" s="11"/>
      <c r="C743" s="20"/>
      <c r="D743" s="20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5"/>
      <c r="U743" s="15"/>
      <c r="V743" s="15"/>
      <c r="W743" s="15"/>
    </row>
    <row r="744">
      <c r="A744" s="22"/>
      <c r="B744" s="11"/>
      <c r="C744" s="20"/>
      <c r="D744" s="20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5"/>
      <c r="U744" s="15"/>
      <c r="V744" s="15"/>
      <c r="W744" s="15"/>
    </row>
    <row r="745">
      <c r="A745" s="22"/>
      <c r="B745" s="11"/>
      <c r="C745" s="20"/>
      <c r="D745" s="20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5"/>
      <c r="U745" s="15"/>
      <c r="V745" s="15"/>
      <c r="W745" s="15"/>
    </row>
    <row r="746">
      <c r="A746" s="22"/>
      <c r="B746" s="11"/>
      <c r="C746" s="20"/>
      <c r="D746" s="20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5"/>
      <c r="U746" s="15"/>
      <c r="V746" s="15"/>
      <c r="W746" s="15"/>
    </row>
    <row r="747">
      <c r="A747" s="22"/>
      <c r="B747" s="11"/>
      <c r="C747" s="20"/>
      <c r="D747" s="20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5"/>
      <c r="U747" s="15"/>
      <c r="V747" s="15"/>
      <c r="W747" s="15"/>
    </row>
    <row r="748">
      <c r="A748" s="22"/>
      <c r="B748" s="11"/>
      <c r="C748" s="20"/>
      <c r="D748" s="20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5"/>
      <c r="U748" s="15"/>
      <c r="V748" s="15"/>
      <c r="W748" s="15"/>
    </row>
    <row r="749">
      <c r="A749" s="22"/>
      <c r="B749" s="11"/>
      <c r="C749" s="20"/>
      <c r="D749" s="20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5"/>
      <c r="U749" s="15"/>
      <c r="V749" s="15"/>
      <c r="W749" s="15"/>
    </row>
    <row r="750">
      <c r="A750" s="22"/>
      <c r="B750" s="11"/>
      <c r="C750" s="20"/>
      <c r="D750" s="20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5"/>
      <c r="U750" s="15"/>
      <c r="V750" s="15"/>
      <c r="W750" s="15"/>
    </row>
    <row r="751">
      <c r="A751" s="54"/>
      <c r="B751" s="11"/>
      <c r="C751" s="20"/>
      <c r="D751" s="20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5"/>
      <c r="U751" s="15"/>
      <c r="V751" s="15"/>
      <c r="W751" s="15"/>
    </row>
    <row r="752">
      <c r="A752" s="54"/>
      <c r="B752" s="11"/>
      <c r="C752" s="20"/>
      <c r="D752" s="20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5"/>
      <c r="U752" s="15"/>
      <c r="V752" s="15"/>
      <c r="W752" s="15"/>
    </row>
    <row r="753">
      <c r="A753" s="54"/>
      <c r="B753" s="11"/>
      <c r="C753" s="20"/>
      <c r="D753" s="20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5"/>
      <c r="U753" s="15"/>
      <c r="V753" s="15"/>
      <c r="W753" s="15"/>
    </row>
    <row r="754">
      <c r="A754" s="54"/>
      <c r="B754" s="11"/>
      <c r="C754" s="20"/>
      <c r="D754" s="20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5"/>
      <c r="U754" s="15"/>
      <c r="V754" s="15"/>
      <c r="W754" s="15"/>
    </row>
    <row r="755">
      <c r="A755" s="54"/>
      <c r="B755" s="11"/>
      <c r="C755" s="20"/>
      <c r="D755" s="20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5"/>
      <c r="U755" s="15"/>
      <c r="V755" s="15"/>
      <c r="W755" s="15"/>
    </row>
    <row r="756">
      <c r="A756" s="54"/>
      <c r="B756" s="11"/>
      <c r="C756" s="20"/>
      <c r="D756" s="20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5"/>
      <c r="U756" s="15"/>
      <c r="V756" s="15"/>
      <c r="W756" s="15"/>
    </row>
    <row r="757">
      <c r="A757" s="54"/>
      <c r="B757" s="11"/>
      <c r="C757" s="20"/>
      <c r="D757" s="20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5"/>
      <c r="U757" s="15"/>
      <c r="V757" s="15"/>
      <c r="W757" s="15"/>
    </row>
    <row r="758">
      <c r="A758" s="54"/>
      <c r="B758" s="11"/>
      <c r="C758" s="20"/>
      <c r="D758" s="20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5"/>
      <c r="U758" s="15"/>
      <c r="V758" s="15"/>
      <c r="W758" s="15"/>
    </row>
    <row r="759">
      <c r="A759" s="54"/>
      <c r="B759" s="11"/>
      <c r="C759" s="20"/>
      <c r="D759" s="20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5"/>
      <c r="U759" s="15"/>
      <c r="V759" s="15"/>
      <c r="W759" s="15"/>
    </row>
    <row r="760">
      <c r="A760" s="54"/>
      <c r="B760" s="11"/>
      <c r="C760" s="20"/>
      <c r="D760" s="20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5"/>
      <c r="U760" s="15"/>
      <c r="V760" s="15"/>
      <c r="W760" s="15"/>
    </row>
    <row r="761">
      <c r="A761" s="54"/>
      <c r="B761" s="11"/>
      <c r="C761" s="20"/>
      <c r="D761" s="20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5"/>
      <c r="U761" s="15"/>
      <c r="V761" s="15"/>
      <c r="W761" s="15"/>
    </row>
    <row r="762">
      <c r="A762" s="54"/>
      <c r="B762" s="11"/>
      <c r="C762" s="20"/>
      <c r="D762" s="20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5"/>
      <c r="U762" s="15"/>
      <c r="V762" s="15"/>
      <c r="W762" s="15"/>
    </row>
    <row r="763">
      <c r="A763" s="54"/>
      <c r="B763" s="11"/>
      <c r="C763" s="20"/>
      <c r="D763" s="20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5"/>
      <c r="U763" s="15"/>
      <c r="V763" s="15"/>
      <c r="W763" s="15"/>
    </row>
    <row r="764">
      <c r="A764" s="54"/>
      <c r="B764" s="11"/>
      <c r="C764" s="20"/>
      <c r="D764" s="20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5"/>
      <c r="U764" s="15"/>
      <c r="V764" s="15"/>
      <c r="W764" s="15"/>
    </row>
    <row r="765">
      <c r="A765" s="54"/>
      <c r="B765" s="11"/>
      <c r="C765" s="20"/>
      <c r="D765" s="20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5"/>
      <c r="U765" s="15"/>
      <c r="V765" s="15"/>
      <c r="W765" s="15"/>
    </row>
    <row r="766">
      <c r="A766" s="54"/>
      <c r="B766" s="11"/>
      <c r="C766" s="20"/>
      <c r="D766" s="20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5"/>
      <c r="U766" s="15"/>
      <c r="V766" s="15"/>
      <c r="W766" s="15"/>
    </row>
    <row r="767">
      <c r="A767" s="54"/>
      <c r="B767" s="11"/>
      <c r="C767" s="20"/>
      <c r="D767" s="20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5"/>
      <c r="U767" s="15"/>
      <c r="V767" s="15"/>
      <c r="W767" s="15"/>
    </row>
    <row r="768">
      <c r="A768" s="54"/>
      <c r="B768" s="11"/>
      <c r="C768" s="20"/>
      <c r="D768" s="20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5"/>
      <c r="U768" s="15"/>
      <c r="V768" s="15"/>
      <c r="W768" s="15"/>
    </row>
    <row r="769">
      <c r="A769" s="54"/>
      <c r="B769" s="11"/>
      <c r="C769" s="20"/>
      <c r="D769" s="20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5"/>
      <c r="U769" s="15"/>
      <c r="V769" s="15"/>
      <c r="W769" s="15"/>
    </row>
    <row r="770">
      <c r="A770" s="54"/>
      <c r="B770" s="11"/>
      <c r="C770" s="20"/>
      <c r="D770" s="20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5"/>
      <c r="U770" s="15"/>
      <c r="V770" s="15"/>
      <c r="W770" s="15"/>
    </row>
    <row r="771">
      <c r="A771" s="54"/>
      <c r="B771" s="11"/>
      <c r="C771" s="20"/>
      <c r="D771" s="20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5"/>
      <c r="U771" s="15"/>
      <c r="V771" s="15"/>
      <c r="W771" s="15"/>
    </row>
    <row r="772">
      <c r="A772" s="54"/>
      <c r="B772" s="11"/>
      <c r="C772" s="20"/>
      <c r="D772" s="20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5"/>
      <c r="U772" s="15"/>
      <c r="V772" s="15"/>
      <c r="W772" s="15"/>
    </row>
    <row r="773">
      <c r="A773" s="54"/>
      <c r="B773" s="11"/>
      <c r="C773" s="20"/>
      <c r="D773" s="20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5"/>
      <c r="U773" s="15"/>
      <c r="V773" s="15"/>
      <c r="W773" s="15"/>
    </row>
    <row r="774">
      <c r="A774" s="54"/>
      <c r="B774" s="11"/>
      <c r="C774" s="20"/>
      <c r="D774" s="20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5"/>
      <c r="U774" s="15"/>
      <c r="V774" s="15"/>
      <c r="W774" s="15"/>
    </row>
    <row r="775">
      <c r="A775" s="54"/>
      <c r="B775" s="11"/>
      <c r="C775" s="20"/>
      <c r="D775" s="20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5"/>
      <c r="U775" s="15"/>
      <c r="V775" s="15"/>
      <c r="W775" s="15"/>
    </row>
    <row r="776">
      <c r="A776" s="54"/>
      <c r="B776" s="11"/>
      <c r="C776" s="20"/>
      <c r="D776" s="20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5"/>
      <c r="U776" s="15"/>
      <c r="V776" s="15"/>
      <c r="W776" s="15"/>
    </row>
    <row r="777">
      <c r="A777" s="54"/>
      <c r="B777" s="11"/>
      <c r="C777" s="20"/>
      <c r="D777" s="20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5"/>
      <c r="U777" s="15"/>
      <c r="V777" s="15"/>
      <c r="W777" s="15"/>
    </row>
    <row r="778">
      <c r="A778" s="22"/>
      <c r="B778" s="11"/>
      <c r="C778" s="20"/>
      <c r="D778" s="20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5"/>
      <c r="U778" s="15"/>
      <c r="V778" s="15"/>
      <c r="W778" s="15"/>
    </row>
    <row r="779">
      <c r="A779" s="22"/>
      <c r="B779" s="11"/>
      <c r="C779" s="20"/>
      <c r="D779" s="20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5"/>
      <c r="U779" s="15"/>
      <c r="V779" s="15"/>
      <c r="W779" s="15"/>
    </row>
    <row r="780">
      <c r="A780" s="22"/>
      <c r="B780" s="11"/>
      <c r="C780" s="20"/>
      <c r="D780" s="20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5"/>
      <c r="U780" s="15"/>
      <c r="V780" s="15"/>
      <c r="W780" s="15"/>
    </row>
    <row r="781">
      <c r="A781" s="22"/>
      <c r="B781" s="11"/>
      <c r="C781" s="20"/>
      <c r="D781" s="20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5"/>
      <c r="U781" s="15"/>
      <c r="V781" s="15"/>
      <c r="W781" s="15"/>
    </row>
    <row r="782">
      <c r="A782" s="22"/>
      <c r="B782" s="11"/>
      <c r="C782" s="20"/>
      <c r="D782" s="20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5"/>
      <c r="U782" s="15"/>
      <c r="V782" s="15"/>
      <c r="W782" s="15"/>
    </row>
    <row r="783">
      <c r="A783" s="22"/>
      <c r="B783" s="11"/>
      <c r="C783" s="20"/>
      <c r="D783" s="20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5"/>
      <c r="U783" s="15"/>
      <c r="V783" s="15"/>
      <c r="W783" s="15"/>
    </row>
    <row r="784">
      <c r="A784" s="22"/>
      <c r="B784" s="11"/>
      <c r="C784" s="20"/>
      <c r="D784" s="20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5"/>
      <c r="U784" s="15"/>
      <c r="V784" s="15"/>
      <c r="W784" s="15"/>
    </row>
    <row r="785">
      <c r="A785" s="22"/>
      <c r="B785" s="11"/>
      <c r="C785" s="20"/>
      <c r="D785" s="20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5"/>
      <c r="U785" s="15"/>
      <c r="V785" s="15"/>
      <c r="W785" s="15"/>
    </row>
    <row r="786">
      <c r="A786" s="22"/>
      <c r="B786" s="11"/>
      <c r="C786" s="20"/>
      <c r="D786" s="20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5"/>
      <c r="U786" s="15"/>
      <c r="V786" s="15"/>
      <c r="W786" s="15"/>
    </row>
    <row r="787">
      <c r="A787" s="22"/>
      <c r="B787" s="11"/>
      <c r="C787" s="20"/>
      <c r="D787" s="20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5"/>
      <c r="U787" s="15"/>
      <c r="V787" s="15"/>
      <c r="W787" s="15"/>
    </row>
    <row r="788">
      <c r="A788" s="22"/>
      <c r="B788" s="11"/>
      <c r="C788" s="20"/>
      <c r="D788" s="20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5"/>
      <c r="U788" s="15"/>
      <c r="V788" s="15"/>
      <c r="W788" s="15"/>
    </row>
    <row r="789">
      <c r="A789" s="22"/>
      <c r="B789" s="11"/>
      <c r="C789" s="20"/>
      <c r="D789" s="20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5"/>
      <c r="U789" s="15"/>
      <c r="V789" s="15"/>
      <c r="W789" s="15"/>
    </row>
    <row r="790">
      <c r="A790" s="22"/>
      <c r="B790" s="11"/>
      <c r="C790" s="20"/>
      <c r="D790" s="20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5"/>
      <c r="U790" s="15"/>
      <c r="V790" s="15"/>
      <c r="W790" s="15"/>
    </row>
    <row r="791">
      <c r="A791" s="22"/>
      <c r="B791" s="11"/>
      <c r="C791" s="20"/>
      <c r="D791" s="20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5"/>
      <c r="U791" s="15"/>
      <c r="V791" s="15"/>
      <c r="W791" s="15"/>
    </row>
    <row r="792">
      <c r="A792" s="22"/>
      <c r="B792" s="11"/>
      <c r="C792" s="20"/>
      <c r="D792" s="20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5"/>
      <c r="U792" s="15"/>
      <c r="V792" s="15"/>
      <c r="W792" s="15"/>
    </row>
    <row r="793">
      <c r="A793" s="22"/>
      <c r="B793" s="11"/>
      <c r="C793" s="20"/>
      <c r="D793" s="20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5"/>
      <c r="U793" s="15"/>
      <c r="V793" s="15"/>
      <c r="W793" s="15"/>
    </row>
    <row r="794">
      <c r="A794" s="22"/>
      <c r="B794" s="11"/>
      <c r="C794" s="20"/>
      <c r="D794" s="20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5"/>
      <c r="U794" s="15"/>
      <c r="V794" s="15"/>
      <c r="W794" s="15"/>
    </row>
    <row r="795">
      <c r="A795" s="22"/>
      <c r="B795" s="11"/>
      <c r="C795" s="20"/>
      <c r="D795" s="20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5"/>
      <c r="U795" s="15"/>
      <c r="V795" s="15"/>
      <c r="W795" s="15"/>
    </row>
    <row r="796">
      <c r="A796" s="22"/>
      <c r="B796" s="11"/>
      <c r="C796" s="20"/>
      <c r="D796" s="20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5"/>
      <c r="U796" s="15"/>
      <c r="V796" s="15"/>
      <c r="W796" s="15"/>
    </row>
    <row r="797">
      <c r="A797" s="54"/>
      <c r="B797" s="11"/>
      <c r="C797" s="20"/>
      <c r="D797" s="20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5"/>
      <c r="U797" s="15"/>
      <c r="V797" s="15"/>
      <c r="W797" s="15"/>
    </row>
    <row r="798">
      <c r="A798" s="54"/>
      <c r="B798" s="11"/>
      <c r="C798" s="20"/>
      <c r="D798" s="20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5"/>
      <c r="U798" s="15"/>
      <c r="V798" s="15"/>
      <c r="W798" s="15"/>
    </row>
    <row r="799">
      <c r="A799" s="54"/>
      <c r="B799" s="11"/>
      <c r="C799" s="20"/>
      <c r="D799" s="20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5"/>
      <c r="U799" s="15"/>
      <c r="V799" s="15"/>
      <c r="W799" s="15"/>
    </row>
    <row r="800">
      <c r="A800" s="54"/>
      <c r="B800" s="11"/>
      <c r="C800" s="20"/>
      <c r="D800" s="20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5"/>
      <c r="U800" s="15"/>
      <c r="V800" s="15"/>
      <c r="W800" s="15"/>
    </row>
    <row r="801">
      <c r="A801" s="54"/>
      <c r="B801" s="11"/>
      <c r="C801" s="20"/>
      <c r="D801" s="20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5"/>
      <c r="U801" s="15"/>
      <c r="V801" s="15"/>
      <c r="W801" s="15"/>
    </row>
    <row r="802">
      <c r="A802" s="54"/>
      <c r="B802" s="11"/>
      <c r="C802" s="20"/>
      <c r="D802" s="20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5"/>
      <c r="U802" s="15"/>
      <c r="V802" s="15"/>
      <c r="W802" s="15"/>
    </row>
    <row r="803">
      <c r="A803" s="54"/>
      <c r="B803" s="11"/>
      <c r="C803" s="20"/>
      <c r="D803" s="20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5"/>
      <c r="U803" s="15"/>
      <c r="V803" s="15"/>
      <c r="W803" s="15"/>
    </row>
    <row r="804">
      <c r="A804" s="54"/>
      <c r="B804" s="11"/>
      <c r="C804" s="20"/>
      <c r="D804" s="20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5"/>
      <c r="U804" s="15"/>
      <c r="V804" s="15"/>
      <c r="W804" s="15"/>
    </row>
    <row r="805">
      <c r="A805" s="54"/>
      <c r="B805" s="11"/>
      <c r="C805" s="20"/>
      <c r="D805" s="20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5"/>
      <c r="U805" s="15"/>
      <c r="V805" s="15"/>
      <c r="W805" s="15"/>
    </row>
    <row r="806">
      <c r="A806" s="54"/>
      <c r="B806" s="11"/>
      <c r="C806" s="20"/>
      <c r="D806" s="20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5"/>
      <c r="U806" s="15"/>
      <c r="V806" s="15"/>
      <c r="W806" s="15"/>
    </row>
    <row r="807">
      <c r="A807" s="54"/>
      <c r="B807" s="11"/>
      <c r="C807" s="20"/>
      <c r="D807" s="20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5"/>
      <c r="U807" s="15"/>
      <c r="V807" s="15"/>
      <c r="W807" s="15"/>
    </row>
    <row r="808">
      <c r="A808" s="54"/>
      <c r="B808" s="11"/>
      <c r="C808" s="20"/>
      <c r="D808" s="20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5"/>
      <c r="U808" s="15"/>
      <c r="V808" s="15"/>
      <c r="W808" s="15"/>
    </row>
    <row r="809">
      <c r="A809" s="54"/>
      <c r="B809" s="11"/>
      <c r="C809" s="20"/>
      <c r="D809" s="20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5"/>
      <c r="U809" s="15"/>
      <c r="V809" s="15"/>
      <c r="W809" s="15"/>
    </row>
    <row r="810">
      <c r="A810" s="54"/>
      <c r="B810" s="11"/>
      <c r="C810" s="20"/>
      <c r="D810" s="20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5"/>
      <c r="U810" s="15"/>
      <c r="V810" s="15"/>
      <c r="W810" s="15"/>
    </row>
    <row r="811">
      <c r="A811" s="54"/>
      <c r="B811" s="11"/>
      <c r="C811" s="20"/>
      <c r="D811" s="20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5"/>
      <c r="U811" s="15"/>
      <c r="V811" s="15"/>
      <c r="W811" s="15"/>
    </row>
    <row r="812">
      <c r="A812" s="54"/>
      <c r="B812" s="11"/>
      <c r="C812" s="20"/>
      <c r="D812" s="20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5"/>
      <c r="U812" s="15"/>
      <c r="V812" s="15"/>
      <c r="W812" s="15"/>
    </row>
    <row r="813">
      <c r="A813" s="54"/>
      <c r="B813" s="11"/>
      <c r="C813" s="20"/>
      <c r="D813" s="20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5"/>
      <c r="U813" s="15"/>
      <c r="V813" s="15"/>
      <c r="W813" s="15"/>
    </row>
    <row r="814">
      <c r="A814" s="54"/>
      <c r="B814" s="11"/>
      <c r="C814" s="20"/>
      <c r="D814" s="20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5"/>
      <c r="U814" s="15"/>
      <c r="V814" s="15"/>
      <c r="W814" s="15"/>
    </row>
    <row r="815">
      <c r="A815" s="22"/>
      <c r="B815" s="11"/>
      <c r="C815" s="20"/>
      <c r="D815" s="20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5"/>
      <c r="U815" s="15"/>
      <c r="V815" s="15"/>
      <c r="W815" s="15"/>
    </row>
    <row r="816">
      <c r="A816" s="22"/>
      <c r="B816" s="11"/>
      <c r="C816" s="20"/>
      <c r="D816" s="20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5"/>
      <c r="U816" s="15"/>
      <c r="V816" s="15"/>
      <c r="W816" s="15"/>
    </row>
    <row r="817">
      <c r="A817" s="22"/>
      <c r="B817" s="11"/>
      <c r="C817" s="20"/>
      <c r="D817" s="20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5"/>
      <c r="U817" s="15"/>
      <c r="V817" s="15"/>
      <c r="W817" s="15"/>
    </row>
    <row r="818">
      <c r="A818" s="22"/>
      <c r="B818" s="11"/>
      <c r="C818" s="20"/>
      <c r="D818" s="20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5"/>
      <c r="U818" s="15"/>
      <c r="V818" s="15"/>
      <c r="W818" s="15"/>
    </row>
    <row r="819">
      <c r="A819" s="22"/>
      <c r="B819" s="11"/>
      <c r="C819" s="20"/>
      <c r="D819" s="20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5"/>
      <c r="U819" s="15"/>
      <c r="V819" s="15"/>
      <c r="W819" s="15"/>
    </row>
    <row r="820">
      <c r="A820" s="22"/>
      <c r="B820" s="11"/>
      <c r="C820" s="20"/>
      <c r="D820" s="20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5"/>
      <c r="U820" s="15"/>
      <c r="V820" s="15"/>
      <c r="W820" s="15"/>
    </row>
    <row r="821">
      <c r="A821" s="22"/>
      <c r="B821" s="11"/>
      <c r="C821" s="20"/>
      <c r="D821" s="20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5"/>
      <c r="U821" s="15"/>
      <c r="V821" s="15"/>
      <c r="W821" s="15"/>
    </row>
    <row r="822">
      <c r="A822" s="22"/>
      <c r="B822" s="11"/>
      <c r="C822" s="20"/>
      <c r="D822" s="20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5"/>
      <c r="U822" s="15"/>
      <c r="V822" s="15"/>
      <c r="W822" s="15"/>
    </row>
    <row r="823">
      <c r="A823" s="22"/>
      <c r="B823" s="11"/>
      <c r="C823" s="20"/>
      <c r="D823" s="20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5"/>
      <c r="U823" s="15"/>
      <c r="V823" s="15"/>
      <c r="W823" s="15"/>
    </row>
    <row r="824">
      <c r="A824" s="22"/>
      <c r="B824" s="11"/>
      <c r="C824" s="20"/>
      <c r="D824" s="20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5"/>
      <c r="U824" s="15"/>
      <c r="V824" s="15"/>
      <c r="W824" s="15"/>
    </row>
    <row r="825">
      <c r="A825" s="22"/>
      <c r="B825" s="11"/>
      <c r="C825" s="20"/>
      <c r="D825" s="20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5"/>
      <c r="U825" s="15"/>
      <c r="V825" s="15"/>
      <c r="W825" s="15"/>
    </row>
    <row r="826">
      <c r="A826" s="22"/>
      <c r="B826" s="11"/>
      <c r="C826" s="20"/>
      <c r="D826" s="20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5"/>
      <c r="U826" s="15"/>
      <c r="V826" s="15"/>
      <c r="W826" s="15"/>
    </row>
    <row r="827">
      <c r="A827" s="22"/>
      <c r="B827" s="11"/>
      <c r="C827" s="20"/>
      <c r="D827" s="20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5"/>
      <c r="U827" s="15"/>
      <c r="V827" s="15"/>
      <c r="W827" s="15"/>
    </row>
    <row r="828">
      <c r="A828" s="22"/>
      <c r="B828" s="11"/>
      <c r="C828" s="20"/>
      <c r="D828" s="20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5"/>
      <c r="U828" s="15"/>
      <c r="V828" s="15"/>
      <c r="W828" s="15"/>
    </row>
    <row r="829">
      <c r="A829" s="22"/>
      <c r="B829" s="11"/>
      <c r="C829" s="20"/>
      <c r="D829" s="20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5"/>
      <c r="U829" s="15"/>
      <c r="V829" s="15"/>
      <c r="W829" s="15"/>
    </row>
    <row r="830">
      <c r="A830" s="22"/>
      <c r="B830" s="11"/>
      <c r="C830" s="20"/>
      <c r="D830" s="20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5"/>
      <c r="U830" s="15"/>
      <c r="V830" s="15"/>
      <c r="W830" s="15"/>
    </row>
    <row r="831">
      <c r="A831" s="22"/>
      <c r="B831" s="11"/>
      <c r="C831" s="20"/>
      <c r="D831" s="20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5"/>
      <c r="U831" s="15"/>
      <c r="V831" s="15"/>
      <c r="W831" s="15"/>
    </row>
    <row r="832">
      <c r="A832" s="22"/>
      <c r="B832" s="11"/>
      <c r="C832" s="20"/>
      <c r="D832" s="20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5"/>
      <c r="U832" s="15"/>
      <c r="V832" s="15"/>
      <c r="W832" s="15"/>
    </row>
    <row r="833">
      <c r="A833" s="22"/>
      <c r="B833" s="11"/>
      <c r="C833" s="20"/>
      <c r="D833" s="20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5"/>
      <c r="U833" s="15"/>
      <c r="V833" s="15"/>
      <c r="W833" s="15"/>
    </row>
    <row r="834">
      <c r="A834" s="54"/>
      <c r="B834" s="11"/>
      <c r="C834" s="20"/>
      <c r="D834" s="20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5"/>
      <c r="U834" s="15"/>
      <c r="V834" s="15"/>
      <c r="W834" s="15"/>
    </row>
    <row r="835">
      <c r="A835" s="54"/>
      <c r="B835" s="11"/>
      <c r="C835" s="20"/>
      <c r="D835" s="20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5"/>
      <c r="U835" s="15"/>
      <c r="V835" s="15"/>
      <c r="W835" s="15"/>
    </row>
    <row r="836">
      <c r="A836" s="54"/>
      <c r="B836" s="11"/>
      <c r="C836" s="20"/>
      <c r="D836" s="20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5"/>
      <c r="U836" s="15"/>
      <c r="V836" s="15"/>
      <c r="W836" s="15"/>
    </row>
    <row r="837">
      <c r="A837" s="54"/>
      <c r="B837" s="11"/>
      <c r="C837" s="20"/>
      <c r="D837" s="20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5"/>
      <c r="U837" s="15"/>
      <c r="V837" s="15"/>
      <c r="W837" s="15"/>
    </row>
    <row r="838">
      <c r="A838" s="54"/>
      <c r="B838" s="11"/>
      <c r="C838" s="20"/>
      <c r="D838" s="20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5"/>
      <c r="U838" s="15"/>
      <c r="V838" s="15"/>
      <c r="W838" s="15"/>
    </row>
    <row r="839">
      <c r="A839" s="54"/>
      <c r="B839" s="11"/>
      <c r="C839" s="20"/>
      <c r="D839" s="20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5"/>
      <c r="U839" s="15"/>
      <c r="V839" s="15"/>
      <c r="W839" s="15"/>
    </row>
    <row r="840">
      <c r="A840" s="54"/>
      <c r="B840" s="11"/>
      <c r="C840" s="20"/>
      <c r="D840" s="20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5"/>
      <c r="U840" s="15"/>
      <c r="V840" s="15"/>
      <c r="W840" s="15"/>
    </row>
    <row r="841">
      <c r="A841" s="54"/>
      <c r="B841" s="11"/>
      <c r="C841" s="20"/>
      <c r="D841" s="20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5"/>
      <c r="U841" s="15"/>
      <c r="V841" s="15"/>
      <c r="W841" s="15"/>
    </row>
    <row r="842">
      <c r="A842" s="54"/>
      <c r="B842" s="11"/>
      <c r="C842" s="20"/>
      <c r="D842" s="20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5"/>
      <c r="U842" s="15"/>
      <c r="V842" s="15"/>
      <c r="W842" s="15"/>
    </row>
    <row r="843">
      <c r="A843" s="54"/>
      <c r="B843" s="11"/>
      <c r="C843" s="20"/>
      <c r="D843" s="20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5"/>
      <c r="U843" s="15"/>
      <c r="V843" s="15"/>
      <c r="W843" s="15"/>
    </row>
    <row r="844">
      <c r="A844" s="54"/>
      <c r="B844" s="11"/>
      <c r="C844" s="20"/>
      <c r="D844" s="20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5"/>
      <c r="U844" s="15"/>
      <c r="V844" s="15"/>
      <c r="W844" s="15"/>
    </row>
    <row r="845">
      <c r="A845" s="54"/>
      <c r="B845" s="11"/>
      <c r="C845" s="20"/>
      <c r="D845" s="20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5"/>
      <c r="U845" s="15"/>
      <c r="V845" s="15"/>
      <c r="W845" s="15"/>
    </row>
    <row r="846">
      <c r="A846" s="54"/>
      <c r="B846" s="11"/>
      <c r="C846" s="20"/>
      <c r="D846" s="20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5"/>
      <c r="U846" s="15"/>
      <c r="V846" s="15"/>
      <c r="W846" s="15"/>
    </row>
    <row r="847">
      <c r="A847" s="54"/>
      <c r="B847" s="11"/>
      <c r="C847" s="20"/>
      <c r="D847" s="20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5"/>
      <c r="U847" s="15"/>
      <c r="V847" s="15"/>
      <c r="W847" s="15"/>
    </row>
    <row r="848">
      <c r="A848" s="54"/>
      <c r="B848" s="11"/>
      <c r="C848" s="20"/>
      <c r="D848" s="20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5"/>
      <c r="U848" s="15"/>
      <c r="V848" s="15"/>
      <c r="W848" s="15"/>
    </row>
    <row r="849">
      <c r="A849" s="54"/>
      <c r="B849" s="11"/>
      <c r="C849" s="20"/>
      <c r="D849" s="20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5"/>
      <c r="U849" s="15"/>
      <c r="V849" s="15"/>
      <c r="W849" s="15"/>
    </row>
    <row r="850">
      <c r="A850" s="54"/>
      <c r="B850" s="11"/>
      <c r="C850" s="20"/>
      <c r="D850" s="20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5"/>
      <c r="U850" s="15"/>
      <c r="V850" s="15"/>
      <c r="W850" s="15"/>
    </row>
    <row r="851">
      <c r="A851" s="54"/>
      <c r="B851" s="11"/>
      <c r="C851" s="20"/>
      <c r="D851" s="20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5"/>
      <c r="U851" s="15"/>
      <c r="V851" s="15"/>
      <c r="W851" s="15"/>
    </row>
    <row r="852">
      <c r="A852" s="54"/>
      <c r="B852" s="11"/>
      <c r="C852" s="20"/>
      <c r="D852" s="20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5"/>
      <c r="U852" s="15"/>
      <c r="V852" s="15"/>
      <c r="W852" s="15"/>
    </row>
    <row r="853">
      <c r="A853" s="54"/>
      <c r="B853" s="11"/>
      <c r="C853" s="20"/>
      <c r="D853" s="20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5"/>
      <c r="U853" s="15"/>
      <c r="V853" s="15"/>
      <c r="W853" s="15"/>
    </row>
    <row r="854">
      <c r="A854" s="54"/>
      <c r="B854" s="11"/>
      <c r="C854" s="20"/>
      <c r="D854" s="20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5"/>
      <c r="U854" s="15"/>
      <c r="V854" s="15"/>
      <c r="W854" s="15"/>
    </row>
    <row r="855">
      <c r="A855" s="54"/>
      <c r="B855" s="11"/>
      <c r="C855" s="20"/>
      <c r="D855" s="20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5"/>
      <c r="U855" s="15"/>
      <c r="V855" s="15"/>
      <c r="W855" s="15"/>
    </row>
    <row r="856">
      <c r="A856" s="54"/>
      <c r="B856" s="11"/>
      <c r="C856" s="20"/>
      <c r="D856" s="20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5"/>
      <c r="U856" s="15"/>
      <c r="V856" s="15"/>
      <c r="W856" s="15"/>
    </row>
    <row r="857">
      <c r="A857" s="54"/>
      <c r="B857" s="11"/>
      <c r="C857" s="20"/>
      <c r="D857" s="20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5"/>
      <c r="U857" s="15"/>
      <c r="V857" s="15"/>
      <c r="W857" s="15"/>
    </row>
    <row r="858">
      <c r="A858" s="54"/>
      <c r="B858" s="11"/>
      <c r="C858" s="20"/>
      <c r="D858" s="20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5"/>
      <c r="U858" s="15"/>
      <c r="V858" s="15"/>
      <c r="W858" s="15"/>
    </row>
    <row r="859">
      <c r="A859" s="54"/>
      <c r="B859" s="11"/>
      <c r="C859" s="20"/>
      <c r="D859" s="20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5"/>
      <c r="U859" s="15"/>
      <c r="V859" s="15"/>
      <c r="W859" s="15"/>
    </row>
    <row r="860">
      <c r="A860" s="54"/>
      <c r="B860" s="11"/>
      <c r="C860" s="20"/>
      <c r="D860" s="20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5"/>
      <c r="U860" s="15"/>
      <c r="V860" s="15"/>
      <c r="W860" s="15"/>
    </row>
    <row r="861">
      <c r="A861" s="22"/>
      <c r="B861" s="11"/>
      <c r="C861" s="20"/>
      <c r="D861" s="20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5"/>
      <c r="U861" s="15"/>
      <c r="V861" s="15"/>
      <c r="W861" s="15"/>
    </row>
    <row r="862">
      <c r="A862" s="22"/>
      <c r="B862" s="11"/>
      <c r="C862" s="20"/>
      <c r="D862" s="20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5"/>
      <c r="U862" s="15"/>
      <c r="V862" s="15"/>
      <c r="W862" s="15"/>
    </row>
    <row r="863">
      <c r="A863" s="22"/>
      <c r="B863" s="11"/>
      <c r="C863" s="20"/>
      <c r="D863" s="20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5"/>
      <c r="U863" s="15"/>
      <c r="V863" s="15"/>
      <c r="W863" s="15"/>
    </row>
    <row r="864">
      <c r="A864" s="22"/>
      <c r="B864" s="11"/>
      <c r="C864" s="20"/>
      <c r="D864" s="20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5"/>
      <c r="U864" s="15"/>
      <c r="V864" s="15"/>
      <c r="W864" s="15"/>
    </row>
    <row r="865">
      <c r="A865" s="22"/>
      <c r="B865" s="11"/>
      <c r="C865" s="20"/>
      <c r="D865" s="20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5"/>
      <c r="U865" s="15"/>
      <c r="V865" s="15"/>
      <c r="W865" s="15"/>
    </row>
    <row r="866">
      <c r="A866" s="22"/>
      <c r="B866" s="11"/>
      <c r="C866" s="20"/>
      <c r="D866" s="20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5"/>
      <c r="U866" s="15"/>
      <c r="V866" s="15"/>
      <c r="W866" s="15"/>
    </row>
    <row r="867">
      <c r="A867" s="22"/>
      <c r="B867" s="11"/>
      <c r="C867" s="20"/>
      <c r="D867" s="20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5"/>
      <c r="U867" s="15"/>
      <c r="V867" s="15"/>
      <c r="W867" s="15"/>
    </row>
    <row r="868">
      <c r="A868" s="22"/>
      <c r="B868" s="11"/>
      <c r="C868" s="20"/>
      <c r="D868" s="20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5"/>
      <c r="U868" s="15"/>
      <c r="V868" s="15"/>
      <c r="W868" s="15"/>
    </row>
    <row r="869">
      <c r="A869" s="22"/>
      <c r="B869" s="11"/>
      <c r="C869" s="20"/>
      <c r="D869" s="20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5"/>
      <c r="U869" s="15"/>
      <c r="V869" s="15"/>
      <c r="W869" s="15"/>
    </row>
    <row r="870">
      <c r="A870" s="22"/>
      <c r="B870" s="11"/>
      <c r="C870" s="20"/>
      <c r="D870" s="20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5"/>
      <c r="U870" s="15"/>
      <c r="V870" s="15"/>
      <c r="W870" s="15"/>
    </row>
    <row r="871">
      <c r="A871" s="22"/>
      <c r="B871" s="11"/>
      <c r="C871" s="20"/>
      <c r="D871" s="20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5"/>
      <c r="U871" s="15"/>
      <c r="V871" s="15"/>
      <c r="W871" s="15"/>
    </row>
    <row r="872">
      <c r="A872" s="22"/>
      <c r="B872" s="11"/>
      <c r="C872" s="20"/>
      <c r="D872" s="20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5"/>
      <c r="U872" s="15"/>
      <c r="V872" s="15"/>
      <c r="W872" s="15"/>
    </row>
    <row r="873">
      <c r="A873" s="22"/>
      <c r="B873" s="11"/>
      <c r="C873" s="20"/>
      <c r="D873" s="20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5"/>
      <c r="U873" s="15"/>
      <c r="V873" s="15"/>
      <c r="W873" s="15"/>
    </row>
    <row r="874">
      <c r="A874" s="22"/>
      <c r="B874" s="11"/>
      <c r="C874" s="20"/>
      <c r="D874" s="20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5"/>
      <c r="U874" s="15"/>
      <c r="V874" s="15"/>
      <c r="W874" s="15"/>
    </row>
    <row r="875">
      <c r="A875" s="22"/>
      <c r="B875" s="11"/>
      <c r="C875" s="20"/>
      <c r="D875" s="20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5"/>
      <c r="U875" s="15"/>
      <c r="V875" s="15"/>
      <c r="W875" s="15"/>
    </row>
    <row r="876">
      <c r="A876" s="22"/>
      <c r="B876" s="11"/>
      <c r="C876" s="20"/>
      <c r="D876" s="20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5"/>
      <c r="U876" s="15"/>
      <c r="V876" s="15"/>
      <c r="W876" s="15"/>
    </row>
    <row r="877">
      <c r="A877" s="22"/>
      <c r="B877" s="11"/>
      <c r="C877" s="20"/>
      <c r="D877" s="20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5"/>
      <c r="U877" s="15"/>
      <c r="V877" s="15"/>
      <c r="W877" s="15"/>
    </row>
    <row r="878">
      <c r="A878" s="22"/>
      <c r="B878" s="11"/>
      <c r="C878" s="20"/>
      <c r="D878" s="20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5"/>
      <c r="U878" s="15"/>
      <c r="V878" s="15"/>
      <c r="W878" s="15"/>
    </row>
    <row r="879">
      <c r="A879" s="22"/>
      <c r="B879" s="11"/>
      <c r="C879" s="20"/>
      <c r="D879" s="20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5"/>
      <c r="U879" s="15"/>
      <c r="V879" s="15"/>
      <c r="W879" s="15"/>
    </row>
    <row r="880">
      <c r="A880" s="54"/>
      <c r="B880" s="11"/>
      <c r="C880" s="20"/>
      <c r="D880" s="20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5"/>
      <c r="U880" s="15"/>
      <c r="V880" s="15"/>
      <c r="W880" s="15"/>
    </row>
    <row r="881">
      <c r="A881" s="54"/>
      <c r="B881" s="11"/>
      <c r="C881" s="20"/>
      <c r="D881" s="20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5"/>
      <c r="U881" s="15"/>
      <c r="V881" s="15"/>
      <c r="W881" s="15"/>
    </row>
    <row r="882">
      <c r="A882" s="54"/>
      <c r="B882" s="11"/>
      <c r="C882" s="20"/>
      <c r="D882" s="20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5"/>
      <c r="U882" s="15"/>
      <c r="V882" s="15"/>
      <c r="W882" s="15"/>
    </row>
    <row r="883">
      <c r="A883" s="54"/>
      <c r="B883" s="11"/>
      <c r="C883" s="20"/>
      <c r="D883" s="20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5"/>
      <c r="U883" s="15"/>
      <c r="V883" s="15"/>
      <c r="W883" s="15"/>
    </row>
    <row r="884">
      <c r="A884" s="54"/>
      <c r="B884" s="11"/>
      <c r="C884" s="20"/>
      <c r="D884" s="20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5"/>
      <c r="U884" s="15"/>
      <c r="V884" s="15"/>
      <c r="W884" s="15"/>
    </row>
    <row r="885">
      <c r="A885" s="54"/>
      <c r="B885" s="11"/>
      <c r="C885" s="20"/>
      <c r="D885" s="20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5"/>
      <c r="U885" s="15"/>
      <c r="V885" s="15"/>
      <c r="W885" s="15"/>
    </row>
    <row r="886">
      <c r="A886" s="54"/>
      <c r="B886" s="11"/>
      <c r="C886" s="20"/>
      <c r="D886" s="20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5"/>
      <c r="U886" s="15"/>
      <c r="V886" s="15"/>
      <c r="W886" s="15"/>
    </row>
    <row r="887">
      <c r="A887" s="54"/>
      <c r="B887" s="11"/>
      <c r="C887" s="20"/>
      <c r="D887" s="20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5"/>
      <c r="U887" s="15"/>
      <c r="V887" s="15"/>
      <c r="W887" s="15"/>
    </row>
    <row r="888">
      <c r="A888" s="54"/>
      <c r="B888" s="11"/>
      <c r="C888" s="20"/>
      <c r="D888" s="20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5"/>
      <c r="U888" s="15"/>
      <c r="V888" s="15"/>
      <c r="W888" s="15"/>
    </row>
    <row r="889">
      <c r="A889" s="54"/>
      <c r="B889" s="11"/>
      <c r="C889" s="20"/>
      <c r="D889" s="20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5"/>
      <c r="U889" s="15"/>
      <c r="V889" s="15"/>
      <c r="W889" s="15"/>
    </row>
    <row r="890">
      <c r="A890" s="54"/>
      <c r="B890" s="11"/>
      <c r="C890" s="20"/>
      <c r="D890" s="20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5"/>
      <c r="U890" s="15"/>
      <c r="V890" s="15"/>
      <c r="W890" s="15"/>
    </row>
    <row r="891">
      <c r="A891" s="54"/>
      <c r="B891" s="11"/>
      <c r="C891" s="20"/>
      <c r="D891" s="20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5"/>
      <c r="U891" s="15"/>
      <c r="V891" s="15"/>
      <c r="W891" s="15"/>
    </row>
    <row r="892">
      <c r="A892" s="54"/>
      <c r="B892" s="11"/>
      <c r="C892" s="20"/>
      <c r="D892" s="20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5"/>
      <c r="U892" s="15"/>
      <c r="V892" s="15"/>
      <c r="W892" s="15"/>
    </row>
    <row r="893">
      <c r="A893" s="54"/>
      <c r="B893" s="11"/>
      <c r="C893" s="20"/>
      <c r="D893" s="20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5"/>
      <c r="U893" s="15"/>
      <c r="V893" s="15"/>
      <c r="W893" s="15"/>
    </row>
    <row r="894">
      <c r="A894" s="54"/>
      <c r="B894" s="11"/>
      <c r="C894" s="20"/>
      <c r="D894" s="20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5"/>
      <c r="U894" s="15"/>
      <c r="V894" s="15"/>
      <c r="W894" s="15"/>
    </row>
    <row r="895">
      <c r="A895" s="54"/>
      <c r="B895" s="11"/>
      <c r="C895" s="20"/>
      <c r="D895" s="20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5"/>
      <c r="U895" s="15"/>
      <c r="V895" s="15"/>
      <c r="W895" s="15"/>
    </row>
    <row r="896">
      <c r="A896" s="54"/>
      <c r="B896" s="11"/>
      <c r="C896" s="20"/>
      <c r="D896" s="20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5"/>
      <c r="U896" s="15"/>
      <c r="V896" s="15"/>
      <c r="W896" s="15"/>
    </row>
    <row r="897">
      <c r="A897" s="54"/>
      <c r="B897" s="11"/>
      <c r="C897" s="20"/>
      <c r="D897" s="20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5"/>
      <c r="U897" s="15"/>
      <c r="V897" s="15"/>
      <c r="W897" s="15"/>
    </row>
    <row r="898">
      <c r="A898" s="22"/>
      <c r="B898" s="11"/>
      <c r="C898" s="20"/>
      <c r="D898" s="20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5"/>
      <c r="U898" s="15"/>
      <c r="V898" s="15"/>
      <c r="W898" s="15"/>
    </row>
    <row r="899">
      <c r="A899" s="22"/>
      <c r="B899" s="11"/>
      <c r="C899" s="20"/>
      <c r="D899" s="20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5"/>
      <c r="U899" s="15"/>
      <c r="V899" s="15"/>
      <c r="W899" s="15"/>
    </row>
    <row r="900">
      <c r="A900" s="22"/>
      <c r="B900" s="11"/>
      <c r="C900" s="20"/>
      <c r="D900" s="20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5"/>
      <c r="U900" s="15"/>
      <c r="V900" s="15"/>
      <c r="W900" s="15"/>
    </row>
    <row r="901">
      <c r="A901" s="22"/>
      <c r="B901" s="11"/>
      <c r="C901" s="20"/>
      <c r="D901" s="20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5"/>
      <c r="U901" s="15"/>
      <c r="V901" s="15"/>
      <c r="W901" s="15"/>
    </row>
    <row r="902">
      <c r="A902" s="22"/>
      <c r="B902" s="11"/>
      <c r="C902" s="20"/>
      <c r="D902" s="20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5"/>
      <c r="U902" s="15"/>
      <c r="V902" s="15"/>
      <c r="W902" s="15"/>
    </row>
    <row r="903">
      <c r="A903" s="22"/>
      <c r="B903" s="11"/>
      <c r="C903" s="20"/>
      <c r="D903" s="20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5"/>
      <c r="U903" s="15"/>
      <c r="V903" s="15"/>
      <c r="W903" s="15"/>
    </row>
    <row r="904">
      <c r="A904" s="22"/>
      <c r="B904" s="11"/>
      <c r="C904" s="20"/>
      <c r="D904" s="20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5"/>
      <c r="U904" s="15"/>
      <c r="V904" s="15"/>
      <c r="W904" s="15"/>
    </row>
    <row r="905">
      <c r="A905" s="22"/>
      <c r="B905" s="11"/>
      <c r="C905" s="20"/>
      <c r="D905" s="20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5"/>
      <c r="U905" s="15"/>
      <c r="V905" s="15"/>
      <c r="W905" s="15"/>
    </row>
    <row r="906">
      <c r="A906" s="22"/>
      <c r="B906" s="11"/>
      <c r="C906" s="20"/>
      <c r="D906" s="20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5"/>
      <c r="U906" s="15"/>
      <c r="V906" s="15"/>
      <c r="W906" s="15"/>
    </row>
    <row r="907">
      <c r="A907" s="22"/>
      <c r="B907" s="11"/>
      <c r="C907" s="20"/>
      <c r="D907" s="20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5"/>
      <c r="U907" s="15"/>
      <c r="V907" s="15"/>
      <c r="W907" s="15"/>
    </row>
    <row r="908">
      <c r="A908" s="22"/>
      <c r="B908" s="11"/>
      <c r="C908" s="20"/>
      <c r="D908" s="20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5"/>
      <c r="U908" s="15"/>
      <c r="V908" s="15"/>
      <c r="W908" s="15"/>
    </row>
    <row r="909">
      <c r="A909" s="22"/>
      <c r="B909" s="11"/>
      <c r="C909" s="20"/>
      <c r="D909" s="20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5"/>
      <c r="U909" s="15"/>
      <c r="V909" s="15"/>
      <c r="W909" s="15"/>
    </row>
    <row r="910">
      <c r="A910" s="22"/>
      <c r="B910" s="11"/>
      <c r="C910" s="20"/>
      <c r="D910" s="20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5"/>
      <c r="U910" s="15"/>
      <c r="V910" s="15"/>
      <c r="W910" s="15"/>
    </row>
    <row r="911">
      <c r="A911" s="22"/>
      <c r="B911" s="11"/>
      <c r="C911" s="20"/>
      <c r="D911" s="20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5"/>
      <c r="U911" s="15"/>
      <c r="V911" s="15"/>
      <c r="W911" s="15"/>
    </row>
    <row r="912">
      <c r="A912" s="22"/>
      <c r="B912" s="11"/>
      <c r="C912" s="20"/>
      <c r="D912" s="20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5"/>
      <c r="U912" s="15"/>
      <c r="V912" s="15"/>
      <c r="W912" s="15"/>
    </row>
    <row r="913">
      <c r="A913" s="22"/>
      <c r="B913" s="11"/>
      <c r="C913" s="20"/>
      <c r="D913" s="20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5"/>
      <c r="U913" s="15"/>
      <c r="V913" s="15"/>
      <c r="W913" s="15"/>
    </row>
    <row r="914">
      <c r="A914" s="22"/>
      <c r="B914" s="11"/>
      <c r="C914" s="20"/>
      <c r="D914" s="20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5"/>
      <c r="U914" s="15"/>
      <c r="V914" s="15"/>
      <c r="W914" s="15"/>
    </row>
    <row r="915">
      <c r="A915" s="22"/>
      <c r="B915" s="11"/>
      <c r="C915" s="20"/>
      <c r="D915" s="20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5"/>
      <c r="U915" s="15"/>
      <c r="V915" s="15"/>
      <c r="W915" s="15"/>
    </row>
    <row r="916">
      <c r="A916" s="22"/>
      <c r="B916" s="11"/>
      <c r="C916" s="20"/>
      <c r="D916" s="20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5"/>
      <c r="U916" s="15"/>
      <c r="V916" s="15"/>
      <c r="W916" s="15"/>
    </row>
    <row r="917">
      <c r="A917" s="54"/>
      <c r="B917" s="11"/>
      <c r="C917" s="20"/>
      <c r="D917" s="20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5"/>
      <c r="U917" s="15"/>
      <c r="V917" s="15"/>
      <c r="W917" s="15"/>
    </row>
    <row r="918">
      <c r="A918" s="54"/>
      <c r="B918" s="11"/>
      <c r="C918" s="20"/>
      <c r="D918" s="20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5"/>
      <c r="U918" s="15"/>
      <c r="V918" s="15"/>
      <c r="W918" s="15"/>
    </row>
    <row r="919">
      <c r="A919" s="54"/>
      <c r="B919" s="11"/>
      <c r="C919" s="20"/>
      <c r="D919" s="20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5"/>
      <c r="U919" s="15"/>
      <c r="V919" s="15"/>
      <c r="W919" s="15"/>
    </row>
    <row r="920">
      <c r="A920" s="54"/>
      <c r="B920" s="11"/>
      <c r="C920" s="20"/>
      <c r="D920" s="20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5"/>
      <c r="U920" s="15"/>
      <c r="V920" s="15"/>
      <c r="W920" s="15"/>
    </row>
    <row r="921">
      <c r="A921" s="54"/>
      <c r="B921" s="11"/>
      <c r="C921" s="20"/>
      <c r="D921" s="20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5"/>
      <c r="U921" s="15"/>
      <c r="V921" s="15"/>
      <c r="W921" s="15"/>
    </row>
    <row r="922">
      <c r="A922" s="54"/>
      <c r="B922" s="11"/>
      <c r="C922" s="20"/>
      <c r="D922" s="20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5"/>
      <c r="U922" s="15"/>
      <c r="V922" s="15"/>
      <c r="W922" s="15"/>
    </row>
    <row r="923">
      <c r="A923" s="54"/>
      <c r="B923" s="11"/>
      <c r="C923" s="20"/>
      <c r="D923" s="20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5"/>
      <c r="U923" s="15"/>
      <c r="V923" s="15"/>
      <c r="W923" s="15"/>
    </row>
    <row r="924">
      <c r="A924" s="54"/>
      <c r="B924" s="11"/>
      <c r="C924" s="20"/>
      <c r="D924" s="20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5"/>
      <c r="U924" s="15"/>
      <c r="V924" s="15"/>
      <c r="W924" s="15"/>
    </row>
    <row r="925">
      <c r="A925" s="54"/>
      <c r="B925" s="11"/>
      <c r="C925" s="20"/>
      <c r="D925" s="20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5"/>
      <c r="U925" s="15"/>
      <c r="V925" s="15"/>
      <c r="W925" s="15"/>
    </row>
    <row r="926">
      <c r="A926" s="54"/>
      <c r="B926" s="11"/>
      <c r="C926" s="20"/>
      <c r="D926" s="20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5"/>
      <c r="U926" s="15"/>
      <c r="V926" s="15"/>
      <c r="W926" s="15"/>
    </row>
    <row r="927">
      <c r="A927" s="54"/>
      <c r="B927" s="11"/>
      <c r="C927" s="20"/>
      <c r="D927" s="20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5"/>
      <c r="U927" s="15"/>
      <c r="V927" s="15"/>
      <c r="W927" s="15"/>
    </row>
    <row r="928">
      <c r="A928" s="54"/>
      <c r="B928" s="11"/>
      <c r="C928" s="20"/>
      <c r="D928" s="20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5"/>
      <c r="U928" s="15"/>
      <c r="V928" s="15"/>
      <c r="W928" s="15"/>
    </row>
    <row r="929">
      <c r="A929" s="54"/>
      <c r="B929" s="11"/>
      <c r="C929" s="20"/>
      <c r="D929" s="20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5"/>
      <c r="U929" s="15"/>
      <c r="V929" s="15"/>
      <c r="W929" s="15"/>
    </row>
    <row r="930">
      <c r="A930" s="54"/>
      <c r="B930" s="11"/>
      <c r="C930" s="20"/>
      <c r="D930" s="20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5"/>
      <c r="U930" s="15"/>
      <c r="V930" s="15"/>
      <c r="W930" s="15"/>
    </row>
    <row r="931">
      <c r="A931" s="54"/>
      <c r="B931" s="11"/>
      <c r="C931" s="20"/>
      <c r="D931" s="20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5"/>
      <c r="U931" s="15"/>
      <c r="V931" s="15"/>
      <c r="W931" s="15"/>
    </row>
    <row r="932">
      <c r="A932" s="54"/>
      <c r="B932" s="11"/>
      <c r="C932" s="20"/>
      <c r="D932" s="20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5"/>
      <c r="U932" s="15"/>
      <c r="V932" s="15"/>
      <c r="W932" s="15"/>
    </row>
    <row r="933">
      <c r="A933" s="54"/>
      <c r="B933" s="11"/>
      <c r="C933" s="20"/>
      <c r="D933" s="20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5"/>
      <c r="U933" s="15"/>
      <c r="V933" s="15"/>
      <c r="W933" s="15"/>
    </row>
    <row r="934">
      <c r="A934" s="54"/>
      <c r="B934" s="11"/>
      <c r="C934" s="20"/>
      <c r="D934" s="20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5"/>
      <c r="U934" s="15"/>
      <c r="V934" s="15"/>
      <c r="W934" s="15"/>
    </row>
    <row r="935">
      <c r="A935" s="54"/>
      <c r="B935" s="11"/>
      <c r="C935" s="20"/>
      <c r="D935" s="20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5"/>
      <c r="U935" s="15"/>
      <c r="V935" s="15"/>
      <c r="W935" s="15"/>
    </row>
    <row r="936">
      <c r="A936" s="54"/>
      <c r="B936" s="11"/>
      <c r="C936" s="20"/>
      <c r="D936" s="20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5"/>
      <c r="U936" s="15"/>
      <c r="V936" s="15"/>
      <c r="W936" s="15"/>
    </row>
    <row r="937">
      <c r="A937" s="54"/>
      <c r="B937" s="11"/>
      <c r="C937" s="20"/>
      <c r="D937" s="20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5"/>
      <c r="U937" s="15"/>
      <c r="V937" s="15"/>
      <c r="W937" s="15"/>
    </row>
    <row r="938">
      <c r="A938" s="54"/>
      <c r="B938" s="11"/>
      <c r="C938" s="20"/>
      <c r="D938" s="20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5"/>
      <c r="U938" s="15"/>
      <c r="V938" s="15"/>
      <c r="W938" s="15"/>
    </row>
    <row r="939">
      <c r="A939" s="54"/>
      <c r="B939" s="11"/>
      <c r="C939" s="20"/>
      <c r="D939" s="20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5"/>
      <c r="U939" s="15"/>
      <c r="V939" s="15"/>
      <c r="W939" s="15"/>
    </row>
    <row r="940">
      <c r="A940" s="54"/>
      <c r="B940" s="11"/>
      <c r="C940" s="20"/>
      <c r="D940" s="20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5"/>
      <c r="U940" s="15"/>
      <c r="V940" s="15"/>
      <c r="W940" s="15"/>
    </row>
    <row r="941">
      <c r="A941" s="54"/>
      <c r="B941" s="11"/>
      <c r="C941" s="20"/>
      <c r="D941" s="20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5"/>
      <c r="U941" s="15"/>
      <c r="V941" s="15"/>
      <c r="W941" s="15"/>
    </row>
    <row r="942">
      <c r="A942" s="54"/>
      <c r="B942" s="11"/>
      <c r="C942" s="20"/>
      <c r="D942" s="20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5"/>
      <c r="U942" s="15"/>
      <c r="V942" s="15"/>
      <c r="W942" s="15"/>
    </row>
    <row r="943">
      <c r="A943" s="54"/>
      <c r="B943" s="11"/>
      <c r="C943" s="20"/>
      <c r="D943" s="20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5"/>
      <c r="U943" s="15"/>
      <c r="V943" s="15"/>
      <c r="W943" s="15"/>
    </row>
    <row r="944">
      <c r="A944" s="22"/>
      <c r="B944" s="11"/>
      <c r="C944" s="20"/>
      <c r="D944" s="20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5"/>
      <c r="U944" s="15"/>
      <c r="V944" s="15"/>
      <c r="W944" s="15"/>
    </row>
    <row r="945">
      <c r="A945" s="22"/>
      <c r="B945" s="11"/>
      <c r="C945" s="20"/>
      <c r="D945" s="20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5"/>
      <c r="U945" s="15"/>
      <c r="V945" s="15"/>
      <c r="W945" s="15"/>
    </row>
    <row r="946">
      <c r="A946" s="22"/>
      <c r="B946" s="11"/>
      <c r="C946" s="20"/>
      <c r="D946" s="20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5"/>
      <c r="U946" s="15"/>
      <c r="V946" s="15"/>
      <c r="W946" s="15"/>
    </row>
    <row r="947">
      <c r="A947" s="22"/>
      <c r="B947" s="11"/>
      <c r="C947" s="20"/>
      <c r="D947" s="20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5"/>
      <c r="U947" s="15"/>
      <c r="V947" s="15"/>
      <c r="W947" s="15"/>
    </row>
    <row r="948">
      <c r="A948" s="22"/>
      <c r="B948" s="11"/>
      <c r="C948" s="20"/>
      <c r="D948" s="20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5"/>
      <c r="U948" s="15"/>
      <c r="V948" s="15"/>
      <c r="W948" s="15"/>
    </row>
    <row r="949">
      <c r="A949" s="22"/>
      <c r="B949" s="11"/>
      <c r="C949" s="20"/>
      <c r="D949" s="20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5"/>
      <c r="U949" s="15"/>
      <c r="V949" s="15"/>
      <c r="W949" s="15"/>
    </row>
    <row r="950">
      <c r="A950" s="22"/>
      <c r="B950" s="11"/>
      <c r="C950" s="20"/>
      <c r="D950" s="20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5"/>
      <c r="U950" s="15"/>
      <c r="V950" s="15"/>
      <c r="W950" s="15"/>
    </row>
    <row r="951">
      <c r="A951" s="22"/>
      <c r="B951" s="11"/>
      <c r="C951" s="20"/>
      <c r="D951" s="20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5"/>
      <c r="U951" s="15"/>
      <c r="V951" s="15"/>
      <c r="W951" s="15"/>
    </row>
    <row r="952">
      <c r="A952" s="22"/>
      <c r="B952" s="11"/>
      <c r="C952" s="20"/>
      <c r="D952" s="20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5"/>
      <c r="U952" s="15"/>
      <c r="V952" s="15"/>
      <c r="W952" s="15"/>
    </row>
    <row r="953">
      <c r="A953" s="22"/>
      <c r="B953" s="11"/>
      <c r="C953" s="20"/>
      <c r="D953" s="20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5"/>
      <c r="U953" s="15"/>
      <c r="V953" s="15"/>
      <c r="W953" s="15"/>
    </row>
    <row r="954">
      <c r="A954" s="22"/>
      <c r="B954" s="11"/>
      <c r="C954" s="20"/>
      <c r="D954" s="20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5"/>
      <c r="U954" s="15"/>
      <c r="V954" s="15"/>
      <c r="W954" s="15"/>
    </row>
    <row r="955">
      <c r="A955" s="22"/>
      <c r="B955" s="11"/>
      <c r="C955" s="20"/>
      <c r="D955" s="20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5"/>
      <c r="U955" s="15"/>
      <c r="V955" s="15"/>
      <c r="W955" s="15"/>
    </row>
    <row r="956">
      <c r="A956" s="22"/>
      <c r="B956" s="11"/>
      <c r="C956" s="20"/>
      <c r="D956" s="20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5"/>
      <c r="U956" s="15"/>
      <c r="V956" s="15"/>
      <c r="W956" s="15"/>
    </row>
    <row r="957">
      <c r="A957" s="22"/>
      <c r="B957" s="11"/>
      <c r="C957" s="20"/>
      <c r="D957" s="20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5"/>
      <c r="U957" s="15"/>
      <c r="V957" s="15"/>
      <c r="W957" s="15"/>
    </row>
    <row r="958">
      <c r="A958" s="22"/>
      <c r="B958" s="11"/>
      <c r="C958" s="20"/>
      <c r="D958" s="20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5"/>
      <c r="U958" s="15"/>
      <c r="V958" s="15"/>
      <c r="W958" s="15"/>
    </row>
    <row r="959">
      <c r="A959" s="22"/>
      <c r="B959" s="11"/>
      <c r="C959" s="20"/>
      <c r="D959" s="20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5"/>
      <c r="U959" s="15"/>
      <c r="V959" s="15"/>
      <c r="W959" s="15"/>
    </row>
    <row r="960">
      <c r="A960" s="22"/>
      <c r="B960" s="11"/>
      <c r="C960" s="20"/>
      <c r="D960" s="20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5"/>
      <c r="U960" s="15"/>
      <c r="V960" s="15"/>
      <c r="W960" s="15"/>
    </row>
    <row r="961">
      <c r="A961" s="22"/>
      <c r="B961" s="11"/>
      <c r="C961" s="20"/>
      <c r="D961" s="20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5"/>
      <c r="U961" s="15"/>
      <c r="V961" s="15"/>
      <c r="W961" s="15"/>
    </row>
    <row r="962">
      <c r="A962" s="22"/>
      <c r="B962" s="11"/>
      <c r="C962" s="20"/>
      <c r="D962" s="20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5"/>
      <c r="U962" s="15"/>
      <c r="V962" s="15"/>
      <c r="W962" s="15"/>
    </row>
    <row r="963">
      <c r="A963" s="54"/>
      <c r="B963" s="11"/>
      <c r="C963" s="20"/>
      <c r="D963" s="20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5"/>
      <c r="U963" s="15"/>
      <c r="V963" s="15"/>
      <c r="W963" s="15"/>
    </row>
    <row r="964">
      <c r="A964" s="54"/>
      <c r="B964" s="11"/>
      <c r="C964" s="20"/>
      <c r="D964" s="20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5"/>
      <c r="U964" s="15"/>
      <c r="V964" s="15"/>
      <c r="W964" s="15"/>
    </row>
    <row r="965">
      <c r="A965" s="54"/>
      <c r="B965" s="11"/>
      <c r="C965" s="20"/>
      <c r="D965" s="20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5"/>
      <c r="U965" s="15"/>
      <c r="V965" s="15"/>
      <c r="W965" s="15"/>
    </row>
    <row r="966">
      <c r="A966" s="54"/>
      <c r="B966" s="11"/>
      <c r="C966" s="20"/>
      <c r="D966" s="20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5"/>
      <c r="U966" s="15"/>
      <c r="V966" s="15"/>
      <c r="W966" s="15"/>
    </row>
    <row r="967">
      <c r="A967" s="54"/>
      <c r="B967" s="11"/>
      <c r="C967" s="20"/>
      <c r="D967" s="20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5"/>
      <c r="U967" s="15"/>
      <c r="V967" s="15"/>
      <c r="W967" s="15"/>
    </row>
    <row r="968">
      <c r="A968" s="54"/>
      <c r="B968" s="11"/>
      <c r="C968" s="20"/>
      <c r="D968" s="20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5"/>
      <c r="U968" s="15"/>
      <c r="V968" s="15"/>
      <c r="W968" s="15"/>
    </row>
    <row r="969">
      <c r="A969" s="54"/>
      <c r="B969" s="11"/>
      <c r="C969" s="20"/>
      <c r="D969" s="20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5"/>
      <c r="U969" s="15"/>
      <c r="V969" s="15"/>
      <c r="W969" s="15"/>
    </row>
    <row r="970">
      <c r="A970" s="54"/>
      <c r="B970" s="11"/>
      <c r="C970" s="20"/>
      <c r="D970" s="20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5"/>
      <c r="U970" s="15"/>
      <c r="V970" s="15"/>
      <c r="W970" s="15"/>
    </row>
    <row r="971">
      <c r="A971" s="54"/>
      <c r="B971" s="11"/>
      <c r="C971" s="20"/>
      <c r="D971" s="20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5"/>
      <c r="U971" s="15"/>
      <c r="V971" s="15"/>
      <c r="W971" s="15"/>
    </row>
    <row r="972">
      <c r="A972" s="54"/>
      <c r="B972" s="11"/>
      <c r="C972" s="20"/>
      <c r="D972" s="20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5"/>
      <c r="U972" s="15"/>
      <c r="V972" s="15"/>
      <c r="W972" s="15"/>
    </row>
    <row r="973">
      <c r="A973" s="54"/>
      <c r="B973" s="11"/>
      <c r="C973" s="20"/>
      <c r="D973" s="20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5"/>
      <c r="U973" s="15"/>
      <c r="V973" s="15"/>
      <c r="W973" s="15"/>
    </row>
    <row r="974">
      <c r="A974" s="54"/>
      <c r="B974" s="11"/>
      <c r="C974" s="20"/>
      <c r="D974" s="20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5"/>
      <c r="U974" s="15"/>
      <c r="V974" s="15"/>
      <c r="W974" s="15"/>
    </row>
    <row r="975">
      <c r="A975" s="54"/>
      <c r="B975" s="11"/>
      <c r="C975" s="20"/>
      <c r="D975" s="20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5"/>
      <c r="U975" s="15"/>
      <c r="V975" s="15"/>
      <c r="W975" s="15"/>
    </row>
    <row r="976">
      <c r="A976" s="54"/>
      <c r="B976" s="11"/>
      <c r="C976" s="20"/>
      <c r="D976" s="20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5"/>
      <c r="U976" s="15"/>
      <c r="V976" s="15"/>
      <c r="W976" s="15"/>
    </row>
    <row r="977">
      <c r="A977" s="54"/>
      <c r="B977" s="11"/>
      <c r="C977" s="20"/>
      <c r="D977" s="20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5"/>
      <c r="U977" s="15"/>
      <c r="V977" s="15"/>
      <c r="W977" s="15"/>
    </row>
    <row r="978">
      <c r="A978" s="54"/>
      <c r="B978" s="11"/>
      <c r="C978" s="20"/>
      <c r="D978" s="20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5"/>
      <c r="U978" s="15"/>
      <c r="V978" s="15"/>
      <c r="W978" s="15"/>
    </row>
    <row r="979">
      <c r="A979" s="54"/>
      <c r="B979" s="11"/>
      <c r="C979" s="20"/>
      <c r="D979" s="20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5"/>
      <c r="U979" s="15"/>
      <c r="V979" s="15"/>
      <c r="W979" s="15"/>
    </row>
    <row r="980">
      <c r="A980" s="54"/>
      <c r="B980" s="11"/>
      <c r="C980" s="20"/>
      <c r="D980" s="20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5"/>
      <c r="U980" s="15"/>
      <c r="V980" s="15"/>
      <c r="W980" s="15"/>
    </row>
    <row r="981">
      <c r="A981" s="22"/>
      <c r="B981" s="11"/>
      <c r="C981" s="20"/>
      <c r="D981" s="20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5"/>
      <c r="U981" s="15"/>
      <c r="V981" s="15"/>
      <c r="W981" s="15"/>
    </row>
    <row r="982">
      <c r="A982" s="22"/>
      <c r="B982" s="11"/>
      <c r="C982" s="20"/>
      <c r="D982" s="20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5"/>
      <c r="U982" s="15"/>
      <c r="V982" s="15"/>
      <c r="W982" s="15"/>
    </row>
    <row r="983">
      <c r="A983" s="22"/>
      <c r="B983" s="11"/>
      <c r="C983" s="20"/>
      <c r="D983" s="20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5"/>
      <c r="U983" s="15"/>
      <c r="V983" s="15"/>
      <c r="W983" s="15"/>
    </row>
    <row r="984">
      <c r="A984" s="22"/>
      <c r="B984" s="11"/>
      <c r="C984" s="20"/>
      <c r="D984" s="20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5"/>
      <c r="U984" s="15"/>
      <c r="V984" s="15"/>
      <c r="W984" s="15"/>
    </row>
    <row r="985">
      <c r="A985" s="22"/>
      <c r="B985" s="11"/>
      <c r="C985" s="20"/>
      <c r="D985" s="20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5"/>
      <c r="U985" s="15"/>
      <c r="V985" s="15"/>
      <c r="W985" s="15"/>
    </row>
    <row r="986">
      <c r="A986" s="22"/>
      <c r="B986" s="11"/>
      <c r="C986" s="20"/>
      <c r="D986" s="20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5"/>
      <c r="U986" s="15"/>
      <c r="V986" s="15"/>
      <c r="W986" s="15"/>
    </row>
    <row r="987">
      <c r="A987" s="22"/>
      <c r="B987" s="11"/>
      <c r="C987" s="20"/>
      <c r="D987" s="20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5"/>
      <c r="U987" s="15"/>
      <c r="V987" s="15"/>
      <c r="W987" s="15"/>
    </row>
    <row r="988">
      <c r="A988" s="22"/>
      <c r="B988" s="11"/>
      <c r="C988" s="20"/>
      <c r="D988" s="20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5"/>
      <c r="U988" s="15"/>
      <c r="V988" s="15"/>
      <c r="W988" s="15"/>
    </row>
    <row r="989">
      <c r="A989" s="22"/>
      <c r="B989" s="11"/>
      <c r="C989" s="20"/>
      <c r="D989" s="20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5"/>
      <c r="U989" s="15"/>
      <c r="V989" s="15"/>
      <c r="W989" s="15"/>
    </row>
    <row r="990">
      <c r="A990" s="22"/>
      <c r="B990" s="11"/>
      <c r="C990" s="20"/>
      <c r="D990" s="20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5"/>
      <c r="U990" s="15"/>
      <c r="V990" s="15"/>
      <c r="W990" s="15"/>
    </row>
    <row r="991">
      <c r="A991" s="22"/>
      <c r="B991" s="11"/>
      <c r="C991" s="20"/>
      <c r="D991" s="20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5"/>
      <c r="U991" s="15"/>
      <c r="V991" s="15"/>
      <c r="W991" s="15"/>
    </row>
    <row r="992">
      <c r="A992" s="22"/>
      <c r="B992" s="11"/>
      <c r="C992" s="20"/>
      <c r="D992" s="20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5"/>
      <c r="U992" s="15"/>
      <c r="V992" s="15"/>
      <c r="W992" s="15"/>
    </row>
    <row r="993">
      <c r="A993" s="22"/>
      <c r="B993" s="11"/>
      <c r="C993" s="20"/>
      <c r="D993" s="20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5"/>
      <c r="U993" s="15"/>
      <c r="V993" s="15"/>
      <c r="W993" s="15"/>
    </row>
    <row r="994">
      <c r="A994" s="22"/>
      <c r="B994" s="11"/>
      <c r="C994" s="20"/>
      <c r="D994" s="20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5"/>
      <c r="U994" s="15"/>
      <c r="V994" s="15"/>
      <c r="W994" s="15"/>
    </row>
    <row r="995">
      <c r="A995" s="22"/>
      <c r="B995" s="11"/>
      <c r="C995" s="20"/>
      <c r="D995" s="20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5"/>
      <c r="U995" s="15"/>
      <c r="V995" s="15"/>
      <c r="W995" s="15"/>
    </row>
    <row r="996">
      <c r="A996" s="22"/>
      <c r="B996" s="11"/>
      <c r="C996" s="20"/>
      <c r="D996" s="20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5"/>
      <c r="U996" s="15"/>
      <c r="V996" s="15"/>
      <c r="W996" s="15"/>
    </row>
    <row r="997">
      <c r="A997" s="22"/>
      <c r="B997" s="11"/>
      <c r="C997" s="20"/>
      <c r="D997" s="20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5"/>
      <c r="U997" s="15"/>
      <c r="V997" s="15"/>
      <c r="W997" s="15"/>
    </row>
    <row r="998">
      <c r="A998" s="22"/>
      <c r="B998" s="11"/>
      <c r="C998" s="20"/>
      <c r="D998" s="20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5"/>
      <c r="U998" s="15"/>
      <c r="V998" s="15"/>
      <c r="W998" s="15"/>
    </row>
    <row r="999">
      <c r="A999" s="22"/>
      <c r="B999" s="11"/>
      <c r="C999" s="20"/>
      <c r="D999" s="20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5"/>
      <c r="U999" s="15"/>
      <c r="V999" s="15"/>
      <c r="W999" s="15"/>
    </row>
    <row r="1000">
      <c r="A1000" s="11"/>
      <c r="B1000" s="11"/>
      <c r="C1000" s="20"/>
      <c r="D1000" s="20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5"/>
      <c r="U1000" s="15"/>
      <c r="V1000" s="15"/>
      <c r="W1000" s="15"/>
    </row>
    <row r="1001">
      <c r="A1001" s="11"/>
      <c r="B1001" s="11"/>
      <c r="C1001" s="20"/>
      <c r="D1001" s="20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5"/>
      <c r="U1001" s="15"/>
      <c r="V1001" s="15"/>
      <c r="W1001" s="15"/>
    </row>
    <row r="1002">
      <c r="A1002" s="11"/>
      <c r="B1002" s="11"/>
      <c r="C1002" s="20"/>
      <c r="D1002" s="20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5"/>
      <c r="U1002" s="15"/>
      <c r="V1002" s="15"/>
      <c r="W1002" s="15"/>
    </row>
    <row r="1003">
      <c r="A1003" s="11"/>
      <c r="B1003" s="11"/>
      <c r="C1003" s="20"/>
      <c r="D1003" s="20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5"/>
      <c r="U1003" s="15"/>
      <c r="V1003" s="15"/>
      <c r="W1003" s="15"/>
    </row>
    <row r="1004">
      <c r="A1004" s="11"/>
      <c r="B1004" s="11"/>
      <c r="C1004" s="20"/>
      <c r="D1004" s="20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5"/>
      <c r="U1004" s="15"/>
      <c r="V1004" s="15"/>
      <c r="W1004" s="15"/>
    </row>
    <row r="1005">
      <c r="A1005" s="11"/>
      <c r="B1005" s="11"/>
      <c r="C1005" s="20"/>
      <c r="D1005" s="20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5"/>
      <c r="U1005" s="15"/>
      <c r="V1005" s="15"/>
      <c r="W1005" s="15"/>
    </row>
    <row r="1006">
      <c r="A1006" s="11"/>
      <c r="B1006" s="11"/>
      <c r="C1006" s="20"/>
      <c r="D1006" s="20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5"/>
      <c r="U1006" s="15"/>
      <c r="V1006" s="15"/>
      <c r="W1006" s="15"/>
    </row>
    <row r="1007">
      <c r="A1007" s="11"/>
      <c r="B1007" s="11"/>
      <c r="C1007" s="20"/>
      <c r="D1007" s="20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5"/>
      <c r="U1007" s="15"/>
      <c r="V1007" s="15"/>
      <c r="W1007" s="15"/>
    </row>
    <row r="1008">
      <c r="A1008" s="11"/>
      <c r="B1008" s="11"/>
      <c r="C1008" s="20"/>
      <c r="D1008" s="20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5"/>
      <c r="U1008" s="15"/>
      <c r="V1008" s="15"/>
      <c r="W1008" s="15"/>
    </row>
    <row r="1009">
      <c r="A1009" s="11"/>
      <c r="B1009" s="11"/>
      <c r="C1009" s="20"/>
      <c r="D1009" s="20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5"/>
      <c r="U1009" s="15"/>
      <c r="V1009" s="15"/>
      <c r="W1009" s="15"/>
    </row>
    <row r="1010">
      <c r="A1010" s="11"/>
      <c r="B1010" s="11"/>
      <c r="C1010" s="20"/>
      <c r="D1010" s="20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5"/>
      <c r="U1010" s="15"/>
      <c r="V1010" s="15"/>
      <c r="W1010" s="15"/>
    </row>
    <row r="1011">
      <c r="A1011" s="11"/>
      <c r="B1011" s="11"/>
      <c r="C1011" s="20"/>
      <c r="D1011" s="20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5"/>
      <c r="U1011" s="15"/>
      <c r="V1011" s="15"/>
      <c r="W1011" s="15"/>
    </row>
    <row r="1012">
      <c r="A1012" s="11"/>
      <c r="B1012" s="11"/>
      <c r="C1012" s="20"/>
      <c r="D1012" s="20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5"/>
      <c r="U1012" s="15"/>
      <c r="V1012" s="15"/>
      <c r="W1012" s="15"/>
    </row>
    <row r="1013">
      <c r="A1013" s="11"/>
      <c r="B1013" s="11"/>
      <c r="C1013" s="20"/>
      <c r="D1013" s="20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5"/>
      <c r="U1013" s="15"/>
      <c r="V1013" s="15"/>
      <c r="W1013" s="15"/>
    </row>
    <row r="1014">
      <c r="A1014" s="11"/>
      <c r="B1014" s="11"/>
      <c r="C1014" s="20"/>
      <c r="D1014" s="20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5"/>
      <c r="U1014" s="15"/>
      <c r="V1014" s="15"/>
      <c r="W1014" s="15"/>
    </row>
    <row r="1015">
      <c r="A1015" s="11"/>
      <c r="B1015" s="11"/>
      <c r="C1015" s="20"/>
      <c r="D1015" s="20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5"/>
      <c r="U1015" s="15"/>
      <c r="V1015" s="15"/>
      <c r="W1015" s="15"/>
    </row>
    <row r="1016">
      <c r="A1016" s="11"/>
      <c r="B1016" s="11"/>
      <c r="C1016" s="20"/>
      <c r="D1016" s="20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5"/>
      <c r="U1016" s="15"/>
      <c r="V1016" s="15"/>
      <c r="W1016" s="15"/>
    </row>
    <row r="1017">
      <c r="A1017" s="11"/>
      <c r="B1017" s="11"/>
      <c r="C1017" s="20"/>
      <c r="D1017" s="20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5"/>
      <c r="U1017" s="15"/>
      <c r="V1017" s="15"/>
      <c r="W1017" s="15"/>
    </row>
    <row r="1018">
      <c r="A1018" s="11"/>
      <c r="B1018" s="11"/>
      <c r="C1018" s="20"/>
      <c r="D1018" s="20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5"/>
      <c r="U1018" s="15"/>
      <c r="V1018" s="15"/>
      <c r="W1018" s="15"/>
    </row>
    <row r="1019">
      <c r="A1019" s="11"/>
      <c r="B1019" s="11"/>
      <c r="C1019" s="20"/>
      <c r="D1019" s="20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5"/>
      <c r="U1019" s="15"/>
      <c r="V1019" s="15"/>
      <c r="W1019" s="15"/>
    </row>
    <row r="1020">
      <c r="A1020" s="11"/>
      <c r="B1020" s="11"/>
      <c r="C1020" s="20"/>
      <c r="D1020" s="20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5"/>
      <c r="U1020" s="15"/>
      <c r="V1020" s="15"/>
      <c r="W1020" s="15"/>
    </row>
    <row r="1021">
      <c r="A1021" s="11"/>
      <c r="B1021" s="11"/>
      <c r="C1021" s="20"/>
      <c r="D1021" s="20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5"/>
      <c r="U1021" s="15"/>
      <c r="V1021" s="15"/>
      <c r="W1021" s="15"/>
    </row>
    <row r="1022">
      <c r="A1022" s="11"/>
      <c r="B1022" s="11"/>
      <c r="C1022" s="20"/>
      <c r="D1022" s="20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5"/>
      <c r="U1022" s="15"/>
      <c r="V1022" s="15"/>
      <c r="W1022" s="15"/>
    </row>
    <row r="1023">
      <c r="A1023" s="11"/>
      <c r="B1023" s="11"/>
      <c r="C1023" s="20"/>
      <c r="D1023" s="20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5"/>
      <c r="U1023" s="15"/>
      <c r="V1023" s="15"/>
      <c r="W1023" s="15"/>
    </row>
    <row r="1024">
      <c r="A1024" s="11"/>
      <c r="B1024" s="11"/>
      <c r="C1024" s="20"/>
      <c r="D1024" s="20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5"/>
      <c r="U1024" s="15"/>
      <c r="V1024" s="15"/>
      <c r="W1024" s="15"/>
    </row>
    <row r="1025">
      <c r="A1025" s="11"/>
      <c r="B1025" s="11"/>
      <c r="C1025" s="20"/>
      <c r="D1025" s="20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5"/>
      <c r="U1025" s="15"/>
      <c r="V1025" s="15"/>
      <c r="W1025" s="15"/>
    </row>
    <row r="1026">
      <c r="A1026" s="11"/>
      <c r="B1026" s="11"/>
      <c r="C1026" s="20"/>
      <c r="D1026" s="20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5"/>
      <c r="U1026" s="15"/>
      <c r="V1026" s="15"/>
      <c r="W1026" s="15"/>
    </row>
    <row r="1027">
      <c r="A1027" s="11"/>
      <c r="B1027" s="11"/>
      <c r="C1027" s="20"/>
      <c r="D1027" s="20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5"/>
      <c r="U1027" s="15"/>
      <c r="V1027" s="15"/>
      <c r="W1027" s="15"/>
    </row>
    <row r="1028">
      <c r="A1028" s="11"/>
      <c r="B1028" s="11"/>
      <c r="C1028" s="20"/>
      <c r="D1028" s="20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5"/>
      <c r="U1028" s="15"/>
      <c r="V1028" s="15"/>
      <c r="W1028" s="15"/>
    </row>
    <row r="1029">
      <c r="A1029" s="11"/>
      <c r="B1029" s="11"/>
      <c r="C1029" s="20"/>
      <c r="D1029" s="20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5"/>
      <c r="U1029" s="15"/>
      <c r="V1029" s="15"/>
      <c r="W1029" s="15"/>
    </row>
    <row r="1030">
      <c r="A1030" s="11"/>
      <c r="B1030" s="11"/>
      <c r="C1030" s="20"/>
      <c r="D1030" s="20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5"/>
      <c r="U1030" s="15"/>
      <c r="V1030" s="15"/>
      <c r="W1030" s="15"/>
    </row>
    <row r="1031">
      <c r="A1031" s="11"/>
      <c r="B1031" s="11"/>
      <c r="C1031" s="20"/>
      <c r="D1031" s="20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5"/>
      <c r="U1031" s="15"/>
      <c r="V1031" s="15"/>
      <c r="W1031" s="15"/>
    </row>
    <row r="1032">
      <c r="A1032" s="11"/>
      <c r="B1032" s="11"/>
      <c r="C1032" s="20"/>
      <c r="D1032" s="20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5"/>
      <c r="U1032" s="15"/>
      <c r="V1032" s="15"/>
      <c r="W1032" s="15"/>
    </row>
    <row r="1033">
      <c r="A1033" s="11"/>
      <c r="B1033" s="11"/>
      <c r="C1033" s="20"/>
      <c r="D1033" s="20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5"/>
      <c r="U1033" s="15"/>
      <c r="V1033" s="15"/>
      <c r="W1033" s="15"/>
    </row>
    <row r="1034">
      <c r="A1034" s="11"/>
      <c r="B1034" s="11"/>
      <c r="C1034" s="20"/>
      <c r="D1034" s="20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5"/>
      <c r="U1034" s="15"/>
      <c r="V1034" s="15"/>
      <c r="W1034" s="15"/>
    </row>
    <row r="1035">
      <c r="A1035" s="11"/>
      <c r="B1035" s="11"/>
      <c r="C1035" s="20"/>
      <c r="D1035" s="20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5"/>
      <c r="U1035" s="15"/>
      <c r="V1035" s="15"/>
      <c r="W1035" s="15"/>
    </row>
    <row r="1036">
      <c r="A1036" s="11"/>
      <c r="B1036" s="11"/>
      <c r="C1036" s="20"/>
      <c r="D1036" s="20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5"/>
      <c r="U1036" s="15"/>
      <c r="V1036" s="15"/>
      <c r="W1036" s="15"/>
    </row>
    <row r="1037">
      <c r="A1037" s="11"/>
      <c r="B1037" s="11"/>
      <c r="C1037" s="20"/>
      <c r="D1037" s="20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5"/>
      <c r="U1037" s="15"/>
      <c r="V1037" s="15"/>
      <c r="W1037" s="15"/>
    </row>
    <row r="1038">
      <c r="A1038" s="11"/>
      <c r="B1038" s="11"/>
      <c r="C1038" s="20"/>
      <c r="D1038" s="20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5"/>
      <c r="U1038" s="15"/>
      <c r="V1038" s="15"/>
      <c r="W1038" s="15"/>
    </row>
    <row r="1039">
      <c r="A1039" s="11"/>
      <c r="B1039" s="11"/>
      <c r="C1039" s="20"/>
      <c r="D1039" s="20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5"/>
      <c r="U1039" s="15"/>
      <c r="V1039" s="15"/>
      <c r="W1039" s="15"/>
    </row>
    <row r="1040">
      <c r="A1040" s="11"/>
      <c r="B1040" s="11"/>
      <c r="C1040" s="20"/>
      <c r="D1040" s="20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5"/>
      <c r="U1040" s="15"/>
      <c r="V1040" s="15"/>
      <c r="W1040" s="15"/>
    </row>
    <row r="1041">
      <c r="A1041" s="11"/>
      <c r="B1041" s="11"/>
      <c r="C1041" s="20"/>
      <c r="D1041" s="20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5"/>
      <c r="U1041" s="15"/>
      <c r="V1041" s="15"/>
      <c r="W1041" s="15"/>
    </row>
    <row r="1042">
      <c r="A1042" s="11"/>
      <c r="B1042" s="11"/>
      <c r="C1042" s="20"/>
      <c r="D1042" s="20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5"/>
      <c r="U1042" s="15"/>
      <c r="V1042" s="15"/>
      <c r="W1042" s="15"/>
    </row>
    <row r="1043">
      <c r="A1043" s="11"/>
      <c r="B1043" s="11"/>
      <c r="C1043" s="20"/>
      <c r="D1043" s="20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5"/>
      <c r="U1043" s="15"/>
      <c r="V1043" s="15"/>
      <c r="W1043" s="15"/>
    </row>
    <row r="1044">
      <c r="A1044" s="11"/>
      <c r="B1044" s="11"/>
      <c r="C1044" s="20"/>
      <c r="D1044" s="20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5"/>
      <c r="U1044" s="15"/>
      <c r="V1044" s="15"/>
      <c r="W1044" s="15"/>
    </row>
    <row r="1045">
      <c r="A1045" s="11"/>
      <c r="B1045" s="11"/>
      <c r="C1045" s="20"/>
      <c r="D1045" s="20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5"/>
      <c r="U1045" s="15"/>
      <c r="V1045" s="15"/>
      <c r="W1045" s="15"/>
    </row>
    <row r="1046">
      <c r="A1046" s="11"/>
      <c r="B1046" s="11"/>
      <c r="C1046" s="20"/>
      <c r="D1046" s="20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5"/>
      <c r="U1046" s="15"/>
      <c r="V1046" s="15"/>
      <c r="W1046" s="15"/>
    </row>
    <row r="1047">
      <c r="A1047" s="11"/>
      <c r="B1047" s="11"/>
      <c r="C1047" s="20"/>
      <c r="D1047" s="20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5"/>
      <c r="U1047" s="15"/>
      <c r="V1047" s="15"/>
      <c r="W1047" s="15"/>
    </row>
    <row r="1048">
      <c r="A1048" s="11"/>
      <c r="B1048" s="11"/>
      <c r="C1048" s="20"/>
      <c r="D1048" s="20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5"/>
      <c r="U1048" s="15"/>
      <c r="V1048" s="15"/>
      <c r="W1048" s="15"/>
    </row>
    <row r="1049">
      <c r="A1049" s="11"/>
      <c r="B1049" s="11"/>
      <c r="C1049" s="20"/>
      <c r="D1049" s="20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5"/>
      <c r="U1049" s="15"/>
      <c r="V1049" s="15"/>
      <c r="W1049" s="15"/>
    </row>
    <row r="1050">
      <c r="A1050" s="11"/>
      <c r="B1050" s="11"/>
      <c r="C1050" s="20"/>
      <c r="D1050" s="20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5"/>
      <c r="U1050" s="15"/>
      <c r="V1050" s="15"/>
      <c r="W1050" s="15"/>
    </row>
    <row r="1051">
      <c r="A1051" s="11"/>
      <c r="B1051" s="11"/>
      <c r="C1051" s="20"/>
      <c r="D1051" s="20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5"/>
      <c r="U1051" s="15"/>
      <c r="V1051" s="15"/>
      <c r="W1051" s="15"/>
    </row>
    <row r="1052">
      <c r="A1052" s="11"/>
      <c r="B1052" s="11"/>
      <c r="C1052" s="20"/>
      <c r="D1052" s="20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5"/>
      <c r="U1052" s="15"/>
      <c r="V1052" s="15"/>
      <c r="W1052" s="15"/>
    </row>
    <row r="1053">
      <c r="A1053" s="11"/>
      <c r="B1053" s="11"/>
      <c r="C1053" s="20"/>
      <c r="D1053" s="20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5"/>
      <c r="U1053" s="15"/>
      <c r="V1053" s="15"/>
      <c r="W1053" s="15"/>
    </row>
    <row r="1054">
      <c r="A1054" s="11"/>
      <c r="B1054" s="11"/>
      <c r="C1054" s="20"/>
      <c r="D1054" s="20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5"/>
      <c r="U1054" s="15"/>
      <c r="V1054" s="15"/>
      <c r="W1054" s="15"/>
    </row>
    <row r="1055">
      <c r="A1055" s="11"/>
      <c r="B1055" s="11"/>
      <c r="C1055" s="20"/>
      <c r="D1055" s="20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5"/>
      <c r="U1055" s="15"/>
      <c r="V1055" s="15"/>
      <c r="W1055" s="15"/>
    </row>
    <row r="1056">
      <c r="A1056" s="11"/>
      <c r="B1056" s="11"/>
      <c r="C1056" s="20"/>
      <c r="D1056" s="20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5"/>
      <c r="U1056" s="15"/>
      <c r="V1056" s="15"/>
      <c r="W1056" s="15"/>
    </row>
    <row r="1057">
      <c r="A1057" s="11"/>
      <c r="B1057" s="11"/>
      <c r="C1057" s="20"/>
      <c r="D1057" s="20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5"/>
      <c r="U1057" s="15"/>
      <c r="V1057" s="15"/>
      <c r="W1057" s="15"/>
    </row>
    <row r="1058">
      <c r="A1058" s="11"/>
      <c r="B1058" s="11"/>
      <c r="C1058" s="20"/>
      <c r="D1058" s="20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5"/>
      <c r="U1058" s="15"/>
      <c r="V1058" s="15"/>
      <c r="W1058" s="15"/>
    </row>
    <row r="1059">
      <c r="A1059" s="11"/>
      <c r="B1059" s="11"/>
      <c r="C1059" s="20"/>
      <c r="D1059" s="20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5"/>
      <c r="U1059" s="15"/>
      <c r="V1059" s="15"/>
      <c r="W1059" s="15"/>
    </row>
    <row r="1060">
      <c r="A1060" s="11"/>
      <c r="B1060" s="11"/>
      <c r="C1060" s="20"/>
      <c r="D1060" s="20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5"/>
      <c r="U1060" s="15"/>
      <c r="V1060" s="15"/>
      <c r="W1060" s="15"/>
    </row>
    <row r="1061">
      <c r="A1061" s="11"/>
      <c r="B1061" s="11"/>
      <c r="C1061" s="20"/>
      <c r="D1061" s="20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5"/>
      <c r="U1061" s="15"/>
      <c r="V1061" s="15"/>
      <c r="W1061" s="15"/>
    </row>
    <row r="1062">
      <c r="A1062" s="11"/>
      <c r="B1062" s="11"/>
      <c r="C1062" s="20"/>
      <c r="D1062" s="20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5"/>
      <c r="U1062" s="15"/>
      <c r="V1062" s="15"/>
      <c r="W1062" s="15"/>
    </row>
    <row r="1063">
      <c r="A1063" s="11"/>
      <c r="B1063" s="11"/>
      <c r="C1063" s="20"/>
      <c r="D1063" s="20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5"/>
      <c r="U1063" s="15"/>
      <c r="V1063" s="15"/>
      <c r="W1063" s="15"/>
    </row>
    <row r="1064">
      <c r="A1064" s="11"/>
      <c r="B1064" s="11"/>
      <c r="C1064" s="20"/>
      <c r="D1064" s="20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5"/>
      <c r="U1064" s="15"/>
      <c r="V1064" s="15"/>
      <c r="W1064" s="15"/>
    </row>
    <row r="1065">
      <c r="A1065" s="11"/>
      <c r="B1065" s="11"/>
      <c r="C1065" s="20"/>
      <c r="D1065" s="20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5"/>
      <c r="U1065" s="15"/>
      <c r="V1065" s="15"/>
      <c r="W1065" s="15"/>
    </row>
    <row r="1066">
      <c r="A1066" s="11"/>
      <c r="B1066" s="11"/>
      <c r="C1066" s="20"/>
      <c r="D1066" s="20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5"/>
      <c r="U1066" s="15"/>
      <c r="V1066" s="15"/>
      <c r="W1066" s="15"/>
    </row>
    <row r="1067">
      <c r="A1067" s="11"/>
      <c r="B1067" s="11"/>
      <c r="C1067" s="20"/>
      <c r="D1067" s="20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5"/>
      <c r="U1067" s="15"/>
      <c r="V1067" s="15"/>
      <c r="W1067" s="15"/>
    </row>
    <row r="1068">
      <c r="A1068" s="11"/>
      <c r="B1068" s="11"/>
      <c r="C1068" s="20"/>
      <c r="D1068" s="20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5"/>
      <c r="U1068" s="15"/>
      <c r="V1068" s="15"/>
      <c r="W1068" s="15"/>
    </row>
    <row r="1069">
      <c r="A1069" s="11"/>
      <c r="B1069" s="11"/>
      <c r="C1069" s="20"/>
      <c r="D1069" s="20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5"/>
      <c r="U1069" s="15"/>
      <c r="V1069" s="15"/>
      <c r="W1069" s="15"/>
    </row>
    <row r="1070">
      <c r="A1070" s="11"/>
      <c r="B1070" s="11"/>
      <c r="C1070" s="20"/>
      <c r="D1070" s="20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5"/>
      <c r="U1070" s="15"/>
      <c r="V1070" s="15"/>
      <c r="W1070" s="15"/>
    </row>
    <row r="1071">
      <c r="A1071" s="11"/>
      <c r="B1071" s="11"/>
      <c r="C1071" s="20"/>
      <c r="D1071" s="20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5"/>
      <c r="U1071" s="15"/>
      <c r="V1071" s="15"/>
      <c r="W1071" s="15"/>
    </row>
    <row r="1072">
      <c r="A1072" s="11"/>
      <c r="B1072" s="11"/>
      <c r="C1072" s="20"/>
      <c r="D1072" s="20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5"/>
      <c r="U1072" s="15"/>
      <c r="V1072" s="15"/>
      <c r="W1072" s="15"/>
    </row>
    <row r="1073">
      <c r="A1073" s="11"/>
      <c r="B1073" s="11"/>
      <c r="C1073" s="20"/>
      <c r="D1073" s="20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5"/>
      <c r="U1073" s="15"/>
      <c r="V1073" s="15"/>
      <c r="W1073" s="15"/>
    </row>
    <row r="1074">
      <c r="A1074" s="11"/>
      <c r="B1074" s="11"/>
      <c r="C1074" s="20"/>
      <c r="D1074" s="20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5"/>
      <c r="U1074" s="15"/>
      <c r="V1074" s="15"/>
      <c r="W1074" s="15"/>
    </row>
    <row r="1075">
      <c r="A1075" s="11"/>
      <c r="B1075" s="11"/>
      <c r="C1075" s="20"/>
      <c r="D1075" s="20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5"/>
      <c r="U1075" s="15"/>
      <c r="V1075" s="15"/>
      <c r="W1075" s="15"/>
    </row>
    <row r="1076">
      <c r="A1076" s="11"/>
      <c r="B1076" s="11"/>
      <c r="C1076" s="20"/>
      <c r="D1076" s="20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5"/>
      <c r="U1076" s="15"/>
      <c r="V1076" s="15"/>
      <c r="W1076" s="15"/>
    </row>
    <row r="1077">
      <c r="A1077" s="11"/>
      <c r="B1077" s="11"/>
      <c r="C1077" s="20"/>
      <c r="D1077" s="20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5"/>
      <c r="U1077" s="15"/>
      <c r="V1077" s="15"/>
      <c r="W1077" s="15"/>
    </row>
    <row r="1078">
      <c r="A1078" s="11"/>
      <c r="B1078" s="11"/>
      <c r="C1078" s="20"/>
      <c r="D1078" s="20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5"/>
      <c r="U1078" s="15"/>
      <c r="V1078" s="15"/>
      <c r="W1078" s="15"/>
    </row>
    <row r="1079">
      <c r="A1079" s="11"/>
      <c r="B1079" s="11"/>
      <c r="C1079" s="20"/>
      <c r="D1079" s="20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5"/>
      <c r="U1079" s="15"/>
      <c r="V1079" s="15"/>
      <c r="W1079" s="15"/>
    </row>
    <row r="1080">
      <c r="A1080" s="11"/>
      <c r="B1080" s="11"/>
      <c r="C1080" s="20"/>
      <c r="D1080" s="20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5"/>
      <c r="U1080" s="15"/>
      <c r="V1080" s="15"/>
      <c r="W1080" s="15"/>
    </row>
    <row r="1081">
      <c r="A1081" s="11"/>
      <c r="B1081" s="11"/>
      <c r="C1081" s="20"/>
      <c r="D1081" s="20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5"/>
      <c r="U1081" s="15"/>
      <c r="V1081" s="15"/>
      <c r="W1081" s="15"/>
    </row>
    <row r="1082">
      <c r="A1082" s="11"/>
      <c r="B1082" s="11"/>
      <c r="C1082" s="20"/>
      <c r="D1082" s="20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5"/>
      <c r="U1082" s="15"/>
      <c r="V1082" s="15"/>
      <c r="W1082" s="15"/>
    </row>
    <row r="1083">
      <c r="A1083" s="11"/>
      <c r="B1083" s="11"/>
      <c r="C1083" s="20"/>
      <c r="D1083" s="20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5"/>
      <c r="U1083" s="15"/>
      <c r="V1083" s="15"/>
      <c r="W1083" s="15"/>
    </row>
    <row r="1084">
      <c r="A1084" s="11"/>
      <c r="B1084" s="11"/>
      <c r="C1084" s="20"/>
      <c r="D1084" s="20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5"/>
      <c r="U1084" s="15"/>
      <c r="V1084" s="15"/>
      <c r="W1084" s="15"/>
    </row>
    <row r="1085">
      <c r="A1085" s="11"/>
      <c r="B1085" s="11"/>
      <c r="C1085" s="20"/>
      <c r="D1085" s="20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5"/>
      <c r="U1085" s="15"/>
      <c r="V1085" s="15"/>
      <c r="W1085" s="15"/>
    </row>
    <row r="1086">
      <c r="A1086" s="11"/>
      <c r="B1086" s="11"/>
      <c r="C1086" s="20"/>
      <c r="D1086" s="20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5"/>
      <c r="U1086" s="15"/>
      <c r="V1086" s="15"/>
      <c r="W1086" s="15"/>
    </row>
    <row r="1087">
      <c r="A1087" s="11"/>
      <c r="B1087" s="11"/>
      <c r="C1087" s="20"/>
      <c r="D1087" s="20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5"/>
      <c r="U1087" s="15"/>
      <c r="V1087" s="15"/>
      <c r="W1087" s="15"/>
    </row>
    <row r="1088">
      <c r="A1088" s="11"/>
      <c r="B1088" s="11"/>
      <c r="C1088" s="20"/>
      <c r="D1088" s="20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5"/>
      <c r="U1088" s="15"/>
      <c r="V1088" s="15"/>
      <c r="W1088" s="15"/>
    </row>
    <row r="1089">
      <c r="A1089" s="11"/>
      <c r="B1089" s="11"/>
      <c r="C1089" s="20"/>
      <c r="D1089" s="20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5"/>
      <c r="U1089" s="15"/>
      <c r="V1089" s="15"/>
      <c r="W1089" s="15"/>
    </row>
    <row r="1090">
      <c r="A1090" s="11"/>
      <c r="B1090" s="11"/>
      <c r="C1090" s="20"/>
      <c r="D1090" s="20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5"/>
      <c r="U1090" s="15"/>
      <c r="V1090" s="15"/>
      <c r="W1090" s="15"/>
    </row>
    <row r="1091">
      <c r="A1091" s="11"/>
      <c r="B1091" s="11"/>
      <c r="C1091" s="20"/>
      <c r="D1091" s="20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5"/>
      <c r="U1091" s="15"/>
      <c r="V1091" s="15"/>
      <c r="W1091" s="15"/>
    </row>
    <row r="1092">
      <c r="A1092" s="11"/>
      <c r="B1092" s="11"/>
      <c r="C1092" s="20"/>
      <c r="D1092" s="20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5"/>
      <c r="U1092" s="15"/>
      <c r="V1092" s="15"/>
      <c r="W1092" s="15"/>
    </row>
    <row r="1093">
      <c r="A1093" s="11"/>
      <c r="B1093" s="11"/>
      <c r="C1093" s="20"/>
      <c r="D1093" s="20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5"/>
      <c r="U1093" s="15"/>
      <c r="V1093" s="15"/>
      <c r="W1093" s="15"/>
    </row>
    <row r="1094">
      <c r="A1094" s="11"/>
      <c r="B1094" s="11"/>
      <c r="C1094" s="20"/>
      <c r="D1094" s="20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5"/>
      <c r="U1094" s="15"/>
      <c r="V1094" s="15"/>
      <c r="W1094" s="15"/>
    </row>
    <row r="1095">
      <c r="A1095" s="11"/>
      <c r="B1095" s="11"/>
      <c r="C1095" s="20"/>
      <c r="D1095" s="20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5"/>
      <c r="U1095" s="15"/>
      <c r="V1095" s="15"/>
      <c r="W1095" s="15"/>
    </row>
    <row r="1096">
      <c r="A1096" s="11"/>
      <c r="B1096" s="11"/>
      <c r="C1096" s="20"/>
      <c r="D1096" s="20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5"/>
      <c r="U1096" s="15"/>
      <c r="V1096" s="15"/>
      <c r="W1096" s="15"/>
    </row>
    <row r="1097">
      <c r="A1097" s="11"/>
      <c r="B1097" s="11"/>
      <c r="C1097" s="20"/>
      <c r="D1097" s="20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5"/>
      <c r="U1097" s="15"/>
      <c r="V1097" s="15"/>
      <c r="W1097" s="15"/>
    </row>
    <row r="1098">
      <c r="A1098" s="11"/>
      <c r="B1098" s="11"/>
      <c r="C1098" s="20"/>
      <c r="D1098" s="20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5"/>
      <c r="U1098" s="15"/>
      <c r="V1098" s="15"/>
      <c r="W1098" s="15"/>
    </row>
    <row r="1099">
      <c r="A1099" s="11"/>
      <c r="B1099" s="11"/>
      <c r="C1099" s="20"/>
      <c r="D1099" s="20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5"/>
      <c r="U1099" s="15"/>
      <c r="V1099" s="15"/>
      <c r="W1099" s="15"/>
    </row>
    <row r="1100">
      <c r="A1100" s="11"/>
      <c r="B1100" s="11"/>
      <c r="C1100" s="20"/>
      <c r="D1100" s="20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5"/>
      <c r="U1100" s="15"/>
      <c r="V1100" s="15"/>
      <c r="W1100" s="15"/>
    </row>
    <row r="1101">
      <c r="A1101" s="11"/>
      <c r="B1101" s="11"/>
      <c r="C1101" s="20"/>
      <c r="D1101" s="20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5"/>
      <c r="U1101" s="15"/>
      <c r="V1101" s="15"/>
      <c r="W1101" s="15"/>
    </row>
    <row r="1102">
      <c r="A1102" s="11"/>
      <c r="B1102" s="11"/>
      <c r="C1102" s="20"/>
      <c r="D1102" s="20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5"/>
      <c r="U1102" s="15"/>
      <c r="V1102" s="15"/>
      <c r="W1102" s="15"/>
    </row>
    <row r="1103">
      <c r="A1103" s="11"/>
      <c r="B1103" s="11"/>
      <c r="C1103" s="20"/>
      <c r="D1103" s="20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5"/>
      <c r="U1103" s="15"/>
      <c r="V1103" s="15"/>
      <c r="W1103" s="15"/>
    </row>
    <row r="1104">
      <c r="A1104" s="11"/>
      <c r="B1104" s="11"/>
      <c r="C1104" s="20"/>
      <c r="D1104" s="20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5"/>
      <c r="U1104" s="15"/>
      <c r="V1104" s="15"/>
      <c r="W1104" s="15"/>
    </row>
    <row r="1105">
      <c r="A1105" s="11"/>
      <c r="B1105" s="11"/>
      <c r="C1105" s="20"/>
      <c r="D1105" s="20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5"/>
      <c r="U1105" s="15"/>
      <c r="V1105" s="15"/>
      <c r="W1105" s="15"/>
    </row>
    <row r="1106">
      <c r="A1106" s="11"/>
      <c r="B1106" s="11"/>
      <c r="C1106" s="20"/>
      <c r="D1106" s="20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5"/>
      <c r="U1106" s="15"/>
      <c r="V1106" s="15"/>
      <c r="W1106" s="15"/>
    </row>
    <row r="1107">
      <c r="A1107" s="11"/>
      <c r="B1107" s="11"/>
      <c r="C1107" s="20"/>
      <c r="D1107" s="20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5"/>
      <c r="U1107" s="15"/>
      <c r="V1107" s="15"/>
      <c r="W1107" s="15"/>
    </row>
    <row r="1108">
      <c r="A1108" s="11"/>
      <c r="B1108" s="11"/>
      <c r="C1108" s="20"/>
      <c r="D1108" s="20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5"/>
      <c r="U1108" s="15"/>
      <c r="V1108" s="15"/>
      <c r="W1108" s="15"/>
    </row>
    <row r="1109">
      <c r="A1109" s="11"/>
      <c r="B1109" s="11"/>
      <c r="C1109" s="20"/>
      <c r="D1109" s="20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5"/>
      <c r="U1109" s="15"/>
      <c r="V1109" s="15"/>
      <c r="W1109" s="15"/>
    </row>
    <row r="1110">
      <c r="A1110" s="11"/>
      <c r="B1110" s="11"/>
      <c r="C1110" s="20"/>
      <c r="D1110" s="20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5"/>
      <c r="U1110" s="15"/>
      <c r="V1110" s="15"/>
      <c r="W1110" s="15"/>
    </row>
    <row r="1111">
      <c r="A1111" s="11"/>
      <c r="B1111" s="11"/>
      <c r="C1111" s="20"/>
      <c r="D1111" s="20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5"/>
      <c r="U1111" s="15"/>
      <c r="V1111" s="15"/>
      <c r="W1111" s="15"/>
    </row>
    <row r="1112">
      <c r="A1112" s="11"/>
      <c r="B1112" s="11"/>
      <c r="C1112" s="20"/>
      <c r="D1112" s="20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5"/>
      <c r="U1112" s="15"/>
      <c r="V1112" s="15"/>
      <c r="W1112" s="15"/>
    </row>
    <row r="1113">
      <c r="A1113" s="11"/>
      <c r="B1113" s="11"/>
      <c r="C1113" s="20"/>
      <c r="D1113" s="20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5"/>
      <c r="U1113" s="15"/>
      <c r="V1113" s="15"/>
      <c r="W1113" s="15"/>
    </row>
    <row r="1114">
      <c r="A1114" s="11"/>
      <c r="B1114" s="11"/>
      <c r="C1114" s="20"/>
      <c r="D1114" s="20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5"/>
      <c r="U1114" s="15"/>
      <c r="V1114" s="15"/>
      <c r="W1114" s="15"/>
    </row>
    <row r="1115">
      <c r="A1115" s="11"/>
      <c r="B1115" s="11"/>
      <c r="C1115" s="20"/>
      <c r="D1115" s="20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5"/>
      <c r="U1115" s="15"/>
      <c r="V1115" s="15"/>
      <c r="W1115" s="15"/>
    </row>
    <row r="1116">
      <c r="A1116" s="11"/>
      <c r="B1116" s="11"/>
      <c r="C1116" s="20"/>
      <c r="D1116" s="20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5"/>
      <c r="U1116" s="15"/>
      <c r="V1116" s="15"/>
      <c r="W1116" s="15"/>
    </row>
    <row r="1117">
      <c r="A1117" s="11"/>
      <c r="B1117" s="11"/>
      <c r="C1117" s="20"/>
      <c r="D1117" s="20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5"/>
      <c r="U1117" s="15"/>
      <c r="V1117" s="15"/>
      <c r="W1117" s="15"/>
    </row>
    <row r="1118">
      <c r="A1118" s="11"/>
      <c r="B1118" s="11"/>
      <c r="C1118" s="20"/>
      <c r="D1118" s="20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5"/>
      <c r="U1118" s="15"/>
      <c r="V1118" s="15"/>
      <c r="W1118" s="15"/>
    </row>
    <row r="1119">
      <c r="A1119" s="11"/>
      <c r="B1119" s="11"/>
      <c r="C1119" s="20"/>
      <c r="D1119" s="20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5"/>
      <c r="U1119" s="15"/>
      <c r="V1119" s="15"/>
      <c r="W1119" s="15"/>
    </row>
    <row r="1120">
      <c r="A1120" s="11"/>
      <c r="B1120" s="11"/>
      <c r="C1120" s="20"/>
      <c r="D1120" s="20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5"/>
      <c r="U1120" s="15"/>
      <c r="V1120" s="15"/>
      <c r="W1120" s="15"/>
    </row>
    <row r="1121">
      <c r="A1121" s="11"/>
      <c r="B1121" s="11"/>
      <c r="C1121" s="20"/>
      <c r="D1121" s="20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5"/>
      <c r="U1121" s="15"/>
      <c r="V1121" s="15"/>
      <c r="W1121" s="15"/>
    </row>
    <row r="1122">
      <c r="A1122" s="11"/>
      <c r="B1122" s="11"/>
      <c r="C1122" s="20"/>
      <c r="D1122" s="20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5"/>
      <c r="U1122" s="15"/>
      <c r="V1122" s="15"/>
      <c r="W1122" s="15"/>
    </row>
    <row r="1123">
      <c r="A1123" s="11"/>
      <c r="B1123" s="11"/>
      <c r="C1123" s="20"/>
      <c r="D1123" s="20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5"/>
      <c r="U1123" s="15"/>
      <c r="V1123" s="15"/>
      <c r="W1123" s="15"/>
    </row>
    <row r="1124">
      <c r="A1124" s="11"/>
      <c r="B1124" s="11"/>
      <c r="C1124" s="20"/>
      <c r="D1124" s="20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5"/>
      <c r="U1124" s="15"/>
      <c r="V1124" s="15"/>
      <c r="W1124" s="15"/>
    </row>
    <row r="1125">
      <c r="A1125" s="11"/>
      <c r="B1125" s="11"/>
      <c r="C1125" s="20"/>
      <c r="D1125" s="20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5"/>
      <c r="U1125" s="15"/>
      <c r="V1125" s="15"/>
      <c r="W1125" s="15"/>
    </row>
    <row r="1126">
      <c r="A1126" s="11"/>
      <c r="B1126" s="11"/>
      <c r="C1126" s="20"/>
      <c r="D1126" s="20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5"/>
      <c r="U1126" s="15"/>
      <c r="V1126" s="15"/>
      <c r="W1126" s="15"/>
    </row>
    <row r="1127">
      <c r="A1127" s="11"/>
      <c r="B1127" s="11"/>
      <c r="C1127" s="20"/>
      <c r="D1127" s="20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5"/>
      <c r="U1127" s="15"/>
      <c r="V1127" s="15"/>
      <c r="W1127" s="15"/>
    </row>
    <row r="1128">
      <c r="A1128" s="11"/>
      <c r="B1128" s="11"/>
      <c r="C1128" s="20"/>
      <c r="D1128" s="20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5"/>
      <c r="U1128" s="15"/>
      <c r="V1128" s="15"/>
      <c r="W1128" s="15"/>
    </row>
    <row r="1129">
      <c r="A1129" s="11"/>
      <c r="B1129" s="11"/>
      <c r="C1129" s="20"/>
      <c r="D1129" s="20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5"/>
      <c r="U1129" s="15"/>
      <c r="V1129" s="15"/>
      <c r="W1129" s="15"/>
    </row>
    <row r="1130">
      <c r="A1130" s="11"/>
      <c r="B1130" s="11"/>
      <c r="C1130" s="20"/>
      <c r="D1130" s="20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5"/>
      <c r="U1130" s="15"/>
      <c r="V1130" s="15"/>
      <c r="W1130" s="15"/>
    </row>
    <row r="1131">
      <c r="A1131" s="11"/>
      <c r="B1131" s="11"/>
      <c r="C1131" s="20"/>
      <c r="D1131" s="20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5"/>
      <c r="U1131" s="15"/>
      <c r="V1131" s="15"/>
      <c r="W1131" s="15"/>
    </row>
    <row r="1132">
      <c r="A1132" s="11"/>
      <c r="B1132" s="11"/>
      <c r="C1132" s="20"/>
      <c r="D1132" s="20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5"/>
      <c r="U1132" s="15"/>
      <c r="V1132" s="15"/>
      <c r="W1132" s="15"/>
    </row>
    <row r="1133">
      <c r="A1133" s="11"/>
      <c r="B1133" s="11"/>
      <c r="C1133" s="20"/>
      <c r="D1133" s="20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5"/>
      <c r="U1133" s="15"/>
      <c r="V1133" s="15"/>
      <c r="W1133" s="15"/>
    </row>
    <row r="1134">
      <c r="A1134" s="11"/>
      <c r="B1134" s="11"/>
      <c r="C1134" s="20"/>
      <c r="D1134" s="20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5"/>
      <c r="U1134" s="15"/>
      <c r="V1134" s="15"/>
      <c r="W1134" s="15"/>
    </row>
    <row r="1135">
      <c r="A1135" s="11"/>
      <c r="B1135" s="11"/>
      <c r="C1135" s="20"/>
      <c r="D1135" s="20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5"/>
      <c r="U1135" s="15"/>
      <c r="V1135" s="15"/>
      <c r="W1135" s="15"/>
    </row>
    <row r="1136">
      <c r="A1136" s="11"/>
      <c r="B1136" s="11"/>
      <c r="C1136" s="20"/>
      <c r="D1136" s="20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5"/>
      <c r="U1136" s="15"/>
      <c r="V1136" s="15"/>
      <c r="W1136" s="15"/>
    </row>
    <row r="1137">
      <c r="A1137" s="11"/>
      <c r="B1137" s="11"/>
      <c r="C1137" s="20"/>
      <c r="D1137" s="20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5"/>
      <c r="U1137" s="15"/>
      <c r="V1137" s="15"/>
      <c r="W1137" s="15"/>
    </row>
    <row r="1138">
      <c r="A1138" s="11"/>
      <c r="B1138" s="11"/>
      <c r="C1138" s="20"/>
      <c r="D1138" s="20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5"/>
      <c r="U1138" s="15"/>
      <c r="V1138" s="15"/>
      <c r="W1138" s="15"/>
    </row>
    <row r="1139">
      <c r="A1139" s="11"/>
      <c r="B1139" s="11"/>
      <c r="C1139" s="20"/>
      <c r="D1139" s="20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5"/>
      <c r="U1139" s="15"/>
      <c r="V1139" s="15"/>
      <c r="W1139" s="15"/>
    </row>
    <row r="1140">
      <c r="A1140" s="11"/>
      <c r="B1140" s="11"/>
      <c r="C1140" s="20"/>
      <c r="D1140" s="20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5"/>
      <c r="U1140" s="15"/>
      <c r="V1140" s="15"/>
      <c r="W1140" s="15"/>
    </row>
    <row r="1141">
      <c r="A1141" s="11"/>
      <c r="B1141" s="11"/>
      <c r="C1141" s="20"/>
      <c r="D1141" s="20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5"/>
      <c r="U1141" s="15"/>
      <c r="V1141" s="15"/>
      <c r="W1141" s="15"/>
    </row>
    <row r="1142">
      <c r="A1142" s="11"/>
      <c r="B1142" s="11"/>
      <c r="C1142" s="20"/>
      <c r="D1142" s="20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5"/>
      <c r="U1142" s="15"/>
      <c r="V1142" s="15"/>
      <c r="W1142" s="15"/>
    </row>
    <row r="1143">
      <c r="A1143" s="11"/>
      <c r="B1143" s="11"/>
      <c r="C1143" s="20"/>
      <c r="D1143" s="20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5"/>
      <c r="U1143" s="15"/>
      <c r="V1143" s="15"/>
      <c r="W1143" s="15"/>
    </row>
    <row r="1144">
      <c r="A1144" s="11"/>
      <c r="B1144" s="11"/>
      <c r="C1144" s="20"/>
      <c r="D1144" s="20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5"/>
      <c r="U1144" s="15"/>
      <c r="V1144" s="15"/>
      <c r="W1144" s="15"/>
    </row>
    <row r="1145">
      <c r="A1145" s="11"/>
      <c r="B1145" s="11"/>
      <c r="C1145" s="20"/>
      <c r="D1145" s="20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5"/>
      <c r="U1145" s="15"/>
      <c r="V1145" s="15"/>
      <c r="W1145" s="15"/>
    </row>
    <row r="1146">
      <c r="A1146" s="11"/>
      <c r="B1146" s="11"/>
      <c r="C1146" s="20"/>
      <c r="D1146" s="20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5"/>
      <c r="U1146" s="15"/>
      <c r="V1146" s="15"/>
      <c r="W1146" s="15"/>
    </row>
    <row r="1147">
      <c r="A1147" s="11"/>
      <c r="B1147" s="11"/>
      <c r="C1147" s="20"/>
      <c r="D1147" s="20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5"/>
      <c r="U1147" s="15"/>
      <c r="V1147" s="15"/>
      <c r="W1147" s="15"/>
    </row>
    <row r="1148">
      <c r="A1148" s="11"/>
      <c r="B1148" s="11"/>
      <c r="C1148" s="20"/>
      <c r="D1148" s="20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5"/>
      <c r="U1148" s="15"/>
      <c r="V1148" s="15"/>
      <c r="W1148" s="15"/>
    </row>
    <row r="1149">
      <c r="A1149" s="11"/>
      <c r="B1149" s="11"/>
      <c r="C1149" s="20"/>
      <c r="D1149" s="20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5"/>
      <c r="U1149" s="15"/>
      <c r="V1149" s="15"/>
      <c r="W1149" s="15"/>
    </row>
    <row r="1150">
      <c r="A1150" s="11"/>
      <c r="B1150" s="11"/>
      <c r="C1150" s="20"/>
      <c r="D1150" s="20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5"/>
      <c r="U1150" s="15"/>
      <c r="V1150" s="15"/>
      <c r="W1150" s="15"/>
    </row>
    <row r="1151">
      <c r="A1151" s="11"/>
      <c r="B1151" s="11"/>
      <c r="C1151" s="20"/>
      <c r="D1151" s="20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5"/>
      <c r="U1151" s="15"/>
      <c r="V1151" s="15"/>
      <c r="W1151" s="15"/>
    </row>
    <row r="1152">
      <c r="A1152" s="11"/>
      <c r="B1152" s="11"/>
      <c r="C1152" s="20"/>
      <c r="D1152" s="20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5"/>
      <c r="U1152" s="15"/>
      <c r="V1152" s="15"/>
      <c r="W1152" s="15"/>
    </row>
    <row r="1153">
      <c r="A1153" s="11"/>
      <c r="B1153" s="11"/>
      <c r="C1153" s="20"/>
      <c r="D1153" s="20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5"/>
      <c r="U1153" s="15"/>
      <c r="V1153" s="15"/>
      <c r="W1153" s="15"/>
    </row>
    <row r="1154">
      <c r="A1154" s="11"/>
      <c r="B1154" s="11"/>
      <c r="C1154" s="20"/>
      <c r="D1154" s="20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5"/>
      <c r="U1154" s="15"/>
      <c r="V1154" s="15"/>
      <c r="W1154" s="15"/>
    </row>
    <row r="1155">
      <c r="A1155" s="11"/>
      <c r="B1155" s="11"/>
      <c r="C1155" s="20"/>
      <c r="D1155" s="20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5"/>
      <c r="U1155" s="15"/>
      <c r="V1155" s="15"/>
      <c r="W1155" s="15"/>
    </row>
    <row r="1156">
      <c r="A1156" s="11"/>
      <c r="B1156" s="11"/>
      <c r="C1156" s="20"/>
      <c r="D1156" s="20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5"/>
      <c r="U1156" s="15"/>
      <c r="V1156" s="15"/>
      <c r="W1156" s="15"/>
    </row>
    <row r="1157">
      <c r="A1157" s="11"/>
      <c r="B1157" s="11"/>
      <c r="C1157" s="20"/>
      <c r="D1157" s="20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5"/>
      <c r="U1157" s="15"/>
      <c r="V1157" s="15"/>
      <c r="W1157" s="15"/>
    </row>
    <row r="1158">
      <c r="A1158" s="11"/>
      <c r="B1158" s="11"/>
      <c r="C1158" s="20"/>
      <c r="D1158" s="20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5"/>
      <c r="U1158" s="15"/>
      <c r="V1158" s="15"/>
      <c r="W1158" s="15"/>
    </row>
    <row r="1159">
      <c r="A1159" s="11"/>
      <c r="B1159" s="11"/>
      <c r="C1159" s="20"/>
      <c r="D1159" s="20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5"/>
      <c r="U1159" s="15"/>
      <c r="V1159" s="15"/>
      <c r="W1159" s="15"/>
    </row>
    <row r="1160">
      <c r="A1160" s="11"/>
      <c r="B1160" s="11"/>
      <c r="C1160" s="20"/>
      <c r="D1160" s="20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5"/>
      <c r="U1160" s="15"/>
      <c r="V1160" s="15"/>
      <c r="W1160" s="15"/>
    </row>
    <row r="1161">
      <c r="A1161" s="11"/>
      <c r="B1161" s="11"/>
      <c r="C1161" s="20"/>
      <c r="D1161" s="20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5"/>
      <c r="U1161" s="15"/>
      <c r="V1161" s="15"/>
      <c r="W1161" s="15"/>
    </row>
    <row r="1162">
      <c r="A1162" s="11"/>
      <c r="B1162" s="11"/>
      <c r="C1162" s="20"/>
      <c r="D1162" s="20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5"/>
      <c r="U1162" s="15"/>
      <c r="V1162" s="15"/>
      <c r="W1162" s="15"/>
    </row>
    <row r="1163">
      <c r="A1163" s="11"/>
      <c r="B1163" s="11"/>
      <c r="C1163" s="20"/>
      <c r="D1163" s="20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5"/>
      <c r="U1163" s="15"/>
      <c r="V1163" s="15"/>
      <c r="W1163" s="15"/>
    </row>
    <row r="1164">
      <c r="A1164" s="11"/>
      <c r="B1164" s="11"/>
      <c r="C1164" s="20"/>
      <c r="D1164" s="20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5"/>
      <c r="U1164" s="15"/>
      <c r="V1164" s="15"/>
      <c r="W1164" s="15"/>
    </row>
    <row r="1165">
      <c r="A1165" s="11"/>
      <c r="B1165" s="11"/>
      <c r="C1165" s="20"/>
      <c r="D1165" s="20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5"/>
      <c r="U1165" s="15"/>
      <c r="V1165" s="15"/>
      <c r="W1165" s="15"/>
    </row>
    <row r="1166">
      <c r="A1166" s="11"/>
      <c r="B1166" s="11"/>
      <c r="C1166" s="20"/>
      <c r="D1166" s="20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5"/>
      <c r="U1166" s="15"/>
      <c r="V1166" s="15"/>
      <c r="W1166" s="15"/>
    </row>
    <row r="1167">
      <c r="A1167" s="11"/>
      <c r="B1167" s="11"/>
      <c r="C1167" s="20"/>
      <c r="D1167" s="20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5"/>
      <c r="U1167" s="15"/>
      <c r="V1167" s="15"/>
      <c r="W1167" s="15"/>
    </row>
    <row r="1168">
      <c r="A1168" s="11"/>
      <c r="B1168" s="11"/>
      <c r="C1168" s="20"/>
      <c r="D1168" s="20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5"/>
      <c r="U1168" s="15"/>
      <c r="V1168" s="15"/>
      <c r="W1168" s="15"/>
    </row>
    <row r="1169">
      <c r="A1169" s="11"/>
      <c r="B1169" s="11"/>
      <c r="C1169" s="20"/>
      <c r="D1169" s="20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5"/>
      <c r="U1169" s="15"/>
      <c r="V1169" s="15"/>
      <c r="W1169" s="15"/>
    </row>
    <row r="1170">
      <c r="A1170" s="11"/>
      <c r="B1170" s="11"/>
      <c r="C1170" s="20"/>
      <c r="D1170" s="20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5"/>
      <c r="U1170" s="15"/>
      <c r="V1170" s="15"/>
      <c r="W1170" s="15"/>
    </row>
    <row r="1171">
      <c r="A1171" s="11"/>
      <c r="B1171" s="11"/>
      <c r="C1171" s="20"/>
      <c r="D1171" s="20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5"/>
      <c r="U1171" s="15"/>
      <c r="V1171" s="15"/>
      <c r="W1171" s="15"/>
    </row>
    <row r="1172">
      <c r="A1172" s="11"/>
      <c r="B1172" s="11"/>
      <c r="C1172" s="20"/>
      <c r="D1172" s="20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5"/>
      <c r="U1172" s="15"/>
      <c r="V1172" s="15"/>
      <c r="W1172" s="15"/>
    </row>
    <row r="1173">
      <c r="A1173" s="11"/>
      <c r="B1173" s="11"/>
      <c r="C1173" s="20"/>
      <c r="D1173" s="20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5"/>
      <c r="U1173" s="15"/>
      <c r="V1173" s="15"/>
      <c r="W1173" s="15"/>
    </row>
    <row r="1174">
      <c r="A1174" s="11"/>
      <c r="B1174" s="11"/>
      <c r="C1174" s="20"/>
      <c r="D1174" s="20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5"/>
      <c r="U1174" s="15"/>
      <c r="V1174" s="15"/>
      <c r="W1174" s="15"/>
    </row>
    <row r="1175">
      <c r="A1175" s="11"/>
      <c r="B1175" s="11"/>
      <c r="C1175" s="20"/>
      <c r="D1175" s="20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5"/>
      <c r="U1175" s="15"/>
      <c r="V1175" s="15"/>
      <c r="W1175" s="15"/>
    </row>
    <row r="1176">
      <c r="A1176" s="11"/>
      <c r="B1176" s="11"/>
      <c r="C1176" s="20"/>
      <c r="D1176" s="20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5"/>
      <c r="U1176" s="15"/>
      <c r="V1176" s="15"/>
      <c r="W1176" s="15"/>
    </row>
    <row r="1177">
      <c r="A1177" s="11"/>
      <c r="B1177" s="11"/>
      <c r="C1177" s="20"/>
      <c r="D1177" s="20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5"/>
      <c r="U1177" s="15"/>
      <c r="V1177" s="15"/>
      <c r="W1177" s="15"/>
    </row>
    <row r="1178">
      <c r="A1178" s="11"/>
      <c r="B1178" s="11"/>
      <c r="C1178" s="20"/>
      <c r="D1178" s="20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5"/>
      <c r="U1178" s="15"/>
      <c r="V1178" s="15"/>
      <c r="W1178" s="15"/>
    </row>
    <row r="1179">
      <c r="A1179" s="11"/>
      <c r="B1179" s="11"/>
      <c r="C1179" s="20"/>
      <c r="D1179" s="20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5"/>
      <c r="U1179" s="15"/>
      <c r="V1179" s="15"/>
      <c r="W1179" s="15"/>
    </row>
    <row r="1180">
      <c r="A1180" s="11"/>
      <c r="B1180" s="11"/>
      <c r="C1180" s="20"/>
      <c r="D1180" s="20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5"/>
      <c r="U1180" s="15"/>
      <c r="V1180" s="15"/>
      <c r="W1180" s="15"/>
    </row>
    <row r="1181">
      <c r="A1181" s="11"/>
      <c r="B1181" s="11"/>
      <c r="C1181" s="20"/>
      <c r="D1181" s="20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5"/>
      <c r="U1181" s="15"/>
      <c r="V1181" s="15"/>
      <c r="W1181" s="15"/>
    </row>
    <row r="1182">
      <c r="A1182" s="11"/>
      <c r="B1182" s="11"/>
      <c r="C1182" s="20"/>
      <c r="D1182" s="20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5"/>
      <c r="U1182" s="15"/>
      <c r="V1182" s="15"/>
      <c r="W1182" s="15"/>
    </row>
    <row r="1183">
      <c r="A1183" s="11"/>
      <c r="B1183" s="11"/>
      <c r="C1183" s="20"/>
      <c r="D1183" s="20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5"/>
      <c r="U1183" s="15"/>
      <c r="V1183" s="15"/>
      <c r="W1183" s="15"/>
    </row>
    <row r="1184">
      <c r="A1184" s="11"/>
      <c r="B1184" s="11"/>
      <c r="C1184" s="20"/>
      <c r="D1184" s="20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5"/>
      <c r="U1184" s="15"/>
      <c r="V1184" s="15"/>
      <c r="W1184" s="15"/>
    </row>
    <row r="1185">
      <c r="A1185" s="11"/>
      <c r="B1185" s="11"/>
      <c r="C1185" s="20"/>
      <c r="D1185" s="20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5"/>
      <c r="U1185" s="15"/>
      <c r="V1185" s="15"/>
      <c r="W1185" s="15"/>
    </row>
    <row r="1186">
      <c r="A1186" s="11"/>
      <c r="B1186" s="11"/>
      <c r="C1186" s="20"/>
      <c r="D1186" s="20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5"/>
      <c r="U1186" s="15"/>
      <c r="V1186" s="15"/>
      <c r="W1186" s="15"/>
    </row>
    <row r="1187">
      <c r="A1187" s="11"/>
      <c r="B1187" s="11"/>
      <c r="C1187" s="20"/>
      <c r="D1187" s="20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5"/>
      <c r="U1187" s="15"/>
      <c r="V1187" s="15"/>
      <c r="W1187" s="15"/>
    </row>
    <row r="1188">
      <c r="A1188" s="11"/>
      <c r="B1188" s="11"/>
      <c r="C1188" s="20"/>
      <c r="D1188" s="20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5"/>
      <c r="U1188" s="15"/>
      <c r="V1188" s="15"/>
      <c r="W1188" s="15"/>
    </row>
    <row r="1189">
      <c r="A1189" s="11"/>
      <c r="B1189" s="11"/>
      <c r="C1189" s="20"/>
      <c r="D1189" s="20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5"/>
      <c r="U1189" s="15"/>
      <c r="V1189" s="15"/>
      <c r="W1189" s="15"/>
    </row>
    <row r="1190">
      <c r="A1190" s="11"/>
      <c r="B1190" s="11"/>
      <c r="C1190" s="20"/>
      <c r="D1190" s="20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5"/>
      <c r="U1190" s="15"/>
      <c r="V1190" s="15"/>
      <c r="W1190" s="15"/>
    </row>
    <row r="1191">
      <c r="A1191" s="11"/>
      <c r="B1191" s="11"/>
      <c r="C1191" s="20"/>
      <c r="D1191" s="20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5"/>
      <c r="U1191" s="15"/>
      <c r="V1191" s="15"/>
      <c r="W1191" s="15"/>
    </row>
    <row r="1192">
      <c r="A1192" s="11"/>
      <c r="B1192" s="11"/>
      <c r="C1192" s="20"/>
      <c r="D1192" s="20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5"/>
      <c r="U1192" s="15"/>
      <c r="V1192" s="15"/>
      <c r="W1192" s="15"/>
    </row>
    <row r="1193">
      <c r="A1193" s="11"/>
      <c r="B1193" s="11"/>
      <c r="C1193" s="20"/>
      <c r="D1193" s="20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5"/>
      <c r="U1193" s="15"/>
      <c r="V1193" s="15"/>
      <c r="W1193" s="15"/>
    </row>
    <row r="1194">
      <c r="A1194" s="11"/>
      <c r="B1194" s="11"/>
      <c r="C1194" s="20"/>
      <c r="D1194" s="20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5"/>
      <c r="U1194" s="15"/>
      <c r="V1194" s="15"/>
      <c r="W1194" s="15"/>
    </row>
    <row r="1195">
      <c r="A1195" s="11"/>
      <c r="B1195" s="11"/>
      <c r="C1195" s="20"/>
      <c r="D1195" s="20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5"/>
      <c r="U1195" s="15"/>
      <c r="V1195" s="15"/>
      <c r="W1195" s="15"/>
    </row>
    <row r="1196">
      <c r="A1196" s="11"/>
      <c r="B1196" s="11"/>
      <c r="C1196" s="20"/>
      <c r="D1196" s="20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5"/>
      <c r="U1196" s="15"/>
      <c r="V1196" s="15"/>
      <c r="W1196" s="15"/>
    </row>
    <row r="1197">
      <c r="A1197" s="11"/>
      <c r="B1197" s="11"/>
      <c r="C1197" s="20"/>
      <c r="D1197" s="20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5"/>
      <c r="U1197" s="15"/>
      <c r="V1197" s="15"/>
      <c r="W1197" s="15"/>
    </row>
    <row r="1198">
      <c r="A1198" s="11"/>
      <c r="B1198" s="11"/>
      <c r="C1198" s="20"/>
      <c r="D1198" s="20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5"/>
      <c r="U1198" s="15"/>
      <c r="V1198" s="15"/>
      <c r="W1198" s="15"/>
    </row>
    <row r="1199">
      <c r="A1199" s="11"/>
      <c r="B1199" s="11"/>
      <c r="C1199" s="20"/>
      <c r="D1199" s="20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5"/>
      <c r="U1199" s="15"/>
      <c r="V1199" s="15"/>
      <c r="W1199" s="15"/>
    </row>
    <row r="1200">
      <c r="A1200" s="11"/>
      <c r="B1200" s="11"/>
      <c r="C1200" s="20"/>
      <c r="D1200" s="20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5"/>
      <c r="U1200" s="15"/>
      <c r="V1200" s="15"/>
      <c r="W1200" s="15"/>
    </row>
    <row r="1201">
      <c r="A1201" s="11"/>
      <c r="B1201" s="11"/>
      <c r="C1201" s="20"/>
      <c r="D1201" s="20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5"/>
      <c r="U1201" s="15"/>
      <c r="V1201" s="15"/>
      <c r="W1201" s="15"/>
    </row>
    <row r="1202">
      <c r="A1202" s="11"/>
      <c r="B1202" s="11"/>
      <c r="C1202" s="20"/>
      <c r="D1202" s="20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5"/>
      <c r="U1202" s="15"/>
      <c r="V1202" s="15"/>
      <c r="W1202" s="15"/>
    </row>
    <row r="1203">
      <c r="A1203" s="11"/>
      <c r="B1203" s="11"/>
      <c r="C1203" s="20"/>
      <c r="D1203" s="20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5"/>
      <c r="U1203" s="15"/>
      <c r="V1203" s="15"/>
      <c r="W1203" s="15"/>
    </row>
    <row r="1204">
      <c r="A1204" s="11"/>
      <c r="B1204" s="11"/>
      <c r="C1204" s="20"/>
      <c r="D1204" s="20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5"/>
      <c r="U1204" s="15"/>
      <c r="V1204" s="15"/>
      <c r="W1204" s="15"/>
    </row>
    <row r="1205">
      <c r="A1205" s="11"/>
      <c r="B1205" s="11"/>
      <c r="C1205" s="20"/>
      <c r="D1205" s="20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5"/>
      <c r="U1205" s="15"/>
      <c r="V1205" s="15"/>
      <c r="W1205" s="15"/>
    </row>
    <row r="1206">
      <c r="A1206" s="11"/>
      <c r="B1206" s="11"/>
      <c r="C1206" s="20"/>
      <c r="D1206" s="20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5"/>
      <c r="U1206" s="15"/>
      <c r="V1206" s="15"/>
      <c r="W1206" s="15"/>
    </row>
    <row r="1207">
      <c r="A1207" s="11"/>
      <c r="B1207" s="11"/>
      <c r="C1207" s="20"/>
      <c r="D1207" s="20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5"/>
      <c r="U1207" s="15"/>
      <c r="V1207" s="15"/>
      <c r="W1207" s="15"/>
    </row>
    <row r="1208">
      <c r="A1208" s="11"/>
      <c r="B1208" s="11"/>
      <c r="C1208" s="20"/>
      <c r="D1208" s="20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5"/>
      <c r="U1208" s="15"/>
      <c r="V1208" s="15"/>
      <c r="W1208" s="15"/>
    </row>
    <row r="1209">
      <c r="A1209" s="11"/>
      <c r="B1209" s="11"/>
      <c r="C1209" s="20"/>
      <c r="D1209" s="20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5"/>
      <c r="U1209" s="15"/>
      <c r="V1209" s="15"/>
      <c r="W1209" s="15"/>
    </row>
    <row r="1210">
      <c r="A1210" s="11"/>
      <c r="B1210" s="11"/>
      <c r="C1210" s="20"/>
      <c r="D1210" s="20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5"/>
      <c r="U1210" s="15"/>
      <c r="V1210" s="15"/>
      <c r="W1210" s="15"/>
    </row>
    <row r="1211">
      <c r="A1211" s="11"/>
      <c r="B1211" s="11"/>
      <c r="C1211" s="20"/>
      <c r="D1211" s="20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5"/>
      <c r="U1211" s="15"/>
      <c r="V1211" s="15"/>
      <c r="W1211" s="15"/>
    </row>
    <row r="1212">
      <c r="A1212" s="11"/>
      <c r="B1212" s="11"/>
      <c r="C1212" s="20"/>
      <c r="D1212" s="20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5"/>
      <c r="U1212" s="15"/>
      <c r="V1212" s="15"/>
      <c r="W1212" s="15"/>
    </row>
    <row r="1213">
      <c r="A1213" s="11"/>
      <c r="B1213" s="11"/>
      <c r="C1213" s="20"/>
      <c r="D1213" s="20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5"/>
      <c r="U1213" s="15"/>
      <c r="V1213" s="15"/>
      <c r="W1213" s="15"/>
    </row>
    <row r="1214">
      <c r="A1214" s="11"/>
      <c r="B1214" s="11"/>
      <c r="C1214" s="20"/>
      <c r="D1214" s="20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5"/>
      <c r="U1214" s="15"/>
      <c r="V1214" s="15"/>
      <c r="W1214" s="15"/>
    </row>
    <row r="1215">
      <c r="A1215" s="11"/>
      <c r="B1215" s="11"/>
      <c r="C1215" s="20"/>
      <c r="D1215" s="20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5"/>
      <c r="U1215" s="15"/>
      <c r="V1215" s="15"/>
      <c r="W1215" s="15"/>
    </row>
    <row r="1216">
      <c r="A1216" s="11"/>
      <c r="B1216" s="11"/>
      <c r="C1216" s="20"/>
      <c r="D1216" s="20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5"/>
      <c r="U1216" s="15"/>
      <c r="V1216" s="15"/>
      <c r="W1216" s="15"/>
    </row>
    <row r="1217">
      <c r="A1217" s="11"/>
      <c r="B1217" s="11"/>
      <c r="C1217" s="20"/>
      <c r="D1217" s="20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5"/>
      <c r="U1217" s="15"/>
      <c r="V1217" s="15"/>
      <c r="W1217" s="15"/>
    </row>
    <row r="1218">
      <c r="A1218" s="11"/>
      <c r="B1218" s="11"/>
      <c r="C1218" s="20"/>
      <c r="D1218" s="20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5"/>
      <c r="U1218" s="15"/>
      <c r="V1218" s="15"/>
      <c r="W1218" s="15"/>
    </row>
    <row r="1219">
      <c r="A1219" s="11"/>
      <c r="B1219" s="11"/>
      <c r="C1219" s="20"/>
      <c r="D1219" s="20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5"/>
      <c r="U1219" s="15"/>
      <c r="V1219" s="15"/>
      <c r="W1219" s="15"/>
    </row>
    <row r="1220">
      <c r="A1220" s="11"/>
      <c r="B1220" s="11"/>
      <c r="C1220" s="20"/>
      <c r="D1220" s="20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5"/>
      <c r="U1220" s="15"/>
      <c r="V1220" s="15"/>
      <c r="W1220" s="15"/>
    </row>
    <row r="1221">
      <c r="A1221" s="11"/>
      <c r="B1221" s="11"/>
      <c r="C1221" s="20"/>
      <c r="D1221" s="20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5"/>
      <c r="U1221" s="15"/>
      <c r="V1221" s="15"/>
      <c r="W1221" s="15"/>
    </row>
    <row r="1222">
      <c r="A1222" s="11"/>
      <c r="B1222" s="11"/>
      <c r="C1222" s="20"/>
      <c r="D1222" s="20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5"/>
      <c r="U1222" s="15"/>
      <c r="V1222" s="15"/>
      <c r="W1222" s="15"/>
    </row>
    <row r="1223">
      <c r="A1223" s="11"/>
      <c r="B1223" s="11"/>
      <c r="C1223" s="20"/>
      <c r="D1223" s="20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5"/>
      <c r="U1223" s="15"/>
      <c r="V1223" s="15"/>
      <c r="W1223" s="15"/>
    </row>
    <row r="1224">
      <c r="A1224" s="11"/>
      <c r="B1224" s="11"/>
      <c r="C1224" s="20"/>
      <c r="D1224" s="20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5"/>
      <c r="U1224" s="15"/>
      <c r="V1224" s="15"/>
      <c r="W1224" s="15"/>
    </row>
    <row r="1225">
      <c r="A1225" s="11"/>
      <c r="B1225" s="11"/>
      <c r="C1225" s="20"/>
      <c r="D1225" s="20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5"/>
      <c r="U1225" s="15"/>
      <c r="V1225" s="15"/>
      <c r="W1225" s="15"/>
    </row>
    <row r="1226">
      <c r="A1226" s="11"/>
      <c r="B1226" s="11"/>
      <c r="C1226" s="20"/>
      <c r="D1226" s="20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5"/>
      <c r="U1226" s="15"/>
      <c r="V1226" s="15"/>
      <c r="W1226" s="15"/>
    </row>
    <row r="1227">
      <c r="A1227" s="11"/>
      <c r="B1227" s="11"/>
      <c r="C1227" s="20"/>
      <c r="D1227" s="20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5"/>
      <c r="U1227" s="15"/>
      <c r="V1227" s="15"/>
      <c r="W1227" s="15"/>
    </row>
    <row r="1228">
      <c r="A1228" s="11"/>
      <c r="B1228" s="11"/>
      <c r="C1228" s="20"/>
      <c r="D1228" s="20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5"/>
      <c r="U1228" s="15"/>
      <c r="V1228" s="15"/>
      <c r="W1228" s="15"/>
    </row>
    <row r="1229">
      <c r="A1229" s="11"/>
      <c r="B1229" s="11"/>
      <c r="C1229" s="20"/>
      <c r="D1229" s="20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5"/>
      <c r="U1229" s="15"/>
      <c r="V1229" s="15"/>
      <c r="W1229" s="15"/>
    </row>
    <row r="1230">
      <c r="A1230" s="11"/>
      <c r="B1230" s="11"/>
      <c r="C1230" s="20"/>
      <c r="D1230" s="20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5"/>
      <c r="U1230" s="15"/>
      <c r="V1230" s="15"/>
      <c r="W1230" s="15"/>
    </row>
    <row r="1231">
      <c r="A1231" s="11"/>
      <c r="B1231" s="11"/>
      <c r="C1231" s="20"/>
      <c r="D1231" s="20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5"/>
      <c r="U1231" s="15"/>
      <c r="V1231" s="15"/>
      <c r="W1231" s="15"/>
    </row>
    <row r="1232">
      <c r="A1232" s="11"/>
      <c r="B1232" s="11"/>
      <c r="C1232" s="20"/>
      <c r="D1232" s="20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5"/>
      <c r="U1232" s="15"/>
      <c r="V1232" s="15"/>
      <c r="W1232" s="15"/>
    </row>
    <row r="1233">
      <c r="A1233" s="11"/>
      <c r="B1233" s="11"/>
      <c r="C1233" s="20"/>
      <c r="D1233" s="20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5"/>
      <c r="U1233" s="15"/>
      <c r="V1233" s="15"/>
      <c r="W1233" s="15"/>
    </row>
    <row r="1234">
      <c r="A1234" s="11"/>
      <c r="B1234" s="11"/>
      <c r="C1234" s="20"/>
      <c r="D1234" s="20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5"/>
      <c r="U1234" s="15"/>
      <c r="V1234" s="15"/>
      <c r="W1234" s="15"/>
    </row>
    <row r="1235">
      <c r="A1235" s="11"/>
      <c r="B1235" s="11"/>
      <c r="C1235" s="20"/>
      <c r="D1235" s="20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5"/>
      <c r="U1235" s="15"/>
      <c r="V1235" s="15"/>
      <c r="W1235" s="15"/>
    </row>
    <row r="1236">
      <c r="A1236" s="11"/>
      <c r="B1236" s="11"/>
      <c r="C1236" s="20"/>
      <c r="D1236" s="20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5"/>
      <c r="U1236" s="15"/>
      <c r="V1236" s="15"/>
      <c r="W1236" s="15"/>
    </row>
    <row r="1237">
      <c r="A1237" s="11"/>
      <c r="B1237" s="11"/>
      <c r="C1237" s="20"/>
      <c r="D1237" s="20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5"/>
      <c r="U1237" s="15"/>
      <c r="V1237" s="15"/>
      <c r="W1237" s="15"/>
    </row>
    <row r="1238">
      <c r="A1238" s="11"/>
      <c r="B1238" s="11"/>
      <c r="C1238" s="20"/>
      <c r="D1238" s="20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5"/>
      <c r="U1238" s="15"/>
      <c r="V1238" s="15"/>
      <c r="W1238" s="15"/>
    </row>
    <row r="1239">
      <c r="A1239" s="11"/>
      <c r="B1239" s="11"/>
      <c r="C1239" s="20"/>
      <c r="D1239" s="20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5"/>
      <c r="U1239" s="15"/>
      <c r="V1239" s="15"/>
      <c r="W1239" s="15"/>
    </row>
    <row r="1240">
      <c r="A1240" s="11"/>
      <c r="B1240" s="11"/>
      <c r="C1240" s="20"/>
      <c r="D1240" s="20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5"/>
      <c r="U1240" s="15"/>
      <c r="V1240" s="15"/>
      <c r="W1240" s="15"/>
    </row>
    <row r="1241">
      <c r="A1241" s="11"/>
      <c r="B1241" s="11"/>
      <c r="C1241" s="20"/>
      <c r="D1241" s="20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5"/>
      <c r="U1241" s="15"/>
      <c r="V1241" s="15"/>
      <c r="W1241" s="15"/>
    </row>
    <row r="1242">
      <c r="A1242" s="11"/>
      <c r="B1242" s="11"/>
      <c r="C1242" s="20"/>
      <c r="D1242" s="20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5"/>
      <c r="U1242" s="15"/>
      <c r="V1242" s="15"/>
      <c r="W1242" s="15"/>
    </row>
    <row r="1243">
      <c r="A1243" s="11"/>
      <c r="B1243" s="11"/>
      <c r="C1243" s="20"/>
      <c r="D1243" s="20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5"/>
      <c r="U1243" s="15"/>
      <c r="V1243" s="15"/>
      <c r="W1243" s="15"/>
    </row>
    <row r="1244">
      <c r="A1244" s="11"/>
      <c r="B1244" s="11"/>
      <c r="C1244" s="20"/>
      <c r="D1244" s="20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5"/>
      <c r="U1244" s="15"/>
      <c r="V1244" s="15"/>
      <c r="W1244" s="15"/>
    </row>
    <row r="1245">
      <c r="A1245" s="11"/>
      <c r="B1245" s="11"/>
      <c r="C1245" s="20"/>
      <c r="D1245" s="20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5"/>
      <c r="U1245" s="15"/>
      <c r="V1245" s="15"/>
      <c r="W1245" s="15"/>
    </row>
    <row r="1246">
      <c r="A1246" s="11"/>
      <c r="B1246" s="11"/>
      <c r="C1246" s="20"/>
      <c r="D1246" s="20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5"/>
      <c r="U1246" s="15"/>
      <c r="V1246" s="15"/>
      <c r="W1246" s="15"/>
    </row>
    <row r="1247">
      <c r="A1247" s="11"/>
      <c r="B1247" s="11"/>
      <c r="C1247" s="20"/>
      <c r="D1247" s="20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5"/>
      <c r="U1247" s="15"/>
      <c r="V1247" s="15"/>
      <c r="W1247" s="15"/>
    </row>
    <row r="1248">
      <c r="A1248" s="11"/>
      <c r="B1248" s="11"/>
      <c r="C1248" s="20"/>
      <c r="D1248" s="20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5"/>
      <c r="U1248" s="15"/>
      <c r="V1248" s="15"/>
      <c r="W1248" s="15"/>
    </row>
    <row r="1249">
      <c r="A1249" s="11"/>
      <c r="B1249" s="11"/>
      <c r="C1249" s="20"/>
      <c r="D1249" s="20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5"/>
      <c r="U1249" s="15"/>
      <c r="V1249" s="15"/>
      <c r="W1249" s="15"/>
    </row>
    <row r="1250">
      <c r="A1250" s="11"/>
      <c r="B1250" s="11"/>
      <c r="C1250" s="20"/>
      <c r="D1250" s="20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5"/>
      <c r="U1250" s="15"/>
      <c r="V1250" s="15"/>
      <c r="W1250" s="15"/>
    </row>
    <row r="1251">
      <c r="A1251" s="11"/>
      <c r="B1251" s="11"/>
      <c r="C1251" s="20"/>
      <c r="D1251" s="20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5"/>
      <c r="U1251" s="15"/>
      <c r="V1251" s="15"/>
      <c r="W1251" s="15"/>
    </row>
    <row r="1252">
      <c r="A1252" s="11"/>
      <c r="B1252" s="11"/>
      <c r="C1252" s="20"/>
      <c r="D1252" s="20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5"/>
      <c r="U1252" s="15"/>
      <c r="V1252" s="15"/>
      <c r="W1252" s="15"/>
    </row>
    <row r="1253">
      <c r="A1253" s="11"/>
      <c r="B1253" s="11"/>
      <c r="C1253" s="20"/>
      <c r="D1253" s="20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5"/>
      <c r="U1253" s="15"/>
      <c r="V1253" s="15"/>
      <c r="W1253" s="15"/>
    </row>
    <row r="1254">
      <c r="A1254" s="11"/>
      <c r="B1254" s="11"/>
      <c r="C1254" s="20"/>
      <c r="D1254" s="20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5"/>
      <c r="U1254" s="15"/>
      <c r="V1254" s="15"/>
      <c r="W1254" s="15"/>
    </row>
    <row r="1255">
      <c r="A1255" s="11"/>
      <c r="B1255" s="11"/>
      <c r="C1255" s="20"/>
      <c r="D1255" s="20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5"/>
      <c r="U1255" s="15"/>
      <c r="V1255" s="15"/>
      <c r="W1255" s="15"/>
    </row>
    <row r="1256">
      <c r="A1256" s="11"/>
      <c r="B1256" s="11"/>
      <c r="C1256" s="20"/>
      <c r="D1256" s="20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5"/>
      <c r="U1256" s="15"/>
      <c r="V1256" s="15"/>
      <c r="W1256" s="15"/>
    </row>
    <row r="1257">
      <c r="A1257" s="11"/>
      <c r="B1257" s="11"/>
      <c r="C1257" s="20"/>
      <c r="D1257" s="20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5"/>
      <c r="U1257" s="15"/>
      <c r="V1257" s="15"/>
      <c r="W1257" s="15"/>
    </row>
    <row r="1258">
      <c r="A1258" s="11"/>
      <c r="B1258" s="11"/>
      <c r="C1258" s="20"/>
      <c r="D1258" s="20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5"/>
      <c r="U1258" s="15"/>
      <c r="V1258" s="15"/>
      <c r="W1258" s="15"/>
    </row>
    <row r="1259">
      <c r="A1259" s="11"/>
      <c r="B1259" s="11"/>
      <c r="C1259" s="20"/>
      <c r="D1259" s="20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5"/>
      <c r="U1259" s="15"/>
      <c r="V1259" s="15"/>
      <c r="W1259" s="15"/>
    </row>
    <row r="1260">
      <c r="A1260" s="11"/>
      <c r="B1260" s="11"/>
      <c r="C1260" s="20"/>
      <c r="D1260" s="20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5"/>
      <c r="U1260" s="15"/>
      <c r="V1260" s="15"/>
      <c r="W1260" s="15"/>
    </row>
    <row r="1261">
      <c r="A1261" s="11"/>
      <c r="B1261" s="11"/>
      <c r="C1261" s="20"/>
      <c r="D1261" s="20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5"/>
      <c r="U1261" s="15"/>
      <c r="V1261" s="15"/>
      <c r="W1261" s="15"/>
    </row>
    <row r="1262">
      <c r="A1262" s="11"/>
      <c r="B1262" s="11"/>
      <c r="C1262" s="20"/>
      <c r="D1262" s="20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5"/>
      <c r="U1262" s="15"/>
      <c r="V1262" s="15"/>
      <c r="W1262" s="15"/>
    </row>
    <row r="1263">
      <c r="A1263" s="11"/>
      <c r="B1263" s="11"/>
      <c r="C1263" s="20"/>
      <c r="D1263" s="20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5"/>
      <c r="U1263" s="15"/>
      <c r="V1263" s="15"/>
      <c r="W1263" s="15"/>
    </row>
    <row r="1264">
      <c r="A1264" s="11"/>
      <c r="B1264" s="11"/>
      <c r="C1264" s="20"/>
      <c r="D1264" s="20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5"/>
      <c r="U1264" s="15"/>
      <c r="V1264" s="15"/>
      <c r="W1264" s="15"/>
    </row>
    <row r="1265">
      <c r="A1265" s="11"/>
      <c r="B1265" s="11"/>
      <c r="C1265" s="20"/>
      <c r="D1265" s="20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5"/>
      <c r="U1265" s="15"/>
      <c r="V1265" s="15"/>
      <c r="W1265" s="15"/>
    </row>
    <row r="1266">
      <c r="A1266" s="11"/>
      <c r="B1266" s="11"/>
      <c r="C1266" s="20"/>
      <c r="D1266" s="20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5"/>
      <c r="U1266" s="15"/>
      <c r="V1266" s="15"/>
      <c r="W1266" s="15"/>
    </row>
    <row r="1267">
      <c r="A1267" s="11"/>
      <c r="B1267" s="11"/>
      <c r="C1267" s="20"/>
      <c r="D1267" s="20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5"/>
      <c r="U1267" s="15"/>
      <c r="V1267" s="15"/>
      <c r="W1267" s="15"/>
    </row>
    <row r="1268">
      <c r="A1268" s="11"/>
      <c r="B1268" s="11"/>
      <c r="C1268" s="20"/>
      <c r="D1268" s="20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5"/>
      <c r="U1268" s="15"/>
      <c r="V1268" s="15"/>
      <c r="W1268" s="15"/>
    </row>
    <row r="1269">
      <c r="A1269" s="11"/>
      <c r="B1269" s="11"/>
      <c r="C1269" s="20"/>
      <c r="D1269" s="20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5"/>
      <c r="U1269" s="15"/>
      <c r="V1269" s="15"/>
      <c r="W1269" s="15"/>
    </row>
    <row r="1270">
      <c r="A1270" s="11"/>
      <c r="B1270" s="11"/>
      <c r="C1270" s="20"/>
      <c r="D1270" s="20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5"/>
      <c r="U1270" s="15"/>
      <c r="V1270" s="15"/>
      <c r="W1270" s="15"/>
    </row>
    <row r="1271">
      <c r="A1271" s="11"/>
      <c r="B1271" s="11"/>
      <c r="C1271" s="20"/>
      <c r="D1271" s="20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5"/>
      <c r="U1271" s="15"/>
      <c r="V1271" s="15"/>
      <c r="W1271" s="15"/>
    </row>
    <row r="1272">
      <c r="A1272" s="11"/>
      <c r="B1272" s="11"/>
      <c r="C1272" s="20"/>
      <c r="D1272" s="20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5"/>
      <c r="U1272" s="15"/>
      <c r="V1272" s="15"/>
      <c r="W1272" s="15"/>
    </row>
    <row r="1273">
      <c r="A1273" s="11"/>
      <c r="B1273" s="11"/>
      <c r="C1273" s="20"/>
      <c r="D1273" s="20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5"/>
      <c r="U1273" s="15"/>
      <c r="V1273" s="15"/>
      <c r="W1273" s="15"/>
    </row>
    <row r="1274">
      <c r="A1274" s="11"/>
      <c r="B1274" s="11"/>
      <c r="C1274" s="20"/>
      <c r="D1274" s="20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5"/>
      <c r="U1274" s="15"/>
      <c r="V1274" s="15"/>
      <c r="W1274" s="15"/>
    </row>
    <row r="1275">
      <c r="A1275" s="11"/>
      <c r="B1275" s="11"/>
      <c r="C1275" s="20"/>
      <c r="D1275" s="20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5"/>
      <c r="U1275" s="15"/>
      <c r="V1275" s="15"/>
      <c r="W1275" s="15"/>
    </row>
    <row r="1276">
      <c r="A1276" s="11"/>
      <c r="B1276" s="11"/>
      <c r="C1276" s="20"/>
      <c r="D1276" s="20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5"/>
      <c r="U1276" s="15"/>
      <c r="V1276" s="15"/>
      <c r="W1276" s="15"/>
    </row>
    <row r="1277">
      <c r="A1277" s="11"/>
      <c r="B1277" s="11"/>
      <c r="C1277" s="20"/>
      <c r="D1277" s="20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5"/>
      <c r="U1277" s="15"/>
      <c r="V1277" s="15"/>
      <c r="W1277" s="15"/>
    </row>
    <row r="1278">
      <c r="A1278" s="11"/>
      <c r="B1278" s="11"/>
      <c r="C1278" s="20"/>
      <c r="D1278" s="20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5"/>
      <c r="U1278" s="15"/>
      <c r="V1278" s="15"/>
      <c r="W1278" s="15"/>
    </row>
    <row r="1279">
      <c r="A1279" s="11"/>
      <c r="B1279" s="11"/>
      <c r="C1279" s="20"/>
      <c r="D1279" s="20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5"/>
      <c r="U1279" s="15"/>
      <c r="V1279" s="15"/>
      <c r="W1279" s="15"/>
    </row>
    <row r="1280">
      <c r="A1280" s="11"/>
      <c r="B1280" s="11"/>
      <c r="C1280" s="20"/>
      <c r="D1280" s="20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5"/>
      <c r="U1280" s="15"/>
      <c r="V1280" s="15"/>
      <c r="W1280" s="15"/>
    </row>
    <row r="1281">
      <c r="A1281" s="11"/>
      <c r="B1281" s="11"/>
      <c r="C1281" s="20"/>
      <c r="D1281" s="20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5"/>
      <c r="U1281" s="15"/>
      <c r="V1281" s="15"/>
      <c r="W1281" s="15"/>
    </row>
    <row r="1282">
      <c r="A1282" s="11"/>
      <c r="B1282" s="11"/>
      <c r="C1282" s="20"/>
      <c r="D1282" s="20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5"/>
      <c r="U1282" s="15"/>
      <c r="V1282" s="15"/>
      <c r="W1282" s="15"/>
    </row>
    <row r="1283">
      <c r="A1283" s="11"/>
      <c r="B1283" s="11"/>
      <c r="C1283" s="20"/>
      <c r="D1283" s="20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5"/>
      <c r="U1283" s="15"/>
      <c r="V1283" s="15"/>
      <c r="W1283" s="15"/>
    </row>
    <row r="1284">
      <c r="A1284" s="11"/>
      <c r="B1284" s="11"/>
      <c r="C1284" s="20"/>
      <c r="D1284" s="20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5"/>
      <c r="U1284" s="15"/>
      <c r="V1284" s="15"/>
      <c r="W1284" s="15"/>
    </row>
    <row r="1285">
      <c r="A1285" s="11"/>
      <c r="B1285" s="11"/>
      <c r="C1285" s="20"/>
      <c r="D1285" s="20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5"/>
      <c r="U1285" s="15"/>
      <c r="V1285" s="15"/>
      <c r="W1285" s="15"/>
    </row>
    <row r="1286">
      <c r="A1286" s="11"/>
      <c r="B1286" s="11"/>
      <c r="C1286" s="20"/>
      <c r="D1286" s="20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5"/>
      <c r="U1286" s="15"/>
      <c r="V1286" s="15"/>
      <c r="W1286" s="15"/>
    </row>
    <row r="1287">
      <c r="A1287" s="11"/>
      <c r="B1287" s="11"/>
      <c r="C1287" s="20"/>
      <c r="D1287" s="20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5"/>
      <c r="U1287" s="15"/>
      <c r="V1287" s="15"/>
      <c r="W1287" s="15"/>
    </row>
    <row r="1288">
      <c r="A1288" s="11"/>
      <c r="B1288" s="11"/>
      <c r="C1288" s="20"/>
      <c r="D1288" s="20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5"/>
      <c r="U1288" s="15"/>
      <c r="V1288" s="15"/>
      <c r="W1288" s="15"/>
    </row>
    <row r="1289">
      <c r="A1289" s="11"/>
      <c r="B1289" s="11"/>
      <c r="C1289" s="20"/>
      <c r="D1289" s="20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5"/>
      <c r="U1289" s="15"/>
      <c r="V1289" s="15"/>
      <c r="W1289" s="15"/>
    </row>
    <row r="1290">
      <c r="A1290" s="11"/>
      <c r="B1290" s="11"/>
      <c r="C1290" s="20"/>
      <c r="D1290" s="20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5"/>
      <c r="U1290" s="15"/>
      <c r="V1290" s="15"/>
      <c r="W1290" s="15"/>
    </row>
    <row r="1291">
      <c r="A1291" s="11"/>
      <c r="B1291" s="11"/>
      <c r="C1291" s="20"/>
      <c r="D1291" s="20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5"/>
      <c r="U1291" s="15"/>
      <c r="V1291" s="15"/>
      <c r="W1291" s="15"/>
    </row>
    <row r="1292">
      <c r="A1292" s="11"/>
      <c r="B1292" s="11"/>
      <c r="C1292" s="20"/>
      <c r="D1292" s="20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5"/>
      <c r="U1292" s="15"/>
      <c r="V1292" s="15"/>
      <c r="W1292" s="15"/>
    </row>
    <row r="1293">
      <c r="A1293" s="11"/>
      <c r="B1293" s="11"/>
      <c r="C1293" s="20"/>
      <c r="D1293" s="20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5"/>
      <c r="U1293" s="15"/>
      <c r="V1293" s="15"/>
      <c r="W1293" s="15"/>
    </row>
    <row r="1294">
      <c r="A1294" s="11"/>
      <c r="B1294" s="11"/>
      <c r="C1294" s="20"/>
      <c r="D1294" s="20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5"/>
      <c r="U1294" s="15"/>
      <c r="V1294" s="15"/>
      <c r="W1294" s="15"/>
    </row>
    <row r="1295">
      <c r="A1295" s="11"/>
      <c r="B1295" s="11"/>
      <c r="C1295" s="20"/>
      <c r="D1295" s="20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5"/>
      <c r="U1295" s="15"/>
      <c r="V1295" s="15"/>
      <c r="W1295" s="15"/>
    </row>
    <row r="1296">
      <c r="A1296" s="11"/>
      <c r="B1296" s="11"/>
      <c r="C1296" s="20"/>
      <c r="D1296" s="20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5"/>
      <c r="U1296" s="15"/>
      <c r="V1296" s="15"/>
      <c r="W1296" s="15"/>
    </row>
    <row r="1297">
      <c r="A1297" s="11"/>
      <c r="B1297" s="11"/>
      <c r="C1297" s="20"/>
      <c r="D1297" s="20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5"/>
      <c r="U1297" s="15"/>
      <c r="V1297" s="15"/>
      <c r="W1297" s="15"/>
    </row>
    <row r="1298">
      <c r="A1298" s="11"/>
      <c r="B1298" s="11"/>
      <c r="C1298" s="20"/>
      <c r="D1298" s="20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5"/>
      <c r="U1298" s="15"/>
      <c r="V1298" s="15"/>
      <c r="W1298" s="15"/>
    </row>
    <row r="1299">
      <c r="A1299" s="11"/>
      <c r="B1299" s="11"/>
      <c r="C1299" s="20"/>
      <c r="D1299" s="20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5"/>
      <c r="U1299" s="15"/>
      <c r="V1299" s="15"/>
      <c r="W1299" s="15"/>
    </row>
    <row r="1300">
      <c r="A1300" s="11"/>
      <c r="B1300" s="11"/>
      <c r="C1300" s="20"/>
      <c r="D1300" s="20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5"/>
      <c r="U1300" s="15"/>
      <c r="V1300" s="15"/>
      <c r="W1300" s="15"/>
    </row>
    <row r="1301">
      <c r="A1301" s="11"/>
      <c r="B1301" s="11"/>
      <c r="C1301" s="20"/>
      <c r="D1301" s="20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5"/>
      <c r="U1301" s="15"/>
      <c r="V1301" s="15"/>
      <c r="W1301" s="15"/>
    </row>
    <row r="1302">
      <c r="A1302" s="11"/>
      <c r="B1302" s="11"/>
      <c r="C1302" s="20"/>
      <c r="D1302" s="20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5"/>
      <c r="U1302" s="15"/>
      <c r="V1302" s="15"/>
      <c r="W1302" s="15"/>
    </row>
    <row r="1303">
      <c r="A1303" s="11"/>
      <c r="B1303" s="11"/>
      <c r="C1303" s="20"/>
      <c r="D1303" s="20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5"/>
      <c r="U1303" s="15"/>
      <c r="V1303" s="15"/>
      <c r="W1303" s="15"/>
    </row>
    <row r="1304">
      <c r="A1304" s="11"/>
      <c r="B1304" s="11"/>
      <c r="C1304" s="20"/>
      <c r="D1304" s="20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5"/>
      <c r="U1304" s="15"/>
      <c r="V1304" s="15"/>
      <c r="W1304" s="15"/>
    </row>
    <row r="1305">
      <c r="A1305" s="11"/>
      <c r="B1305" s="11"/>
      <c r="C1305" s="20"/>
      <c r="D1305" s="20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5"/>
      <c r="U1305" s="15"/>
      <c r="V1305" s="15"/>
      <c r="W1305" s="15"/>
    </row>
    <row r="1306">
      <c r="A1306" s="11"/>
      <c r="B1306" s="11"/>
      <c r="C1306" s="20"/>
      <c r="D1306" s="20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5"/>
      <c r="U1306" s="15"/>
      <c r="V1306" s="15"/>
      <c r="W1306" s="15"/>
    </row>
    <row r="1307">
      <c r="A1307" s="11"/>
      <c r="B1307" s="11"/>
      <c r="C1307" s="20"/>
      <c r="D1307" s="20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5"/>
      <c r="U1307" s="15"/>
      <c r="V1307" s="15"/>
      <c r="W1307" s="15"/>
    </row>
    <row r="1308">
      <c r="A1308" s="11"/>
      <c r="B1308" s="11"/>
      <c r="C1308" s="20"/>
      <c r="D1308" s="20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5"/>
      <c r="U1308" s="15"/>
      <c r="V1308" s="15"/>
      <c r="W1308" s="15"/>
    </row>
    <row r="1309">
      <c r="A1309" s="11"/>
      <c r="B1309" s="11"/>
      <c r="C1309" s="20"/>
      <c r="D1309" s="20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5"/>
      <c r="U1309" s="15"/>
      <c r="V1309" s="15"/>
      <c r="W1309" s="15"/>
    </row>
    <row r="1310">
      <c r="A1310" s="11"/>
      <c r="B1310" s="11"/>
      <c r="C1310" s="20"/>
      <c r="D1310" s="20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5"/>
      <c r="U1310" s="15"/>
      <c r="V1310" s="15"/>
      <c r="W1310" s="15"/>
    </row>
    <row r="1311">
      <c r="A1311" s="11"/>
      <c r="B1311" s="11"/>
      <c r="C1311" s="20"/>
      <c r="D1311" s="20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5"/>
      <c r="U1311" s="15"/>
      <c r="V1311" s="15"/>
      <c r="W1311" s="15"/>
    </row>
    <row r="1312">
      <c r="A1312" s="11"/>
      <c r="B1312" s="11"/>
      <c r="C1312" s="20"/>
      <c r="D1312" s="20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5"/>
      <c r="U1312" s="15"/>
      <c r="V1312" s="15"/>
      <c r="W1312" s="15"/>
    </row>
    <row r="1313">
      <c r="A1313" s="11"/>
      <c r="B1313" s="11"/>
      <c r="C1313" s="20"/>
      <c r="D1313" s="20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5"/>
      <c r="U1313" s="15"/>
      <c r="V1313" s="15"/>
      <c r="W1313" s="15"/>
    </row>
    <row r="1314">
      <c r="A1314" s="11"/>
      <c r="B1314" s="11"/>
      <c r="C1314" s="20"/>
      <c r="D1314" s="20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5"/>
      <c r="U1314" s="15"/>
      <c r="V1314" s="15"/>
      <c r="W1314" s="15"/>
    </row>
    <row r="1315">
      <c r="A1315" s="11"/>
      <c r="B1315" s="11"/>
      <c r="C1315" s="20"/>
      <c r="D1315" s="20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5"/>
      <c r="U1315" s="15"/>
      <c r="V1315" s="15"/>
      <c r="W1315" s="15"/>
    </row>
    <row r="1316">
      <c r="A1316" s="11"/>
      <c r="B1316" s="11"/>
      <c r="C1316" s="20"/>
      <c r="D1316" s="20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5"/>
      <c r="U1316" s="15"/>
      <c r="V1316" s="15"/>
      <c r="W1316" s="15"/>
    </row>
    <row r="1317">
      <c r="A1317" s="11"/>
      <c r="B1317" s="11"/>
      <c r="C1317" s="20"/>
      <c r="D1317" s="20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5"/>
      <c r="U1317" s="15"/>
      <c r="V1317" s="15"/>
      <c r="W1317" s="15"/>
    </row>
    <row r="1318">
      <c r="A1318" s="11"/>
      <c r="B1318" s="11"/>
      <c r="C1318" s="20"/>
      <c r="D1318" s="20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5"/>
      <c r="U1318" s="15"/>
      <c r="V1318" s="15"/>
      <c r="W1318" s="15"/>
    </row>
    <row r="1319">
      <c r="A1319" s="11"/>
      <c r="B1319" s="11"/>
      <c r="C1319" s="20"/>
      <c r="D1319" s="20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5"/>
      <c r="U1319" s="15"/>
      <c r="V1319" s="15"/>
      <c r="W1319" s="15"/>
    </row>
    <row r="1320">
      <c r="A1320" s="11"/>
      <c r="B1320" s="11"/>
      <c r="C1320" s="20"/>
      <c r="D1320" s="20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5"/>
      <c r="U1320" s="15"/>
      <c r="V1320" s="15"/>
      <c r="W1320" s="15"/>
    </row>
    <row r="1321">
      <c r="A1321" s="11"/>
      <c r="B1321" s="11"/>
      <c r="C1321" s="20"/>
      <c r="D1321" s="20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5"/>
      <c r="U1321" s="15"/>
      <c r="V1321" s="15"/>
      <c r="W1321" s="15"/>
    </row>
    <row r="1322">
      <c r="A1322" s="11"/>
      <c r="B1322" s="11"/>
      <c r="C1322" s="20"/>
      <c r="D1322" s="20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5"/>
      <c r="U1322" s="15"/>
      <c r="V1322" s="15"/>
      <c r="W1322" s="15"/>
    </row>
    <row r="1323">
      <c r="A1323" s="11"/>
      <c r="B1323" s="11"/>
      <c r="C1323" s="20"/>
      <c r="D1323" s="20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5"/>
      <c r="U1323" s="15"/>
      <c r="V1323" s="15"/>
      <c r="W1323" s="15"/>
    </row>
    <row r="1324">
      <c r="A1324" s="11"/>
      <c r="B1324" s="11"/>
      <c r="C1324" s="20"/>
      <c r="D1324" s="20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5"/>
      <c r="U1324" s="15"/>
      <c r="V1324" s="15"/>
      <c r="W1324" s="15"/>
    </row>
    <row r="1325">
      <c r="A1325" s="11"/>
      <c r="B1325" s="11"/>
      <c r="C1325" s="20"/>
      <c r="D1325" s="20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5"/>
      <c r="U1325" s="15"/>
      <c r="V1325" s="15"/>
      <c r="W1325" s="15"/>
    </row>
    <row r="1326">
      <c r="A1326" s="11"/>
      <c r="B1326" s="11"/>
      <c r="C1326" s="20"/>
      <c r="D1326" s="20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5"/>
      <c r="U1326" s="15"/>
      <c r="V1326" s="15"/>
      <c r="W1326" s="15"/>
    </row>
    <row r="1327">
      <c r="A1327" s="11"/>
      <c r="B1327" s="11"/>
      <c r="C1327" s="20"/>
      <c r="D1327" s="20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5"/>
      <c r="U1327" s="15"/>
      <c r="V1327" s="15"/>
      <c r="W1327" s="15"/>
    </row>
    <row r="1328">
      <c r="A1328" s="11"/>
      <c r="B1328" s="11"/>
      <c r="C1328" s="20"/>
      <c r="D1328" s="20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5"/>
      <c r="U1328" s="15"/>
      <c r="V1328" s="15"/>
      <c r="W1328" s="15"/>
    </row>
    <row r="1329">
      <c r="A1329" s="11"/>
      <c r="B1329" s="11"/>
      <c r="C1329" s="20"/>
      <c r="D1329" s="20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5"/>
      <c r="U1329" s="15"/>
      <c r="V1329" s="15"/>
      <c r="W1329" s="15"/>
    </row>
    <row r="1330">
      <c r="A1330" s="11"/>
      <c r="B1330" s="11"/>
      <c r="C1330" s="20"/>
      <c r="D1330" s="20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5"/>
      <c r="U1330" s="15"/>
      <c r="V1330" s="15"/>
      <c r="W1330" s="15"/>
    </row>
    <row r="1331">
      <c r="A1331" s="11"/>
      <c r="B1331" s="11"/>
      <c r="C1331" s="20"/>
      <c r="D1331" s="20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5"/>
      <c r="U1331" s="15"/>
      <c r="V1331" s="15"/>
      <c r="W1331" s="15"/>
    </row>
    <row r="1332">
      <c r="A1332" s="11"/>
      <c r="B1332" s="11"/>
      <c r="C1332" s="20"/>
      <c r="D1332" s="20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5"/>
      <c r="U1332" s="15"/>
      <c r="V1332" s="15"/>
      <c r="W1332" s="15"/>
    </row>
    <row r="1333">
      <c r="A1333" s="11"/>
      <c r="B1333" s="11"/>
      <c r="C1333" s="20"/>
      <c r="D1333" s="20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5"/>
      <c r="U1333" s="15"/>
      <c r="V1333" s="15"/>
      <c r="W1333" s="15"/>
    </row>
    <row r="1334">
      <c r="A1334" s="11"/>
      <c r="B1334" s="11"/>
      <c r="C1334" s="20"/>
      <c r="D1334" s="20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5"/>
      <c r="U1334" s="15"/>
      <c r="V1334" s="15"/>
      <c r="W1334" s="15"/>
    </row>
    <row r="1335">
      <c r="A1335" s="11"/>
      <c r="B1335" s="11"/>
      <c r="C1335" s="20"/>
      <c r="D1335" s="20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5"/>
      <c r="U1335" s="15"/>
      <c r="V1335" s="15"/>
      <c r="W1335" s="15"/>
    </row>
    <row r="1336">
      <c r="A1336" s="11"/>
      <c r="B1336" s="11"/>
      <c r="C1336" s="20"/>
      <c r="D1336" s="20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5"/>
      <c r="U1336" s="15"/>
      <c r="V1336" s="15"/>
      <c r="W1336" s="15"/>
    </row>
    <row r="1337">
      <c r="A1337" s="11"/>
      <c r="B1337" s="11"/>
      <c r="C1337" s="20"/>
      <c r="D1337" s="20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5"/>
      <c r="U1337" s="15"/>
      <c r="V1337" s="15"/>
      <c r="W1337" s="15"/>
    </row>
    <row r="1338">
      <c r="A1338" s="11"/>
      <c r="B1338" s="11"/>
      <c r="C1338" s="20"/>
      <c r="D1338" s="20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5"/>
      <c r="U1338" s="15"/>
      <c r="V1338" s="15"/>
      <c r="W1338" s="15"/>
    </row>
    <row r="1339">
      <c r="A1339" s="11"/>
      <c r="B1339" s="11"/>
      <c r="C1339" s="20"/>
      <c r="D1339" s="20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5"/>
      <c r="U1339" s="15"/>
      <c r="V1339" s="15"/>
      <c r="W1339" s="15"/>
    </row>
    <row r="1340">
      <c r="A1340" s="11"/>
      <c r="B1340" s="11"/>
      <c r="C1340" s="20"/>
      <c r="D1340" s="20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5"/>
      <c r="U1340" s="15"/>
      <c r="V1340" s="15"/>
      <c r="W1340" s="15"/>
    </row>
    <row r="1341">
      <c r="A1341" s="11"/>
      <c r="B1341" s="11"/>
      <c r="C1341" s="20"/>
      <c r="D1341" s="20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5"/>
      <c r="U1341" s="15"/>
      <c r="V1341" s="15"/>
      <c r="W1341" s="15"/>
    </row>
    <row r="1342">
      <c r="A1342" s="11"/>
      <c r="B1342" s="11"/>
      <c r="C1342" s="20"/>
      <c r="D1342" s="20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5"/>
      <c r="U1342" s="15"/>
      <c r="V1342" s="15"/>
      <c r="W1342" s="15"/>
    </row>
    <row r="1343">
      <c r="A1343" s="11"/>
      <c r="B1343" s="11"/>
      <c r="C1343" s="20"/>
      <c r="D1343" s="20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5"/>
      <c r="U1343" s="15"/>
      <c r="V1343" s="15"/>
      <c r="W1343" s="15"/>
    </row>
    <row r="1344">
      <c r="A1344" s="11"/>
      <c r="B1344" s="11"/>
      <c r="C1344" s="20"/>
      <c r="D1344" s="20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5"/>
      <c r="U1344" s="15"/>
      <c r="V1344" s="15"/>
      <c r="W1344" s="15"/>
    </row>
    <row r="1345">
      <c r="A1345" s="11"/>
      <c r="B1345" s="11"/>
      <c r="C1345" s="20"/>
      <c r="D1345" s="20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5"/>
      <c r="U1345" s="15"/>
      <c r="V1345" s="15"/>
      <c r="W1345" s="15"/>
    </row>
    <row r="1346">
      <c r="A1346" s="11"/>
      <c r="B1346" s="11"/>
      <c r="C1346" s="20"/>
      <c r="D1346" s="20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5"/>
      <c r="U1346" s="15"/>
      <c r="V1346" s="15"/>
      <c r="W1346" s="15"/>
    </row>
    <row r="1347">
      <c r="A1347" s="11"/>
      <c r="B1347" s="11"/>
      <c r="C1347" s="20"/>
      <c r="D1347" s="20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5"/>
      <c r="U1347" s="15"/>
      <c r="V1347" s="15"/>
      <c r="W1347" s="15"/>
    </row>
    <row r="1348">
      <c r="A1348" s="11"/>
      <c r="B1348" s="11"/>
      <c r="C1348" s="20"/>
      <c r="D1348" s="20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5"/>
      <c r="U1348" s="15"/>
      <c r="V1348" s="15"/>
      <c r="W1348" s="15"/>
    </row>
    <row r="1349">
      <c r="A1349" s="11"/>
      <c r="B1349" s="11"/>
      <c r="C1349" s="20"/>
      <c r="D1349" s="20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5"/>
      <c r="U1349" s="15"/>
      <c r="V1349" s="15"/>
      <c r="W1349" s="15"/>
    </row>
    <row r="1350">
      <c r="A1350" s="11"/>
      <c r="B1350" s="11"/>
      <c r="C1350" s="20"/>
      <c r="D1350" s="20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5"/>
      <c r="U1350" s="15"/>
      <c r="V1350" s="15"/>
      <c r="W1350" s="15"/>
    </row>
    <row r="1351">
      <c r="A1351" s="11"/>
      <c r="B1351" s="11"/>
      <c r="C1351" s="20"/>
      <c r="D1351" s="20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5"/>
      <c r="U1351" s="15"/>
      <c r="V1351" s="15"/>
      <c r="W1351" s="15"/>
    </row>
    <row r="1352">
      <c r="A1352" s="11"/>
      <c r="B1352" s="11"/>
      <c r="C1352" s="20"/>
      <c r="D1352" s="20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5"/>
      <c r="U1352" s="15"/>
      <c r="V1352" s="15"/>
      <c r="W1352" s="15"/>
    </row>
    <row r="1353">
      <c r="A1353" s="11"/>
      <c r="B1353" s="11"/>
      <c r="C1353" s="20"/>
      <c r="D1353" s="20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5"/>
      <c r="U1353" s="15"/>
      <c r="V1353" s="15"/>
      <c r="W1353" s="15"/>
    </row>
    <row r="1354">
      <c r="A1354" s="11"/>
      <c r="B1354" s="11"/>
      <c r="C1354" s="20"/>
      <c r="D1354" s="20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5"/>
      <c r="U1354" s="15"/>
      <c r="V1354" s="15"/>
      <c r="W1354" s="15"/>
    </row>
    <row r="1355">
      <c r="A1355" s="11"/>
      <c r="B1355" s="11"/>
      <c r="C1355" s="20"/>
      <c r="D1355" s="20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5"/>
      <c r="U1355" s="15"/>
      <c r="V1355" s="15"/>
      <c r="W1355" s="15"/>
    </row>
    <row r="1356">
      <c r="A1356" s="11"/>
      <c r="B1356" s="11"/>
      <c r="C1356" s="20"/>
      <c r="D1356" s="20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5"/>
      <c r="U1356" s="15"/>
      <c r="V1356" s="15"/>
      <c r="W1356" s="15"/>
    </row>
    <row r="1357">
      <c r="A1357" s="11"/>
      <c r="B1357" s="11"/>
      <c r="C1357" s="20"/>
      <c r="D1357" s="20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5"/>
      <c r="U1357" s="15"/>
      <c r="V1357" s="15"/>
      <c r="W1357" s="15"/>
    </row>
    <row r="1358">
      <c r="A1358" s="11"/>
      <c r="B1358" s="11"/>
      <c r="C1358" s="20"/>
      <c r="D1358" s="20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5"/>
      <c r="U1358" s="15"/>
      <c r="V1358" s="15"/>
      <c r="W1358" s="15"/>
    </row>
    <row r="1359">
      <c r="A1359" s="11"/>
      <c r="B1359" s="11"/>
      <c r="C1359" s="20"/>
      <c r="D1359" s="20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5"/>
      <c r="U1359" s="15"/>
      <c r="V1359" s="15"/>
      <c r="W1359" s="15"/>
    </row>
    <row r="1360">
      <c r="A1360" s="11"/>
      <c r="B1360" s="11"/>
      <c r="C1360" s="20"/>
      <c r="D1360" s="20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5"/>
      <c r="U1360" s="15"/>
      <c r="V1360" s="15"/>
      <c r="W1360" s="15"/>
    </row>
    <row r="1361">
      <c r="A1361" s="11"/>
      <c r="B1361" s="11"/>
      <c r="C1361" s="20"/>
      <c r="D1361" s="20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5"/>
      <c r="U1361" s="15"/>
      <c r="V1361" s="15"/>
      <c r="W1361" s="15"/>
    </row>
    <row r="1362">
      <c r="A1362" s="11"/>
      <c r="B1362" s="11"/>
      <c r="C1362" s="20"/>
      <c r="D1362" s="20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5"/>
      <c r="U1362" s="15"/>
      <c r="V1362" s="15"/>
      <c r="W1362" s="15"/>
    </row>
    <row r="1363">
      <c r="A1363" s="11"/>
      <c r="B1363" s="11"/>
      <c r="C1363" s="20"/>
      <c r="D1363" s="20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5"/>
      <c r="U1363" s="15"/>
      <c r="V1363" s="15"/>
      <c r="W1363" s="15"/>
    </row>
    <row r="1364">
      <c r="A1364" s="11"/>
      <c r="B1364" s="11"/>
      <c r="C1364" s="20"/>
      <c r="D1364" s="20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5"/>
      <c r="U1364" s="15"/>
      <c r="V1364" s="15"/>
      <c r="W1364" s="15"/>
    </row>
    <row r="1365">
      <c r="A1365" s="11"/>
      <c r="B1365" s="11"/>
      <c r="C1365" s="20"/>
      <c r="D1365" s="20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5"/>
      <c r="U1365" s="15"/>
      <c r="V1365" s="15"/>
      <c r="W1365" s="15"/>
    </row>
    <row r="1366">
      <c r="A1366" s="11"/>
      <c r="B1366" s="11"/>
      <c r="C1366" s="20"/>
      <c r="D1366" s="20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5"/>
      <c r="U1366" s="15"/>
      <c r="V1366" s="15"/>
      <c r="W1366" s="15"/>
    </row>
    <row r="1367">
      <c r="A1367" s="11"/>
      <c r="B1367" s="11"/>
      <c r="C1367" s="20"/>
      <c r="D1367" s="20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5"/>
      <c r="U1367" s="15"/>
      <c r="V1367" s="15"/>
      <c r="W1367" s="15"/>
    </row>
    <row r="1368">
      <c r="A1368" s="11"/>
      <c r="B1368" s="11"/>
      <c r="C1368" s="20"/>
      <c r="D1368" s="20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5"/>
      <c r="U1368" s="15"/>
      <c r="V1368" s="15"/>
      <c r="W1368" s="15"/>
    </row>
    <row r="1369">
      <c r="A1369" s="11"/>
      <c r="B1369" s="11"/>
      <c r="C1369" s="20"/>
      <c r="D1369" s="20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5"/>
      <c r="U1369" s="15"/>
      <c r="V1369" s="15"/>
      <c r="W1369" s="15"/>
    </row>
    <row r="1370">
      <c r="A1370" s="11"/>
      <c r="B1370" s="11"/>
      <c r="C1370" s="20"/>
      <c r="D1370" s="20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5"/>
      <c r="U1370" s="15"/>
      <c r="V1370" s="15"/>
      <c r="W1370" s="15"/>
    </row>
    <row r="1371">
      <c r="A1371" s="11"/>
      <c r="B1371" s="11"/>
      <c r="C1371" s="20"/>
      <c r="D1371" s="20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5"/>
      <c r="U1371" s="15"/>
      <c r="V1371" s="15"/>
      <c r="W1371" s="15"/>
    </row>
    <row r="1372">
      <c r="A1372" s="11"/>
      <c r="B1372" s="11"/>
      <c r="C1372" s="20"/>
      <c r="D1372" s="20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5"/>
      <c r="U1372" s="15"/>
      <c r="V1372" s="15"/>
      <c r="W1372" s="15"/>
    </row>
    <row r="1373">
      <c r="A1373" s="11"/>
      <c r="B1373" s="11"/>
      <c r="C1373" s="20"/>
      <c r="D1373" s="20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5"/>
      <c r="U1373" s="15"/>
      <c r="V1373" s="15"/>
      <c r="W1373" s="15"/>
    </row>
    <row r="1374">
      <c r="A1374" s="11"/>
      <c r="B1374" s="11"/>
      <c r="C1374" s="20"/>
      <c r="D1374" s="20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5"/>
      <c r="U1374" s="15"/>
      <c r="V1374" s="15"/>
      <c r="W1374" s="15"/>
    </row>
    <row r="1375">
      <c r="A1375" s="11"/>
      <c r="B1375" s="11"/>
      <c r="C1375" s="20"/>
      <c r="D1375" s="20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5"/>
      <c r="U1375" s="15"/>
      <c r="V1375" s="15"/>
      <c r="W1375" s="15"/>
    </row>
    <row r="1376">
      <c r="A1376" s="11"/>
      <c r="B1376" s="11"/>
      <c r="C1376" s="20"/>
      <c r="D1376" s="20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5"/>
      <c r="U1376" s="15"/>
      <c r="V1376" s="15"/>
      <c r="W1376" s="15"/>
    </row>
    <row r="1377">
      <c r="A1377" s="11"/>
      <c r="B1377" s="11"/>
      <c r="C1377" s="20"/>
      <c r="D1377" s="20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5"/>
      <c r="U1377" s="15"/>
      <c r="V1377" s="15"/>
      <c r="W1377" s="15"/>
    </row>
    <row r="1378">
      <c r="A1378" s="11"/>
      <c r="B1378" s="11"/>
      <c r="C1378" s="20"/>
      <c r="D1378" s="20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5"/>
      <c r="U1378" s="15"/>
      <c r="V1378" s="15"/>
      <c r="W1378" s="15"/>
    </row>
    <row r="1379">
      <c r="A1379" s="11"/>
      <c r="B1379" s="11"/>
      <c r="C1379" s="20"/>
      <c r="D1379" s="20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5"/>
      <c r="U1379" s="15"/>
      <c r="V1379" s="15"/>
      <c r="W1379" s="15"/>
    </row>
    <row r="1380">
      <c r="A1380" s="11"/>
      <c r="B1380" s="11"/>
      <c r="C1380" s="20"/>
      <c r="D1380" s="20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5"/>
      <c r="U1380" s="15"/>
      <c r="V1380" s="15"/>
      <c r="W1380" s="15"/>
    </row>
    <row r="1381">
      <c r="A1381" s="11"/>
      <c r="B1381" s="11"/>
      <c r="C1381" s="20"/>
      <c r="D1381" s="20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5"/>
      <c r="U1381" s="15"/>
      <c r="V1381" s="15"/>
      <c r="W1381" s="15"/>
    </row>
    <row r="1382">
      <c r="A1382" s="11"/>
      <c r="B1382" s="11"/>
      <c r="C1382" s="20"/>
      <c r="D1382" s="20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5"/>
      <c r="U1382" s="15"/>
      <c r="V1382" s="15"/>
      <c r="W1382" s="15"/>
    </row>
    <row r="1383">
      <c r="A1383" s="11"/>
      <c r="B1383" s="11"/>
      <c r="C1383" s="20"/>
      <c r="D1383" s="20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5"/>
      <c r="U1383" s="15"/>
      <c r="V1383" s="15"/>
      <c r="W1383" s="15"/>
    </row>
    <row r="1384">
      <c r="A1384" s="11"/>
      <c r="B1384" s="11"/>
      <c r="C1384" s="20"/>
      <c r="D1384" s="20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5"/>
      <c r="U1384" s="15"/>
      <c r="V1384" s="15"/>
      <c r="W1384" s="15"/>
    </row>
    <row r="1385">
      <c r="A1385" s="11"/>
      <c r="B1385" s="11"/>
      <c r="C1385" s="20"/>
      <c r="D1385" s="20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5"/>
      <c r="U1385" s="15"/>
      <c r="V1385" s="15"/>
      <c r="W1385" s="15"/>
    </row>
    <row r="1386">
      <c r="A1386" s="11"/>
      <c r="B1386" s="11"/>
      <c r="C1386" s="20"/>
      <c r="D1386" s="20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5"/>
      <c r="U1386" s="15"/>
      <c r="V1386" s="15"/>
      <c r="W1386" s="15"/>
    </row>
    <row r="1387">
      <c r="A1387" s="11"/>
      <c r="B1387" s="11"/>
      <c r="C1387" s="20"/>
      <c r="D1387" s="20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5"/>
      <c r="U1387" s="15"/>
      <c r="V1387" s="15"/>
      <c r="W1387" s="15"/>
    </row>
    <row r="1388">
      <c r="A1388" s="11"/>
      <c r="B1388" s="11"/>
      <c r="C1388" s="20"/>
      <c r="D1388" s="20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5"/>
      <c r="U1388" s="15"/>
      <c r="V1388" s="15"/>
      <c r="W1388" s="15"/>
    </row>
    <row r="1389">
      <c r="A1389" s="11"/>
      <c r="B1389" s="11"/>
      <c r="C1389" s="20"/>
      <c r="D1389" s="20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5"/>
      <c r="U1389" s="15"/>
      <c r="V1389" s="15"/>
      <c r="W1389" s="15"/>
    </row>
    <row r="1390">
      <c r="A1390" s="11"/>
      <c r="B1390" s="11"/>
      <c r="C1390" s="20"/>
      <c r="D1390" s="20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5"/>
      <c r="U1390" s="15"/>
      <c r="V1390" s="15"/>
      <c r="W1390" s="15"/>
    </row>
    <row r="1391">
      <c r="A1391" s="11"/>
      <c r="B1391" s="11"/>
      <c r="C1391" s="20"/>
      <c r="D1391" s="20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5"/>
      <c r="U1391" s="15"/>
      <c r="V1391" s="15"/>
      <c r="W1391" s="15"/>
    </row>
    <row r="1392">
      <c r="A1392" s="11"/>
      <c r="B1392" s="11"/>
      <c r="C1392" s="20"/>
      <c r="D1392" s="20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5"/>
      <c r="U1392" s="15"/>
      <c r="V1392" s="15"/>
      <c r="W1392" s="15"/>
    </row>
    <row r="1393">
      <c r="A1393" s="11"/>
      <c r="B1393" s="11"/>
      <c r="C1393" s="20"/>
      <c r="D1393" s="20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5"/>
      <c r="U1393" s="15"/>
      <c r="V1393" s="15"/>
      <c r="W1393" s="15"/>
    </row>
    <row r="1394">
      <c r="A1394" s="11"/>
      <c r="B1394" s="11"/>
      <c r="C1394" s="20"/>
      <c r="D1394" s="20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5"/>
      <c r="U1394" s="15"/>
      <c r="V1394" s="15"/>
      <c r="W1394" s="15"/>
    </row>
    <row r="1395">
      <c r="A1395" s="11"/>
      <c r="B1395" s="11"/>
      <c r="C1395" s="20"/>
      <c r="D1395" s="20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5"/>
      <c r="U1395" s="15"/>
      <c r="V1395" s="15"/>
      <c r="W1395" s="15"/>
    </row>
    <row r="1396">
      <c r="A1396" s="11"/>
      <c r="B1396" s="11"/>
      <c r="C1396" s="20"/>
      <c r="D1396" s="20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5"/>
      <c r="U1396" s="15"/>
      <c r="V1396" s="15"/>
      <c r="W1396" s="15"/>
    </row>
    <row r="1397">
      <c r="A1397" s="11"/>
      <c r="B1397" s="11"/>
      <c r="C1397" s="20"/>
      <c r="D1397" s="20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5"/>
      <c r="U1397" s="15"/>
      <c r="V1397" s="15"/>
      <c r="W1397" s="15"/>
    </row>
    <row r="1398">
      <c r="A1398" s="11"/>
      <c r="B1398" s="11"/>
      <c r="C1398" s="20"/>
      <c r="D1398" s="20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5"/>
      <c r="U1398" s="15"/>
      <c r="V1398" s="15"/>
      <c r="W1398" s="15"/>
    </row>
    <row r="1399">
      <c r="A1399" s="11"/>
      <c r="B1399" s="11"/>
      <c r="C1399" s="20"/>
      <c r="D1399" s="20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5"/>
      <c r="U1399" s="15"/>
      <c r="V1399" s="15"/>
      <c r="W1399" s="15"/>
    </row>
    <row r="1400">
      <c r="A1400" s="11"/>
      <c r="B1400" s="11"/>
      <c r="C1400" s="20"/>
      <c r="D1400" s="20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5"/>
      <c r="U1400" s="15"/>
      <c r="V1400" s="15"/>
      <c r="W1400" s="15"/>
    </row>
    <row r="1401">
      <c r="A1401" s="11"/>
      <c r="B1401" s="11"/>
      <c r="C1401" s="20"/>
      <c r="D1401" s="20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5"/>
      <c r="U1401" s="15"/>
      <c r="V1401" s="15"/>
      <c r="W1401" s="15"/>
    </row>
    <row r="1402">
      <c r="A1402" s="11"/>
      <c r="B1402" s="11"/>
      <c r="C1402" s="20"/>
      <c r="D1402" s="20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5"/>
      <c r="U1402" s="15"/>
      <c r="V1402" s="15"/>
      <c r="W1402" s="15"/>
    </row>
    <row r="1403">
      <c r="A1403" s="11"/>
      <c r="B1403" s="11"/>
      <c r="C1403" s="20"/>
      <c r="D1403" s="20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5"/>
      <c r="U1403" s="15"/>
      <c r="V1403" s="15"/>
      <c r="W1403" s="15"/>
    </row>
    <row r="1404">
      <c r="A1404" s="11"/>
      <c r="B1404" s="11"/>
      <c r="C1404" s="20"/>
      <c r="D1404" s="20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5"/>
      <c r="U1404" s="15"/>
      <c r="V1404" s="15"/>
      <c r="W1404" s="15"/>
    </row>
    <row r="1405">
      <c r="A1405" s="11"/>
      <c r="B1405" s="11"/>
      <c r="C1405" s="20"/>
      <c r="D1405" s="20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5"/>
      <c r="U1405" s="15"/>
      <c r="V1405" s="15"/>
      <c r="W1405" s="15"/>
    </row>
    <row r="1406">
      <c r="A1406" s="11"/>
      <c r="B1406" s="11"/>
      <c r="C1406" s="20"/>
      <c r="D1406" s="20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5"/>
      <c r="U1406" s="15"/>
      <c r="V1406" s="15"/>
      <c r="W1406" s="15"/>
    </row>
    <row r="1407">
      <c r="A1407" s="11"/>
      <c r="B1407" s="11"/>
      <c r="C1407" s="20"/>
      <c r="D1407" s="20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5"/>
      <c r="U1407" s="15"/>
      <c r="V1407" s="15"/>
      <c r="W1407" s="15"/>
    </row>
    <row r="1408">
      <c r="A1408" s="11"/>
      <c r="B1408" s="11"/>
      <c r="C1408" s="20"/>
      <c r="D1408" s="20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5"/>
      <c r="U1408" s="15"/>
      <c r="V1408" s="15"/>
      <c r="W1408" s="15"/>
    </row>
    <row r="1409">
      <c r="A1409" s="11"/>
      <c r="B1409" s="11"/>
      <c r="C1409" s="20"/>
      <c r="D1409" s="20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5"/>
      <c r="U1409" s="15"/>
      <c r="V1409" s="15"/>
      <c r="W1409" s="15"/>
    </row>
    <row r="1410">
      <c r="A1410" s="11"/>
      <c r="B1410" s="11"/>
      <c r="C1410" s="20"/>
      <c r="D1410" s="20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5"/>
      <c r="U1410" s="15"/>
      <c r="V1410" s="15"/>
      <c r="W1410" s="15"/>
    </row>
    <row r="1411">
      <c r="A1411" s="11"/>
      <c r="B1411" s="11"/>
      <c r="C1411" s="20"/>
      <c r="D1411" s="20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5"/>
      <c r="U1411" s="15"/>
      <c r="V1411" s="15"/>
      <c r="W1411" s="15"/>
    </row>
    <row r="1412">
      <c r="A1412" s="11"/>
      <c r="B1412" s="11"/>
      <c r="C1412" s="20"/>
      <c r="D1412" s="20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5"/>
      <c r="U1412" s="15"/>
      <c r="V1412" s="15"/>
      <c r="W1412" s="15"/>
    </row>
    <row r="1413">
      <c r="A1413" s="11"/>
      <c r="B1413" s="11"/>
      <c r="C1413" s="20"/>
      <c r="D1413" s="20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5"/>
      <c r="U1413" s="15"/>
      <c r="V1413" s="15"/>
      <c r="W1413" s="15"/>
    </row>
    <row r="1414">
      <c r="A1414" s="11"/>
      <c r="B1414" s="11"/>
      <c r="C1414" s="20"/>
      <c r="D1414" s="20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5"/>
      <c r="U1414" s="15"/>
      <c r="V1414" s="15"/>
      <c r="W1414" s="15"/>
    </row>
    <row r="1415">
      <c r="A1415" s="11"/>
      <c r="B1415" s="11"/>
      <c r="C1415" s="20"/>
      <c r="D1415" s="20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5"/>
      <c r="U1415" s="15"/>
      <c r="V1415" s="15"/>
      <c r="W1415" s="15"/>
    </row>
    <row r="1416">
      <c r="A1416" s="11"/>
      <c r="B1416" s="11"/>
      <c r="C1416" s="20"/>
      <c r="D1416" s="20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5"/>
      <c r="U1416" s="15"/>
      <c r="V1416" s="15"/>
      <c r="W1416" s="15"/>
    </row>
    <row r="1417">
      <c r="A1417" s="11"/>
      <c r="B1417" s="11"/>
      <c r="C1417" s="20"/>
      <c r="D1417" s="20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5"/>
      <c r="U1417" s="15"/>
      <c r="V1417" s="15"/>
      <c r="W1417" s="15"/>
    </row>
    <row r="1418">
      <c r="A1418" s="11"/>
      <c r="B1418" s="11"/>
      <c r="C1418" s="20"/>
      <c r="D1418" s="20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5"/>
      <c r="U1418" s="15"/>
      <c r="V1418" s="15"/>
      <c r="W1418" s="15"/>
    </row>
    <row r="1419">
      <c r="A1419" s="11"/>
      <c r="B1419" s="11"/>
      <c r="C1419" s="20"/>
      <c r="D1419" s="20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5"/>
      <c r="U1419" s="15"/>
      <c r="V1419" s="15"/>
      <c r="W1419" s="15"/>
    </row>
    <row r="1420">
      <c r="A1420" s="11"/>
      <c r="B1420" s="11"/>
      <c r="C1420" s="20"/>
      <c r="D1420" s="20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5"/>
      <c r="U1420" s="15"/>
      <c r="V1420" s="15"/>
      <c r="W1420" s="15"/>
    </row>
    <row r="1421">
      <c r="A1421" s="11"/>
      <c r="B1421" s="11"/>
      <c r="C1421" s="20"/>
      <c r="D1421" s="20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5"/>
      <c r="U1421" s="15"/>
      <c r="V1421" s="15"/>
      <c r="W1421" s="15"/>
    </row>
    <row r="1422">
      <c r="A1422" s="11"/>
      <c r="B1422" s="11"/>
      <c r="C1422" s="20"/>
      <c r="D1422" s="20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5"/>
      <c r="U1422" s="15"/>
      <c r="V1422" s="15"/>
      <c r="W1422" s="15"/>
    </row>
    <row r="1423">
      <c r="A1423" s="11"/>
      <c r="B1423" s="11"/>
      <c r="C1423" s="20"/>
      <c r="D1423" s="20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5"/>
      <c r="U1423" s="15"/>
      <c r="V1423" s="15"/>
      <c r="W1423" s="15"/>
    </row>
    <row r="1424">
      <c r="A1424" s="11"/>
      <c r="B1424" s="11"/>
      <c r="C1424" s="20"/>
      <c r="D1424" s="20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5"/>
      <c r="U1424" s="15"/>
      <c r="V1424" s="15"/>
      <c r="W1424" s="15"/>
    </row>
    <row r="1425">
      <c r="A1425" s="11"/>
      <c r="B1425" s="11"/>
      <c r="C1425" s="20"/>
      <c r="D1425" s="20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5"/>
      <c r="U1425" s="15"/>
      <c r="V1425" s="15"/>
      <c r="W1425" s="15"/>
    </row>
    <row r="1426">
      <c r="A1426" s="11"/>
      <c r="B1426" s="11"/>
      <c r="C1426" s="20"/>
      <c r="D1426" s="20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5"/>
      <c r="U1426" s="15"/>
      <c r="V1426" s="15"/>
      <c r="W1426" s="15"/>
    </row>
    <row r="1427">
      <c r="A1427" s="11"/>
      <c r="B1427" s="11"/>
      <c r="C1427" s="20"/>
      <c r="D1427" s="20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5"/>
      <c r="U1427" s="15"/>
      <c r="V1427" s="15"/>
      <c r="W1427" s="15"/>
    </row>
    <row r="1428">
      <c r="A1428" s="11"/>
      <c r="B1428" s="11"/>
      <c r="C1428" s="20"/>
      <c r="D1428" s="20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5"/>
      <c r="U1428" s="15"/>
      <c r="V1428" s="15"/>
      <c r="W1428" s="15"/>
    </row>
    <row r="1429">
      <c r="A1429" s="11"/>
      <c r="B1429" s="11"/>
      <c r="C1429" s="20"/>
      <c r="D1429" s="20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5"/>
      <c r="U1429" s="15"/>
      <c r="V1429" s="15"/>
      <c r="W1429" s="15"/>
    </row>
    <row r="1430">
      <c r="A1430" s="11"/>
      <c r="B1430" s="11"/>
      <c r="C1430" s="20"/>
      <c r="D1430" s="20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5"/>
      <c r="U1430" s="15"/>
      <c r="V1430" s="15"/>
      <c r="W1430" s="15"/>
    </row>
    <row r="1431">
      <c r="A1431" s="11"/>
      <c r="B1431" s="11"/>
      <c r="C1431" s="20"/>
      <c r="D1431" s="20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5"/>
      <c r="U1431" s="15"/>
      <c r="V1431" s="15"/>
      <c r="W1431" s="15"/>
    </row>
    <row r="1432">
      <c r="A1432" s="11"/>
      <c r="B1432" s="11"/>
      <c r="C1432" s="20"/>
      <c r="D1432" s="20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5"/>
      <c r="U1432" s="15"/>
      <c r="V1432" s="15"/>
      <c r="W1432" s="15"/>
    </row>
    <row r="1433">
      <c r="A1433" s="11"/>
      <c r="B1433" s="11"/>
      <c r="C1433" s="20"/>
      <c r="D1433" s="20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5"/>
      <c r="U1433" s="15"/>
      <c r="V1433" s="15"/>
      <c r="W1433" s="15"/>
    </row>
    <row r="1434">
      <c r="A1434" s="11"/>
      <c r="B1434" s="11"/>
      <c r="C1434" s="20"/>
      <c r="D1434" s="20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5"/>
      <c r="U1434" s="15"/>
      <c r="V1434" s="15"/>
      <c r="W1434" s="15"/>
    </row>
    <row r="1435">
      <c r="A1435" s="11"/>
      <c r="B1435" s="11"/>
      <c r="C1435" s="20"/>
      <c r="D1435" s="20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5"/>
      <c r="U1435" s="15"/>
      <c r="V1435" s="15"/>
      <c r="W1435" s="15"/>
    </row>
    <row r="1436">
      <c r="A1436" s="11"/>
      <c r="B1436" s="11"/>
      <c r="C1436" s="20"/>
      <c r="D1436" s="20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5"/>
      <c r="U1436" s="15"/>
      <c r="V1436" s="15"/>
      <c r="W1436" s="15"/>
    </row>
    <row r="1437">
      <c r="A1437" s="11"/>
      <c r="B1437" s="11"/>
      <c r="C1437" s="20"/>
      <c r="D1437" s="20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5"/>
      <c r="U1437" s="15"/>
      <c r="V1437" s="15"/>
      <c r="W1437" s="15"/>
    </row>
    <row r="1438">
      <c r="A1438" s="11"/>
      <c r="B1438" s="11"/>
      <c r="C1438" s="20"/>
      <c r="D1438" s="20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5"/>
      <c r="U1438" s="15"/>
      <c r="V1438" s="15"/>
      <c r="W1438" s="15"/>
    </row>
    <row r="1439">
      <c r="A1439" s="11"/>
      <c r="B1439" s="11"/>
      <c r="C1439" s="20"/>
      <c r="D1439" s="20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5"/>
      <c r="U1439" s="15"/>
      <c r="V1439" s="15"/>
      <c r="W1439" s="15"/>
    </row>
    <row r="1440">
      <c r="A1440" s="11"/>
      <c r="B1440" s="11"/>
      <c r="C1440" s="20"/>
      <c r="D1440" s="20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5"/>
      <c r="U1440" s="15"/>
      <c r="V1440" s="15"/>
      <c r="W1440" s="15"/>
    </row>
    <row r="1441">
      <c r="A1441" s="11"/>
      <c r="B1441" s="11"/>
      <c r="C1441" s="20"/>
      <c r="D1441" s="20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5"/>
      <c r="U1441" s="15"/>
      <c r="V1441" s="15"/>
      <c r="W1441" s="15"/>
    </row>
    <row r="1442">
      <c r="A1442" s="11"/>
      <c r="B1442" s="11"/>
      <c r="C1442" s="20"/>
      <c r="D1442" s="20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5"/>
      <c r="U1442" s="15"/>
      <c r="V1442" s="15"/>
      <c r="W1442" s="15"/>
    </row>
    <row r="1443">
      <c r="A1443" s="11"/>
      <c r="B1443" s="11"/>
      <c r="C1443" s="20"/>
      <c r="D1443" s="20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5"/>
      <c r="U1443" s="15"/>
      <c r="V1443" s="15"/>
      <c r="W1443" s="15"/>
    </row>
    <row r="1444">
      <c r="A1444" s="11"/>
      <c r="B1444" s="11"/>
      <c r="C1444" s="20"/>
      <c r="D1444" s="20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5"/>
      <c r="U1444" s="15"/>
      <c r="V1444" s="15"/>
      <c r="W1444" s="15"/>
    </row>
    <row r="1445">
      <c r="A1445" s="11"/>
      <c r="B1445" s="11"/>
      <c r="C1445" s="20"/>
      <c r="D1445" s="20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5"/>
      <c r="U1445" s="15"/>
      <c r="V1445" s="15"/>
      <c r="W1445" s="15"/>
    </row>
    <row r="1446">
      <c r="A1446" s="11"/>
      <c r="B1446" s="11"/>
      <c r="C1446" s="20"/>
      <c r="D1446" s="20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5"/>
      <c r="U1446" s="15"/>
      <c r="V1446" s="15"/>
      <c r="W1446" s="15"/>
    </row>
    <row r="1447">
      <c r="A1447" s="11"/>
      <c r="B1447" s="11"/>
      <c r="C1447" s="20"/>
      <c r="D1447" s="20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5"/>
      <c r="U1447" s="15"/>
      <c r="V1447" s="15"/>
      <c r="W1447" s="15"/>
    </row>
    <row r="1448">
      <c r="A1448" s="11"/>
      <c r="B1448" s="11"/>
      <c r="C1448" s="20"/>
      <c r="D1448" s="20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5"/>
      <c r="U1448" s="15"/>
      <c r="V1448" s="15"/>
      <c r="W1448" s="15"/>
    </row>
    <row r="1449">
      <c r="A1449" s="11"/>
      <c r="B1449" s="11"/>
      <c r="C1449" s="20"/>
      <c r="D1449" s="20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5"/>
      <c r="U1449" s="15"/>
      <c r="V1449" s="15"/>
      <c r="W1449" s="15"/>
    </row>
    <row r="1450">
      <c r="A1450" s="11"/>
      <c r="B1450" s="11"/>
      <c r="C1450" s="20"/>
      <c r="D1450" s="20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5"/>
      <c r="U1450" s="15"/>
      <c r="V1450" s="15"/>
      <c r="W1450" s="15"/>
    </row>
    <row r="1451">
      <c r="A1451" s="11"/>
      <c r="B1451" s="11"/>
      <c r="C1451" s="20"/>
      <c r="D1451" s="20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5"/>
      <c r="U1451" s="15"/>
      <c r="V1451" s="15"/>
      <c r="W1451" s="15"/>
    </row>
    <row r="1452">
      <c r="A1452" s="11"/>
      <c r="B1452" s="11"/>
      <c r="C1452" s="20"/>
      <c r="D1452" s="20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5"/>
      <c r="U1452" s="15"/>
      <c r="V1452" s="15"/>
      <c r="W1452" s="15"/>
    </row>
    <row r="1453">
      <c r="A1453" s="11"/>
      <c r="B1453" s="11"/>
      <c r="C1453" s="20"/>
      <c r="D1453" s="20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5"/>
      <c r="U1453" s="15"/>
      <c r="V1453" s="15"/>
      <c r="W1453" s="15"/>
    </row>
    <row r="1454">
      <c r="A1454" s="11"/>
      <c r="B1454" s="11"/>
      <c r="C1454" s="20"/>
      <c r="D1454" s="20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5"/>
      <c r="U1454" s="15"/>
      <c r="V1454" s="15"/>
      <c r="W1454" s="15"/>
    </row>
    <row r="1455">
      <c r="A1455" s="11"/>
      <c r="B1455" s="11"/>
      <c r="C1455" s="20"/>
      <c r="D1455" s="20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5"/>
      <c r="U1455" s="15"/>
      <c r="V1455" s="15"/>
      <c r="W1455" s="15"/>
    </row>
    <row r="1456">
      <c r="A1456" s="11"/>
      <c r="B1456" s="11"/>
      <c r="C1456" s="20"/>
      <c r="D1456" s="20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5"/>
      <c r="U1456" s="15"/>
      <c r="V1456" s="15"/>
      <c r="W1456" s="15"/>
    </row>
    <row r="1457">
      <c r="A1457" s="11"/>
      <c r="B1457" s="11"/>
      <c r="C1457" s="20"/>
      <c r="D1457" s="20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5"/>
      <c r="U1457" s="15"/>
      <c r="V1457" s="15"/>
      <c r="W1457" s="15"/>
    </row>
    <row r="1458">
      <c r="A1458" s="11"/>
      <c r="B1458" s="11"/>
      <c r="C1458" s="20"/>
      <c r="D1458" s="20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5"/>
      <c r="U1458" s="15"/>
      <c r="V1458" s="15"/>
      <c r="W1458" s="15"/>
    </row>
    <row r="1459">
      <c r="A1459" s="11"/>
      <c r="B1459" s="11"/>
      <c r="C1459" s="20"/>
      <c r="D1459" s="20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5"/>
      <c r="U1459" s="15"/>
      <c r="V1459" s="15"/>
      <c r="W1459" s="15"/>
    </row>
    <row r="1460">
      <c r="A1460" s="11"/>
      <c r="B1460" s="11"/>
      <c r="C1460" s="20"/>
      <c r="D1460" s="20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5"/>
      <c r="U1460" s="15"/>
      <c r="V1460" s="15"/>
      <c r="W1460" s="15"/>
    </row>
    <row r="1461">
      <c r="A1461" s="11"/>
      <c r="B1461" s="11"/>
      <c r="C1461" s="20"/>
      <c r="D1461" s="20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5"/>
      <c r="U1461" s="15"/>
      <c r="V1461" s="15"/>
      <c r="W1461" s="15"/>
    </row>
    <row r="1462">
      <c r="A1462" s="11"/>
      <c r="B1462" s="11"/>
      <c r="C1462" s="20"/>
      <c r="D1462" s="20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5"/>
      <c r="U1462" s="15"/>
      <c r="V1462" s="15"/>
      <c r="W1462" s="15"/>
    </row>
    <row r="1463">
      <c r="A1463" s="11"/>
      <c r="B1463" s="11"/>
      <c r="C1463" s="20"/>
      <c r="D1463" s="20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5"/>
      <c r="U1463" s="15"/>
      <c r="V1463" s="15"/>
      <c r="W1463" s="15"/>
    </row>
    <row r="1464">
      <c r="A1464" s="11"/>
      <c r="B1464" s="11"/>
      <c r="C1464" s="20"/>
      <c r="D1464" s="20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5"/>
      <c r="U1464" s="15"/>
      <c r="V1464" s="15"/>
      <c r="W1464" s="15"/>
    </row>
    <row r="1465">
      <c r="A1465" s="11"/>
      <c r="B1465" s="11"/>
      <c r="C1465" s="20"/>
      <c r="D1465" s="20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5"/>
      <c r="U1465" s="15"/>
      <c r="V1465" s="15"/>
      <c r="W1465" s="15"/>
    </row>
    <row r="1466">
      <c r="A1466" s="11"/>
      <c r="B1466" s="11"/>
      <c r="C1466" s="20"/>
      <c r="D1466" s="20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5"/>
      <c r="U1466" s="15"/>
      <c r="V1466" s="15"/>
      <c r="W1466" s="15"/>
    </row>
    <row r="1467">
      <c r="A1467" s="11"/>
      <c r="B1467" s="11"/>
      <c r="C1467" s="20"/>
      <c r="D1467" s="20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5"/>
      <c r="U1467" s="15"/>
      <c r="V1467" s="15"/>
      <c r="W1467" s="15"/>
    </row>
    <row r="1468">
      <c r="A1468" s="11"/>
      <c r="B1468" s="11"/>
      <c r="C1468" s="20"/>
      <c r="D1468" s="20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5"/>
      <c r="U1468" s="15"/>
      <c r="V1468" s="15"/>
      <c r="W1468" s="15"/>
    </row>
    <row r="1469">
      <c r="A1469" s="11"/>
      <c r="B1469" s="11"/>
      <c r="C1469" s="20"/>
      <c r="D1469" s="20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5"/>
      <c r="U1469" s="15"/>
      <c r="V1469" s="15"/>
      <c r="W1469" s="15"/>
    </row>
    <row r="1470">
      <c r="A1470" s="11"/>
      <c r="B1470" s="11"/>
      <c r="C1470" s="20"/>
      <c r="D1470" s="20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5"/>
      <c r="U1470" s="15"/>
      <c r="V1470" s="15"/>
      <c r="W1470" s="15"/>
    </row>
    <row r="1471">
      <c r="A1471" s="11"/>
      <c r="B1471" s="11"/>
      <c r="C1471" s="20"/>
      <c r="D1471" s="20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5"/>
      <c r="U1471" s="15"/>
      <c r="V1471" s="15"/>
      <c r="W1471" s="15"/>
    </row>
    <row r="1472">
      <c r="A1472" s="11"/>
      <c r="B1472" s="11"/>
      <c r="C1472" s="20"/>
      <c r="D1472" s="20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5"/>
      <c r="U1472" s="15"/>
      <c r="V1472" s="15"/>
      <c r="W1472" s="15"/>
    </row>
    <row r="1473">
      <c r="A1473" s="11"/>
      <c r="B1473" s="11"/>
      <c r="C1473" s="20"/>
      <c r="D1473" s="20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5"/>
      <c r="U1473" s="15"/>
      <c r="V1473" s="15"/>
      <c r="W1473" s="15"/>
    </row>
    <row r="1474">
      <c r="A1474" s="11"/>
      <c r="B1474" s="11"/>
      <c r="C1474" s="20"/>
      <c r="D1474" s="20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5"/>
      <c r="U1474" s="15"/>
      <c r="V1474" s="15"/>
      <c r="W1474" s="15"/>
    </row>
    <row r="1475">
      <c r="A1475" s="11"/>
      <c r="B1475" s="11"/>
      <c r="C1475" s="20"/>
      <c r="D1475" s="20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5"/>
      <c r="U1475" s="15"/>
      <c r="V1475" s="15"/>
      <c r="W1475" s="15"/>
    </row>
    <row r="1476">
      <c r="A1476" s="11"/>
      <c r="B1476" s="11"/>
      <c r="C1476" s="20"/>
      <c r="D1476" s="20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5"/>
      <c r="U1476" s="15"/>
      <c r="V1476" s="15"/>
      <c r="W1476" s="15"/>
    </row>
    <row r="1477">
      <c r="A1477" s="11"/>
      <c r="B1477" s="11"/>
      <c r="C1477" s="20"/>
      <c r="D1477" s="20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5"/>
      <c r="U1477" s="15"/>
      <c r="V1477" s="15"/>
      <c r="W1477" s="15"/>
    </row>
    <row r="1478">
      <c r="A1478" s="11"/>
      <c r="B1478" s="11"/>
      <c r="C1478" s="20"/>
      <c r="D1478" s="20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5"/>
      <c r="U1478" s="15"/>
      <c r="V1478" s="15"/>
      <c r="W1478" s="15"/>
    </row>
    <row r="1479">
      <c r="A1479" s="11"/>
      <c r="B1479" s="11"/>
      <c r="C1479" s="20"/>
      <c r="D1479" s="20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5"/>
      <c r="U1479" s="15"/>
      <c r="V1479" s="15"/>
      <c r="W1479" s="15"/>
    </row>
    <row r="1480">
      <c r="A1480" s="11"/>
      <c r="B1480" s="11"/>
      <c r="C1480" s="20"/>
      <c r="D1480" s="20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5"/>
      <c r="U1480" s="15"/>
      <c r="V1480" s="15"/>
      <c r="W1480" s="15"/>
    </row>
    <row r="1481">
      <c r="A1481" s="11"/>
      <c r="B1481" s="11"/>
      <c r="C1481" s="20"/>
      <c r="D1481" s="20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5"/>
      <c r="U1481" s="15"/>
      <c r="V1481" s="15"/>
      <c r="W1481" s="15"/>
    </row>
    <row r="1482">
      <c r="A1482" s="11"/>
      <c r="B1482" s="11"/>
      <c r="C1482" s="20"/>
      <c r="D1482" s="20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5"/>
      <c r="U1482" s="15"/>
      <c r="V1482" s="15"/>
      <c r="W1482" s="15"/>
    </row>
    <row r="1483">
      <c r="A1483" s="11"/>
      <c r="B1483" s="11"/>
      <c r="C1483" s="20"/>
      <c r="D1483" s="20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5"/>
      <c r="U1483" s="15"/>
      <c r="V1483" s="15"/>
      <c r="W1483" s="15"/>
    </row>
    <row r="1484">
      <c r="A1484" s="11"/>
      <c r="B1484" s="11"/>
      <c r="C1484" s="20"/>
      <c r="D1484" s="20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5"/>
      <c r="U1484" s="15"/>
      <c r="V1484" s="15"/>
      <c r="W1484" s="15"/>
    </row>
    <row r="1485">
      <c r="A1485" s="11"/>
      <c r="B1485" s="11"/>
      <c r="C1485" s="20"/>
      <c r="D1485" s="20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5"/>
      <c r="U1485" s="15"/>
      <c r="V1485" s="15"/>
      <c r="W1485" s="15"/>
    </row>
    <row r="1486">
      <c r="A1486" s="11"/>
      <c r="B1486" s="11"/>
      <c r="C1486" s="20"/>
      <c r="D1486" s="20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5"/>
      <c r="U1486" s="15"/>
      <c r="V1486" s="15"/>
      <c r="W1486" s="15"/>
    </row>
    <row r="1487">
      <c r="A1487" s="11"/>
      <c r="B1487" s="11"/>
      <c r="C1487" s="20"/>
      <c r="D1487" s="20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5"/>
      <c r="U1487" s="15"/>
      <c r="V1487" s="15"/>
      <c r="W1487" s="15"/>
    </row>
    <row r="1488">
      <c r="A1488" s="11"/>
      <c r="B1488" s="11"/>
      <c r="C1488" s="20"/>
      <c r="D1488" s="20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5"/>
      <c r="U1488" s="15"/>
      <c r="V1488" s="15"/>
      <c r="W1488" s="15"/>
    </row>
    <row r="1489">
      <c r="A1489" s="11"/>
      <c r="B1489" s="11"/>
      <c r="C1489" s="20"/>
      <c r="D1489" s="20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5"/>
      <c r="U1489" s="15"/>
      <c r="V1489" s="15"/>
      <c r="W1489" s="15"/>
    </row>
    <row r="1490">
      <c r="A1490" s="11"/>
      <c r="B1490" s="11"/>
      <c r="C1490" s="20"/>
      <c r="D1490" s="20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5"/>
      <c r="U1490" s="15"/>
      <c r="V1490" s="15"/>
      <c r="W1490" s="15"/>
    </row>
    <row r="1491">
      <c r="A1491" s="11"/>
      <c r="B1491" s="11"/>
      <c r="C1491" s="20"/>
      <c r="D1491" s="20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5"/>
      <c r="U1491" s="15"/>
      <c r="V1491" s="15"/>
      <c r="W1491" s="15"/>
    </row>
    <row r="1492">
      <c r="A1492" s="11"/>
      <c r="B1492" s="11"/>
      <c r="C1492" s="20"/>
      <c r="D1492" s="20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5"/>
      <c r="U1492" s="15"/>
      <c r="V1492" s="15"/>
      <c r="W1492" s="15"/>
    </row>
    <row r="1493">
      <c r="A1493" s="11"/>
      <c r="B1493" s="11"/>
      <c r="C1493" s="20"/>
      <c r="D1493" s="20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5"/>
      <c r="U1493" s="15"/>
      <c r="V1493" s="15"/>
      <c r="W1493" s="15"/>
    </row>
    <row r="1494">
      <c r="A1494" s="11"/>
      <c r="B1494" s="11"/>
      <c r="C1494" s="20"/>
      <c r="D1494" s="20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5"/>
      <c r="U1494" s="15"/>
      <c r="V1494" s="15"/>
      <c r="W1494" s="15"/>
    </row>
    <row r="1495">
      <c r="A1495" s="11"/>
      <c r="B1495" s="11"/>
      <c r="C1495" s="20"/>
      <c r="D1495" s="20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5"/>
      <c r="U1495" s="15"/>
      <c r="V1495" s="15"/>
      <c r="W1495" s="15"/>
    </row>
    <row r="1496">
      <c r="A1496" s="11"/>
      <c r="B1496" s="11"/>
      <c r="C1496" s="20"/>
      <c r="D1496" s="20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5"/>
      <c r="U1496" s="15"/>
      <c r="V1496" s="15"/>
      <c r="W1496" s="15"/>
    </row>
    <row r="1497">
      <c r="A1497" s="11"/>
      <c r="B1497" s="11"/>
      <c r="C1497" s="20"/>
      <c r="D1497" s="20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5"/>
      <c r="U1497" s="15"/>
      <c r="V1497" s="15"/>
      <c r="W1497" s="15"/>
    </row>
    <row r="1498">
      <c r="A1498" s="11"/>
      <c r="B1498" s="11"/>
      <c r="C1498" s="20"/>
      <c r="D1498" s="20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5"/>
      <c r="U1498" s="15"/>
      <c r="V1498" s="15"/>
      <c r="W1498" s="15"/>
    </row>
    <row r="1499">
      <c r="A1499" s="11"/>
      <c r="B1499" s="11"/>
      <c r="C1499" s="20"/>
      <c r="D1499" s="20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5"/>
      <c r="U1499" s="15"/>
      <c r="V1499" s="15"/>
      <c r="W1499" s="15"/>
    </row>
    <row r="1500">
      <c r="A1500" s="11"/>
      <c r="B1500" s="11"/>
      <c r="C1500" s="20"/>
      <c r="D1500" s="20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5"/>
      <c r="U1500" s="15"/>
      <c r="V1500" s="15"/>
      <c r="W1500" s="15"/>
    </row>
    <row r="1501">
      <c r="A1501" s="11"/>
      <c r="B1501" s="11"/>
      <c r="C1501" s="20"/>
      <c r="D1501" s="20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5"/>
      <c r="U1501" s="15"/>
      <c r="V1501" s="15"/>
      <c r="W1501" s="15"/>
    </row>
    <row r="1502">
      <c r="A1502" s="11"/>
      <c r="B1502" s="11"/>
      <c r="C1502" s="20"/>
      <c r="D1502" s="20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5"/>
      <c r="U1502" s="15"/>
      <c r="V1502" s="15"/>
      <c r="W1502" s="15"/>
    </row>
    <row r="1503">
      <c r="A1503" s="11"/>
      <c r="B1503" s="11"/>
      <c r="C1503" s="20"/>
      <c r="D1503" s="20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5"/>
      <c r="U1503" s="15"/>
      <c r="V1503" s="15"/>
      <c r="W1503" s="15"/>
    </row>
    <row r="1504">
      <c r="A1504" s="11"/>
      <c r="B1504" s="11"/>
      <c r="C1504" s="20"/>
      <c r="D1504" s="20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5"/>
      <c r="U1504" s="15"/>
      <c r="V1504" s="15"/>
      <c r="W1504" s="15"/>
    </row>
    <row r="1505">
      <c r="A1505" s="11"/>
      <c r="B1505" s="11"/>
      <c r="C1505" s="20"/>
      <c r="D1505" s="20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5"/>
      <c r="U1505" s="15"/>
      <c r="V1505" s="15"/>
      <c r="W1505" s="15"/>
    </row>
    <row r="1506">
      <c r="A1506" s="11"/>
      <c r="B1506" s="11"/>
      <c r="C1506" s="20"/>
      <c r="D1506" s="20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5"/>
      <c r="U1506" s="15"/>
      <c r="V1506" s="15"/>
      <c r="W1506" s="15"/>
    </row>
    <row r="1507">
      <c r="A1507" s="11"/>
      <c r="B1507" s="11"/>
      <c r="C1507" s="20"/>
      <c r="D1507" s="20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5"/>
      <c r="U1507" s="15"/>
      <c r="V1507" s="15"/>
      <c r="W1507" s="15"/>
    </row>
    <row r="1508">
      <c r="A1508" s="11"/>
      <c r="B1508" s="11"/>
      <c r="C1508" s="20"/>
      <c r="D1508" s="20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5"/>
      <c r="U1508" s="15"/>
      <c r="V1508" s="15"/>
      <c r="W1508" s="15"/>
    </row>
    <row r="1509">
      <c r="A1509" s="11"/>
      <c r="B1509" s="11"/>
      <c r="C1509" s="20"/>
      <c r="D1509" s="20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5"/>
      <c r="U1509" s="15"/>
      <c r="V1509" s="15"/>
      <c r="W1509" s="15"/>
    </row>
    <row r="1510">
      <c r="A1510" s="11"/>
      <c r="B1510" s="11"/>
      <c r="C1510" s="20"/>
      <c r="D1510" s="20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5"/>
      <c r="U1510" s="15"/>
      <c r="V1510" s="15"/>
      <c r="W1510" s="15"/>
    </row>
    <row r="1511">
      <c r="A1511" s="11"/>
      <c r="B1511" s="11"/>
      <c r="C1511" s="20"/>
      <c r="D1511" s="20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5"/>
      <c r="U1511" s="15"/>
      <c r="V1511" s="15"/>
      <c r="W1511" s="15"/>
    </row>
    <row r="1512">
      <c r="A1512" s="11"/>
      <c r="B1512" s="11"/>
      <c r="C1512" s="20"/>
      <c r="D1512" s="20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5"/>
      <c r="U1512" s="15"/>
      <c r="V1512" s="15"/>
      <c r="W1512" s="15"/>
    </row>
    <row r="1513">
      <c r="A1513" s="11"/>
      <c r="B1513" s="11"/>
      <c r="C1513" s="20"/>
      <c r="D1513" s="20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5"/>
      <c r="U1513" s="15"/>
      <c r="V1513" s="15"/>
      <c r="W1513" s="15"/>
    </row>
    <row r="1514">
      <c r="A1514" s="11"/>
      <c r="B1514" s="11"/>
      <c r="C1514" s="20"/>
      <c r="D1514" s="20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5"/>
      <c r="U1514" s="15"/>
      <c r="V1514" s="15"/>
      <c r="W1514" s="15"/>
    </row>
    <row r="1515">
      <c r="A1515" s="11"/>
      <c r="B1515" s="11"/>
      <c r="C1515" s="20"/>
      <c r="D1515" s="20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5"/>
      <c r="U1515" s="15"/>
      <c r="V1515" s="15"/>
      <c r="W1515" s="15"/>
    </row>
    <row r="1516">
      <c r="A1516" s="11"/>
      <c r="B1516" s="11"/>
      <c r="C1516" s="20"/>
      <c r="D1516" s="20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5"/>
      <c r="U1516" s="15"/>
      <c r="V1516" s="15"/>
      <c r="W1516" s="15"/>
    </row>
    <row r="1517">
      <c r="A1517" s="11"/>
      <c r="B1517" s="11"/>
      <c r="C1517" s="20"/>
      <c r="D1517" s="20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5"/>
      <c r="U1517" s="15"/>
      <c r="V1517" s="15"/>
      <c r="W1517" s="15"/>
    </row>
    <row r="1518">
      <c r="A1518" s="11"/>
      <c r="B1518" s="11"/>
      <c r="C1518" s="20"/>
      <c r="D1518" s="20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5"/>
      <c r="U1518" s="15"/>
      <c r="V1518" s="15"/>
      <c r="W1518" s="15"/>
    </row>
    <row r="1519">
      <c r="A1519" s="11"/>
      <c r="B1519" s="11"/>
      <c r="C1519" s="20"/>
      <c r="D1519" s="20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5"/>
      <c r="U1519" s="15"/>
      <c r="V1519" s="15"/>
      <c r="W1519" s="15"/>
    </row>
    <row r="1520">
      <c r="A1520" s="11"/>
      <c r="B1520" s="11"/>
      <c r="C1520" s="20"/>
      <c r="D1520" s="20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5"/>
      <c r="U1520" s="15"/>
      <c r="V1520" s="15"/>
      <c r="W1520" s="15"/>
    </row>
    <row r="1521">
      <c r="A1521" s="11"/>
      <c r="B1521" s="11"/>
      <c r="C1521" s="20"/>
      <c r="D1521" s="20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5"/>
      <c r="U1521" s="15"/>
      <c r="V1521" s="15"/>
      <c r="W1521" s="15"/>
    </row>
    <row r="1522">
      <c r="A1522" s="11"/>
      <c r="B1522" s="11"/>
      <c r="C1522" s="20"/>
      <c r="D1522" s="20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5"/>
      <c r="U1522" s="15"/>
      <c r="V1522" s="15"/>
      <c r="W1522" s="15"/>
    </row>
    <row r="1523">
      <c r="A1523" s="11"/>
      <c r="B1523" s="11"/>
      <c r="C1523" s="20"/>
      <c r="D1523" s="20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5"/>
      <c r="U1523" s="15"/>
      <c r="V1523" s="15"/>
      <c r="W1523" s="15"/>
    </row>
    <row r="1524">
      <c r="A1524" s="11"/>
      <c r="B1524" s="11"/>
      <c r="C1524" s="20"/>
      <c r="D1524" s="20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5"/>
      <c r="U1524" s="15"/>
      <c r="V1524" s="15"/>
      <c r="W1524" s="15"/>
    </row>
    <row r="1525">
      <c r="A1525" s="11"/>
      <c r="B1525" s="11"/>
      <c r="C1525" s="20"/>
      <c r="D1525" s="20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5"/>
      <c r="U1525" s="15"/>
      <c r="V1525" s="15"/>
      <c r="W1525" s="15"/>
    </row>
    <row r="1526">
      <c r="A1526" s="11"/>
      <c r="B1526" s="11"/>
      <c r="C1526" s="20"/>
      <c r="D1526" s="20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5"/>
      <c r="U1526" s="15"/>
      <c r="V1526" s="15"/>
      <c r="W1526" s="15"/>
    </row>
    <row r="1527">
      <c r="A1527" s="11"/>
      <c r="B1527" s="11"/>
      <c r="C1527" s="20"/>
      <c r="D1527" s="20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5"/>
      <c r="U1527" s="15"/>
      <c r="V1527" s="15"/>
      <c r="W1527" s="15"/>
    </row>
    <row r="1528">
      <c r="A1528" s="11"/>
      <c r="B1528" s="11"/>
      <c r="C1528" s="20"/>
      <c r="D1528" s="20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5"/>
      <c r="U1528" s="15"/>
      <c r="V1528" s="15"/>
      <c r="W1528" s="15"/>
    </row>
    <row r="1529">
      <c r="A1529" s="11"/>
      <c r="B1529" s="11"/>
      <c r="C1529" s="20"/>
      <c r="D1529" s="20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5"/>
      <c r="U1529" s="15"/>
      <c r="V1529" s="15"/>
      <c r="W1529" s="15"/>
    </row>
    <row r="1530">
      <c r="A1530" s="11"/>
      <c r="B1530" s="11"/>
      <c r="C1530" s="20"/>
      <c r="D1530" s="20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5"/>
      <c r="U1530" s="15"/>
      <c r="V1530" s="15"/>
      <c r="W1530" s="15"/>
    </row>
    <row r="1531">
      <c r="A1531" s="11"/>
      <c r="B1531" s="11"/>
      <c r="C1531" s="20"/>
      <c r="D1531" s="20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5"/>
      <c r="U1531" s="15"/>
      <c r="V1531" s="15"/>
      <c r="W1531" s="15"/>
    </row>
    <row r="1532">
      <c r="A1532" s="11"/>
      <c r="B1532" s="11"/>
      <c r="C1532" s="20"/>
      <c r="D1532" s="20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5"/>
      <c r="U1532" s="15"/>
      <c r="V1532" s="15"/>
      <c r="W1532" s="15"/>
    </row>
    <row r="1533">
      <c r="A1533" s="11"/>
      <c r="B1533" s="11"/>
      <c r="C1533" s="20"/>
      <c r="D1533" s="20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5"/>
      <c r="U1533" s="15"/>
      <c r="V1533" s="15"/>
      <c r="W1533" s="15"/>
    </row>
    <row r="1534">
      <c r="A1534" s="11"/>
      <c r="B1534" s="11"/>
      <c r="C1534" s="20"/>
      <c r="D1534" s="20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5"/>
      <c r="U1534" s="15"/>
      <c r="V1534" s="15"/>
      <c r="W1534" s="15"/>
    </row>
    <row r="1535">
      <c r="A1535" s="11"/>
      <c r="B1535" s="11"/>
      <c r="C1535" s="20"/>
      <c r="D1535" s="20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5"/>
      <c r="U1535" s="15"/>
      <c r="V1535" s="15"/>
      <c r="W1535" s="15"/>
    </row>
    <row r="1536">
      <c r="A1536" s="11"/>
      <c r="B1536" s="11"/>
      <c r="C1536" s="20"/>
      <c r="D1536" s="20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5"/>
      <c r="U1536" s="15"/>
      <c r="V1536" s="15"/>
      <c r="W1536" s="15"/>
    </row>
    <row r="1537">
      <c r="A1537" s="11"/>
      <c r="B1537" s="11"/>
      <c r="C1537" s="20"/>
      <c r="D1537" s="20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5"/>
      <c r="U1537" s="15"/>
      <c r="V1537" s="15"/>
      <c r="W1537" s="15"/>
    </row>
    <row r="1538">
      <c r="A1538" s="11"/>
      <c r="B1538" s="11"/>
      <c r="C1538" s="20"/>
      <c r="D1538" s="20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5"/>
      <c r="U1538" s="15"/>
      <c r="V1538" s="15"/>
      <c r="W1538" s="15"/>
    </row>
    <row r="1539">
      <c r="A1539" s="11"/>
      <c r="B1539" s="11"/>
      <c r="C1539" s="20"/>
      <c r="D1539" s="20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5"/>
      <c r="U1539" s="15"/>
      <c r="V1539" s="15"/>
      <c r="W1539" s="15"/>
    </row>
    <row r="1540">
      <c r="A1540" s="11"/>
      <c r="B1540" s="11"/>
      <c r="C1540" s="20"/>
      <c r="D1540" s="20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5"/>
      <c r="U1540" s="15"/>
      <c r="V1540" s="15"/>
      <c r="W1540" s="15"/>
    </row>
    <row r="1541">
      <c r="A1541" s="11"/>
      <c r="B1541" s="11"/>
      <c r="C1541" s="20"/>
      <c r="D1541" s="20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5"/>
      <c r="U1541" s="15"/>
      <c r="V1541" s="15"/>
      <c r="W1541" s="15"/>
    </row>
    <row r="1542">
      <c r="A1542" s="11"/>
      <c r="B1542" s="11"/>
      <c r="C1542" s="20"/>
      <c r="D1542" s="20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5"/>
      <c r="U1542" s="15"/>
      <c r="V1542" s="15"/>
      <c r="W1542" s="15"/>
    </row>
    <row r="1543">
      <c r="A1543" s="11"/>
      <c r="B1543" s="11"/>
      <c r="C1543" s="20"/>
      <c r="D1543" s="20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5"/>
      <c r="U1543" s="15"/>
      <c r="V1543" s="15"/>
      <c r="W1543" s="15"/>
    </row>
    <row r="1544">
      <c r="A1544" s="11"/>
      <c r="B1544" s="11"/>
      <c r="C1544" s="20"/>
      <c r="D1544" s="20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5"/>
      <c r="U1544" s="15"/>
      <c r="V1544" s="15"/>
      <c r="W1544" s="15"/>
    </row>
    <row r="1545">
      <c r="A1545" s="11"/>
      <c r="B1545" s="11"/>
      <c r="C1545" s="20"/>
      <c r="D1545" s="20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5"/>
      <c r="U1545" s="15"/>
      <c r="V1545" s="15"/>
      <c r="W1545" s="15"/>
    </row>
    <row r="1546">
      <c r="A1546" s="11"/>
      <c r="B1546" s="11"/>
      <c r="C1546" s="20"/>
      <c r="D1546" s="20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5"/>
      <c r="U1546" s="15"/>
      <c r="V1546" s="15"/>
      <c r="W1546" s="15"/>
    </row>
    <row r="1547">
      <c r="A1547" s="11"/>
      <c r="B1547" s="11"/>
      <c r="C1547" s="20"/>
      <c r="D1547" s="20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5"/>
      <c r="U1547" s="15"/>
      <c r="V1547" s="15"/>
      <c r="W1547" s="15"/>
    </row>
    <row r="1548">
      <c r="A1548" s="11"/>
      <c r="B1548" s="11"/>
      <c r="C1548" s="20"/>
      <c r="D1548" s="20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5"/>
      <c r="U1548" s="15"/>
      <c r="V1548" s="15"/>
      <c r="W1548" s="15"/>
    </row>
    <row r="1549">
      <c r="A1549" s="11"/>
      <c r="B1549" s="11"/>
      <c r="C1549" s="20"/>
      <c r="D1549" s="20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5"/>
      <c r="U1549" s="15"/>
      <c r="V1549" s="15"/>
      <c r="W1549" s="15"/>
    </row>
    <row r="1550">
      <c r="A1550" s="11"/>
      <c r="B1550" s="11"/>
      <c r="C1550" s="20"/>
      <c r="D1550" s="20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5"/>
      <c r="U1550" s="15"/>
      <c r="V1550" s="15"/>
      <c r="W1550" s="15"/>
    </row>
    <row r="1551">
      <c r="A1551" s="11"/>
      <c r="B1551" s="11"/>
      <c r="C1551" s="20"/>
      <c r="D1551" s="20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5"/>
      <c r="U1551" s="15"/>
      <c r="V1551" s="15"/>
      <c r="W1551" s="15"/>
    </row>
    <row r="1552">
      <c r="A1552" s="11"/>
      <c r="B1552" s="11"/>
      <c r="C1552" s="20"/>
      <c r="D1552" s="20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5"/>
      <c r="U1552" s="15"/>
      <c r="V1552" s="15"/>
      <c r="W1552" s="15"/>
    </row>
    <row r="1553">
      <c r="A1553" s="11"/>
      <c r="B1553" s="11"/>
      <c r="C1553" s="20"/>
      <c r="D1553" s="20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5"/>
      <c r="U1553" s="15"/>
      <c r="V1553" s="15"/>
      <c r="W1553" s="15"/>
    </row>
    <row r="1554">
      <c r="A1554" s="11"/>
      <c r="B1554" s="11"/>
      <c r="C1554" s="20"/>
      <c r="D1554" s="20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5"/>
      <c r="U1554" s="15"/>
      <c r="V1554" s="15"/>
      <c r="W1554" s="15"/>
    </row>
    <row r="1555">
      <c r="A1555" s="11"/>
      <c r="B1555" s="11"/>
      <c r="C1555" s="20"/>
      <c r="D1555" s="20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5"/>
      <c r="U1555" s="15"/>
      <c r="V1555" s="15"/>
      <c r="W1555" s="15"/>
    </row>
    <row r="1556">
      <c r="A1556" s="11"/>
      <c r="B1556" s="11"/>
      <c r="C1556" s="20"/>
      <c r="D1556" s="20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5"/>
      <c r="U1556" s="15"/>
      <c r="V1556" s="15"/>
      <c r="W1556" s="15"/>
    </row>
    <row r="1557">
      <c r="A1557" s="11"/>
      <c r="B1557" s="11"/>
      <c r="C1557" s="20"/>
      <c r="D1557" s="20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5"/>
      <c r="U1557" s="15"/>
      <c r="V1557" s="15"/>
      <c r="W1557" s="15"/>
    </row>
    <row r="1558">
      <c r="A1558" s="11"/>
      <c r="B1558" s="11"/>
      <c r="C1558" s="20"/>
      <c r="D1558" s="20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5"/>
      <c r="U1558" s="15"/>
      <c r="V1558" s="15"/>
      <c r="W1558" s="15"/>
    </row>
    <row r="1559">
      <c r="A1559" s="11"/>
      <c r="B1559" s="11"/>
      <c r="C1559" s="20"/>
      <c r="D1559" s="20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5"/>
      <c r="U1559" s="15"/>
      <c r="V1559" s="15"/>
      <c r="W1559" s="15"/>
    </row>
    <row r="1560">
      <c r="A1560" s="11"/>
      <c r="B1560" s="11"/>
      <c r="C1560" s="20"/>
      <c r="D1560" s="20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5"/>
      <c r="U1560" s="15"/>
      <c r="V1560" s="15"/>
      <c r="W1560" s="15"/>
    </row>
    <row r="1561">
      <c r="A1561" s="11"/>
      <c r="B1561" s="11"/>
      <c r="C1561" s="20"/>
      <c r="D1561" s="20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5"/>
      <c r="U1561" s="15"/>
      <c r="V1561" s="15"/>
      <c r="W1561" s="15"/>
    </row>
    <row r="1562">
      <c r="A1562" s="11"/>
      <c r="B1562" s="11"/>
      <c r="C1562" s="20"/>
      <c r="D1562" s="20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5"/>
      <c r="U1562" s="15"/>
      <c r="V1562" s="15"/>
      <c r="W1562" s="15"/>
    </row>
    <row r="1563">
      <c r="A1563" s="11"/>
      <c r="B1563" s="11"/>
      <c r="C1563" s="20"/>
      <c r="D1563" s="20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5"/>
      <c r="U1563" s="15"/>
      <c r="V1563" s="15"/>
      <c r="W1563" s="15"/>
    </row>
    <row r="1564">
      <c r="A1564" s="11"/>
      <c r="B1564" s="11"/>
      <c r="C1564" s="20"/>
      <c r="D1564" s="20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5"/>
      <c r="U1564" s="15"/>
      <c r="V1564" s="15"/>
      <c r="W1564" s="15"/>
    </row>
    <row r="1565">
      <c r="A1565" s="11"/>
      <c r="B1565" s="11"/>
      <c r="C1565" s="20"/>
      <c r="D1565" s="20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5"/>
      <c r="U1565" s="15"/>
      <c r="V1565" s="15"/>
      <c r="W1565" s="15"/>
    </row>
    <row r="1566">
      <c r="A1566" s="11"/>
      <c r="B1566" s="11"/>
      <c r="C1566" s="20"/>
      <c r="D1566" s="20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5"/>
      <c r="U1566" s="15"/>
      <c r="V1566" s="15"/>
      <c r="W1566" s="15"/>
    </row>
    <row r="1567">
      <c r="A1567" s="11"/>
      <c r="B1567" s="11"/>
      <c r="C1567" s="20"/>
      <c r="D1567" s="20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5"/>
      <c r="U1567" s="15"/>
      <c r="V1567" s="15"/>
      <c r="W1567" s="15"/>
    </row>
    <row r="1568">
      <c r="A1568" s="11"/>
      <c r="B1568" s="11"/>
      <c r="C1568" s="20"/>
      <c r="D1568" s="20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5"/>
      <c r="U1568" s="15"/>
      <c r="V1568" s="15"/>
      <c r="W1568" s="15"/>
    </row>
    <row r="1569">
      <c r="A1569" s="11"/>
      <c r="B1569" s="11"/>
      <c r="C1569" s="20"/>
      <c r="D1569" s="20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5"/>
      <c r="U1569" s="15"/>
      <c r="V1569" s="15"/>
      <c r="W1569" s="15"/>
    </row>
    <row r="1570">
      <c r="A1570" s="11"/>
      <c r="B1570" s="11"/>
      <c r="C1570" s="20"/>
      <c r="D1570" s="20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5"/>
      <c r="U1570" s="15"/>
      <c r="V1570" s="15"/>
      <c r="W1570" s="15"/>
    </row>
    <row r="1571">
      <c r="A1571" s="11"/>
      <c r="B1571" s="11"/>
      <c r="C1571" s="20"/>
      <c r="D1571" s="20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5"/>
      <c r="U1571" s="15"/>
      <c r="V1571" s="15"/>
      <c r="W1571" s="15"/>
    </row>
    <row r="1572">
      <c r="A1572" s="11"/>
      <c r="B1572" s="11"/>
      <c r="C1572" s="20"/>
      <c r="D1572" s="20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5"/>
      <c r="U1572" s="15"/>
      <c r="V1572" s="15"/>
      <c r="W1572" s="15"/>
    </row>
    <row r="1573">
      <c r="A1573" s="11"/>
      <c r="B1573" s="11"/>
      <c r="C1573" s="20"/>
      <c r="D1573" s="20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5"/>
      <c r="U1573" s="15"/>
      <c r="V1573" s="15"/>
      <c r="W1573" s="15"/>
    </row>
    <row r="1574">
      <c r="A1574" s="11"/>
      <c r="B1574" s="11"/>
      <c r="C1574" s="20"/>
      <c r="D1574" s="20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5"/>
      <c r="U1574" s="15"/>
      <c r="V1574" s="15"/>
      <c r="W1574" s="15"/>
    </row>
    <row r="1575">
      <c r="A1575" s="11"/>
      <c r="B1575" s="11"/>
      <c r="C1575" s="20"/>
      <c r="D1575" s="20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5"/>
      <c r="U1575" s="15"/>
      <c r="V1575" s="15"/>
      <c r="W1575" s="15"/>
    </row>
    <row r="1576">
      <c r="A1576" s="11"/>
      <c r="B1576" s="11"/>
      <c r="C1576" s="20"/>
      <c r="D1576" s="20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5"/>
      <c r="U1576" s="15"/>
      <c r="V1576" s="15"/>
      <c r="W1576" s="15"/>
    </row>
    <row r="1577">
      <c r="A1577" s="11"/>
      <c r="B1577" s="11"/>
      <c r="C1577" s="20"/>
      <c r="D1577" s="20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5"/>
      <c r="U1577" s="15"/>
      <c r="V1577" s="15"/>
      <c r="W1577" s="15"/>
    </row>
    <row r="1578">
      <c r="A1578" s="11"/>
      <c r="B1578" s="11"/>
      <c r="C1578" s="20"/>
      <c r="D1578" s="20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5"/>
      <c r="U1578" s="15"/>
      <c r="V1578" s="15"/>
      <c r="W1578" s="15"/>
    </row>
    <row r="1579">
      <c r="A1579" s="11"/>
      <c r="B1579" s="11"/>
      <c r="C1579" s="20"/>
      <c r="D1579" s="20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5"/>
      <c r="U1579" s="15"/>
      <c r="V1579" s="15"/>
      <c r="W1579" s="15"/>
    </row>
    <row r="1580">
      <c r="A1580" s="11"/>
      <c r="B1580" s="11"/>
      <c r="C1580" s="20"/>
      <c r="D1580" s="20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5"/>
      <c r="U1580" s="15"/>
      <c r="V1580" s="15"/>
      <c r="W1580" s="15"/>
    </row>
    <row r="1581">
      <c r="A1581" s="11"/>
      <c r="B1581" s="11"/>
      <c r="C1581" s="20"/>
      <c r="D1581" s="20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5"/>
      <c r="U1581" s="15"/>
      <c r="V1581" s="15"/>
      <c r="W1581" s="15"/>
    </row>
    <row r="1582">
      <c r="A1582" s="11"/>
      <c r="B1582" s="11"/>
      <c r="C1582" s="20"/>
      <c r="D1582" s="20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5"/>
      <c r="U1582" s="15"/>
      <c r="V1582" s="15"/>
      <c r="W1582" s="15"/>
    </row>
    <row r="1583">
      <c r="A1583" s="11"/>
      <c r="B1583" s="11"/>
      <c r="C1583" s="20"/>
      <c r="D1583" s="20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5"/>
      <c r="U1583" s="15"/>
      <c r="V1583" s="15"/>
      <c r="W1583" s="15"/>
    </row>
    <row r="1584">
      <c r="A1584" s="11"/>
      <c r="B1584" s="11"/>
      <c r="C1584" s="20"/>
      <c r="D1584" s="20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5"/>
      <c r="U1584" s="15"/>
      <c r="V1584" s="15"/>
      <c r="W1584" s="15"/>
    </row>
    <row r="1585">
      <c r="A1585" s="11"/>
      <c r="B1585" s="11"/>
      <c r="C1585" s="20"/>
      <c r="D1585" s="20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5"/>
      <c r="U1585" s="15"/>
      <c r="V1585" s="15"/>
      <c r="W1585" s="15"/>
    </row>
    <row r="1586">
      <c r="A1586" s="11"/>
      <c r="B1586" s="11"/>
      <c r="C1586" s="20"/>
      <c r="D1586" s="20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5"/>
      <c r="U1586" s="15"/>
      <c r="V1586" s="15"/>
      <c r="W1586" s="15"/>
    </row>
    <row r="1587">
      <c r="A1587" s="11"/>
      <c r="B1587" s="11"/>
      <c r="C1587" s="20"/>
      <c r="D1587" s="20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5"/>
      <c r="U1587" s="15"/>
      <c r="V1587" s="15"/>
      <c r="W1587" s="15"/>
    </row>
    <row r="1588">
      <c r="A1588" s="11"/>
      <c r="B1588" s="11"/>
      <c r="C1588" s="20"/>
      <c r="D1588" s="20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5"/>
      <c r="U1588" s="15"/>
      <c r="V1588" s="15"/>
      <c r="W1588" s="15"/>
    </row>
    <row r="1589">
      <c r="A1589" s="11"/>
      <c r="B1589" s="11"/>
      <c r="C1589" s="20"/>
      <c r="D1589" s="20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5"/>
      <c r="U1589" s="15"/>
      <c r="V1589" s="15"/>
      <c r="W1589" s="15"/>
    </row>
    <row r="1590">
      <c r="A1590" s="11"/>
      <c r="B1590" s="11"/>
      <c r="C1590" s="20"/>
      <c r="D1590" s="20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5"/>
      <c r="U1590" s="15"/>
      <c r="V1590" s="15"/>
      <c r="W1590" s="15"/>
    </row>
    <row r="1591">
      <c r="A1591" s="11"/>
      <c r="B1591" s="11"/>
      <c r="C1591" s="20"/>
      <c r="D1591" s="20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5"/>
      <c r="U1591" s="15"/>
      <c r="V1591" s="15"/>
      <c r="W1591" s="15"/>
    </row>
    <row r="1592">
      <c r="A1592" s="11"/>
      <c r="B1592" s="11"/>
      <c r="C1592" s="20"/>
      <c r="D1592" s="20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5"/>
      <c r="U1592" s="15"/>
      <c r="V1592" s="15"/>
      <c r="W1592" s="15"/>
    </row>
    <row r="1593">
      <c r="A1593" s="11"/>
      <c r="B1593" s="11"/>
      <c r="C1593" s="20"/>
      <c r="D1593" s="20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5"/>
      <c r="U1593" s="15"/>
      <c r="V1593" s="15"/>
      <c r="W1593" s="15"/>
    </row>
    <row r="1594">
      <c r="A1594" s="11"/>
      <c r="B1594" s="11"/>
      <c r="C1594" s="20"/>
      <c r="D1594" s="20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5"/>
      <c r="U1594" s="15"/>
      <c r="V1594" s="15"/>
      <c r="W1594" s="15"/>
    </row>
    <row r="1595">
      <c r="A1595" s="11"/>
      <c r="B1595" s="11"/>
      <c r="C1595" s="20"/>
      <c r="D1595" s="20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5"/>
      <c r="U1595" s="15"/>
      <c r="V1595" s="15"/>
      <c r="W1595" s="15"/>
    </row>
    <row r="1596">
      <c r="A1596" s="11"/>
      <c r="B1596" s="11"/>
      <c r="C1596" s="20"/>
      <c r="D1596" s="20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5"/>
      <c r="U1596" s="15"/>
      <c r="V1596" s="15"/>
      <c r="W1596" s="15"/>
    </row>
    <row r="1597">
      <c r="A1597" s="11"/>
      <c r="B1597" s="11"/>
      <c r="C1597" s="20"/>
      <c r="D1597" s="20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5"/>
      <c r="U1597" s="15"/>
      <c r="V1597" s="15"/>
      <c r="W1597" s="15"/>
    </row>
    <row r="1598">
      <c r="A1598" s="11"/>
      <c r="B1598" s="11"/>
      <c r="C1598" s="20"/>
      <c r="D1598" s="20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5"/>
      <c r="U1598" s="15"/>
      <c r="V1598" s="15"/>
      <c r="W1598" s="15"/>
    </row>
    <row r="1599">
      <c r="A1599" s="11"/>
      <c r="B1599" s="11"/>
      <c r="C1599" s="20"/>
      <c r="D1599" s="20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5"/>
      <c r="U1599" s="15"/>
      <c r="V1599" s="15"/>
      <c r="W1599" s="15"/>
    </row>
    <row r="1600">
      <c r="A1600" s="11"/>
      <c r="B1600" s="11"/>
      <c r="C1600" s="20"/>
      <c r="D1600" s="20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5"/>
      <c r="U1600" s="15"/>
      <c r="V1600" s="15"/>
      <c r="W1600" s="15"/>
    </row>
    <row r="1601">
      <c r="A1601" s="11"/>
      <c r="B1601" s="11"/>
      <c r="C1601" s="20"/>
      <c r="D1601" s="20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5"/>
      <c r="U1601" s="15"/>
      <c r="V1601" s="15"/>
      <c r="W1601" s="15"/>
    </row>
    <row r="1602">
      <c r="A1602" s="11"/>
      <c r="B1602" s="11"/>
      <c r="C1602" s="20"/>
      <c r="D1602" s="20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5"/>
      <c r="U1602" s="15"/>
      <c r="V1602" s="15"/>
      <c r="W1602" s="15"/>
    </row>
    <row r="1603">
      <c r="A1603" s="11"/>
      <c r="B1603" s="11"/>
      <c r="C1603" s="20"/>
      <c r="D1603" s="20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5"/>
      <c r="U1603" s="15"/>
      <c r="V1603" s="15"/>
      <c r="W1603" s="15"/>
    </row>
    <row r="1604">
      <c r="A1604" s="11"/>
      <c r="B1604" s="11"/>
      <c r="C1604" s="20"/>
      <c r="D1604" s="20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5"/>
      <c r="U1604" s="15"/>
      <c r="V1604" s="15"/>
      <c r="W1604" s="15"/>
    </row>
    <row r="1605">
      <c r="A1605" s="11"/>
      <c r="B1605" s="11"/>
      <c r="C1605" s="20"/>
      <c r="D1605" s="20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5"/>
      <c r="U1605" s="15"/>
      <c r="V1605" s="15"/>
      <c r="W1605" s="15"/>
    </row>
    <row r="1606">
      <c r="A1606" s="11"/>
      <c r="B1606" s="11"/>
      <c r="C1606" s="20"/>
      <c r="D1606" s="20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5"/>
      <c r="U1606" s="15"/>
      <c r="V1606" s="15"/>
      <c r="W1606" s="15"/>
    </row>
    <row r="1607">
      <c r="A1607" s="11"/>
      <c r="B1607" s="11"/>
      <c r="C1607" s="20"/>
      <c r="D1607" s="20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5"/>
      <c r="U1607" s="15"/>
      <c r="V1607" s="15"/>
      <c r="W1607" s="15"/>
    </row>
    <row r="1608">
      <c r="A1608" s="11"/>
      <c r="B1608" s="11"/>
      <c r="C1608" s="20"/>
      <c r="D1608" s="20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5"/>
      <c r="U1608" s="15"/>
      <c r="V1608" s="15"/>
      <c r="W1608" s="15"/>
    </row>
    <row r="1609">
      <c r="A1609" s="11"/>
      <c r="B1609" s="11"/>
      <c r="C1609" s="20"/>
      <c r="D1609" s="20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5"/>
      <c r="U1609" s="15"/>
      <c r="V1609" s="15"/>
      <c r="W1609" s="15"/>
    </row>
    <row r="1610">
      <c r="A1610" s="11"/>
      <c r="B1610" s="11"/>
      <c r="C1610" s="20"/>
      <c r="D1610" s="20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5"/>
      <c r="U1610" s="15"/>
      <c r="V1610" s="15"/>
      <c r="W1610" s="15"/>
    </row>
    <row r="1611">
      <c r="A1611" s="11"/>
      <c r="B1611" s="11"/>
      <c r="C1611" s="20"/>
      <c r="D1611" s="20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5"/>
      <c r="U1611" s="15"/>
      <c r="V1611" s="15"/>
      <c r="W1611" s="15"/>
    </row>
    <row r="1612">
      <c r="A1612" s="11"/>
      <c r="B1612" s="11"/>
      <c r="C1612" s="20"/>
      <c r="D1612" s="20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5"/>
      <c r="U1612" s="15"/>
      <c r="V1612" s="15"/>
      <c r="W1612" s="15"/>
    </row>
    <row r="1613">
      <c r="A1613" s="11"/>
      <c r="B1613" s="11"/>
      <c r="C1613" s="20"/>
      <c r="D1613" s="20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5"/>
      <c r="U1613" s="15"/>
      <c r="V1613" s="15"/>
      <c r="W1613" s="15"/>
    </row>
    <row r="1614">
      <c r="A1614" s="11"/>
      <c r="B1614" s="11"/>
      <c r="C1614" s="20"/>
      <c r="D1614" s="20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5"/>
      <c r="U1614" s="15"/>
      <c r="V1614" s="15"/>
      <c r="W1614" s="15"/>
    </row>
    <row r="1615">
      <c r="A1615" s="11"/>
      <c r="B1615" s="11"/>
      <c r="C1615" s="20"/>
      <c r="D1615" s="20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5"/>
      <c r="U1615" s="15"/>
      <c r="V1615" s="15"/>
      <c r="W1615" s="15"/>
    </row>
    <row r="1616">
      <c r="A1616" s="11"/>
      <c r="B1616" s="11"/>
      <c r="C1616" s="20"/>
      <c r="D1616" s="20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5"/>
      <c r="U1616" s="15"/>
      <c r="V1616" s="15"/>
      <c r="W1616" s="15"/>
    </row>
    <row r="1617">
      <c r="A1617" s="11"/>
      <c r="B1617" s="11"/>
      <c r="C1617" s="20"/>
      <c r="D1617" s="20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5"/>
      <c r="U1617" s="15"/>
      <c r="V1617" s="15"/>
      <c r="W1617" s="15"/>
    </row>
    <row r="1618">
      <c r="A1618" s="11"/>
      <c r="B1618" s="11"/>
      <c r="C1618" s="20"/>
      <c r="D1618" s="20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5"/>
      <c r="U1618" s="15"/>
      <c r="V1618" s="15"/>
      <c r="W1618" s="15"/>
    </row>
    <row r="1619">
      <c r="A1619" s="11"/>
      <c r="B1619" s="11"/>
      <c r="C1619" s="20"/>
      <c r="D1619" s="20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5"/>
      <c r="U1619" s="15"/>
      <c r="V1619" s="15"/>
      <c r="W1619" s="15"/>
    </row>
    <row r="1620">
      <c r="A1620" s="11"/>
      <c r="B1620" s="11"/>
      <c r="C1620" s="20"/>
      <c r="D1620" s="20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5"/>
      <c r="U1620" s="15"/>
      <c r="V1620" s="15"/>
      <c r="W1620" s="15"/>
    </row>
    <row r="1621">
      <c r="A1621" s="11"/>
      <c r="B1621" s="11"/>
      <c r="C1621" s="20"/>
      <c r="D1621" s="20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5"/>
      <c r="U1621" s="15"/>
      <c r="V1621" s="15"/>
      <c r="W1621" s="15"/>
    </row>
    <row r="1622">
      <c r="A1622" s="11"/>
      <c r="B1622" s="11"/>
      <c r="C1622" s="20"/>
      <c r="D1622" s="20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5"/>
      <c r="U1622" s="15"/>
      <c r="V1622" s="15"/>
      <c r="W1622" s="15"/>
    </row>
    <row r="1623">
      <c r="A1623" s="11"/>
      <c r="B1623" s="11"/>
      <c r="C1623" s="20"/>
      <c r="D1623" s="20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5"/>
      <c r="U1623" s="15"/>
      <c r="V1623" s="15"/>
      <c r="W1623" s="15"/>
    </row>
    <row r="1624">
      <c r="A1624" s="11"/>
      <c r="B1624" s="11"/>
      <c r="C1624" s="20"/>
      <c r="D1624" s="20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5"/>
      <c r="U1624" s="15"/>
      <c r="V1624" s="15"/>
      <c r="W1624" s="15"/>
    </row>
    <row r="1625">
      <c r="A1625" s="11"/>
      <c r="B1625" s="11"/>
      <c r="C1625" s="20"/>
      <c r="D1625" s="20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5"/>
      <c r="U1625" s="15"/>
      <c r="V1625" s="15"/>
      <c r="W1625" s="15"/>
    </row>
    <row r="1626">
      <c r="A1626" s="11"/>
      <c r="B1626" s="11"/>
      <c r="C1626" s="20"/>
      <c r="D1626" s="20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5"/>
      <c r="U1626" s="15"/>
      <c r="V1626" s="15"/>
      <c r="W1626" s="15"/>
    </row>
    <row r="1627">
      <c r="A1627" s="11"/>
      <c r="B1627" s="11"/>
      <c r="C1627" s="20"/>
      <c r="D1627" s="20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5"/>
      <c r="U1627" s="15"/>
      <c r="V1627" s="15"/>
      <c r="W1627" s="15"/>
    </row>
    <row r="1628">
      <c r="A1628" s="11"/>
      <c r="B1628" s="11"/>
      <c r="C1628" s="20"/>
      <c r="D1628" s="20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5"/>
      <c r="U1628" s="15"/>
      <c r="V1628" s="15"/>
      <c r="W1628" s="15"/>
    </row>
    <row r="1629">
      <c r="A1629" s="11"/>
      <c r="B1629" s="11"/>
      <c r="C1629" s="20"/>
      <c r="D1629" s="20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5"/>
      <c r="U1629" s="15"/>
      <c r="V1629" s="15"/>
      <c r="W1629" s="15"/>
    </row>
    <row r="1630">
      <c r="A1630" s="11"/>
      <c r="B1630" s="11"/>
      <c r="C1630" s="20"/>
      <c r="D1630" s="20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5"/>
      <c r="U1630" s="15"/>
      <c r="V1630" s="15"/>
      <c r="W1630" s="15"/>
    </row>
    <row r="1631">
      <c r="A1631" s="11"/>
      <c r="B1631" s="11"/>
      <c r="C1631" s="20"/>
      <c r="D1631" s="20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5"/>
      <c r="U1631" s="15"/>
      <c r="V1631" s="15"/>
      <c r="W1631" s="15"/>
    </row>
    <row r="1632">
      <c r="A1632" s="11"/>
      <c r="B1632" s="11"/>
      <c r="C1632" s="20"/>
      <c r="D1632" s="20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5"/>
      <c r="U1632" s="15"/>
      <c r="V1632" s="15"/>
      <c r="W1632" s="15"/>
    </row>
    <row r="1633">
      <c r="A1633" s="11"/>
      <c r="B1633" s="11"/>
      <c r="C1633" s="20"/>
      <c r="D1633" s="20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5"/>
      <c r="U1633" s="15"/>
      <c r="V1633" s="15"/>
      <c r="W1633" s="15"/>
    </row>
    <row r="1634">
      <c r="A1634" s="11"/>
      <c r="B1634" s="11"/>
      <c r="C1634" s="20"/>
      <c r="D1634" s="20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5"/>
      <c r="U1634" s="15"/>
      <c r="V1634" s="15"/>
      <c r="W1634" s="15"/>
    </row>
    <row r="1635">
      <c r="A1635" s="11"/>
      <c r="B1635" s="11"/>
      <c r="C1635" s="20"/>
      <c r="D1635" s="20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5"/>
      <c r="U1635" s="15"/>
      <c r="V1635" s="15"/>
      <c r="W1635" s="15"/>
    </row>
    <row r="1636">
      <c r="A1636" s="11"/>
      <c r="B1636" s="11"/>
      <c r="C1636" s="20"/>
      <c r="D1636" s="20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5"/>
      <c r="U1636" s="15"/>
      <c r="V1636" s="15"/>
      <c r="W1636" s="15"/>
    </row>
    <row r="1637">
      <c r="A1637" s="11"/>
      <c r="B1637" s="11"/>
      <c r="C1637" s="20"/>
      <c r="D1637" s="20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5"/>
      <c r="U1637" s="15"/>
      <c r="V1637" s="15"/>
      <c r="W1637" s="15"/>
    </row>
    <row r="1638">
      <c r="A1638" s="11"/>
      <c r="B1638" s="11"/>
      <c r="C1638" s="20"/>
      <c r="D1638" s="20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5"/>
      <c r="U1638" s="15"/>
      <c r="V1638" s="15"/>
      <c r="W1638" s="15"/>
    </row>
    <row r="1639">
      <c r="A1639" s="11"/>
      <c r="B1639" s="11"/>
      <c r="C1639" s="20"/>
      <c r="D1639" s="20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5"/>
      <c r="U1639" s="15"/>
      <c r="V1639" s="15"/>
      <c r="W1639" s="15"/>
    </row>
    <row r="1640">
      <c r="A1640" s="11"/>
      <c r="B1640" s="11"/>
      <c r="C1640" s="20"/>
      <c r="D1640" s="20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5"/>
      <c r="U1640" s="15"/>
      <c r="V1640" s="15"/>
      <c r="W1640" s="15"/>
    </row>
    <row r="1641">
      <c r="A1641" s="11"/>
      <c r="B1641" s="11"/>
      <c r="C1641" s="20"/>
      <c r="D1641" s="20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5"/>
      <c r="U1641" s="15"/>
      <c r="V1641" s="15"/>
      <c r="W1641" s="15"/>
    </row>
    <row r="1642">
      <c r="A1642" s="11"/>
      <c r="B1642" s="11"/>
      <c r="C1642" s="20"/>
      <c r="D1642" s="20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5"/>
      <c r="U1642" s="15"/>
      <c r="V1642" s="15"/>
      <c r="W1642" s="15"/>
    </row>
    <row r="1643">
      <c r="A1643" s="11"/>
      <c r="B1643" s="11"/>
      <c r="C1643" s="20"/>
      <c r="D1643" s="20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5"/>
      <c r="U1643" s="15"/>
      <c r="V1643" s="15"/>
      <c r="W1643" s="15"/>
    </row>
    <row r="1644">
      <c r="A1644" s="11"/>
      <c r="B1644" s="11"/>
      <c r="C1644" s="20"/>
      <c r="D1644" s="20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5"/>
      <c r="U1644" s="15"/>
      <c r="V1644" s="15"/>
      <c r="W1644" s="15"/>
    </row>
    <row r="1645">
      <c r="A1645" s="11"/>
      <c r="B1645" s="11"/>
      <c r="C1645" s="20"/>
      <c r="D1645" s="20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5"/>
      <c r="U1645" s="15"/>
      <c r="V1645" s="15"/>
      <c r="W1645" s="15"/>
    </row>
    <row r="1646">
      <c r="A1646" s="11"/>
      <c r="B1646" s="11"/>
      <c r="C1646" s="20"/>
      <c r="D1646" s="20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5"/>
      <c r="U1646" s="15"/>
      <c r="V1646" s="15"/>
      <c r="W1646" s="15"/>
    </row>
    <row r="1647">
      <c r="A1647" s="11"/>
      <c r="B1647" s="11"/>
      <c r="C1647" s="20"/>
      <c r="D1647" s="20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5"/>
      <c r="U1647" s="15"/>
      <c r="V1647" s="15"/>
      <c r="W1647" s="15"/>
    </row>
    <row r="1648">
      <c r="A1648" s="11"/>
      <c r="B1648" s="11"/>
      <c r="C1648" s="20"/>
      <c r="D1648" s="20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5"/>
      <c r="U1648" s="15"/>
      <c r="V1648" s="15"/>
      <c r="W1648" s="15"/>
    </row>
    <row r="1649">
      <c r="A1649" s="11"/>
      <c r="B1649" s="11"/>
      <c r="C1649" s="20"/>
      <c r="D1649" s="20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5"/>
      <c r="U1649" s="15"/>
      <c r="V1649" s="15"/>
      <c r="W1649" s="15"/>
    </row>
    <row r="1650">
      <c r="A1650" s="11"/>
      <c r="B1650" s="11"/>
      <c r="C1650" s="20"/>
      <c r="D1650" s="20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5"/>
      <c r="U1650" s="15"/>
      <c r="V1650" s="15"/>
      <c r="W1650" s="15"/>
    </row>
    <row r="1651">
      <c r="A1651" s="11"/>
      <c r="B1651" s="11"/>
      <c r="C1651" s="20"/>
      <c r="D1651" s="20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5"/>
      <c r="U1651" s="15"/>
      <c r="V1651" s="15"/>
      <c r="W1651" s="15"/>
    </row>
    <row r="1652">
      <c r="A1652" s="11"/>
      <c r="B1652" s="11"/>
      <c r="C1652" s="20"/>
      <c r="D1652" s="20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5"/>
      <c r="U1652" s="15"/>
      <c r="V1652" s="15"/>
      <c r="W1652" s="15"/>
    </row>
    <row r="1653">
      <c r="A1653" s="11"/>
      <c r="B1653" s="11"/>
      <c r="C1653" s="20"/>
      <c r="D1653" s="20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5"/>
      <c r="U1653" s="15"/>
      <c r="V1653" s="15"/>
      <c r="W1653" s="15"/>
    </row>
    <row r="1654">
      <c r="A1654" s="11"/>
      <c r="B1654" s="11"/>
      <c r="C1654" s="20"/>
      <c r="D1654" s="20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5"/>
      <c r="U1654" s="15"/>
      <c r="V1654" s="15"/>
      <c r="W1654" s="15"/>
    </row>
    <row r="1655">
      <c r="A1655" s="11"/>
      <c r="B1655" s="11"/>
      <c r="C1655" s="20"/>
      <c r="D1655" s="20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5"/>
      <c r="U1655" s="15"/>
      <c r="V1655" s="15"/>
      <c r="W1655" s="15"/>
    </row>
    <row r="1656">
      <c r="A1656" s="11"/>
      <c r="B1656" s="11"/>
      <c r="C1656" s="20"/>
      <c r="D1656" s="20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5"/>
      <c r="U1656" s="15"/>
      <c r="V1656" s="15"/>
      <c r="W1656" s="15"/>
    </row>
    <row r="1657">
      <c r="A1657" s="11"/>
      <c r="B1657" s="11"/>
      <c r="C1657" s="20"/>
      <c r="D1657" s="20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5"/>
      <c r="U1657" s="15"/>
      <c r="V1657" s="15"/>
      <c r="W1657" s="15"/>
    </row>
    <row r="1658">
      <c r="A1658" s="11"/>
      <c r="B1658" s="11"/>
      <c r="C1658" s="20"/>
      <c r="D1658" s="20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5"/>
      <c r="U1658" s="15"/>
      <c r="V1658" s="15"/>
      <c r="W1658" s="15"/>
    </row>
    <row r="1659">
      <c r="A1659" s="11"/>
      <c r="B1659" s="11"/>
      <c r="C1659" s="20"/>
      <c r="D1659" s="20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5"/>
      <c r="U1659" s="15"/>
      <c r="V1659" s="15"/>
      <c r="W1659" s="15"/>
    </row>
    <row r="1660">
      <c r="A1660" s="11"/>
      <c r="B1660" s="11"/>
      <c r="C1660" s="20"/>
      <c r="D1660" s="20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5"/>
      <c r="U1660" s="15"/>
      <c r="V1660" s="15"/>
      <c r="W1660" s="15"/>
    </row>
    <row r="1661">
      <c r="A1661" s="11"/>
      <c r="B1661" s="11"/>
      <c r="C1661" s="20"/>
      <c r="D1661" s="20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5"/>
      <c r="U1661" s="15"/>
      <c r="V1661" s="15"/>
      <c r="W1661" s="15"/>
    </row>
    <row r="1662">
      <c r="A1662" s="11"/>
      <c r="B1662" s="11"/>
      <c r="C1662" s="20"/>
      <c r="D1662" s="20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5"/>
      <c r="U1662" s="15"/>
      <c r="V1662" s="15"/>
      <c r="W1662" s="15"/>
    </row>
    <row r="1663">
      <c r="A1663" s="11"/>
      <c r="B1663" s="11"/>
      <c r="C1663" s="20"/>
      <c r="D1663" s="20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5"/>
      <c r="U1663" s="15"/>
      <c r="V1663" s="15"/>
      <c r="W1663" s="15"/>
    </row>
    <row r="1664">
      <c r="A1664" s="11"/>
      <c r="B1664" s="11"/>
      <c r="C1664" s="20"/>
      <c r="D1664" s="20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5"/>
      <c r="U1664" s="15"/>
      <c r="V1664" s="15"/>
      <c r="W1664" s="15"/>
    </row>
    <row r="1665">
      <c r="A1665" s="11"/>
      <c r="B1665" s="11"/>
      <c r="C1665" s="20"/>
      <c r="D1665" s="20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5"/>
      <c r="U1665" s="15"/>
      <c r="V1665" s="15"/>
      <c r="W1665" s="15"/>
    </row>
    <row r="1666">
      <c r="A1666" s="11"/>
      <c r="B1666" s="11"/>
      <c r="C1666" s="20"/>
      <c r="D1666" s="20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5"/>
      <c r="U1666" s="15"/>
      <c r="V1666" s="15"/>
      <c r="W1666" s="15"/>
    </row>
    <row r="1667">
      <c r="A1667" s="11"/>
      <c r="B1667" s="11"/>
      <c r="C1667" s="20"/>
      <c r="D1667" s="20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5"/>
      <c r="U1667" s="15"/>
      <c r="V1667" s="15"/>
      <c r="W1667" s="15"/>
    </row>
    <row r="1668">
      <c r="A1668" s="11"/>
      <c r="B1668" s="11"/>
      <c r="C1668" s="20"/>
      <c r="D1668" s="20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5"/>
      <c r="U1668" s="15"/>
      <c r="V1668" s="15"/>
      <c r="W1668" s="15"/>
    </row>
    <row r="1669">
      <c r="A1669" s="11"/>
      <c r="B1669" s="11"/>
      <c r="C1669" s="20"/>
      <c r="D1669" s="20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5"/>
      <c r="U1669" s="15"/>
      <c r="V1669" s="15"/>
      <c r="W1669" s="15"/>
    </row>
    <row r="1670">
      <c r="A1670" s="11"/>
      <c r="B1670" s="11"/>
      <c r="C1670" s="20"/>
      <c r="D1670" s="20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5"/>
      <c r="U1670" s="15"/>
      <c r="V1670" s="15"/>
      <c r="W1670" s="15"/>
    </row>
    <row r="1671">
      <c r="A1671" s="11"/>
      <c r="B1671" s="11"/>
      <c r="C1671" s="20"/>
      <c r="D1671" s="20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5"/>
      <c r="U1671" s="15"/>
      <c r="V1671" s="15"/>
      <c r="W1671" s="15"/>
    </row>
    <row r="1672">
      <c r="A1672" s="11"/>
      <c r="B1672" s="11"/>
      <c r="C1672" s="20"/>
      <c r="D1672" s="20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5"/>
      <c r="U1672" s="15"/>
      <c r="V1672" s="15"/>
      <c r="W1672" s="15"/>
    </row>
    <row r="1673">
      <c r="A1673" s="11"/>
      <c r="B1673" s="11"/>
      <c r="C1673" s="20"/>
      <c r="D1673" s="20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5"/>
      <c r="U1673" s="15"/>
      <c r="V1673" s="15"/>
      <c r="W1673" s="15"/>
    </row>
    <row r="1674">
      <c r="A1674" s="11"/>
      <c r="B1674" s="11"/>
      <c r="C1674" s="20"/>
      <c r="D1674" s="20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5"/>
      <c r="U1674" s="15"/>
      <c r="V1674" s="15"/>
      <c r="W1674" s="15"/>
    </row>
    <row r="1675">
      <c r="A1675" s="11"/>
      <c r="B1675" s="11"/>
      <c r="C1675" s="20"/>
      <c r="D1675" s="20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5"/>
      <c r="U1675" s="15"/>
      <c r="V1675" s="15"/>
      <c r="W1675" s="15"/>
    </row>
    <row r="1676">
      <c r="A1676" s="11"/>
      <c r="B1676" s="11"/>
      <c r="C1676" s="20"/>
      <c r="D1676" s="20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5"/>
      <c r="U1676" s="15"/>
      <c r="V1676" s="15"/>
      <c r="W1676" s="15"/>
    </row>
    <row r="1677">
      <c r="A1677" s="11"/>
      <c r="B1677" s="11"/>
      <c r="C1677" s="20"/>
      <c r="D1677" s="20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5"/>
      <c r="U1677" s="15"/>
      <c r="V1677" s="15"/>
      <c r="W1677" s="15"/>
    </row>
    <row r="1678">
      <c r="A1678" s="11"/>
      <c r="B1678" s="11"/>
      <c r="C1678" s="20"/>
      <c r="D1678" s="20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5"/>
      <c r="U1678" s="15"/>
      <c r="V1678" s="15"/>
      <c r="W1678" s="15"/>
    </row>
    <row r="1679">
      <c r="A1679" s="11"/>
      <c r="B1679" s="11"/>
      <c r="C1679" s="20"/>
      <c r="D1679" s="20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5"/>
      <c r="U1679" s="15"/>
      <c r="V1679" s="15"/>
      <c r="W1679" s="15"/>
    </row>
    <row r="1680">
      <c r="A1680" s="11"/>
      <c r="B1680" s="11"/>
      <c r="C1680" s="20"/>
      <c r="D1680" s="20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5"/>
      <c r="U1680" s="15"/>
      <c r="V1680" s="15"/>
      <c r="W1680" s="15"/>
    </row>
    <row r="1681">
      <c r="A1681" s="11"/>
      <c r="B1681" s="11"/>
      <c r="C1681" s="20"/>
      <c r="D1681" s="20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5"/>
      <c r="U1681" s="15"/>
      <c r="V1681" s="15"/>
      <c r="W1681" s="15"/>
    </row>
    <row r="1682">
      <c r="A1682" s="11"/>
      <c r="B1682" s="11"/>
      <c r="C1682" s="20"/>
      <c r="D1682" s="20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5"/>
      <c r="U1682" s="15"/>
      <c r="V1682" s="15"/>
      <c r="W1682" s="15"/>
    </row>
    <row r="1683">
      <c r="A1683" s="11"/>
      <c r="B1683" s="11"/>
      <c r="C1683" s="20"/>
      <c r="D1683" s="20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5"/>
      <c r="U1683" s="15"/>
      <c r="V1683" s="15"/>
      <c r="W1683" s="15"/>
    </row>
    <row r="1684">
      <c r="A1684" s="11"/>
      <c r="B1684" s="11"/>
      <c r="C1684" s="20"/>
      <c r="D1684" s="20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5"/>
      <c r="U1684" s="15"/>
      <c r="V1684" s="15"/>
      <c r="W1684" s="15"/>
    </row>
    <row r="1685">
      <c r="A1685" s="11"/>
      <c r="B1685" s="11"/>
      <c r="C1685" s="20"/>
      <c r="D1685" s="20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5"/>
      <c r="U1685" s="15"/>
      <c r="V1685" s="15"/>
      <c r="W1685" s="15"/>
    </row>
    <row r="1686">
      <c r="A1686" s="11"/>
      <c r="B1686" s="11"/>
      <c r="C1686" s="20"/>
      <c r="D1686" s="20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5"/>
      <c r="U1686" s="15"/>
      <c r="V1686" s="15"/>
      <c r="W1686" s="15"/>
    </row>
    <row r="1687">
      <c r="A1687" s="11"/>
      <c r="B1687" s="11"/>
      <c r="C1687" s="20"/>
      <c r="D1687" s="20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5"/>
      <c r="U1687" s="15"/>
      <c r="V1687" s="15"/>
      <c r="W1687" s="15"/>
    </row>
    <row r="1688">
      <c r="A1688" s="11"/>
      <c r="B1688" s="11"/>
      <c r="C1688" s="20"/>
      <c r="D1688" s="20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5"/>
      <c r="U1688" s="15"/>
      <c r="V1688" s="15"/>
      <c r="W1688" s="15"/>
    </row>
    <row r="1689">
      <c r="A1689" s="11"/>
      <c r="B1689" s="11"/>
      <c r="C1689" s="20"/>
      <c r="D1689" s="20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5"/>
      <c r="U1689" s="15"/>
      <c r="V1689" s="15"/>
      <c r="W1689" s="15"/>
    </row>
    <row r="1690">
      <c r="A1690" s="11"/>
      <c r="B1690" s="11"/>
      <c r="C1690" s="20"/>
      <c r="D1690" s="20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5"/>
      <c r="U1690" s="15"/>
      <c r="V1690" s="15"/>
      <c r="W1690" s="15"/>
    </row>
    <row r="1691">
      <c r="A1691" s="11"/>
      <c r="B1691" s="11"/>
      <c r="C1691" s="20"/>
      <c r="D1691" s="20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5"/>
      <c r="U1691" s="15"/>
      <c r="V1691" s="15"/>
      <c r="W1691" s="15"/>
    </row>
    <row r="1692">
      <c r="A1692" s="11"/>
      <c r="B1692" s="11"/>
      <c r="C1692" s="20"/>
      <c r="D1692" s="20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5"/>
      <c r="U1692" s="15"/>
      <c r="V1692" s="15"/>
      <c r="W1692" s="15"/>
    </row>
    <row r="1693">
      <c r="A1693" s="11"/>
      <c r="B1693" s="11"/>
      <c r="C1693" s="20"/>
      <c r="D1693" s="20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5"/>
      <c r="U1693" s="15"/>
      <c r="V1693" s="15"/>
      <c r="W1693" s="15"/>
    </row>
    <row r="1694">
      <c r="A1694" s="11"/>
      <c r="B1694" s="11"/>
      <c r="C1694" s="20"/>
      <c r="D1694" s="20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5"/>
      <c r="U1694" s="15"/>
      <c r="V1694" s="15"/>
      <c r="W1694" s="15"/>
    </row>
    <row r="1695">
      <c r="A1695" s="11"/>
      <c r="B1695" s="11"/>
      <c r="C1695" s="20"/>
      <c r="D1695" s="20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5"/>
      <c r="U1695" s="15"/>
      <c r="V1695" s="15"/>
      <c r="W1695" s="15"/>
    </row>
    <row r="1696">
      <c r="A1696" s="11"/>
      <c r="B1696" s="11"/>
      <c r="C1696" s="20"/>
      <c r="D1696" s="20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5"/>
      <c r="U1696" s="15"/>
      <c r="V1696" s="15"/>
      <c r="W1696" s="15"/>
    </row>
    <row r="1697">
      <c r="A1697" s="11"/>
      <c r="B1697" s="11"/>
      <c r="C1697" s="20"/>
      <c r="D1697" s="20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5"/>
      <c r="U1697" s="15"/>
      <c r="V1697" s="15"/>
      <c r="W1697" s="15"/>
    </row>
    <row r="1698">
      <c r="A1698" s="11"/>
      <c r="B1698" s="11"/>
      <c r="C1698" s="20"/>
      <c r="D1698" s="20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5"/>
      <c r="U1698" s="15"/>
      <c r="V1698" s="15"/>
      <c r="W1698" s="15"/>
    </row>
    <row r="1699">
      <c r="A1699" s="11"/>
      <c r="B1699" s="11"/>
      <c r="C1699" s="20"/>
      <c r="D1699" s="20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5"/>
      <c r="U1699" s="15"/>
      <c r="V1699" s="15"/>
      <c r="W1699" s="15"/>
    </row>
    <row r="1700">
      <c r="A1700" s="11"/>
      <c r="B1700" s="11"/>
      <c r="C1700" s="20"/>
      <c r="D1700" s="20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5"/>
      <c r="U1700" s="15"/>
      <c r="V1700" s="15"/>
      <c r="W1700" s="15"/>
    </row>
    <row r="1701">
      <c r="A1701" s="11"/>
      <c r="B1701" s="11"/>
      <c r="C1701" s="20"/>
      <c r="D1701" s="20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5"/>
      <c r="U1701" s="15"/>
      <c r="V1701" s="15"/>
      <c r="W1701" s="15"/>
    </row>
    <row r="1702">
      <c r="A1702" s="11"/>
      <c r="B1702" s="11"/>
      <c r="C1702" s="20"/>
      <c r="D1702" s="20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5"/>
      <c r="U1702" s="15"/>
      <c r="V1702" s="15"/>
      <c r="W1702" s="15"/>
    </row>
    <row r="1703">
      <c r="A1703" s="11"/>
      <c r="B1703" s="11"/>
      <c r="C1703" s="20"/>
      <c r="D1703" s="20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5"/>
      <c r="U1703" s="15"/>
      <c r="V1703" s="15"/>
      <c r="W1703" s="15"/>
    </row>
    <row r="1704">
      <c r="A1704" s="11"/>
      <c r="B1704" s="11"/>
      <c r="C1704" s="20"/>
      <c r="D1704" s="20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5"/>
      <c r="U1704" s="15"/>
      <c r="V1704" s="15"/>
      <c r="W1704" s="15"/>
    </row>
    <row r="1705">
      <c r="A1705" s="11"/>
      <c r="B1705" s="11"/>
      <c r="C1705" s="20"/>
      <c r="D1705" s="20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5"/>
      <c r="U1705" s="15"/>
      <c r="V1705" s="15"/>
      <c r="W1705" s="15"/>
    </row>
    <row r="1706">
      <c r="A1706" s="11"/>
      <c r="B1706" s="11"/>
      <c r="C1706" s="20"/>
      <c r="D1706" s="20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5"/>
      <c r="U1706" s="15"/>
      <c r="V1706" s="15"/>
      <c r="W1706" s="15"/>
    </row>
    <row r="1707">
      <c r="A1707" s="11"/>
      <c r="B1707" s="11"/>
      <c r="C1707" s="20"/>
      <c r="D1707" s="20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5"/>
      <c r="U1707" s="15"/>
      <c r="V1707" s="15"/>
      <c r="W1707" s="15"/>
    </row>
    <row r="1708">
      <c r="A1708" s="11"/>
      <c r="B1708" s="11"/>
      <c r="C1708" s="20"/>
      <c r="D1708" s="20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5"/>
      <c r="U1708" s="15"/>
      <c r="V1708" s="15"/>
      <c r="W1708" s="15"/>
    </row>
    <row r="1709">
      <c r="A1709" s="11"/>
      <c r="B1709" s="11"/>
      <c r="C1709" s="20"/>
      <c r="D1709" s="20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5"/>
      <c r="U1709" s="15"/>
      <c r="V1709" s="15"/>
      <c r="W1709" s="15"/>
    </row>
    <row r="1710">
      <c r="A1710" s="11"/>
      <c r="B1710" s="11"/>
      <c r="C1710" s="20"/>
      <c r="D1710" s="20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5"/>
      <c r="U1710" s="15"/>
      <c r="V1710" s="15"/>
      <c r="W1710" s="15"/>
    </row>
    <row r="1711">
      <c r="A1711" s="11"/>
      <c r="B1711" s="11"/>
      <c r="C1711" s="20"/>
      <c r="D1711" s="20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5"/>
      <c r="U1711" s="15"/>
      <c r="V1711" s="15"/>
      <c r="W1711" s="15"/>
    </row>
    <row r="1712">
      <c r="A1712" s="11"/>
      <c r="B1712" s="11"/>
      <c r="C1712" s="20"/>
      <c r="D1712" s="20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5"/>
      <c r="U1712" s="15"/>
      <c r="V1712" s="15"/>
      <c r="W1712" s="15"/>
    </row>
    <row r="1713">
      <c r="A1713" s="11"/>
      <c r="B1713" s="11"/>
      <c r="C1713" s="20"/>
      <c r="D1713" s="20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5"/>
      <c r="U1713" s="15"/>
      <c r="V1713" s="15"/>
      <c r="W1713" s="15"/>
    </row>
    <row r="1714">
      <c r="A1714" s="11"/>
      <c r="B1714" s="11"/>
      <c r="C1714" s="20"/>
      <c r="D1714" s="20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5"/>
      <c r="U1714" s="15"/>
      <c r="V1714" s="15"/>
      <c r="W1714" s="15"/>
    </row>
    <row r="1715">
      <c r="A1715" s="11"/>
      <c r="B1715" s="11"/>
      <c r="C1715" s="20"/>
      <c r="D1715" s="20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5"/>
      <c r="U1715" s="15"/>
      <c r="V1715" s="15"/>
      <c r="W1715" s="15"/>
    </row>
    <row r="1716">
      <c r="A1716" s="11"/>
      <c r="B1716" s="11"/>
      <c r="C1716" s="20"/>
      <c r="D1716" s="20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5"/>
      <c r="U1716" s="15"/>
      <c r="V1716" s="15"/>
      <c r="W1716" s="15"/>
    </row>
    <row r="1717">
      <c r="A1717" s="11"/>
      <c r="B1717" s="11"/>
      <c r="C1717" s="20"/>
      <c r="D1717" s="20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5"/>
      <c r="U1717" s="15"/>
      <c r="V1717" s="15"/>
      <c r="W1717" s="15"/>
    </row>
    <row r="1718">
      <c r="A1718" s="11"/>
      <c r="B1718" s="11"/>
      <c r="C1718" s="20"/>
      <c r="D1718" s="20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5"/>
      <c r="U1718" s="15"/>
      <c r="V1718" s="15"/>
      <c r="W1718" s="15"/>
    </row>
    <row r="1719">
      <c r="A1719" s="11"/>
      <c r="B1719" s="11"/>
      <c r="C1719" s="20"/>
      <c r="D1719" s="20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5"/>
      <c r="U1719" s="15"/>
      <c r="V1719" s="15"/>
      <c r="W1719" s="15"/>
    </row>
    <row r="1720">
      <c r="A1720" s="11"/>
      <c r="B1720" s="11"/>
      <c r="C1720" s="20"/>
      <c r="D1720" s="20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5"/>
      <c r="U1720" s="15"/>
      <c r="V1720" s="15"/>
      <c r="W1720" s="15"/>
    </row>
    <row r="1721">
      <c r="A1721" s="11"/>
      <c r="B1721" s="11"/>
      <c r="C1721" s="20"/>
      <c r="D1721" s="20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5"/>
      <c r="U1721" s="15"/>
      <c r="V1721" s="15"/>
      <c r="W1721" s="15"/>
    </row>
    <row r="1722">
      <c r="A1722" s="11"/>
      <c r="B1722" s="11"/>
      <c r="C1722" s="20"/>
      <c r="D1722" s="20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5"/>
      <c r="U1722" s="15"/>
      <c r="V1722" s="15"/>
      <c r="W1722" s="15"/>
    </row>
    <row r="1723">
      <c r="A1723" s="11"/>
      <c r="B1723" s="11"/>
      <c r="C1723" s="20"/>
      <c r="D1723" s="20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5"/>
      <c r="U1723" s="15"/>
      <c r="V1723" s="15"/>
      <c r="W1723" s="15"/>
    </row>
    <row r="1724">
      <c r="A1724" s="11"/>
      <c r="B1724" s="11"/>
      <c r="C1724" s="20"/>
      <c r="D1724" s="20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5"/>
      <c r="U1724" s="15"/>
      <c r="V1724" s="15"/>
      <c r="W1724" s="15"/>
    </row>
    <row r="1725">
      <c r="A1725" s="11"/>
      <c r="B1725" s="11"/>
      <c r="C1725" s="20"/>
      <c r="D1725" s="20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5"/>
      <c r="U1725" s="15"/>
      <c r="V1725" s="15"/>
      <c r="W1725" s="15"/>
    </row>
    <row r="1726">
      <c r="A1726" s="11"/>
      <c r="B1726" s="11"/>
      <c r="C1726" s="20"/>
      <c r="D1726" s="20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5"/>
      <c r="U1726" s="15"/>
      <c r="V1726" s="15"/>
      <c r="W1726" s="15"/>
    </row>
    <row r="1727">
      <c r="A1727" s="11"/>
      <c r="B1727" s="11"/>
      <c r="C1727" s="20"/>
      <c r="D1727" s="20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5"/>
      <c r="U1727" s="15"/>
      <c r="V1727" s="15"/>
      <c r="W1727" s="15"/>
    </row>
    <row r="1728">
      <c r="A1728" s="11"/>
      <c r="B1728" s="11"/>
      <c r="C1728" s="20"/>
      <c r="D1728" s="20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5"/>
      <c r="U1728" s="15"/>
      <c r="V1728" s="15"/>
      <c r="W1728" s="15"/>
    </row>
    <row r="1729">
      <c r="A1729" s="11"/>
      <c r="B1729" s="11"/>
      <c r="C1729" s="20"/>
      <c r="D1729" s="20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5"/>
      <c r="U1729" s="15"/>
      <c r="V1729" s="15"/>
      <c r="W1729" s="15"/>
    </row>
    <row r="1730">
      <c r="A1730" s="11"/>
      <c r="B1730" s="11"/>
      <c r="C1730" s="20"/>
      <c r="D1730" s="20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5"/>
      <c r="U1730" s="15"/>
      <c r="V1730" s="15"/>
      <c r="W1730" s="15"/>
    </row>
    <row r="1731">
      <c r="A1731" s="11"/>
      <c r="B1731" s="11"/>
      <c r="C1731" s="20"/>
      <c r="D1731" s="20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5"/>
      <c r="U1731" s="15"/>
      <c r="V1731" s="15"/>
      <c r="W1731" s="15"/>
    </row>
    <row r="1732">
      <c r="A1732" s="11"/>
      <c r="B1732" s="11"/>
      <c r="C1732" s="20"/>
      <c r="D1732" s="20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5"/>
      <c r="U1732" s="15"/>
      <c r="V1732" s="15"/>
      <c r="W1732" s="15"/>
    </row>
    <row r="1733">
      <c r="A1733" s="11"/>
      <c r="B1733" s="11"/>
      <c r="C1733" s="20"/>
      <c r="D1733" s="20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5"/>
      <c r="U1733" s="15"/>
      <c r="V1733" s="15"/>
      <c r="W1733" s="15"/>
    </row>
    <row r="1734">
      <c r="A1734" s="11"/>
      <c r="B1734" s="11"/>
      <c r="C1734" s="20"/>
      <c r="D1734" s="20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5"/>
      <c r="U1734" s="15"/>
      <c r="V1734" s="15"/>
      <c r="W1734" s="15"/>
    </row>
    <row r="1735">
      <c r="A1735" s="11"/>
      <c r="B1735" s="11"/>
      <c r="C1735" s="20"/>
      <c r="D1735" s="20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5"/>
      <c r="U1735" s="15"/>
      <c r="V1735" s="15"/>
      <c r="W1735" s="15"/>
    </row>
    <row r="1736">
      <c r="A1736" s="11"/>
      <c r="B1736" s="11"/>
      <c r="C1736" s="20"/>
      <c r="D1736" s="20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5"/>
      <c r="U1736" s="15"/>
      <c r="V1736" s="15"/>
      <c r="W1736" s="15"/>
    </row>
    <row r="1737">
      <c r="A1737" s="11"/>
      <c r="B1737" s="11"/>
      <c r="C1737" s="20"/>
      <c r="D1737" s="20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5"/>
      <c r="U1737" s="15"/>
      <c r="V1737" s="15"/>
      <c r="W1737" s="15"/>
    </row>
    <row r="1738">
      <c r="A1738" s="11"/>
      <c r="B1738" s="11"/>
      <c r="C1738" s="20"/>
      <c r="D1738" s="20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5"/>
      <c r="U1738" s="15"/>
      <c r="V1738" s="15"/>
      <c r="W1738" s="15"/>
    </row>
    <row r="1739">
      <c r="A1739" s="11"/>
      <c r="B1739" s="11"/>
      <c r="C1739" s="20"/>
      <c r="D1739" s="20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5"/>
      <c r="U1739" s="15"/>
      <c r="V1739" s="15"/>
      <c r="W1739" s="15"/>
    </row>
    <row r="1740">
      <c r="A1740" s="11"/>
      <c r="B1740" s="11"/>
      <c r="C1740" s="20"/>
      <c r="D1740" s="20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5"/>
      <c r="U1740" s="15"/>
      <c r="V1740" s="15"/>
      <c r="W1740" s="15"/>
    </row>
    <row r="1741">
      <c r="A1741" s="11"/>
      <c r="B1741" s="11"/>
      <c r="C1741" s="20"/>
      <c r="D1741" s="20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5"/>
      <c r="U1741" s="15"/>
      <c r="V1741" s="15"/>
      <c r="W1741" s="15"/>
    </row>
    <row r="1742">
      <c r="A1742" s="11"/>
      <c r="B1742" s="11"/>
      <c r="C1742" s="20"/>
      <c r="D1742" s="20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5"/>
      <c r="U1742" s="15"/>
      <c r="V1742" s="15"/>
      <c r="W1742" s="15"/>
    </row>
    <row r="1743">
      <c r="A1743" s="11"/>
      <c r="B1743" s="11"/>
      <c r="C1743" s="20"/>
      <c r="D1743" s="20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5"/>
      <c r="U1743" s="15"/>
      <c r="V1743" s="15"/>
      <c r="W1743" s="15"/>
    </row>
    <row r="1744">
      <c r="A1744" s="11"/>
      <c r="B1744" s="11"/>
      <c r="C1744" s="20"/>
      <c r="D1744" s="20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5"/>
      <c r="U1744" s="15"/>
      <c r="V1744" s="15"/>
      <c r="W1744" s="15"/>
    </row>
    <row r="1745">
      <c r="A1745" s="11"/>
      <c r="B1745" s="11"/>
      <c r="C1745" s="20"/>
      <c r="D1745" s="20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5"/>
      <c r="U1745" s="15"/>
      <c r="V1745" s="15"/>
      <c r="W1745" s="15"/>
    </row>
    <row r="1746">
      <c r="A1746" s="11"/>
      <c r="B1746" s="11"/>
      <c r="C1746" s="20"/>
      <c r="D1746" s="20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5"/>
      <c r="U1746" s="15"/>
      <c r="V1746" s="15"/>
      <c r="W1746" s="15"/>
    </row>
    <row r="1747">
      <c r="A1747" s="11"/>
      <c r="B1747" s="11"/>
      <c r="C1747" s="20"/>
      <c r="D1747" s="20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5"/>
      <c r="U1747" s="15"/>
      <c r="V1747" s="15"/>
      <c r="W1747" s="15"/>
    </row>
    <row r="1748">
      <c r="A1748" s="11"/>
      <c r="B1748" s="11"/>
      <c r="C1748" s="20"/>
      <c r="D1748" s="20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5"/>
      <c r="U1748" s="15"/>
      <c r="V1748" s="15"/>
      <c r="W1748" s="15"/>
    </row>
    <row r="1749">
      <c r="A1749" s="11"/>
      <c r="B1749" s="11"/>
      <c r="C1749" s="20"/>
      <c r="D1749" s="20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5"/>
      <c r="U1749" s="15"/>
      <c r="V1749" s="15"/>
      <c r="W1749" s="15"/>
    </row>
    <row r="1750">
      <c r="A1750" s="11"/>
      <c r="B1750" s="11"/>
      <c r="C1750" s="20"/>
      <c r="D1750" s="20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5"/>
      <c r="U1750" s="15"/>
      <c r="V1750" s="15"/>
      <c r="W1750" s="15"/>
    </row>
    <row r="1751">
      <c r="A1751" s="11"/>
      <c r="B1751" s="11"/>
      <c r="C1751" s="20"/>
      <c r="D1751" s="20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5"/>
      <c r="U1751" s="15"/>
      <c r="V1751" s="15"/>
      <c r="W1751" s="15"/>
    </row>
    <row r="1752">
      <c r="A1752" s="11"/>
      <c r="B1752" s="11"/>
      <c r="C1752" s="20"/>
      <c r="D1752" s="20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5"/>
      <c r="U1752" s="15"/>
      <c r="V1752" s="15"/>
      <c r="W1752" s="15"/>
    </row>
    <row r="1753">
      <c r="A1753" s="11"/>
      <c r="B1753" s="11"/>
      <c r="C1753" s="20"/>
      <c r="D1753" s="20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5"/>
      <c r="U1753" s="15"/>
      <c r="V1753" s="15"/>
      <c r="W1753" s="15"/>
    </row>
    <row r="1754">
      <c r="A1754" s="11"/>
      <c r="B1754" s="11"/>
      <c r="C1754" s="20"/>
      <c r="D1754" s="20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5"/>
      <c r="U1754" s="15"/>
      <c r="V1754" s="15"/>
      <c r="W1754" s="15"/>
    </row>
    <row r="1755">
      <c r="A1755" s="11"/>
      <c r="B1755" s="11"/>
      <c r="C1755" s="20"/>
      <c r="D1755" s="20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5"/>
      <c r="U1755" s="15"/>
      <c r="V1755" s="15"/>
      <c r="W1755" s="15"/>
    </row>
    <row r="1756">
      <c r="A1756" s="11"/>
      <c r="B1756" s="11"/>
      <c r="C1756" s="20"/>
      <c r="D1756" s="20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5"/>
      <c r="U1756" s="15"/>
      <c r="V1756" s="15"/>
      <c r="W1756" s="15"/>
    </row>
    <row r="1757">
      <c r="A1757" s="11"/>
      <c r="B1757" s="11"/>
      <c r="C1757" s="20"/>
      <c r="D1757" s="20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5"/>
      <c r="U1757" s="15"/>
      <c r="V1757" s="15"/>
      <c r="W1757" s="15"/>
    </row>
    <row r="1758">
      <c r="A1758" s="11"/>
      <c r="B1758" s="11"/>
      <c r="C1758" s="20"/>
      <c r="D1758" s="20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5"/>
      <c r="U1758" s="15"/>
      <c r="V1758" s="15"/>
      <c r="W1758" s="15"/>
    </row>
    <row r="1759">
      <c r="A1759" s="11"/>
      <c r="B1759" s="11"/>
      <c r="C1759" s="20"/>
      <c r="D1759" s="20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5"/>
      <c r="U1759" s="15"/>
      <c r="V1759" s="15"/>
      <c r="W1759" s="15"/>
    </row>
    <row r="1760">
      <c r="A1760" s="11"/>
      <c r="B1760" s="11"/>
      <c r="C1760" s="20"/>
      <c r="D1760" s="20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5"/>
      <c r="U1760" s="15"/>
      <c r="V1760" s="15"/>
      <c r="W1760" s="15"/>
    </row>
    <row r="1761">
      <c r="A1761" s="11"/>
      <c r="B1761" s="11"/>
      <c r="C1761" s="20"/>
      <c r="D1761" s="20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5"/>
      <c r="U1761" s="15"/>
      <c r="V1761" s="15"/>
      <c r="W1761" s="15"/>
    </row>
    <row r="1762">
      <c r="A1762" s="11"/>
      <c r="B1762" s="11"/>
      <c r="C1762" s="20"/>
      <c r="D1762" s="20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5"/>
      <c r="U1762" s="15"/>
      <c r="V1762" s="15"/>
      <c r="W1762" s="15"/>
    </row>
    <row r="1763">
      <c r="A1763" s="11"/>
      <c r="B1763" s="11"/>
      <c r="C1763" s="20"/>
      <c r="D1763" s="20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5"/>
      <c r="U1763" s="15"/>
      <c r="V1763" s="15"/>
      <c r="W1763" s="15"/>
    </row>
    <row r="1764">
      <c r="A1764" s="11"/>
      <c r="B1764" s="11"/>
      <c r="C1764" s="20"/>
      <c r="D1764" s="20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5"/>
      <c r="U1764" s="15"/>
      <c r="V1764" s="15"/>
      <c r="W1764" s="15"/>
    </row>
    <row r="1765">
      <c r="A1765" s="11"/>
      <c r="B1765" s="11"/>
      <c r="C1765" s="20"/>
      <c r="D1765" s="20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5"/>
      <c r="U1765" s="15"/>
      <c r="V1765" s="15"/>
      <c r="W1765" s="15"/>
    </row>
    <row r="1766">
      <c r="A1766" s="11"/>
      <c r="B1766" s="11"/>
      <c r="C1766" s="20"/>
      <c r="D1766" s="20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5"/>
      <c r="U1766" s="15"/>
      <c r="V1766" s="15"/>
      <c r="W1766" s="15"/>
    </row>
    <row r="1767">
      <c r="A1767" s="11"/>
      <c r="B1767" s="11"/>
      <c r="C1767" s="20"/>
      <c r="D1767" s="20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5"/>
      <c r="U1767" s="15"/>
      <c r="V1767" s="15"/>
      <c r="W1767" s="15"/>
    </row>
    <row r="1768">
      <c r="A1768" s="11"/>
      <c r="B1768" s="11"/>
      <c r="C1768" s="20"/>
      <c r="D1768" s="20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5"/>
      <c r="U1768" s="15"/>
      <c r="V1768" s="15"/>
      <c r="W1768" s="15"/>
    </row>
    <row r="1769">
      <c r="A1769" s="11"/>
      <c r="B1769" s="11"/>
      <c r="C1769" s="20"/>
      <c r="D1769" s="20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5"/>
      <c r="U1769" s="15"/>
      <c r="V1769" s="15"/>
      <c r="W1769" s="15"/>
    </row>
    <row r="1770">
      <c r="A1770" s="11"/>
      <c r="B1770" s="11"/>
      <c r="C1770" s="20"/>
      <c r="D1770" s="20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5"/>
      <c r="U1770" s="15"/>
      <c r="V1770" s="15"/>
      <c r="W1770" s="15"/>
    </row>
    <row r="1771">
      <c r="A1771" s="11"/>
      <c r="B1771" s="11"/>
      <c r="C1771" s="20"/>
      <c r="D1771" s="20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5"/>
      <c r="U1771" s="15"/>
      <c r="V1771" s="15"/>
      <c r="W1771" s="15"/>
    </row>
    <row r="1772">
      <c r="A1772" s="11"/>
      <c r="B1772" s="11"/>
      <c r="C1772" s="20"/>
      <c r="D1772" s="20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5"/>
      <c r="U1772" s="15"/>
      <c r="V1772" s="15"/>
      <c r="W1772" s="15"/>
    </row>
    <row r="1773">
      <c r="A1773" s="11"/>
      <c r="B1773" s="11"/>
      <c r="C1773" s="20"/>
      <c r="D1773" s="20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5"/>
      <c r="U1773" s="15"/>
      <c r="V1773" s="15"/>
      <c r="W1773" s="15"/>
    </row>
    <row r="1774">
      <c r="A1774" s="11"/>
      <c r="B1774" s="11"/>
      <c r="C1774" s="20"/>
      <c r="D1774" s="20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5"/>
      <c r="U1774" s="15"/>
      <c r="V1774" s="15"/>
      <c r="W1774" s="15"/>
    </row>
    <row r="1775">
      <c r="A1775" s="11"/>
      <c r="B1775" s="11"/>
      <c r="C1775" s="20"/>
      <c r="D1775" s="20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5"/>
      <c r="U1775" s="15"/>
      <c r="V1775" s="15"/>
      <c r="W1775" s="15"/>
    </row>
    <row r="1776">
      <c r="A1776" s="11"/>
      <c r="B1776" s="11"/>
      <c r="C1776" s="20"/>
      <c r="D1776" s="20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5"/>
      <c r="U1776" s="15"/>
      <c r="V1776" s="15"/>
      <c r="W1776" s="15"/>
    </row>
    <row r="1777">
      <c r="A1777" s="11"/>
      <c r="B1777" s="11"/>
      <c r="C1777" s="20"/>
      <c r="D1777" s="20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5"/>
      <c r="U1777" s="15"/>
      <c r="V1777" s="15"/>
      <c r="W1777" s="15"/>
    </row>
    <row r="1778">
      <c r="A1778" s="11"/>
      <c r="B1778" s="11"/>
      <c r="C1778" s="20"/>
      <c r="D1778" s="20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5"/>
      <c r="U1778" s="15"/>
      <c r="V1778" s="15"/>
      <c r="W1778" s="15"/>
    </row>
    <row r="1779">
      <c r="A1779" s="11"/>
      <c r="B1779" s="11"/>
      <c r="C1779" s="20"/>
      <c r="D1779" s="20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5"/>
      <c r="U1779" s="15"/>
      <c r="V1779" s="15"/>
      <c r="W1779" s="15"/>
    </row>
    <row r="1780">
      <c r="A1780" s="11"/>
      <c r="B1780" s="11"/>
      <c r="C1780" s="20"/>
      <c r="D1780" s="20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5"/>
      <c r="U1780" s="15"/>
      <c r="V1780" s="15"/>
      <c r="W1780" s="15"/>
    </row>
    <row r="1781">
      <c r="A1781" s="11"/>
      <c r="B1781" s="11"/>
      <c r="C1781" s="20"/>
      <c r="D1781" s="20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5"/>
      <c r="U1781" s="15"/>
      <c r="V1781" s="15"/>
      <c r="W1781" s="15"/>
    </row>
    <row r="1782">
      <c r="A1782" s="11"/>
      <c r="B1782" s="11"/>
      <c r="C1782" s="20"/>
      <c r="D1782" s="20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5"/>
      <c r="U1782" s="15"/>
      <c r="V1782" s="15"/>
      <c r="W1782" s="15"/>
    </row>
    <row r="1783">
      <c r="A1783" s="11"/>
      <c r="B1783" s="11"/>
      <c r="C1783" s="20"/>
      <c r="D1783" s="20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5"/>
      <c r="U1783" s="15"/>
      <c r="V1783" s="15"/>
      <c r="W1783" s="15"/>
    </row>
    <row r="1784">
      <c r="A1784" s="11"/>
      <c r="B1784" s="11"/>
      <c r="C1784" s="20"/>
      <c r="D1784" s="20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5"/>
      <c r="U1784" s="15"/>
      <c r="V1784" s="15"/>
      <c r="W1784" s="15"/>
    </row>
    <row r="1785">
      <c r="A1785" s="11"/>
      <c r="B1785" s="11"/>
      <c r="C1785" s="20"/>
      <c r="D1785" s="20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5"/>
      <c r="U1785" s="15"/>
      <c r="V1785" s="15"/>
      <c r="W1785" s="15"/>
    </row>
    <row r="1786">
      <c r="A1786" s="11"/>
      <c r="B1786" s="11"/>
      <c r="C1786" s="20"/>
      <c r="D1786" s="20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5"/>
      <c r="U1786" s="15"/>
      <c r="V1786" s="15"/>
      <c r="W1786" s="15"/>
    </row>
    <row r="1787">
      <c r="A1787" s="11"/>
      <c r="B1787" s="11"/>
      <c r="C1787" s="20"/>
      <c r="D1787" s="20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5"/>
      <c r="U1787" s="15"/>
      <c r="V1787" s="15"/>
      <c r="W1787" s="15"/>
    </row>
    <row r="1788">
      <c r="A1788" s="11"/>
      <c r="B1788" s="11"/>
      <c r="C1788" s="20"/>
      <c r="D1788" s="20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5"/>
      <c r="U1788" s="15"/>
      <c r="V1788" s="15"/>
      <c r="W1788" s="15"/>
    </row>
    <row r="1789">
      <c r="A1789" s="11"/>
      <c r="B1789" s="11"/>
      <c r="C1789" s="20"/>
      <c r="D1789" s="20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5"/>
      <c r="U1789" s="15"/>
      <c r="V1789" s="15"/>
      <c r="W1789" s="15"/>
    </row>
    <row r="1790">
      <c r="A1790" s="11"/>
      <c r="B1790" s="11"/>
      <c r="C1790" s="20"/>
      <c r="D1790" s="20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5"/>
      <c r="U1790" s="15"/>
      <c r="V1790" s="15"/>
      <c r="W1790" s="15"/>
    </row>
    <row r="1791">
      <c r="A1791" s="11"/>
      <c r="B1791" s="11"/>
      <c r="C1791" s="20"/>
      <c r="D1791" s="20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5"/>
      <c r="U1791" s="15"/>
      <c r="V1791" s="15"/>
      <c r="W1791" s="15"/>
    </row>
    <row r="1792">
      <c r="A1792" s="11"/>
      <c r="B1792" s="11"/>
      <c r="C1792" s="20"/>
      <c r="D1792" s="20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5"/>
      <c r="U1792" s="15"/>
      <c r="V1792" s="15"/>
      <c r="W1792" s="15"/>
    </row>
    <row r="1793">
      <c r="A1793" s="11"/>
      <c r="B1793" s="11"/>
      <c r="C1793" s="20"/>
      <c r="D1793" s="20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5"/>
      <c r="U1793" s="15"/>
      <c r="V1793" s="15"/>
      <c r="W1793" s="15"/>
    </row>
    <row r="1794">
      <c r="A1794" s="11"/>
      <c r="B1794" s="11"/>
      <c r="C1794" s="20"/>
      <c r="D1794" s="20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5"/>
      <c r="U1794" s="15"/>
      <c r="V1794" s="15"/>
      <c r="W1794" s="15"/>
    </row>
    <row r="1795">
      <c r="A1795" s="11"/>
      <c r="B1795" s="11"/>
      <c r="C1795" s="20"/>
      <c r="D1795" s="20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5"/>
      <c r="U1795" s="15"/>
      <c r="V1795" s="15"/>
      <c r="W1795" s="15"/>
    </row>
    <row r="1796">
      <c r="A1796" s="11"/>
      <c r="B1796" s="11"/>
      <c r="C1796" s="20"/>
      <c r="D1796" s="20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5"/>
      <c r="U1796" s="15"/>
      <c r="V1796" s="15"/>
      <c r="W1796" s="15"/>
    </row>
    <row r="1797">
      <c r="A1797" s="11"/>
      <c r="B1797" s="11"/>
      <c r="C1797" s="20"/>
      <c r="D1797" s="20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5"/>
      <c r="U1797" s="15"/>
      <c r="V1797" s="15"/>
      <c r="W1797" s="15"/>
    </row>
    <row r="1798">
      <c r="A1798" s="11"/>
      <c r="B1798" s="11"/>
      <c r="C1798" s="20"/>
      <c r="D1798" s="20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5"/>
      <c r="U1798" s="15"/>
      <c r="V1798" s="15"/>
      <c r="W1798" s="15"/>
    </row>
    <row r="1799">
      <c r="A1799" s="11"/>
      <c r="B1799" s="11"/>
      <c r="C1799" s="20"/>
      <c r="D1799" s="20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5"/>
      <c r="U1799" s="15"/>
      <c r="V1799" s="15"/>
      <c r="W1799" s="15"/>
    </row>
    <row r="1800">
      <c r="A1800" s="11"/>
      <c r="B1800" s="11"/>
      <c r="C1800" s="20"/>
      <c r="D1800" s="20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5"/>
      <c r="U1800" s="15"/>
      <c r="V1800" s="15"/>
      <c r="W1800" s="15"/>
    </row>
    <row r="1801">
      <c r="A1801" s="11"/>
      <c r="B1801" s="11"/>
      <c r="C1801" s="20"/>
      <c r="D1801" s="20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5"/>
      <c r="U1801" s="15"/>
      <c r="V1801" s="15"/>
      <c r="W1801" s="15"/>
    </row>
    <row r="1802">
      <c r="A1802" s="11"/>
      <c r="B1802" s="11"/>
      <c r="C1802" s="20"/>
      <c r="D1802" s="20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5"/>
      <c r="U1802" s="15"/>
      <c r="V1802" s="15"/>
      <c r="W1802" s="15"/>
    </row>
    <row r="1803">
      <c r="A1803" s="11"/>
      <c r="B1803" s="11"/>
      <c r="C1803" s="20"/>
      <c r="D1803" s="20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5"/>
      <c r="U1803" s="15"/>
      <c r="V1803" s="15"/>
      <c r="W1803" s="15"/>
    </row>
    <row r="1804">
      <c r="A1804" s="11"/>
      <c r="B1804" s="11"/>
      <c r="C1804" s="20"/>
      <c r="D1804" s="20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5"/>
      <c r="U1804" s="15"/>
      <c r="V1804" s="15"/>
      <c r="W1804" s="15"/>
    </row>
    <row r="1805">
      <c r="A1805" s="11"/>
      <c r="B1805" s="11"/>
      <c r="C1805" s="20"/>
      <c r="D1805" s="20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5"/>
      <c r="U1805" s="15"/>
      <c r="V1805" s="15"/>
      <c r="W1805" s="15"/>
    </row>
    <row r="1806">
      <c r="A1806" s="11"/>
      <c r="B1806" s="11"/>
      <c r="C1806" s="20"/>
      <c r="D1806" s="20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5"/>
      <c r="U1806" s="15"/>
      <c r="V1806" s="15"/>
      <c r="W1806" s="15"/>
    </row>
    <row r="1807">
      <c r="A1807" s="11"/>
      <c r="B1807" s="11"/>
      <c r="C1807" s="20"/>
      <c r="D1807" s="20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5"/>
      <c r="U1807" s="15"/>
      <c r="V1807" s="15"/>
      <c r="W1807" s="15"/>
    </row>
    <row r="1808">
      <c r="A1808" s="11"/>
      <c r="B1808" s="11"/>
      <c r="C1808" s="20"/>
      <c r="D1808" s="20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5"/>
      <c r="U1808" s="15"/>
      <c r="V1808" s="15"/>
      <c r="W1808" s="15"/>
    </row>
    <row r="1809">
      <c r="A1809" s="11"/>
      <c r="B1809" s="11"/>
      <c r="C1809" s="20"/>
      <c r="D1809" s="20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5"/>
      <c r="U1809" s="15"/>
      <c r="V1809" s="15"/>
      <c r="W1809" s="15"/>
    </row>
    <row r="1810">
      <c r="A1810" s="11"/>
      <c r="B1810" s="11"/>
      <c r="C1810" s="20"/>
      <c r="D1810" s="20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5"/>
      <c r="U1810" s="15"/>
      <c r="V1810" s="15"/>
      <c r="W1810" s="15"/>
    </row>
    <row r="1811">
      <c r="A1811" s="11"/>
      <c r="B1811" s="11"/>
      <c r="C1811" s="20"/>
      <c r="D1811" s="20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5"/>
      <c r="U1811" s="15"/>
      <c r="V1811" s="15"/>
      <c r="W1811" s="15"/>
    </row>
    <row r="1812">
      <c r="A1812" s="11"/>
      <c r="B1812" s="11"/>
      <c r="C1812" s="20"/>
      <c r="D1812" s="20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5"/>
      <c r="U1812" s="15"/>
      <c r="V1812" s="15"/>
      <c r="W1812" s="15"/>
    </row>
    <row r="1813">
      <c r="A1813" s="11"/>
      <c r="B1813" s="11"/>
      <c r="C1813" s="20"/>
      <c r="D1813" s="20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5"/>
      <c r="U1813" s="15"/>
      <c r="V1813" s="15"/>
      <c r="W1813" s="15"/>
    </row>
    <row r="1814">
      <c r="A1814" s="11"/>
      <c r="B1814" s="11"/>
      <c r="C1814" s="20"/>
      <c r="D1814" s="20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5"/>
      <c r="U1814" s="15"/>
      <c r="V1814" s="15"/>
      <c r="W1814" s="15"/>
    </row>
    <row r="1815">
      <c r="A1815" s="11"/>
      <c r="B1815" s="11"/>
      <c r="C1815" s="20"/>
      <c r="D1815" s="20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5"/>
      <c r="U1815" s="15"/>
      <c r="V1815" s="15"/>
      <c r="W1815" s="15"/>
    </row>
    <row r="1816">
      <c r="A1816" s="11"/>
      <c r="B1816" s="11"/>
      <c r="C1816" s="20"/>
      <c r="D1816" s="20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5"/>
      <c r="U1816" s="15"/>
      <c r="V1816" s="15"/>
      <c r="W1816" s="15"/>
    </row>
    <row r="1817">
      <c r="A1817" s="11"/>
      <c r="B1817" s="11"/>
      <c r="C1817" s="20"/>
      <c r="D1817" s="20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5"/>
      <c r="U1817" s="15"/>
      <c r="V1817" s="15"/>
      <c r="W1817" s="15"/>
    </row>
    <row r="1818">
      <c r="A1818" s="11"/>
      <c r="B1818" s="11"/>
      <c r="C1818" s="20"/>
      <c r="D1818" s="20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5"/>
      <c r="U1818" s="15"/>
      <c r="V1818" s="15"/>
      <c r="W1818" s="15"/>
    </row>
    <row r="1819">
      <c r="A1819" s="11"/>
      <c r="B1819" s="11"/>
      <c r="C1819" s="20"/>
      <c r="D1819" s="20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5"/>
      <c r="U1819" s="15"/>
      <c r="V1819" s="15"/>
      <c r="W1819" s="15"/>
    </row>
    <row r="1820">
      <c r="A1820" s="11"/>
      <c r="B1820" s="11"/>
      <c r="C1820" s="20"/>
      <c r="D1820" s="20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5"/>
      <c r="U1820" s="15"/>
      <c r="V1820" s="15"/>
      <c r="W1820" s="15"/>
    </row>
    <row r="1821">
      <c r="A1821" s="11"/>
      <c r="B1821" s="11"/>
      <c r="C1821" s="20"/>
      <c r="D1821" s="20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5"/>
      <c r="U1821" s="15"/>
      <c r="V1821" s="15"/>
      <c r="W1821" s="15"/>
    </row>
    <row r="1822">
      <c r="A1822" s="11"/>
      <c r="B1822" s="11"/>
      <c r="C1822" s="20"/>
      <c r="D1822" s="20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5"/>
      <c r="U1822" s="15"/>
      <c r="V1822" s="15"/>
      <c r="W1822" s="15"/>
    </row>
    <row r="1823">
      <c r="A1823" s="11"/>
      <c r="B1823" s="11"/>
      <c r="C1823" s="20"/>
      <c r="D1823" s="20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5"/>
      <c r="U1823" s="15"/>
      <c r="V1823" s="15"/>
      <c r="W1823" s="15"/>
    </row>
    <row r="1824">
      <c r="A1824" s="11"/>
      <c r="B1824" s="11"/>
      <c r="C1824" s="20"/>
      <c r="D1824" s="20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5"/>
      <c r="U1824" s="15"/>
      <c r="V1824" s="15"/>
      <c r="W1824" s="15"/>
    </row>
    <row r="1825">
      <c r="A1825" s="11"/>
      <c r="B1825" s="11"/>
      <c r="C1825" s="20"/>
      <c r="D1825" s="20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5"/>
      <c r="U1825" s="15"/>
      <c r="V1825" s="15"/>
      <c r="W1825" s="15"/>
    </row>
    <row r="1826">
      <c r="A1826" s="11"/>
      <c r="B1826" s="11"/>
      <c r="C1826" s="20"/>
      <c r="D1826" s="20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5"/>
      <c r="U1826" s="15"/>
      <c r="V1826" s="15"/>
      <c r="W1826" s="15"/>
    </row>
    <row r="1827">
      <c r="A1827" s="11"/>
      <c r="B1827" s="11"/>
      <c r="C1827" s="20"/>
      <c r="D1827" s="20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5"/>
      <c r="U1827" s="15"/>
      <c r="V1827" s="15"/>
      <c r="W1827" s="15"/>
    </row>
    <row r="1828">
      <c r="A1828" s="11"/>
      <c r="B1828" s="11"/>
      <c r="C1828" s="20"/>
      <c r="D1828" s="20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5"/>
      <c r="U1828" s="15"/>
      <c r="V1828" s="15"/>
      <c r="W1828" s="15"/>
    </row>
    <row r="1829">
      <c r="A1829" s="11"/>
      <c r="B1829" s="11"/>
      <c r="C1829" s="20"/>
      <c r="D1829" s="20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5"/>
      <c r="U1829" s="15"/>
      <c r="V1829" s="15"/>
      <c r="W1829" s="15"/>
    </row>
    <row r="1830">
      <c r="A1830" s="11"/>
      <c r="B1830" s="11"/>
      <c r="C1830" s="20"/>
      <c r="D1830" s="20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5"/>
      <c r="U1830" s="15"/>
      <c r="V1830" s="15"/>
      <c r="W1830" s="15"/>
    </row>
    <row r="1831">
      <c r="A1831" s="11"/>
      <c r="B1831" s="11"/>
      <c r="C1831" s="20"/>
      <c r="D1831" s="20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5"/>
      <c r="U1831" s="15"/>
      <c r="V1831" s="15"/>
      <c r="W1831" s="15"/>
    </row>
    <row r="1832">
      <c r="A1832" s="11"/>
      <c r="B1832" s="11"/>
      <c r="C1832" s="20"/>
      <c r="D1832" s="20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5"/>
      <c r="U1832" s="15"/>
      <c r="V1832" s="15"/>
      <c r="W1832" s="15"/>
    </row>
    <row r="1833">
      <c r="A1833" s="11"/>
      <c r="B1833" s="11"/>
      <c r="C1833" s="20"/>
      <c r="D1833" s="20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5"/>
      <c r="U1833" s="15"/>
      <c r="V1833" s="15"/>
      <c r="W1833" s="15"/>
    </row>
    <row r="1834">
      <c r="A1834" s="11"/>
      <c r="B1834" s="11"/>
      <c r="C1834" s="20"/>
      <c r="D1834" s="20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5"/>
      <c r="U1834" s="15"/>
      <c r="V1834" s="15"/>
      <c r="W1834" s="15"/>
    </row>
    <row r="1835">
      <c r="A1835" s="11"/>
      <c r="B1835" s="11"/>
      <c r="C1835" s="20"/>
      <c r="D1835" s="20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5"/>
      <c r="U1835" s="15"/>
      <c r="V1835" s="15"/>
      <c r="W1835" s="15"/>
    </row>
    <row r="1836">
      <c r="A1836" s="11"/>
      <c r="B1836" s="11"/>
      <c r="C1836" s="20"/>
      <c r="D1836" s="20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5"/>
      <c r="U1836" s="15"/>
      <c r="V1836" s="15"/>
      <c r="W1836" s="15"/>
    </row>
    <row r="1837">
      <c r="A1837" s="11"/>
      <c r="B1837" s="11"/>
      <c r="C1837" s="20"/>
      <c r="D1837" s="20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5"/>
      <c r="U1837" s="15"/>
      <c r="V1837" s="15"/>
      <c r="W1837" s="15"/>
    </row>
    <row r="1838">
      <c r="A1838" s="11"/>
      <c r="B1838" s="11"/>
      <c r="C1838" s="20"/>
      <c r="D1838" s="20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5"/>
      <c r="U1838" s="15"/>
      <c r="V1838" s="15"/>
      <c r="W1838" s="15"/>
    </row>
    <row r="1839">
      <c r="A1839" s="11"/>
      <c r="B1839" s="11"/>
      <c r="C1839" s="20"/>
      <c r="D1839" s="20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5"/>
      <c r="U1839" s="15"/>
      <c r="V1839" s="15"/>
      <c r="W1839" s="15"/>
    </row>
    <row r="1840">
      <c r="A1840" s="11"/>
      <c r="B1840" s="11"/>
      <c r="C1840" s="20"/>
      <c r="D1840" s="20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5"/>
      <c r="U1840" s="15"/>
      <c r="V1840" s="15"/>
      <c r="W1840" s="15"/>
    </row>
    <row r="1841">
      <c r="A1841" s="11"/>
      <c r="B1841" s="11"/>
      <c r="C1841" s="20"/>
      <c r="D1841" s="20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5"/>
      <c r="U1841" s="15"/>
      <c r="V1841" s="15"/>
      <c r="W1841" s="15"/>
    </row>
    <row r="1842">
      <c r="A1842" s="11"/>
      <c r="B1842" s="11"/>
      <c r="C1842" s="20"/>
      <c r="D1842" s="20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5"/>
      <c r="U1842" s="15"/>
      <c r="V1842" s="15"/>
      <c r="W1842" s="15"/>
    </row>
    <row r="1843">
      <c r="A1843" s="11"/>
      <c r="B1843" s="11"/>
      <c r="C1843" s="20"/>
      <c r="D1843" s="20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5"/>
      <c r="U1843" s="15"/>
      <c r="V1843" s="15"/>
      <c r="W1843" s="15"/>
    </row>
    <row r="1844">
      <c r="A1844" s="11"/>
      <c r="B1844" s="11"/>
      <c r="C1844" s="20"/>
      <c r="D1844" s="20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5"/>
      <c r="U1844" s="15"/>
      <c r="V1844" s="15"/>
      <c r="W1844" s="15"/>
    </row>
    <row r="1845">
      <c r="A1845" s="11"/>
      <c r="B1845" s="11"/>
      <c r="C1845" s="20"/>
      <c r="D1845" s="20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5"/>
      <c r="U1845" s="15"/>
      <c r="V1845" s="15"/>
      <c r="W1845" s="15"/>
    </row>
    <row r="1846">
      <c r="A1846" s="11"/>
      <c r="B1846" s="11"/>
      <c r="C1846" s="20"/>
      <c r="D1846" s="20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5"/>
      <c r="U1846" s="15"/>
      <c r="V1846" s="15"/>
      <c r="W1846" s="15"/>
    </row>
    <row r="1847">
      <c r="A1847" s="11"/>
      <c r="B1847" s="11"/>
      <c r="C1847" s="20"/>
      <c r="D1847" s="20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5"/>
      <c r="U1847" s="15"/>
      <c r="V1847" s="15"/>
      <c r="W1847" s="15"/>
    </row>
    <row r="1848">
      <c r="A1848" s="11"/>
      <c r="B1848" s="11"/>
      <c r="C1848" s="20"/>
      <c r="D1848" s="20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5"/>
      <c r="U1848" s="15"/>
      <c r="V1848" s="15"/>
      <c r="W1848" s="15"/>
    </row>
    <row r="1849">
      <c r="A1849" s="11"/>
      <c r="B1849" s="11"/>
      <c r="C1849" s="20"/>
      <c r="D1849" s="20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5"/>
      <c r="U1849" s="15"/>
      <c r="V1849" s="15"/>
      <c r="W1849" s="15"/>
    </row>
    <row r="1850">
      <c r="A1850" s="11"/>
      <c r="B1850" s="11"/>
      <c r="C1850" s="20"/>
      <c r="D1850" s="20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5"/>
      <c r="U1850" s="15"/>
      <c r="V1850" s="15"/>
      <c r="W1850" s="15"/>
    </row>
    <row r="1851">
      <c r="A1851" s="11"/>
      <c r="B1851" s="11"/>
      <c r="C1851" s="20"/>
      <c r="D1851" s="20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5"/>
      <c r="U1851" s="15"/>
      <c r="V1851" s="15"/>
      <c r="W1851" s="15"/>
    </row>
    <row r="1852">
      <c r="A1852" s="11"/>
      <c r="B1852" s="11"/>
      <c r="C1852" s="20"/>
      <c r="D1852" s="20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5"/>
      <c r="U1852" s="15"/>
      <c r="V1852" s="15"/>
      <c r="W1852" s="15"/>
    </row>
    <row r="1853">
      <c r="A1853" s="11"/>
      <c r="B1853" s="11"/>
      <c r="C1853" s="20"/>
      <c r="D1853" s="20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5"/>
      <c r="U1853" s="15"/>
      <c r="V1853" s="15"/>
      <c r="W1853" s="15"/>
    </row>
    <row r="1854">
      <c r="A1854" s="11"/>
      <c r="B1854" s="11"/>
      <c r="C1854" s="20"/>
      <c r="D1854" s="20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5"/>
      <c r="U1854" s="15"/>
      <c r="V1854" s="15"/>
      <c r="W1854" s="15"/>
    </row>
    <row r="1855">
      <c r="A1855" s="11"/>
      <c r="B1855" s="11"/>
      <c r="C1855" s="20"/>
      <c r="D1855" s="20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5"/>
      <c r="U1855" s="15"/>
      <c r="V1855" s="15"/>
      <c r="W1855" s="15"/>
    </row>
    <row r="1856">
      <c r="A1856" s="11"/>
      <c r="B1856" s="11"/>
      <c r="C1856" s="20"/>
      <c r="D1856" s="20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5"/>
      <c r="U1856" s="15"/>
      <c r="V1856" s="15"/>
      <c r="W1856" s="15"/>
    </row>
    <row r="1857">
      <c r="A1857" s="11"/>
      <c r="B1857" s="11"/>
      <c r="C1857" s="20"/>
      <c r="D1857" s="20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5"/>
      <c r="U1857" s="15"/>
      <c r="V1857" s="15"/>
      <c r="W1857" s="15"/>
    </row>
    <row r="1858">
      <c r="A1858" s="11"/>
      <c r="B1858" s="11"/>
      <c r="C1858" s="20"/>
      <c r="D1858" s="20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5"/>
      <c r="U1858" s="15"/>
      <c r="V1858" s="15"/>
      <c r="W1858" s="15"/>
    </row>
    <row r="1859">
      <c r="A1859" s="11"/>
      <c r="B1859" s="11"/>
      <c r="C1859" s="20"/>
      <c r="D1859" s="20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5"/>
      <c r="U1859" s="15"/>
      <c r="V1859" s="15"/>
      <c r="W1859" s="15"/>
    </row>
    <row r="1860">
      <c r="A1860" s="11"/>
      <c r="B1860" s="11"/>
      <c r="C1860" s="20"/>
      <c r="D1860" s="20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5"/>
      <c r="U1860" s="15"/>
      <c r="V1860" s="15"/>
      <c r="W1860" s="15"/>
    </row>
    <row r="1861">
      <c r="A1861" s="11"/>
      <c r="B1861" s="11"/>
      <c r="C1861" s="20"/>
      <c r="D1861" s="20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5"/>
      <c r="U1861" s="15"/>
      <c r="V1861" s="15"/>
      <c r="W1861" s="15"/>
    </row>
    <row r="1862">
      <c r="A1862" s="11"/>
      <c r="B1862" s="11"/>
      <c r="C1862" s="20"/>
      <c r="D1862" s="20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5"/>
      <c r="U1862" s="15"/>
      <c r="V1862" s="15"/>
      <c r="W1862" s="15"/>
    </row>
    <row r="1863">
      <c r="A1863" s="11"/>
      <c r="B1863" s="11"/>
      <c r="C1863" s="20"/>
      <c r="D1863" s="20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5"/>
      <c r="U1863" s="15"/>
      <c r="V1863" s="15"/>
      <c r="W1863" s="15"/>
    </row>
    <row r="1864">
      <c r="A1864" s="11"/>
      <c r="B1864" s="11"/>
      <c r="C1864" s="20"/>
      <c r="D1864" s="20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5"/>
      <c r="U1864" s="15"/>
      <c r="V1864" s="15"/>
      <c r="W1864" s="15"/>
    </row>
    <row r="1865">
      <c r="A1865" s="11"/>
      <c r="B1865" s="11"/>
      <c r="C1865" s="20"/>
      <c r="D1865" s="20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5"/>
      <c r="U1865" s="15"/>
      <c r="V1865" s="15"/>
      <c r="W1865" s="15"/>
    </row>
    <row r="1866">
      <c r="A1866" s="11"/>
      <c r="B1866" s="11"/>
      <c r="C1866" s="20"/>
      <c r="D1866" s="20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5"/>
      <c r="U1866" s="15"/>
      <c r="V1866" s="15"/>
      <c r="W1866" s="15"/>
    </row>
    <row r="1867">
      <c r="A1867" s="11"/>
      <c r="B1867" s="11"/>
      <c r="C1867" s="20"/>
      <c r="D1867" s="20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5"/>
      <c r="U1867" s="15"/>
      <c r="V1867" s="15"/>
      <c r="W1867" s="15"/>
    </row>
    <row r="1868">
      <c r="A1868" s="11"/>
      <c r="B1868" s="11"/>
      <c r="C1868" s="20"/>
      <c r="D1868" s="20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5"/>
      <c r="U1868" s="15"/>
      <c r="V1868" s="15"/>
      <c r="W1868" s="15"/>
    </row>
    <row r="1869">
      <c r="A1869" s="11"/>
      <c r="B1869" s="11"/>
      <c r="C1869" s="20"/>
      <c r="D1869" s="20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5"/>
      <c r="U1869" s="15"/>
      <c r="V1869" s="15"/>
      <c r="W1869" s="15"/>
    </row>
    <row r="1870">
      <c r="A1870" s="11"/>
      <c r="B1870" s="11"/>
      <c r="C1870" s="20"/>
      <c r="D1870" s="20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5"/>
      <c r="U1870" s="15"/>
      <c r="V1870" s="15"/>
      <c r="W1870" s="15"/>
    </row>
    <row r="1871">
      <c r="A1871" s="11"/>
      <c r="B1871" s="11"/>
      <c r="C1871" s="20"/>
      <c r="D1871" s="20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5"/>
      <c r="U1871" s="15"/>
      <c r="V1871" s="15"/>
      <c r="W1871" s="15"/>
    </row>
    <row r="1872">
      <c r="A1872" s="11"/>
      <c r="B1872" s="11"/>
      <c r="C1872" s="20"/>
      <c r="D1872" s="20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5"/>
      <c r="U1872" s="15"/>
      <c r="V1872" s="15"/>
      <c r="W1872" s="15"/>
    </row>
    <row r="1873">
      <c r="A1873" s="11"/>
      <c r="B1873" s="11"/>
      <c r="C1873" s="20"/>
      <c r="D1873" s="20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5"/>
      <c r="U1873" s="15"/>
      <c r="V1873" s="15"/>
      <c r="W1873" s="15"/>
    </row>
    <row r="1874">
      <c r="A1874" s="11"/>
      <c r="B1874" s="11"/>
      <c r="C1874" s="20"/>
      <c r="D1874" s="20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5"/>
      <c r="U1874" s="15"/>
      <c r="V1874" s="15"/>
      <c r="W1874" s="15"/>
    </row>
    <row r="1875">
      <c r="A1875" s="11"/>
      <c r="B1875" s="11"/>
      <c r="C1875" s="20"/>
      <c r="D1875" s="20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5"/>
      <c r="U1875" s="15"/>
      <c r="V1875" s="15"/>
      <c r="W1875" s="15"/>
    </row>
    <row r="1876">
      <c r="A1876" s="11"/>
      <c r="B1876" s="11"/>
      <c r="C1876" s="20"/>
      <c r="D1876" s="20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5"/>
      <c r="U1876" s="15"/>
      <c r="V1876" s="15"/>
      <c r="W1876" s="15"/>
    </row>
    <row r="1877">
      <c r="A1877" s="11"/>
      <c r="B1877" s="11"/>
      <c r="C1877" s="20"/>
      <c r="D1877" s="20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5"/>
      <c r="U1877" s="15"/>
      <c r="V1877" s="15"/>
      <c r="W1877" s="15"/>
    </row>
    <row r="1878">
      <c r="A1878" s="11"/>
      <c r="B1878" s="11"/>
      <c r="C1878" s="20"/>
      <c r="D1878" s="20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5"/>
      <c r="U1878" s="15"/>
      <c r="V1878" s="15"/>
      <c r="W1878" s="15"/>
    </row>
    <row r="1879">
      <c r="A1879" s="11"/>
      <c r="B1879" s="11"/>
      <c r="C1879" s="20"/>
      <c r="D1879" s="20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5"/>
      <c r="U1879" s="15"/>
      <c r="V1879" s="15"/>
      <c r="W1879" s="15"/>
    </row>
    <row r="1880">
      <c r="A1880" s="11"/>
      <c r="B1880" s="11"/>
      <c r="C1880" s="20"/>
      <c r="D1880" s="20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5"/>
      <c r="U1880" s="15"/>
      <c r="V1880" s="15"/>
      <c r="W1880" s="15"/>
    </row>
    <row r="1881">
      <c r="A1881" s="11"/>
      <c r="B1881" s="11"/>
      <c r="C1881" s="20"/>
      <c r="D1881" s="20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5"/>
      <c r="U1881" s="15"/>
      <c r="V1881" s="15"/>
      <c r="W1881" s="15"/>
    </row>
    <row r="1882">
      <c r="A1882" s="11"/>
      <c r="B1882" s="11"/>
      <c r="C1882" s="20"/>
      <c r="D1882" s="20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5"/>
      <c r="U1882" s="15"/>
      <c r="V1882" s="15"/>
      <c r="W1882" s="15"/>
    </row>
    <row r="1883">
      <c r="A1883" s="11"/>
      <c r="B1883" s="11"/>
      <c r="C1883" s="20"/>
      <c r="D1883" s="20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5"/>
      <c r="U1883" s="15"/>
      <c r="V1883" s="15"/>
      <c r="W1883" s="15"/>
    </row>
    <row r="1884">
      <c r="A1884" s="11"/>
      <c r="B1884" s="11"/>
      <c r="C1884" s="20"/>
      <c r="D1884" s="20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5"/>
      <c r="U1884" s="15"/>
      <c r="V1884" s="15"/>
      <c r="W1884" s="15"/>
    </row>
    <row r="1885">
      <c r="A1885" s="11"/>
      <c r="B1885" s="11"/>
      <c r="C1885" s="20"/>
      <c r="D1885" s="20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5"/>
      <c r="U1885" s="15"/>
      <c r="V1885" s="15"/>
      <c r="W1885" s="15"/>
    </row>
    <row r="1886">
      <c r="A1886" s="11"/>
      <c r="B1886" s="11"/>
      <c r="C1886" s="20"/>
      <c r="D1886" s="20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5"/>
      <c r="U1886" s="15"/>
      <c r="V1886" s="15"/>
      <c r="W1886" s="15"/>
    </row>
    <row r="1887">
      <c r="A1887" s="11"/>
      <c r="B1887" s="11"/>
      <c r="C1887" s="20"/>
      <c r="D1887" s="20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5"/>
      <c r="U1887" s="15"/>
      <c r="V1887" s="15"/>
      <c r="W1887" s="15"/>
    </row>
    <row r="1888">
      <c r="A1888" s="11"/>
      <c r="B1888" s="11"/>
      <c r="C1888" s="20"/>
      <c r="D1888" s="20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5"/>
      <c r="U1888" s="15"/>
      <c r="V1888" s="15"/>
      <c r="W1888" s="15"/>
    </row>
    <row r="1889">
      <c r="A1889" s="11"/>
      <c r="B1889" s="11"/>
      <c r="C1889" s="20"/>
      <c r="D1889" s="20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5"/>
      <c r="U1889" s="15"/>
      <c r="V1889" s="15"/>
      <c r="W1889" s="15"/>
    </row>
    <row r="1890">
      <c r="A1890" s="11"/>
      <c r="B1890" s="11"/>
      <c r="C1890" s="20"/>
      <c r="D1890" s="20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5"/>
      <c r="U1890" s="15"/>
      <c r="V1890" s="15"/>
      <c r="W1890" s="15"/>
    </row>
    <row r="1891">
      <c r="A1891" s="11"/>
      <c r="B1891" s="11"/>
      <c r="C1891" s="20"/>
      <c r="D1891" s="20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5"/>
      <c r="U1891" s="15"/>
      <c r="V1891" s="15"/>
      <c r="W1891" s="15"/>
    </row>
    <row r="1892">
      <c r="A1892" s="11"/>
      <c r="B1892" s="11"/>
      <c r="C1892" s="20"/>
      <c r="D1892" s="20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5"/>
      <c r="U1892" s="15"/>
      <c r="V1892" s="15"/>
      <c r="W1892" s="15"/>
    </row>
    <row r="1893">
      <c r="A1893" s="11"/>
      <c r="B1893" s="11"/>
      <c r="C1893" s="20"/>
      <c r="D1893" s="20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5"/>
      <c r="U1893" s="15"/>
      <c r="V1893" s="15"/>
      <c r="W1893" s="15"/>
    </row>
    <row r="1894">
      <c r="A1894" s="11"/>
      <c r="B1894" s="11"/>
      <c r="C1894" s="20"/>
      <c r="D1894" s="20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5"/>
      <c r="U1894" s="15"/>
      <c r="V1894" s="15"/>
      <c r="W1894" s="15"/>
    </row>
    <row r="1895">
      <c r="A1895" s="11"/>
      <c r="B1895" s="11"/>
      <c r="C1895" s="20"/>
      <c r="D1895" s="20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5"/>
      <c r="U1895" s="15"/>
      <c r="V1895" s="15"/>
      <c r="W1895" s="15"/>
    </row>
    <row r="1896">
      <c r="A1896" s="11"/>
      <c r="B1896" s="11"/>
      <c r="C1896" s="20"/>
      <c r="D1896" s="20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5"/>
      <c r="U1896" s="15"/>
      <c r="V1896" s="15"/>
      <c r="W1896" s="15"/>
    </row>
    <row r="1897">
      <c r="A1897" s="11"/>
      <c r="B1897" s="11"/>
      <c r="C1897" s="20"/>
      <c r="D1897" s="20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5"/>
      <c r="U1897" s="15"/>
      <c r="V1897" s="15"/>
      <c r="W1897" s="15"/>
    </row>
    <row r="1898">
      <c r="A1898" s="11"/>
      <c r="B1898" s="11"/>
      <c r="C1898" s="20"/>
      <c r="D1898" s="20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5"/>
      <c r="U1898" s="15"/>
      <c r="V1898" s="15"/>
      <c r="W1898" s="15"/>
    </row>
    <row r="1899">
      <c r="A1899" s="11"/>
      <c r="B1899" s="11"/>
      <c r="C1899" s="20"/>
      <c r="D1899" s="20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5"/>
      <c r="U1899" s="15"/>
      <c r="V1899" s="15"/>
      <c r="W1899" s="15"/>
    </row>
    <row r="1900">
      <c r="A1900" s="11"/>
      <c r="B1900" s="11"/>
      <c r="C1900" s="20"/>
      <c r="D1900" s="20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5"/>
      <c r="U1900" s="15"/>
      <c r="V1900" s="15"/>
      <c r="W1900" s="15"/>
    </row>
    <row r="1901">
      <c r="A1901" s="11"/>
      <c r="B1901" s="11"/>
      <c r="C1901" s="20"/>
      <c r="D1901" s="20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5"/>
      <c r="U1901" s="15"/>
      <c r="V1901" s="15"/>
      <c r="W1901" s="15"/>
    </row>
    <row r="1902">
      <c r="A1902" s="11"/>
      <c r="B1902" s="11"/>
      <c r="C1902" s="20"/>
      <c r="D1902" s="20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5"/>
      <c r="U1902" s="15"/>
      <c r="V1902" s="15"/>
      <c r="W1902" s="15"/>
    </row>
    <row r="1903">
      <c r="A1903" s="11"/>
      <c r="B1903" s="11"/>
      <c r="C1903" s="20"/>
      <c r="D1903" s="20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5"/>
      <c r="U1903" s="15"/>
      <c r="V1903" s="15"/>
      <c r="W1903" s="15"/>
    </row>
    <row r="1904">
      <c r="A1904" s="11"/>
      <c r="B1904" s="11"/>
      <c r="C1904" s="20"/>
      <c r="D1904" s="20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5"/>
      <c r="U1904" s="15"/>
      <c r="V1904" s="15"/>
      <c r="W1904" s="15"/>
    </row>
    <row r="1905">
      <c r="A1905" s="11"/>
      <c r="B1905" s="11"/>
      <c r="C1905" s="20"/>
      <c r="D1905" s="20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5"/>
      <c r="U1905" s="15"/>
      <c r="V1905" s="15"/>
      <c r="W1905" s="15"/>
    </row>
    <row r="1906">
      <c r="A1906" s="11"/>
      <c r="B1906" s="11"/>
      <c r="C1906" s="20"/>
      <c r="D1906" s="20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5"/>
      <c r="U1906" s="15"/>
      <c r="V1906" s="15"/>
      <c r="W1906" s="15"/>
    </row>
    <row r="1907">
      <c r="A1907" s="11"/>
      <c r="B1907" s="11"/>
      <c r="C1907" s="20"/>
      <c r="D1907" s="20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5"/>
      <c r="U1907" s="15"/>
      <c r="V1907" s="15"/>
      <c r="W1907" s="15"/>
    </row>
    <row r="1908">
      <c r="A1908" s="11"/>
      <c r="B1908" s="11"/>
      <c r="C1908" s="20"/>
      <c r="D1908" s="20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5"/>
      <c r="U1908" s="15"/>
      <c r="V1908" s="15"/>
      <c r="W1908" s="15"/>
    </row>
    <row r="1909">
      <c r="A1909" s="11"/>
      <c r="B1909" s="11"/>
      <c r="C1909" s="20"/>
      <c r="D1909" s="20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5"/>
      <c r="U1909" s="15"/>
      <c r="V1909" s="15"/>
      <c r="W1909" s="15"/>
    </row>
    <row r="1910">
      <c r="A1910" s="11"/>
      <c r="B1910" s="11"/>
      <c r="C1910" s="20"/>
      <c r="D1910" s="20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5"/>
      <c r="U1910" s="15"/>
      <c r="V1910" s="15"/>
      <c r="W1910" s="15"/>
    </row>
    <row r="1911">
      <c r="A1911" s="11"/>
      <c r="B1911" s="11"/>
      <c r="C1911" s="20"/>
      <c r="D1911" s="20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5"/>
      <c r="U1911" s="15"/>
      <c r="V1911" s="15"/>
      <c r="W1911" s="15"/>
    </row>
    <row r="1912">
      <c r="A1912" s="11"/>
      <c r="B1912" s="11"/>
      <c r="C1912" s="20"/>
      <c r="D1912" s="20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5"/>
      <c r="U1912" s="15"/>
      <c r="V1912" s="15"/>
      <c r="W1912" s="15"/>
    </row>
    <row r="1913">
      <c r="A1913" s="11"/>
      <c r="B1913" s="11"/>
      <c r="C1913" s="20"/>
      <c r="D1913" s="20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5"/>
      <c r="U1913" s="15"/>
      <c r="V1913" s="15"/>
      <c r="W1913" s="15"/>
    </row>
    <row r="1914">
      <c r="A1914" s="11"/>
      <c r="B1914" s="11"/>
      <c r="C1914" s="20"/>
      <c r="D1914" s="20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5"/>
      <c r="U1914" s="15"/>
      <c r="V1914" s="15"/>
      <c r="W1914" s="15"/>
    </row>
    <row r="1915">
      <c r="A1915" s="11"/>
      <c r="B1915" s="11"/>
      <c r="C1915" s="20"/>
      <c r="D1915" s="20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5"/>
      <c r="U1915" s="15"/>
      <c r="V1915" s="15"/>
      <c r="W1915" s="15"/>
    </row>
    <row r="1916">
      <c r="A1916" s="11"/>
      <c r="B1916" s="11"/>
      <c r="C1916" s="20"/>
      <c r="D1916" s="20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5"/>
      <c r="U1916" s="15"/>
      <c r="V1916" s="15"/>
      <c r="W1916" s="15"/>
    </row>
    <row r="1917">
      <c r="A1917" s="11"/>
      <c r="B1917" s="11"/>
      <c r="C1917" s="20"/>
      <c r="D1917" s="20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5"/>
      <c r="U1917" s="15"/>
      <c r="V1917" s="15"/>
      <c r="W1917" s="15"/>
    </row>
    <row r="1918">
      <c r="A1918" s="11"/>
      <c r="B1918" s="11"/>
      <c r="C1918" s="20"/>
      <c r="D1918" s="20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5"/>
      <c r="U1918" s="15"/>
      <c r="V1918" s="15"/>
      <c r="W1918" s="15"/>
    </row>
    <row r="1919">
      <c r="A1919" s="11"/>
      <c r="B1919" s="11"/>
      <c r="C1919" s="20"/>
      <c r="D1919" s="20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5"/>
      <c r="U1919" s="15"/>
      <c r="V1919" s="15"/>
      <c r="W1919" s="15"/>
    </row>
    <row r="1920">
      <c r="A1920" s="11"/>
      <c r="B1920" s="11"/>
      <c r="C1920" s="20"/>
      <c r="D1920" s="20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5"/>
      <c r="U1920" s="15"/>
      <c r="V1920" s="15"/>
      <c r="W1920" s="15"/>
    </row>
    <row r="1921">
      <c r="A1921" s="11"/>
      <c r="B1921" s="11"/>
      <c r="C1921" s="20"/>
      <c r="D1921" s="20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5"/>
      <c r="U1921" s="15"/>
      <c r="V1921" s="15"/>
      <c r="W1921" s="15"/>
    </row>
    <row r="1922">
      <c r="A1922" s="11"/>
      <c r="B1922" s="11"/>
      <c r="C1922" s="20"/>
      <c r="D1922" s="20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5"/>
      <c r="U1922" s="15"/>
      <c r="V1922" s="15"/>
      <c r="W1922" s="15"/>
    </row>
    <row r="1923">
      <c r="A1923" s="11"/>
      <c r="B1923" s="11"/>
      <c r="C1923" s="20"/>
      <c r="D1923" s="20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5"/>
      <c r="U1923" s="15"/>
      <c r="V1923" s="15"/>
      <c r="W1923" s="15"/>
    </row>
    <row r="1924">
      <c r="A1924" s="11"/>
      <c r="B1924" s="11"/>
      <c r="C1924" s="20"/>
      <c r="D1924" s="20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5"/>
      <c r="U1924" s="15"/>
      <c r="V1924" s="15"/>
      <c r="W1924" s="15"/>
    </row>
    <row r="1925">
      <c r="A1925" s="11"/>
      <c r="B1925" s="11"/>
      <c r="C1925" s="20"/>
      <c r="D1925" s="20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5"/>
      <c r="U1925" s="15"/>
      <c r="V1925" s="15"/>
      <c r="W1925" s="15"/>
    </row>
    <row r="1926">
      <c r="A1926" s="11"/>
      <c r="B1926" s="11"/>
      <c r="C1926" s="20"/>
      <c r="D1926" s="20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5"/>
      <c r="U1926" s="15"/>
      <c r="V1926" s="15"/>
      <c r="W1926" s="15"/>
    </row>
    <row r="1927">
      <c r="A1927" s="11"/>
      <c r="B1927" s="11"/>
      <c r="C1927" s="20"/>
      <c r="D1927" s="20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5"/>
      <c r="U1927" s="15"/>
      <c r="V1927" s="15"/>
      <c r="W1927" s="15"/>
    </row>
    <row r="1928">
      <c r="A1928" s="11"/>
      <c r="B1928" s="11"/>
      <c r="C1928" s="20"/>
      <c r="D1928" s="20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5"/>
      <c r="U1928" s="15"/>
      <c r="V1928" s="15"/>
      <c r="W1928" s="15"/>
    </row>
    <row r="1929">
      <c r="A1929" s="11"/>
      <c r="B1929" s="11"/>
      <c r="C1929" s="20"/>
      <c r="D1929" s="20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5"/>
      <c r="U1929" s="15"/>
      <c r="V1929" s="15"/>
      <c r="W1929" s="15"/>
    </row>
    <row r="1930">
      <c r="A1930" s="11"/>
      <c r="B1930" s="11"/>
      <c r="C1930" s="20"/>
      <c r="D1930" s="20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5"/>
      <c r="U1930" s="15"/>
      <c r="V1930" s="15"/>
      <c r="W1930" s="15"/>
    </row>
    <row r="1931">
      <c r="A1931" s="11"/>
      <c r="B1931" s="11"/>
      <c r="C1931" s="20"/>
      <c r="D1931" s="20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5"/>
      <c r="U1931" s="15"/>
      <c r="V1931" s="15"/>
      <c r="W1931" s="15"/>
    </row>
    <row r="1932">
      <c r="A1932" s="11"/>
      <c r="B1932" s="11"/>
      <c r="C1932" s="20"/>
      <c r="D1932" s="20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5"/>
      <c r="U1932" s="15"/>
      <c r="V1932" s="15"/>
      <c r="W1932" s="15"/>
    </row>
    <row r="1933">
      <c r="A1933" s="11"/>
      <c r="B1933" s="11"/>
      <c r="C1933" s="20"/>
      <c r="D1933" s="20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5"/>
      <c r="U1933" s="15"/>
      <c r="V1933" s="15"/>
      <c r="W1933" s="15"/>
    </row>
    <row r="1934">
      <c r="A1934" s="11"/>
      <c r="B1934" s="11"/>
      <c r="C1934" s="20"/>
      <c r="D1934" s="20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5"/>
      <c r="U1934" s="15"/>
      <c r="V1934" s="15"/>
      <c r="W1934" s="15"/>
    </row>
    <row r="1935">
      <c r="A1935" s="11"/>
      <c r="B1935" s="11"/>
      <c r="C1935" s="20"/>
      <c r="D1935" s="20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5"/>
      <c r="U1935" s="15"/>
      <c r="V1935" s="15"/>
      <c r="W1935" s="15"/>
    </row>
    <row r="1936">
      <c r="A1936" s="11"/>
      <c r="B1936" s="11"/>
      <c r="C1936" s="20"/>
      <c r="D1936" s="20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5"/>
      <c r="U1936" s="15"/>
      <c r="V1936" s="15"/>
      <c r="W1936" s="15"/>
    </row>
    <row r="1937">
      <c r="A1937" s="11"/>
      <c r="B1937" s="11"/>
      <c r="C1937" s="20"/>
      <c r="D1937" s="20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5"/>
      <c r="U1937" s="15"/>
      <c r="V1937" s="15"/>
      <c r="W1937" s="15"/>
    </row>
    <row r="1938">
      <c r="A1938" s="11"/>
      <c r="B1938" s="11"/>
      <c r="C1938" s="20"/>
      <c r="D1938" s="20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5"/>
      <c r="U1938" s="15"/>
      <c r="V1938" s="15"/>
      <c r="W1938" s="15"/>
    </row>
    <row r="1939">
      <c r="A1939" s="11"/>
      <c r="B1939" s="11"/>
      <c r="C1939" s="20"/>
      <c r="D1939" s="20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5"/>
      <c r="U1939" s="15"/>
      <c r="V1939" s="15"/>
      <c r="W1939" s="15"/>
    </row>
    <row r="1940">
      <c r="A1940" s="11"/>
      <c r="B1940" s="11"/>
      <c r="C1940" s="20"/>
      <c r="D1940" s="20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5"/>
      <c r="U1940" s="15"/>
      <c r="V1940" s="15"/>
      <c r="W1940" s="15"/>
    </row>
    <row r="1941">
      <c r="A1941" s="11"/>
      <c r="B1941" s="11"/>
      <c r="C1941" s="20"/>
      <c r="D1941" s="20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5"/>
      <c r="U1941" s="15"/>
      <c r="V1941" s="15"/>
      <c r="W1941" s="15"/>
    </row>
    <row r="1942">
      <c r="A1942" s="11"/>
      <c r="B1942" s="11"/>
      <c r="C1942" s="20"/>
      <c r="D1942" s="20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5"/>
      <c r="U1942" s="15"/>
      <c r="V1942" s="15"/>
      <c r="W1942" s="15"/>
    </row>
    <row r="1943">
      <c r="A1943" s="11"/>
      <c r="B1943" s="11"/>
      <c r="C1943" s="20"/>
      <c r="D1943" s="20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5"/>
      <c r="U1943" s="15"/>
      <c r="V1943" s="15"/>
      <c r="W1943" s="15"/>
    </row>
    <row r="1944">
      <c r="A1944" s="11"/>
      <c r="B1944" s="11"/>
      <c r="C1944" s="20"/>
      <c r="D1944" s="20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5"/>
      <c r="U1944" s="15"/>
      <c r="V1944" s="15"/>
      <c r="W1944" s="15"/>
    </row>
    <row r="1945">
      <c r="A1945" s="11"/>
      <c r="B1945" s="11"/>
      <c r="C1945" s="20"/>
      <c r="D1945" s="20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5"/>
      <c r="U1945" s="15"/>
      <c r="V1945" s="15"/>
      <c r="W1945" s="15"/>
    </row>
    <row r="1946">
      <c r="A1946" s="11"/>
      <c r="B1946" s="11"/>
      <c r="C1946" s="20"/>
      <c r="D1946" s="20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5"/>
      <c r="U1946" s="15"/>
      <c r="V1946" s="15"/>
      <c r="W1946" s="15"/>
    </row>
    <row r="1947">
      <c r="A1947" s="11"/>
      <c r="B1947" s="11"/>
      <c r="C1947" s="20"/>
      <c r="D1947" s="20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5"/>
      <c r="U1947" s="15"/>
      <c r="V1947" s="15"/>
      <c r="W1947" s="15"/>
    </row>
    <row r="1948">
      <c r="A1948" s="11"/>
      <c r="B1948" s="11"/>
      <c r="C1948" s="20"/>
      <c r="D1948" s="20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5"/>
      <c r="U1948" s="15"/>
      <c r="V1948" s="15"/>
      <c r="W1948" s="15"/>
    </row>
    <row r="1949">
      <c r="A1949" s="11"/>
      <c r="B1949" s="11"/>
      <c r="C1949" s="20"/>
      <c r="D1949" s="20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5"/>
      <c r="U1949" s="15"/>
      <c r="V1949" s="15"/>
      <c r="W1949" s="15"/>
    </row>
    <row r="1950">
      <c r="A1950" s="11"/>
      <c r="B1950" s="11"/>
      <c r="C1950" s="20"/>
      <c r="D1950" s="20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5"/>
      <c r="U1950" s="15"/>
      <c r="V1950" s="15"/>
      <c r="W1950" s="15"/>
    </row>
    <row r="1951">
      <c r="A1951" s="11"/>
      <c r="B1951" s="11"/>
      <c r="C1951" s="20"/>
      <c r="D1951" s="20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5"/>
      <c r="U1951" s="15"/>
      <c r="V1951" s="15"/>
      <c r="W1951" s="15"/>
    </row>
    <row r="1952">
      <c r="A1952" s="11"/>
      <c r="B1952" s="11"/>
      <c r="C1952" s="20"/>
      <c r="D1952" s="20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5"/>
      <c r="U1952" s="15"/>
      <c r="V1952" s="15"/>
      <c r="W1952" s="15"/>
    </row>
    <row r="1953">
      <c r="A1953" s="11"/>
      <c r="B1953" s="11"/>
      <c r="C1953" s="20"/>
      <c r="D1953" s="20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5"/>
      <c r="U1953" s="15"/>
      <c r="V1953" s="15"/>
      <c r="W1953" s="15"/>
    </row>
    <row r="1954">
      <c r="A1954" s="11"/>
      <c r="B1954" s="11"/>
      <c r="C1954" s="20"/>
      <c r="D1954" s="20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5"/>
      <c r="U1954" s="15"/>
      <c r="V1954" s="15"/>
      <c r="W1954" s="15"/>
    </row>
    <row r="1955">
      <c r="A1955" s="11"/>
      <c r="B1955" s="11"/>
      <c r="C1955" s="20"/>
      <c r="D1955" s="20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5"/>
      <c r="U1955" s="15"/>
      <c r="V1955" s="15"/>
      <c r="W1955" s="15"/>
    </row>
    <row r="1956">
      <c r="A1956" s="11"/>
      <c r="B1956" s="11"/>
      <c r="C1956" s="20"/>
      <c r="D1956" s="20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5"/>
      <c r="U1956" s="15"/>
      <c r="V1956" s="15"/>
      <c r="W1956" s="15"/>
    </row>
    <row r="1957">
      <c r="A1957" s="11"/>
      <c r="B1957" s="11"/>
      <c r="C1957" s="20"/>
      <c r="D1957" s="20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5"/>
      <c r="U1957" s="15"/>
      <c r="V1957" s="15"/>
      <c r="W1957" s="15"/>
    </row>
    <row r="1958">
      <c r="A1958" s="11"/>
      <c r="B1958" s="11"/>
      <c r="C1958" s="20"/>
      <c r="D1958" s="20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5"/>
      <c r="U1958" s="15"/>
      <c r="V1958" s="15"/>
      <c r="W1958" s="15"/>
    </row>
    <row r="1959">
      <c r="A1959" s="11"/>
      <c r="B1959" s="11"/>
      <c r="C1959" s="20"/>
      <c r="D1959" s="20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5"/>
      <c r="U1959" s="15"/>
      <c r="V1959" s="15"/>
      <c r="W1959" s="15"/>
    </row>
    <row r="1960">
      <c r="A1960" s="11"/>
      <c r="B1960" s="11"/>
      <c r="C1960" s="20"/>
      <c r="D1960" s="20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5"/>
      <c r="U1960" s="15"/>
      <c r="V1960" s="15"/>
      <c r="W1960" s="15"/>
    </row>
    <row r="1961">
      <c r="A1961" s="11"/>
      <c r="B1961" s="11"/>
      <c r="C1961" s="20"/>
      <c r="D1961" s="20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5"/>
      <c r="U1961" s="15"/>
      <c r="V1961" s="15"/>
      <c r="W1961" s="15"/>
    </row>
    <row r="1962">
      <c r="A1962" s="11"/>
      <c r="B1962" s="11"/>
      <c r="C1962" s="20"/>
      <c r="D1962" s="20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5"/>
      <c r="U1962" s="15"/>
      <c r="V1962" s="15"/>
      <c r="W1962" s="15"/>
    </row>
    <row r="1963">
      <c r="A1963" s="11"/>
      <c r="B1963" s="11"/>
      <c r="C1963" s="20"/>
      <c r="D1963" s="20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5"/>
      <c r="U1963" s="15"/>
      <c r="V1963" s="15"/>
      <c r="W1963" s="15"/>
    </row>
    <row r="1964">
      <c r="A1964" s="11"/>
      <c r="B1964" s="11"/>
      <c r="C1964" s="20"/>
      <c r="D1964" s="20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5"/>
      <c r="U1964" s="15"/>
      <c r="V1964" s="15"/>
      <c r="W1964" s="15"/>
    </row>
    <row r="1965">
      <c r="A1965" s="11"/>
      <c r="B1965" s="11"/>
      <c r="C1965" s="20"/>
      <c r="D1965" s="20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5"/>
      <c r="U1965" s="15"/>
      <c r="V1965" s="15"/>
      <c r="W1965" s="15"/>
    </row>
    <row r="1966">
      <c r="A1966" s="11"/>
      <c r="B1966" s="11"/>
      <c r="C1966" s="20"/>
      <c r="D1966" s="20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5"/>
      <c r="U1966" s="15"/>
      <c r="V1966" s="15"/>
      <c r="W1966" s="15"/>
    </row>
    <row r="1967">
      <c r="A1967" s="11"/>
      <c r="B1967" s="11"/>
      <c r="C1967" s="20"/>
      <c r="D1967" s="20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5"/>
      <c r="U1967" s="15"/>
      <c r="V1967" s="15"/>
      <c r="W1967" s="15"/>
    </row>
    <row r="1968">
      <c r="A1968" s="11"/>
      <c r="B1968" s="11"/>
      <c r="C1968" s="20"/>
      <c r="D1968" s="20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5"/>
      <c r="U1968" s="15"/>
      <c r="V1968" s="15"/>
      <c r="W1968" s="15"/>
    </row>
    <row r="1969">
      <c r="A1969" s="11"/>
      <c r="B1969" s="11"/>
      <c r="C1969" s="20"/>
      <c r="D1969" s="20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5"/>
      <c r="U1969" s="15"/>
      <c r="V1969" s="15"/>
      <c r="W1969" s="15"/>
    </row>
    <row r="1970">
      <c r="A1970" s="11"/>
      <c r="B1970" s="11"/>
      <c r="C1970" s="20"/>
      <c r="D1970" s="20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5"/>
      <c r="U1970" s="15"/>
      <c r="V1970" s="15"/>
      <c r="W1970" s="15"/>
    </row>
    <row r="1971">
      <c r="A1971" s="11"/>
      <c r="B1971" s="11"/>
      <c r="C1971" s="20"/>
      <c r="D1971" s="20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5"/>
      <c r="U1971" s="15"/>
      <c r="V1971" s="15"/>
      <c r="W1971" s="15"/>
    </row>
    <row r="1972">
      <c r="A1972" s="11"/>
      <c r="B1972" s="11"/>
      <c r="C1972" s="20"/>
      <c r="D1972" s="20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5"/>
      <c r="U1972" s="15"/>
      <c r="V1972" s="15"/>
      <c r="W1972" s="15"/>
    </row>
    <row r="1973">
      <c r="A1973" s="11"/>
      <c r="B1973" s="11"/>
      <c r="C1973" s="20"/>
      <c r="D1973" s="20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5"/>
      <c r="U1973" s="15"/>
      <c r="V1973" s="15"/>
      <c r="W1973" s="15"/>
    </row>
    <row r="1974">
      <c r="A1974" s="11"/>
      <c r="B1974" s="11"/>
      <c r="C1974" s="20"/>
      <c r="D1974" s="20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5"/>
      <c r="U1974" s="15"/>
      <c r="V1974" s="15"/>
      <c r="W1974" s="15"/>
    </row>
    <row r="1975">
      <c r="A1975" s="11"/>
      <c r="B1975" s="11"/>
      <c r="C1975" s="20"/>
      <c r="D1975" s="20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5"/>
      <c r="U1975" s="15"/>
      <c r="V1975" s="15"/>
      <c r="W1975" s="15"/>
    </row>
    <row r="1976">
      <c r="A1976" s="11"/>
      <c r="B1976" s="11"/>
      <c r="C1976" s="20"/>
      <c r="D1976" s="20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5"/>
      <c r="U1976" s="15"/>
      <c r="V1976" s="15"/>
      <c r="W1976" s="15"/>
    </row>
    <row r="1977">
      <c r="A1977" s="11"/>
      <c r="B1977" s="11"/>
      <c r="C1977" s="20"/>
      <c r="D1977" s="20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5"/>
      <c r="U1977" s="15"/>
      <c r="V1977" s="15"/>
      <c r="W1977" s="15"/>
    </row>
    <row r="1978">
      <c r="A1978" s="11"/>
      <c r="B1978" s="11"/>
      <c r="C1978" s="20"/>
      <c r="D1978" s="20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5"/>
      <c r="U1978" s="15"/>
      <c r="V1978" s="15"/>
      <c r="W1978" s="15"/>
    </row>
    <row r="1979">
      <c r="A1979" s="11"/>
      <c r="B1979" s="11"/>
      <c r="C1979" s="20"/>
      <c r="D1979" s="20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5"/>
      <c r="U1979" s="15"/>
      <c r="V1979" s="15"/>
      <c r="W1979" s="15"/>
    </row>
    <row r="1980">
      <c r="A1980" s="11"/>
      <c r="B1980" s="11"/>
      <c r="C1980" s="20"/>
      <c r="D1980" s="20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5"/>
      <c r="U1980" s="15"/>
      <c r="V1980" s="15"/>
      <c r="W1980" s="15"/>
    </row>
    <row r="1981">
      <c r="A1981" s="11"/>
      <c r="B1981" s="11"/>
      <c r="C1981" s="20"/>
      <c r="D1981" s="20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5"/>
      <c r="U1981" s="15"/>
      <c r="V1981" s="15"/>
      <c r="W1981" s="15"/>
    </row>
    <row r="1982">
      <c r="A1982" s="11"/>
      <c r="B1982" s="11"/>
      <c r="C1982" s="20"/>
      <c r="D1982" s="20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5"/>
      <c r="U1982" s="15"/>
      <c r="V1982" s="15"/>
      <c r="W1982" s="15"/>
    </row>
    <row r="1983">
      <c r="A1983" s="11"/>
      <c r="B1983" s="11"/>
      <c r="C1983" s="20"/>
      <c r="D1983" s="20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5"/>
      <c r="U1983" s="15"/>
      <c r="V1983" s="15"/>
      <c r="W1983" s="15"/>
    </row>
    <row r="1984">
      <c r="A1984" s="11"/>
      <c r="B1984" s="11"/>
      <c r="C1984" s="20"/>
      <c r="D1984" s="20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5"/>
      <c r="U1984" s="15"/>
      <c r="V1984" s="15"/>
      <c r="W1984" s="15"/>
    </row>
    <row r="1985">
      <c r="A1985" s="11"/>
      <c r="B1985" s="11"/>
      <c r="C1985" s="20"/>
      <c r="D1985" s="20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5"/>
      <c r="U1985" s="15"/>
      <c r="V1985" s="15"/>
      <c r="W1985" s="15"/>
    </row>
    <row r="1986">
      <c r="A1986" s="11"/>
      <c r="B1986" s="11"/>
      <c r="C1986" s="20"/>
      <c r="D1986" s="20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5"/>
      <c r="U1986" s="15"/>
      <c r="V1986" s="15"/>
      <c r="W1986" s="15"/>
    </row>
    <row r="1987">
      <c r="A1987" s="11"/>
      <c r="B1987" s="11"/>
      <c r="C1987" s="20"/>
      <c r="D1987" s="20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5"/>
      <c r="U1987" s="15"/>
      <c r="V1987" s="15"/>
      <c r="W1987" s="15"/>
    </row>
    <row r="1988">
      <c r="A1988" s="11"/>
      <c r="B1988" s="11"/>
      <c r="C1988" s="20"/>
      <c r="D1988" s="20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5"/>
      <c r="U1988" s="15"/>
      <c r="V1988" s="15"/>
      <c r="W1988" s="15"/>
    </row>
    <row r="1989">
      <c r="A1989" s="11"/>
      <c r="B1989" s="11"/>
      <c r="C1989" s="20"/>
      <c r="D1989" s="20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5"/>
      <c r="U1989" s="15"/>
      <c r="V1989" s="15"/>
      <c r="W1989" s="15"/>
    </row>
    <row r="1990">
      <c r="A1990" s="11"/>
      <c r="B1990" s="11"/>
      <c r="C1990" s="20"/>
      <c r="D1990" s="20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5"/>
      <c r="U1990" s="15"/>
      <c r="V1990" s="15"/>
      <c r="W1990" s="15"/>
    </row>
    <row r="1991">
      <c r="A1991" s="11"/>
      <c r="B1991" s="11"/>
      <c r="C1991" s="20"/>
      <c r="D1991" s="20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5"/>
      <c r="U1991" s="15"/>
      <c r="V1991" s="15"/>
      <c r="W1991" s="15"/>
    </row>
    <row r="1992">
      <c r="A1992" s="11"/>
      <c r="B1992" s="11"/>
      <c r="C1992" s="20"/>
      <c r="D1992" s="20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5"/>
      <c r="U1992" s="15"/>
      <c r="V1992" s="15"/>
      <c r="W1992" s="15"/>
    </row>
    <row r="1993">
      <c r="A1993" s="11"/>
      <c r="B1993" s="11"/>
      <c r="C1993" s="20"/>
      <c r="D1993" s="20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5"/>
      <c r="U1993" s="15"/>
      <c r="V1993" s="15"/>
      <c r="W1993" s="15"/>
    </row>
    <row r="1994">
      <c r="A1994" s="11"/>
      <c r="B1994" s="11"/>
      <c r="C1994" s="20"/>
      <c r="D1994" s="20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5"/>
      <c r="U1994" s="15"/>
      <c r="V1994" s="15"/>
      <c r="W1994" s="15"/>
    </row>
    <row r="1995">
      <c r="A1995" s="11"/>
      <c r="B1995" s="11"/>
      <c r="C1995" s="20"/>
      <c r="D1995" s="20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5"/>
      <c r="U1995" s="15"/>
      <c r="V1995" s="15"/>
      <c r="W1995" s="15"/>
    </row>
    <row r="1996">
      <c r="A1996" s="11"/>
      <c r="B1996" s="11"/>
      <c r="C1996" s="20"/>
      <c r="D1996" s="20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5"/>
      <c r="U1996" s="15"/>
      <c r="V1996" s="15"/>
      <c r="W1996" s="15"/>
    </row>
    <row r="1997">
      <c r="A1997" s="11"/>
      <c r="B1997" s="11"/>
      <c r="C1997" s="20"/>
      <c r="D1997" s="20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5"/>
      <c r="U1997" s="15"/>
      <c r="V1997" s="15"/>
      <c r="W1997" s="15"/>
    </row>
    <row r="1998">
      <c r="A1998" s="11"/>
      <c r="B1998" s="11"/>
      <c r="C1998" s="20"/>
      <c r="D1998" s="20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5"/>
      <c r="U1998" s="15"/>
      <c r="V1998" s="15"/>
      <c r="W1998" s="15"/>
    </row>
    <row r="1999">
      <c r="A1999" s="11"/>
      <c r="B1999" s="11"/>
      <c r="C1999" s="20"/>
      <c r="D1999" s="20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5"/>
      <c r="U1999" s="15"/>
      <c r="V1999" s="15"/>
      <c r="W1999" s="15"/>
    </row>
    <row r="2000">
      <c r="A2000" s="11"/>
      <c r="B2000" s="11"/>
      <c r="C2000" s="20"/>
      <c r="D2000" s="20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5"/>
      <c r="U2000" s="15"/>
      <c r="V2000" s="15"/>
      <c r="W2000" s="15"/>
    </row>
  </sheetData>
  <mergeCells count="2">
    <mergeCell ref="G2:I2"/>
    <mergeCell ref="J2:L2"/>
  </mergeCells>
  <conditionalFormatting sqref="G2:G2000">
    <cfRule type="cellIs" dxfId="3" priority="1" stopIfTrue="1" operator="lessThanOrEqual">
      <formula>2500</formula>
    </cfRule>
  </conditionalFormatting>
  <conditionalFormatting sqref="G2:G2000">
    <cfRule type="cellIs" dxfId="4" priority="2" stopIfTrue="1" operator="greaterThan">
      <formula>4000</formula>
    </cfRule>
  </conditionalFormatting>
  <conditionalFormatting sqref="G2:G2000">
    <cfRule type="cellIs" dxfId="5" priority="3" stopIfTrue="1" operator="between">
      <formula>2500</formula>
      <formula>4000</formula>
    </cfRule>
  </conditionalFormatting>
  <conditionalFormatting sqref="J2:J2000">
    <cfRule type="cellIs" dxfId="3" priority="4" stopIfTrue="1" operator="lessThanOrEqual">
      <formula>2500</formula>
    </cfRule>
  </conditionalFormatting>
  <conditionalFormatting sqref="J2:J2000">
    <cfRule type="cellIs" dxfId="4" priority="5" stopIfTrue="1" operator="greaterThan">
      <formula>4000</formula>
    </cfRule>
  </conditionalFormatting>
  <conditionalFormatting sqref="J2:J2000">
    <cfRule type="cellIs" dxfId="5" priority="6" stopIfTrue="1" operator="between">
      <formula>2500</formula>
      <formula>4000</formula>
    </cfRule>
  </conditionalFormatting>
  <conditionalFormatting sqref="H2:H2000">
    <cfRule type="cellIs" dxfId="3" priority="7" stopIfTrue="1" operator="lessThanOrEqual">
      <formula>120</formula>
    </cfRule>
  </conditionalFormatting>
  <conditionalFormatting sqref="H2:H2000">
    <cfRule type="cellIs" dxfId="4" priority="8" stopIfTrue="1" operator="greaterThan">
      <formula>500</formula>
    </cfRule>
  </conditionalFormatting>
  <conditionalFormatting sqref="H2:H2000">
    <cfRule type="cellIs" dxfId="5" priority="9" stopIfTrue="1" operator="between">
      <formula>120</formula>
      <formula>500</formula>
    </cfRule>
  </conditionalFormatting>
  <conditionalFormatting sqref="K2:K2000">
    <cfRule type="cellIs" dxfId="3" priority="10" stopIfTrue="1" operator="lessThanOrEqual">
      <formula>120</formula>
    </cfRule>
  </conditionalFormatting>
  <conditionalFormatting sqref="K2:K2000">
    <cfRule type="cellIs" dxfId="4" priority="11" stopIfTrue="1" operator="greaterThan">
      <formula>500</formula>
    </cfRule>
  </conditionalFormatting>
  <conditionalFormatting sqref="K2:K2000">
    <cfRule type="cellIs" dxfId="5" priority="12" stopIfTrue="1" operator="between">
      <formula>120</formula>
      <formula>500</formula>
    </cfRule>
  </conditionalFormatting>
  <conditionalFormatting sqref="I2:I2000">
    <cfRule type="cellIs" dxfId="3" priority="13" stopIfTrue="1" operator="lessThanOrEqual">
      <formula>0.12</formula>
    </cfRule>
  </conditionalFormatting>
  <conditionalFormatting sqref="I2:I2000">
    <cfRule type="cellIs" dxfId="4" priority="14" stopIfTrue="1" operator="greaterThan">
      <formula>0.25</formula>
    </cfRule>
  </conditionalFormatting>
  <conditionalFormatting sqref="I2:I2000">
    <cfRule type="cellIs" dxfId="5" priority="15" stopIfTrue="1" operator="between">
      <formula>0.12</formula>
      <formula>0.25</formula>
    </cfRule>
  </conditionalFormatting>
  <conditionalFormatting sqref="L2:L2000">
    <cfRule type="cellIs" dxfId="3" priority="16" stopIfTrue="1" operator="lessThanOrEqual">
      <formula>0.12</formula>
    </cfRule>
  </conditionalFormatting>
  <conditionalFormatting sqref="L2:L2000">
    <cfRule type="cellIs" dxfId="4" priority="17" stopIfTrue="1" operator="greaterThan">
      <formula>0.25</formula>
    </cfRule>
  </conditionalFormatting>
  <conditionalFormatting sqref="L2:L2000">
    <cfRule type="cellIs" dxfId="5" priority="18" stopIfTrue="1" operator="between">
      <formula>0.12</formula>
      <formula>0.25</formula>
    </cfRule>
  </conditionalFormatting>
  <conditionalFormatting sqref="F2:F2000">
    <cfRule type="cellIs" dxfId="4" priority="19" stopIfTrue="1" operator="lessThan">
      <formula>50</formula>
    </cfRule>
  </conditionalFormatting>
  <conditionalFormatting sqref="F2:F2000">
    <cfRule type="cellIs" dxfId="3" priority="20" stopIfTrue="1" operator="greaterThanOrEqual">
      <formula>90</formula>
    </cfRule>
  </conditionalFormatting>
  <conditionalFormatting sqref="F2:F2000">
    <cfRule type="cellIs" dxfId="5" priority="21" stopIfTrue="1" operator="between">
      <formula>50</formula>
      <formula>90</formula>
    </cfRule>
  </conditionalFormatting>
  <conditionalFormatting sqref="M2:M2000">
    <cfRule type="cellIs" dxfId="3" priority="22" stopIfTrue="1" operator="lessThanOrEqual">
      <formula>200</formula>
    </cfRule>
  </conditionalFormatting>
  <conditionalFormatting sqref="M2:M2000">
    <cfRule type="cellIs" dxfId="4" priority="23" stopIfTrue="1" operator="greaterThan">
      <formula>500</formula>
    </cfRule>
  </conditionalFormatting>
  <conditionalFormatting sqref="M2:M2000">
    <cfRule type="cellIs" dxfId="5" priority="24" stopIfTrue="1" operator="between">
      <formula>200</formula>
      <formula>500</formula>
    </cfRule>
  </conditionalFormatting>
  <conditionalFormatting sqref="N2:N2000">
    <cfRule type="cellIs" dxfId="3" priority="25" stopIfTrue="1" operator="lessThanOrEqual">
      <formula>1800</formula>
    </cfRule>
  </conditionalFormatting>
  <conditionalFormatting sqref="N2:N2000">
    <cfRule type="cellIs" dxfId="4" priority="26" stopIfTrue="1" operator="greaterThan">
      <formula>3000</formula>
    </cfRule>
  </conditionalFormatting>
  <conditionalFormatting sqref="N2:N2000">
    <cfRule type="cellIs" dxfId="5" priority="27" stopIfTrue="1" operator="between">
      <formula>1800</formula>
      <formula>3000</formula>
    </cfRule>
  </conditionalFormatting>
  <conditionalFormatting sqref="O2:O2000">
    <cfRule type="cellIs" dxfId="3" priority="28" stopIfTrue="1" operator="lessThanOrEqual">
      <formula>3400</formula>
    </cfRule>
  </conditionalFormatting>
  <conditionalFormatting sqref="O2:O2000">
    <cfRule type="cellIs" dxfId="4" priority="29" stopIfTrue="1" operator="greaterThan">
      <formula>5800</formula>
    </cfRule>
  </conditionalFormatting>
  <conditionalFormatting sqref="O2:O2000">
    <cfRule type="cellIs" dxfId="5" priority="30" stopIfTrue="1" operator="between">
      <formula>3400</formula>
      <formula>5800</formula>
    </cfRule>
  </conditionalFormatting>
  <conditionalFormatting sqref="P2:P2000">
    <cfRule type="cellIs" dxfId="3" priority="31" stopIfTrue="1" operator="lessThanOrEqual">
      <formula>3800</formula>
    </cfRule>
  </conditionalFormatting>
  <conditionalFormatting sqref="P2:P2000">
    <cfRule type="cellIs" dxfId="4" priority="32" stopIfTrue="1" operator="greaterThan">
      <formula>7300</formula>
    </cfRule>
  </conditionalFormatting>
  <conditionalFormatting sqref="P2:P2000">
    <cfRule type="cellIs" dxfId="5" priority="33" stopIfTrue="1" operator="between">
      <formula>3800</formula>
      <formula>7300</formula>
    </cfRule>
  </conditionalFormatting>
  <conditionalFormatting sqref="Q2:Q2000">
    <cfRule type="cellIs" dxfId="3" priority="34" stopIfTrue="1" operator="lessThanOrEqual">
      <formula>800</formula>
    </cfRule>
  </conditionalFormatting>
  <conditionalFormatting sqref="Q2:Q2000">
    <cfRule type="cellIs" dxfId="4" priority="35" stopIfTrue="1" operator="greaterThan">
      <formula>1800</formula>
    </cfRule>
  </conditionalFormatting>
  <conditionalFormatting sqref="Q2:Q2000">
    <cfRule type="cellIs" dxfId="5" priority="36" stopIfTrue="1" operator="between">
      <formula>800</formula>
      <formula>1800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0.75"/>
    <col customWidth="1" min="3" max="3" width="18.25"/>
    <col customWidth="1" min="4" max="4" width="11.38"/>
    <col customWidth="1" min="5" max="5" width="6.38"/>
    <col customWidth="1" min="6" max="6" width="7.63"/>
    <col customWidth="1" min="7" max="8" width="7.0"/>
    <col customWidth="1" min="9" max="9" width="7.63"/>
    <col customWidth="1" min="10" max="11" width="7.0"/>
    <col customWidth="1" min="12" max="13" width="7.63"/>
    <col customWidth="1" min="14" max="14" width="10.75"/>
    <col customWidth="1" min="15" max="16" width="8.88"/>
    <col customWidth="1" min="17" max="17" width="14.5"/>
    <col customWidth="1" min="18" max="18" width="18.25"/>
    <col customWidth="1" min="19" max="23" width="17.63"/>
  </cols>
  <sheetData>
    <row r="1" ht="21.0" hidden="1" customHeight="1">
      <c r="A1" s="49" t="s">
        <v>0</v>
      </c>
      <c r="B1" s="49" t="s">
        <v>146</v>
      </c>
      <c r="C1" s="1" t="s">
        <v>2</v>
      </c>
      <c r="D1" s="49" t="s">
        <v>3</v>
      </c>
      <c r="E1" s="49" t="s">
        <v>4</v>
      </c>
      <c r="F1" s="49" t="s">
        <v>139</v>
      </c>
      <c r="G1" s="49" t="s">
        <v>5</v>
      </c>
      <c r="H1" s="49" t="s">
        <v>7</v>
      </c>
      <c r="I1" s="49" t="s">
        <v>8</v>
      </c>
      <c r="J1" s="49" t="s">
        <v>147</v>
      </c>
      <c r="K1" s="49" t="s">
        <v>148</v>
      </c>
      <c r="L1" s="49" t="s">
        <v>149</v>
      </c>
      <c r="M1" s="49" t="s">
        <v>150</v>
      </c>
      <c r="N1" s="49" t="s">
        <v>6</v>
      </c>
      <c r="O1" s="49" t="s">
        <v>151</v>
      </c>
      <c r="P1" s="49" t="s">
        <v>152</v>
      </c>
      <c r="Q1" s="49" t="s">
        <v>13</v>
      </c>
      <c r="R1" s="49" t="s">
        <v>14</v>
      </c>
      <c r="S1" s="49" t="s">
        <v>15</v>
      </c>
      <c r="T1" s="30" t="s">
        <v>1</v>
      </c>
      <c r="U1" s="30" t="s">
        <v>153</v>
      </c>
      <c r="V1" s="30" t="s">
        <v>154</v>
      </c>
      <c r="W1" s="30" t="s">
        <v>155</v>
      </c>
    </row>
    <row r="2">
      <c r="A2" s="50"/>
      <c r="B2" s="50"/>
      <c r="C2" s="3" t="s">
        <v>18</v>
      </c>
      <c r="D2" s="50"/>
      <c r="E2" s="50"/>
      <c r="F2" s="51" t="s">
        <v>156</v>
      </c>
      <c r="G2" s="51" t="s">
        <v>157</v>
      </c>
      <c r="J2" s="51" t="s">
        <v>158</v>
      </c>
      <c r="M2" s="51" t="s">
        <v>159</v>
      </c>
      <c r="N2" s="51" t="s">
        <v>160</v>
      </c>
      <c r="O2" s="51" t="s">
        <v>161</v>
      </c>
      <c r="P2" s="51" t="s">
        <v>162</v>
      </c>
      <c r="Q2" s="51" t="s">
        <v>23</v>
      </c>
      <c r="R2" s="50"/>
      <c r="S2" s="50"/>
      <c r="T2" s="15"/>
      <c r="U2" s="15"/>
      <c r="V2" s="15"/>
      <c r="W2" s="15"/>
    </row>
    <row r="3">
      <c r="A3" s="51" t="s">
        <v>16</v>
      </c>
      <c r="B3" s="51" t="s">
        <v>257</v>
      </c>
      <c r="C3" s="3" t="s">
        <v>26</v>
      </c>
      <c r="D3" s="51" t="s">
        <v>19</v>
      </c>
      <c r="E3" s="51" t="s">
        <v>20</v>
      </c>
      <c r="F3" s="51" t="s">
        <v>164</v>
      </c>
      <c r="G3" s="52" t="s">
        <v>5</v>
      </c>
      <c r="H3" s="52" t="s">
        <v>7</v>
      </c>
      <c r="I3" s="52" t="s">
        <v>8</v>
      </c>
      <c r="J3" s="53" t="s">
        <v>140</v>
      </c>
      <c r="K3" s="53" t="s">
        <v>141</v>
      </c>
      <c r="L3" s="53" t="s">
        <v>142</v>
      </c>
      <c r="M3" s="51" t="s">
        <v>150</v>
      </c>
      <c r="N3" s="51" t="s">
        <v>6</v>
      </c>
      <c r="O3" s="51" t="s">
        <v>165</v>
      </c>
      <c r="P3" s="51" t="s">
        <v>152</v>
      </c>
      <c r="Q3" s="51" t="s">
        <v>13</v>
      </c>
      <c r="R3" s="51" t="s">
        <v>14</v>
      </c>
      <c r="S3" s="51" t="s">
        <v>15</v>
      </c>
      <c r="T3" s="15"/>
      <c r="U3" s="15"/>
      <c r="V3" s="15"/>
      <c r="W3" s="15"/>
    </row>
    <row r="4">
      <c r="A4" s="54">
        <v>46100.0</v>
      </c>
      <c r="B4" s="7" t="s">
        <v>166</v>
      </c>
      <c r="C4" s="8" t="s">
        <v>287</v>
      </c>
      <c r="D4" s="9" t="str">
        <f>HYPERLINK("https://d.vrporn.com/", "main")</f>
        <v>main</v>
      </c>
      <c r="E4" s="7" t="s">
        <v>35</v>
      </c>
      <c r="F4" s="10">
        <v>32.0</v>
      </c>
      <c r="G4" s="10">
        <v>17.35</v>
      </c>
      <c r="H4" s="10">
        <v>1103.0</v>
      </c>
      <c r="I4" s="10">
        <v>0.0039</v>
      </c>
      <c r="J4" s="10">
        <v>17.35</v>
      </c>
      <c r="K4" s="10">
        <v>1103.0</v>
      </c>
      <c r="L4" s="10">
        <v>0.0039</v>
      </c>
      <c r="M4" s="10">
        <v>1146.0</v>
      </c>
      <c r="N4" s="10">
        <v>11055.0</v>
      </c>
      <c r="O4" s="10">
        <v>11055.0</v>
      </c>
      <c r="P4" s="10">
        <v>19688.0</v>
      </c>
      <c r="Q4" s="10">
        <v>908.0</v>
      </c>
      <c r="R4" s="7" t="s">
        <v>130</v>
      </c>
      <c r="S4" s="16" t="s">
        <v>38</v>
      </c>
      <c r="T4" s="15"/>
      <c r="U4" s="15"/>
      <c r="V4" s="15"/>
      <c r="W4" s="15"/>
    </row>
    <row r="5">
      <c r="A5" s="54">
        <v>46100.0</v>
      </c>
      <c r="B5" s="7" t="s">
        <v>166</v>
      </c>
      <c r="C5" s="79" t="s">
        <v>288</v>
      </c>
      <c r="D5" s="9" t="str">
        <f>HYPERLINK("https://d.vrporn.com/pornstars/?sort=latest", "models")</f>
        <v>models</v>
      </c>
      <c r="E5" s="7" t="s">
        <v>35</v>
      </c>
      <c r="F5" s="10">
        <v>39.0</v>
      </c>
      <c r="G5" s="10">
        <v>16.8</v>
      </c>
      <c r="H5" s="10">
        <v>959.0</v>
      </c>
      <c r="I5" s="10">
        <v>0.0039</v>
      </c>
      <c r="J5" s="10">
        <v>16.92</v>
      </c>
      <c r="K5" s="10">
        <v>987.0</v>
      </c>
      <c r="L5" s="10">
        <v>0.0039</v>
      </c>
      <c r="M5" s="10">
        <v>790.0</v>
      </c>
      <c r="N5" s="10">
        <v>10767.0</v>
      </c>
      <c r="O5" s="10">
        <v>10767.0</v>
      </c>
      <c r="P5" s="10">
        <v>18702.0</v>
      </c>
      <c r="Q5" s="10">
        <v>712.0</v>
      </c>
      <c r="R5" s="7" t="s">
        <v>130</v>
      </c>
      <c r="S5" s="13" t="s">
        <v>38</v>
      </c>
      <c r="T5" s="15"/>
      <c r="U5" s="15"/>
      <c r="V5" s="15"/>
      <c r="W5" s="15"/>
    </row>
    <row r="6">
      <c r="A6" s="54">
        <v>46100.0</v>
      </c>
      <c r="B6" s="7" t="s">
        <v>166</v>
      </c>
      <c r="C6" s="8" t="s">
        <v>289</v>
      </c>
      <c r="D6" s="9" t="str">
        <f>HYPERLINK("https://d.vrporn.com/", "main")</f>
        <v>main</v>
      </c>
      <c r="E6" s="7" t="s">
        <v>34</v>
      </c>
      <c r="F6" s="10">
        <v>59.0</v>
      </c>
      <c r="G6" s="10">
        <v>3.89</v>
      </c>
      <c r="H6" s="10">
        <v>275.0</v>
      </c>
      <c r="I6" s="10">
        <v>2.0E-4</v>
      </c>
      <c r="J6" s="10">
        <v>3.89</v>
      </c>
      <c r="K6" s="10">
        <v>275.0</v>
      </c>
      <c r="L6" s="10">
        <v>2.0E-4</v>
      </c>
      <c r="M6" s="10">
        <v>160.0</v>
      </c>
      <c r="N6" s="10">
        <v>2343.0</v>
      </c>
      <c r="O6" s="10">
        <v>3498.0</v>
      </c>
      <c r="P6" s="10">
        <v>4206.0</v>
      </c>
      <c r="Q6" s="10">
        <v>895.0</v>
      </c>
      <c r="R6" s="7" t="s">
        <v>130</v>
      </c>
      <c r="S6" s="16" t="s">
        <v>38</v>
      </c>
      <c r="T6" s="15"/>
      <c r="U6" s="15"/>
      <c r="V6" s="15"/>
      <c r="W6" s="15"/>
    </row>
    <row r="7">
      <c r="A7" s="54">
        <v>46100.0</v>
      </c>
      <c r="B7" s="7" t="s">
        <v>166</v>
      </c>
      <c r="C7" s="79" t="s">
        <v>290</v>
      </c>
      <c r="D7" s="9" t="str">
        <f>HYPERLINK("https://d.vrporn.com/pornstars/?sort=latest", "models")</f>
        <v>models</v>
      </c>
      <c r="E7" s="7" t="s">
        <v>34</v>
      </c>
      <c r="F7" s="10">
        <v>81.0</v>
      </c>
      <c r="G7" s="10">
        <v>2.5</v>
      </c>
      <c r="H7" s="10">
        <v>224.0</v>
      </c>
      <c r="I7" s="10">
        <v>2.0E-4</v>
      </c>
      <c r="J7" s="10">
        <v>2.5</v>
      </c>
      <c r="K7" s="10">
        <v>232.0</v>
      </c>
      <c r="L7" s="10">
        <v>2.0E-4</v>
      </c>
      <c r="M7" s="10">
        <v>179.0</v>
      </c>
      <c r="N7" s="10">
        <v>2303.0</v>
      </c>
      <c r="O7" s="10">
        <v>2751.0</v>
      </c>
      <c r="P7" s="10">
        <v>3344.0</v>
      </c>
      <c r="Q7" s="10">
        <v>723.0</v>
      </c>
      <c r="R7" s="7" t="s">
        <v>130</v>
      </c>
      <c r="S7" s="13" t="s">
        <v>38</v>
      </c>
      <c r="T7" s="15"/>
      <c r="U7" s="15"/>
      <c r="V7" s="15"/>
      <c r="W7" s="15"/>
    </row>
    <row r="8">
      <c r="A8" s="54">
        <v>46100.0</v>
      </c>
      <c r="B8" s="7" t="s">
        <v>225</v>
      </c>
      <c r="C8" s="8" t="s">
        <v>291</v>
      </c>
      <c r="D8" s="9" t="str">
        <f>HYPERLINK("https://d.vrporn.com/", "main")</f>
        <v>main</v>
      </c>
      <c r="E8" s="7" t="s">
        <v>35</v>
      </c>
      <c r="F8" s="10">
        <v>33.0</v>
      </c>
      <c r="G8" s="10">
        <v>17297.0</v>
      </c>
      <c r="H8" s="10">
        <v>1142.0</v>
      </c>
      <c r="I8" s="10">
        <v>0.0039</v>
      </c>
      <c r="J8" s="10">
        <v>17382.0</v>
      </c>
      <c r="K8" s="10">
        <v>1159.0</v>
      </c>
      <c r="L8" s="10">
        <v>0.0039</v>
      </c>
      <c r="M8" s="10">
        <v>1149.0</v>
      </c>
      <c r="N8" s="10">
        <v>11047.0</v>
      </c>
      <c r="O8" s="10">
        <v>11047.0</v>
      </c>
      <c r="P8" s="10">
        <v>19603.0</v>
      </c>
      <c r="Q8" s="10">
        <v>919.0</v>
      </c>
      <c r="R8" s="7" t="s">
        <v>130</v>
      </c>
      <c r="S8" s="16" t="s">
        <v>38</v>
      </c>
      <c r="T8" s="15"/>
      <c r="U8" s="15"/>
      <c r="V8" s="15"/>
      <c r="W8" s="15"/>
    </row>
    <row r="9">
      <c r="A9" s="54">
        <v>46100.0</v>
      </c>
      <c r="B9" s="7" t="s">
        <v>225</v>
      </c>
      <c r="C9" s="79" t="s">
        <v>292</v>
      </c>
      <c r="D9" s="9" t="str">
        <f>HYPERLINK("https://d.vrporn.com/tag/anal/", "s_category")</f>
        <v>s_category</v>
      </c>
      <c r="E9" s="7" t="s">
        <v>35</v>
      </c>
      <c r="F9" s="10">
        <v>33.0</v>
      </c>
      <c r="G9" s="10">
        <v>18801.0</v>
      </c>
      <c r="H9" s="10">
        <v>1208.0</v>
      </c>
      <c r="I9" s="10">
        <v>0.0039</v>
      </c>
      <c r="J9" s="10">
        <v>18845.0</v>
      </c>
      <c r="K9" s="10">
        <v>1290.0</v>
      </c>
      <c r="L9" s="10">
        <v>0.0039</v>
      </c>
      <c r="M9" s="10">
        <v>1300.0</v>
      </c>
      <c r="N9" s="10">
        <v>10886.0</v>
      </c>
      <c r="O9" s="10">
        <v>10886.0</v>
      </c>
      <c r="P9" s="10">
        <v>20532.0</v>
      </c>
      <c r="Q9" s="10">
        <v>926.0</v>
      </c>
      <c r="R9" s="7" t="s">
        <v>130</v>
      </c>
      <c r="S9" s="13" t="s">
        <v>38</v>
      </c>
      <c r="T9" s="15"/>
      <c r="U9" s="15"/>
      <c r="V9" s="15"/>
      <c r="W9" s="15"/>
    </row>
    <row r="10">
      <c r="A10" s="54">
        <v>46100.0</v>
      </c>
      <c r="B10" s="7" t="s">
        <v>225</v>
      </c>
      <c r="C10" s="8" t="s">
        <v>293</v>
      </c>
      <c r="D10" s="9" t="str">
        <f>HYPERLINK("https://d.vrporn.com/", "main")</f>
        <v>main</v>
      </c>
      <c r="E10" s="7" t="s">
        <v>34</v>
      </c>
      <c r="F10" s="10">
        <v>60.0</v>
      </c>
      <c r="G10" s="10">
        <v>3971.0</v>
      </c>
      <c r="H10" s="10">
        <v>297.0</v>
      </c>
      <c r="I10" s="10">
        <v>2.0E-4</v>
      </c>
      <c r="J10" s="10">
        <v>4032.0</v>
      </c>
      <c r="K10" s="10">
        <v>321.0</v>
      </c>
      <c r="L10" s="10">
        <v>2.0E-4</v>
      </c>
      <c r="M10" s="10">
        <v>188.0</v>
      </c>
      <c r="N10" s="10">
        <v>2445.0</v>
      </c>
      <c r="O10" s="10">
        <v>3560.0</v>
      </c>
      <c r="P10" s="10">
        <v>4284.0</v>
      </c>
      <c r="Q10" s="10">
        <v>903.0</v>
      </c>
      <c r="R10" s="7" t="s">
        <v>130</v>
      </c>
      <c r="S10" s="16" t="s">
        <v>38</v>
      </c>
      <c r="T10" s="15"/>
      <c r="U10" s="15"/>
      <c r="V10" s="15"/>
      <c r="W10" s="15"/>
    </row>
    <row r="11">
      <c r="A11" s="54">
        <v>46100.0</v>
      </c>
      <c r="B11" s="7" t="s">
        <v>225</v>
      </c>
      <c r="C11" s="79" t="s">
        <v>294</v>
      </c>
      <c r="D11" s="9" t="str">
        <f>HYPERLINK("https://d.vrporn.com/categories/", "categories")</f>
        <v>categories</v>
      </c>
      <c r="E11" s="7" t="s">
        <v>34</v>
      </c>
      <c r="F11" s="10">
        <v>59.0</v>
      </c>
      <c r="G11" s="10">
        <v>3689.0</v>
      </c>
      <c r="H11" s="10">
        <v>278.0</v>
      </c>
      <c r="I11" s="10">
        <v>2.0E-4</v>
      </c>
      <c r="J11" s="10">
        <v>3720.0</v>
      </c>
      <c r="K11" s="10">
        <v>287.0</v>
      </c>
      <c r="L11" s="10">
        <v>2.0E-4</v>
      </c>
      <c r="M11" s="10">
        <v>193.0</v>
      </c>
      <c r="N11" s="10">
        <v>2392.0</v>
      </c>
      <c r="O11" s="10">
        <v>3315.0</v>
      </c>
      <c r="P11" s="10">
        <v>4184.0</v>
      </c>
      <c r="Q11" s="10">
        <v>708.0</v>
      </c>
      <c r="R11" s="7" t="s">
        <v>130</v>
      </c>
      <c r="S11" s="13" t="s">
        <v>38</v>
      </c>
      <c r="T11" s="15"/>
      <c r="U11" s="15"/>
      <c r="V11" s="15"/>
      <c r="W11" s="15"/>
    </row>
    <row r="12">
      <c r="A12" s="54">
        <v>46101.0</v>
      </c>
      <c r="B12" s="7" t="s">
        <v>225</v>
      </c>
      <c r="C12" s="8" t="s">
        <v>295</v>
      </c>
      <c r="D12" s="9" t="str">
        <f>HYPERLINK("https://d.vrporn.com/", "main")</f>
        <v>main</v>
      </c>
      <c r="E12" s="7" t="s">
        <v>35</v>
      </c>
      <c r="F12" s="10">
        <v>37.0</v>
      </c>
      <c r="G12" s="10">
        <v>13350.0</v>
      </c>
      <c r="H12" s="10">
        <v>2000.0</v>
      </c>
      <c r="I12" s="10">
        <v>0.0039</v>
      </c>
      <c r="J12" s="10">
        <v>15069.0</v>
      </c>
      <c r="K12" s="10">
        <v>2012.0</v>
      </c>
      <c r="L12" s="10">
        <v>0.0039</v>
      </c>
      <c r="M12" s="10">
        <v>1969.0</v>
      </c>
      <c r="N12" s="10">
        <v>9232.0</v>
      </c>
      <c r="O12" s="10">
        <v>10673.0</v>
      </c>
      <c r="P12" s="10">
        <v>21285.0</v>
      </c>
      <c r="Q12" s="10">
        <v>1243.0</v>
      </c>
      <c r="R12" s="7" t="s">
        <v>132</v>
      </c>
      <c r="S12" s="16" t="s">
        <v>38</v>
      </c>
      <c r="T12" s="15"/>
      <c r="U12" s="15"/>
      <c r="V12" s="15"/>
      <c r="W12" s="15"/>
    </row>
    <row r="13">
      <c r="A13" s="54">
        <v>46101.0</v>
      </c>
      <c r="B13" s="7" t="s">
        <v>225</v>
      </c>
      <c r="C13" s="79" t="s">
        <v>296</v>
      </c>
      <c r="D13" s="9" t="str">
        <f>HYPERLINK("https://d.vrporn.com/pornstars/?sort=latest", "models")</f>
        <v>models</v>
      </c>
      <c r="E13" s="7" t="s">
        <v>35</v>
      </c>
      <c r="F13" s="10">
        <v>46.0</v>
      </c>
      <c r="G13" s="10">
        <v>4674.0</v>
      </c>
      <c r="H13" s="10">
        <v>1374.0</v>
      </c>
      <c r="I13" s="10">
        <v>0.0039</v>
      </c>
      <c r="J13" s="10">
        <v>4825.0</v>
      </c>
      <c r="K13" s="10">
        <v>1401.0</v>
      </c>
      <c r="L13" s="10">
        <v>0.0039</v>
      </c>
      <c r="M13" s="10">
        <v>1646.0</v>
      </c>
      <c r="N13" s="10">
        <v>3274.0</v>
      </c>
      <c r="O13" s="10">
        <v>9292.0</v>
      </c>
      <c r="P13" s="10">
        <v>19476.0</v>
      </c>
      <c r="Q13" s="10">
        <v>867.0</v>
      </c>
      <c r="R13" s="7" t="s">
        <v>132</v>
      </c>
      <c r="S13" s="13" t="s">
        <v>38</v>
      </c>
      <c r="T13" s="15"/>
      <c r="U13" s="15"/>
      <c r="V13" s="15"/>
      <c r="W13" s="15"/>
    </row>
    <row r="14">
      <c r="A14" s="54">
        <v>46101.0</v>
      </c>
      <c r="B14" s="7" t="s">
        <v>225</v>
      </c>
      <c r="C14" s="8" t="s">
        <v>297</v>
      </c>
      <c r="D14" s="9" t="str">
        <f>HYPERLINK("https://d.vrporn.com/categories/", "categories")</f>
        <v>categories</v>
      </c>
      <c r="E14" s="7" t="s">
        <v>35</v>
      </c>
      <c r="F14" s="10">
        <v>38.0</v>
      </c>
      <c r="G14" s="10">
        <v>17413.0</v>
      </c>
      <c r="H14" s="10">
        <v>1288.0</v>
      </c>
      <c r="I14" s="10">
        <v>0.0039</v>
      </c>
      <c r="J14" s="10">
        <v>18088.0</v>
      </c>
      <c r="K14" s="10">
        <v>1340.0</v>
      </c>
      <c r="L14" s="10">
        <v>0.0039</v>
      </c>
      <c r="M14" s="10">
        <v>1520.0</v>
      </c>
      <c r="N14" s="10">
        <v>11000.0</v>
      </c>
      <c r="O14" s="10">
        <v>11000.0</v>
      </c>
      <c r="P14" s="10">
        <v>20530.0</v>
      </c>
      <c r="Q14" s="10">
        <v>734.0</v>
      </c>
      <c r="R14" s="7" t="s">
        <v>132</v>
      </c>
      <c r="S14" s="16" t="s">
        <v>38</v>
      </c>
      <c r="T14" s="15"/>
      <c r="U14" s="15"/>
      <c r="V14" s="15"/>
      <c r="W14" s="15"/>
    </row>
    <row r="15">
      <c r="A15" s="54">
        <v>46101.0</v>
      </c>
      <c r="B15" s="7" t="s">
        <v>225</v>
      </c>
      <c r="C15" s="79" t="s">
        <v>298</v>
      </c>
      <c r="D15" s="9" t="str">
        <f>HYPERLINK("https://d.vrporn.com/tag/anal/", "s_category")</f>
        <v>s_category</v>
      </c>
      <c r="E15" s="7" t="s">
        <v>35</v>
      </c>
      <c r="F15" s="10">
        <v>38.0</v>
      </c>
      <c r="G15" s="10">
        <v>18836.0</v>
      </c>
      <c r="H15" s="10">
        <v>1983.0</v>
      </c>
      <c r="I15" s="10">
        <v>0.0039</v>
      </c>
      <c r="J15" s="10">
        <v>18884.0</v>
      </c>
      <c r="K15" s="10">
        <v>2008.0</v>
      </c>
      <c r="L15" s="10">
        <v>0.0047</v>
      </c>
      <c r="M15" s="10">
        <v>2113.0</v>
      </c>
      <c r="N15" s="10">
        <v>11111.0</v>
      </c>
      <c r="O15" s="10">
        <v>11141.0</v>
      </c>
      <c r="P15" s="10">
        <v>22419.0</v>
      </c>
      <c r="Q15" s="10">
        <v>940.0</v>
      </c>
      <c r="R15" s="7" t="s">
        <v>132</v>
      </c>
      <c r="S15" s="13" t="s">
        <v>38</v>
      </c>
      <c r="T15" s="15"/>
      <c r="U15" s="15"/>
      <c r="V15" s="15"/>
      <c r="W15" s="15"/>
    </row>
    <row r="16">
      <c r="A16" s="54">
        <v>46101.0</v>
      </c>
      <c r="B16" s="7" t="s">
        <v>225</v>
      </c>
      <c r="C16" s="8" t="s">
        <v>299</v>
      </c>
      <c r="D16" s="9" t="str">
        <f>HYPERLINK("https://d.vrporn.com/studio/vrbangers/", "s_studio")</f>
        <v>s_studio</v>
      </c>
      <c r="E16" s="7" t="s">
        <v>35</v>
      </c>
      <c r="F16" s="10">
        <v>49.0</v>
      </c>
      <c r="G16" s="10">
        <v>16810.0</v>
      </c>
      <c r="H16" s="10">
        <v>2107.0</v>
      </c>
      <c r="I16" s="10">
        <v>0.0039</v>
      </c>
      <c r="J16" s="10">
        <v>17430.0</v>
      </c>
      <c r="K16" s="10">
        <v>2304.0</v>
      </c>
      <c r="L16" s="10">
        <v>0.0039</v>
      </c>
      <c r="M16" s="10">
        <v>1958.0</v>
      </c>
      <c r="N16" s="10">
        <v>10960.0</v>
      </c>
      <c r="O16" s="10">
        <v>10960.0</v>
      </c>
      <c r="P16" s="10">
        <v>21017.0</v>
      </c>
      <c r="Q16" s="10">
        <v>1074.0</v>
      </c>
      <c r="R16" s="7" t="s">
        <v>132</v>
      </c>
      <c r="S16" s="16" t="s">
        <v>38</v>
      </c>
      <c r="T16" s="15"/>
      <c r="U16" s="15"/>
      <c r="V16" s="15"/>
      <c r="W16" s="15"/>
    </row>
    <row r="17">
      <c r="A17" s="54">
        <v>46101.0</v>
      </c>
      <c r="B17" s="7" t="s">
        <v>225</v>
      </c>
      <c r="C17" s="79" t="s">
        <v>300</v>
      </c>
      <c r="D17" s="9" t="str">
        <f>HYPERLINK("https://d.vrporn.com/camgirls/", "dreams")</f>
        <v>dreams</v>
      </c>
      <c r="E17" s="7" t="s">
        <v>35</v>
      </c>
      <c r="F17" s="10">
        <v>31.0</v>
      </c>
      <c r="G17" s="10">
        <v>18490.0</v>
      </c>
      <c r="H17" s="10">
        <v>1149.0</v>
      </c>
      <c r="I17" s="10">
        <v>0.0039</v>
      </c>
      <c r="J17" s="10">
        <v>18490.0</v>
      </c>
      <c r="K17" s="10">
        <v>1149.0</v>
      </c>
      <c r="L17" s="10">
        <v>0.0039</v>
      </c>
      <c r="M17" s="10">
        <v>1260.0</v>
      </c>
      <c r="N17" s="10">
        <v>11065.0</v>
      </c>
      <c r="O17" s="10">
        <v>11167.0</v>
      </c>
      <c r="P17" s="10">
        <v>20751.0</v>
      </c>
      <c r="Q17" s="10">
        <v>1106.0</v>
      </c>
      <c r="R17" s="7" t="s">
        <v>132</v>
      </c>
      <c r="S17" s="13" t="s">
        <v>38</v>
      </c>
      <c r="T17" s="15"/>
      <c r="U17" s="15"/>
      <c r="V17" s="15"/>
      <c r="W17" s="15"/>
    </row>
    <row r="18">
      <c r="A18" s="54">
        <v>46101.0</v>
      </c>
      <c r="B18" s="7" t="s">
        <v>225</v>
      </c>
      <c r="C18" s="8" t="s">
        <v>301</v>
      </c>
      <c r="D18" s="9" t="str">
        <f>HYPERLINK("https://d.vrporn.com/camgirls/model-vrporn/", "s_dream")</f>
        <v>s_dream</v>
      </c>
      <c r="E18" s="7" t="s">
        <v>35</v>
      </c>
      <c r="F18" s="10">
        <v>34.0</v>
      </c>
      <c r="G18" s="10">
        <v>18614.0</v>
      </c>
      <c r="H18" s="10">
        <v>1178.0</v>
      </c>
      <c r="I18" s="10">
        <v>0.0039</v>
      </c>
      <c r="J18" s="10">
        <v>18894.0</v>
      </c>
      <c r="K18" s="10">
        <v>1288.0</v>
      </c>
      <c r="L18" s="10">
        <v>0.0039</v>
      </c>
      <c r="M18" s="10">
        <v>1733.0</v>
      </c>
      <c r="N18" s="10">
        <v>11279.0</v>
      </c>
      <c r="O18" s="10">
        <v>11980.0</v>
      </c>
      <c r="P18" s="10">
        <v>20543.0</v>
      </c>
      <c r="Q18" s="10">
        <v>1373.0</v>
      </c>
      <c r="R18" s="7" t="s">
        <v>132</v>
      </c>
      <c r="S18" s="16" t="s">
        <v>38</v>
      </c>
      <c r="T18" s="15"/>
      <c r="U18" s="15"/>
      <c r="V18" s="15"/>
      <c r="W18" s="15"/>
    </row>
    <row r="19">
      <c r="A19" s="54">
        <v>46101.0</v>
      </c>
      <c r="B19" s="7" t="s">
        <v>225</v>
      </c>
      <c r="C19" s="79" t="s">
        <v>302</v>
      </c>
      <c r="D19" s="9" t="str">
        <f>HYPERLINK("https://d.vrporn.com/", "main")</f>
        <v>main</v>
      </c>
      <c r="E19" s="7" t="s">
        <v>34</v>
      </c>
      <c r="F19" s="10">
        <v>60.0</v>
      </c>
      <c r="G19" s="10">
        <v>3320.0</v>
      </c>
      <c r="H19" s="10">
        <v>556.0</v>
      </c>
      <c r="I19" s="10">
        <v>0.0604</v>
      </c>
      <c r="J19" s="10">
        <v>3685.0</v>
      </c>
      <c r="K19" s="10">
        <v>586.0</v>
      </c>
      <c r="L19" s="10">
        <v>0.0724</v>
      </c>
      <c r="M19" s="10">
        <v>416.0</v>
      </c>
      <c r="N19" s="10">
        <v>1777.0</v>
      </c>
      <c r="O19" s="10">
        <v>3241.0</v>
      </c>
      <c r="P19" s="10">
        <v>5310.0</v>
      </c>
      <c r="Q19" s="10">
        <v>985.0</v>
      </c>
      <c r="R19" s="7" t="s">
        <v>132</v>
      </c>
      <c r="S19" s="13" t="s">
        <v>38</v>
      </c>
      <c r="T19" s="15"/>
      <c r="U19" s="15"/>
      <c r="V19" s="15"/>
      <c r="W19" s="15"/>
    </row>
    <row r="20">
      <c r="A20" s="54">
        <v>46101.0</v>
      </c>
      <c r="B20" s="7" t="s">
        <v>225</v>
      </c>
      <c r="C20" s="8" t="s">
        <v>303</v>
      </c>
      <c r="D20" s="9" t="str">
        <f>HYPERLINK("https://d.vrporn.com/categories/", "categories")</f>
        <v>categories</v>
      </c>
      <c r="E20" s="7" t="s">
        <v>34</v>
      </c>
      <c r="F20" s="10">
        <v>76.0</v>
      </c>
      <c r="G20" s="10">
        <v>3709.0</v>
      </c>
      <c r="H20" s="10">
        <v>343.0</v>
      </c>
      <c r="I20" s="10">
        <v>2.0E-4</v>
      </c>
      <c r="J20" s="10">
        <v>3772.0</v>
      </c>
      <c r="K20" s="10">
        <v>347.0</v>
      </c>
      <c r="L20" s="10">
        <v>2.0E-4</v>
      </c>
      <c r="M20" s="10">
        <v>250.0</v>
      </c>
      <c r="N20" s="10">
        <v>2438.0</v>
      </c>
      <c r="O20" s="10">
        <v>3415.0</v>
      </c>
      <c r="P20" s="10">
        <v>4433.0</v>
      </c>
      <c r="Q20" s="10">
        <v>749.0</v>
      </c>
      <c r="R20" s="7" t="s">
        <v>132</v>
      </c>
      <c r="S20" s="16" t="s">
        <v>38</v>
      </c>
      <c r="T20" s="15"/>
      <c r="U20" s="15"/>
      <c r="V20" s="15"/>
      <c r="W20" s="15"/>
    </row>
    <row r="21">
      <c r="A21" s="54">
        <v>46101.0</v>
      </c>
      <c r="B21" s="7" t="s">
        <v>225</v>
      </c>
      <c r="C21" s="79" t="s">
        <v>304</v>
      </c>
      <c r="D21" s="9" t="str">
        <f>HYPERLINK("https://d.vrporn.com/tag/anal/", "s_category")</f>
        <v>s_category</v>
      </c>
      <c r="E21" s="7" t="s">
        <v>34</v>
      </c>
      <c r="F21" s="10">
        <v>46.0</v>
      </c>
      <c r="G21" s="10">
        <v>3956.0</v>
      </c>
      <c r="H21" s="10">
        <v>423.0</v>
      </c>
      <c r="I21" s="10">
        <v>2.0E-4</v>
      </c>
      <c r="J21" s="10">
        <v>3956.0</v>
      </c>
      <c r="K21" s="10">
        <v>423.0</v>
      </c>
      <c r="L21" s="10">
        <v>2.0E-4</v>
      </c>
      <c r="M21" s="10">
        <v>356.0</v>
      </c>
      <c r="N21" s="10">
        <v>2504.0</v>
      </c>
      <c r="O21" s="10">
        <v>3760.0</v>
      </c>
      <c r="P21" s="10">
        <v>4618.0</v>
      </c>
      <c r="Q21" s="10">
        <v>897.0</v>
      </c>
      <c r="R21" s="7" t="s">
        <v>132</v>
      </c>
      <c r="S21" s="13" t="s">
        <v>38</v>
      </c>
      <c r="T21" s="15"/>
      <c r="U21" s="15"/>
      <c r="V21" s="15"/>
      <c r="W21" s="15"/>
    </row>
    <row r="22">
      <c r="A22" s="54">
        <v>46101.0</v>
      </c>
      <c r="B22" s="7" t="s">
        <v>225</v>
      </c>
      <c r="C22" s="8" t="s">
        <v>305</v>
      </c>
      <c r="D22" s="9" t="str">
        <f>HYPERLINK("https://d.vrporn.com/studio/vrbangers/", "s_studio")</f>
        <v>s_studio</v>
      </c>
      <c r="E22" s="7" t="s">
        <v>34</v>
      </c>
      <c r="F22" s="10">
        <v>64.0</v>
      </c>
      <c r="G22" s="10">
        <v>3992.0</v>
      </c>
      <c r="H22" s="10">
        <v>514.0</v>
      </c>
      <c r="I22" s="10">
        <v>2.0E-4</v>
      </c>
      <c r="J22" s="10">
        <v>4055.0</v>
      </c>
      <c r="K22" s="10">
        <v>611.0</v>
      </c>
      <c r="L22" s="10">
        <v>2.0E-4</v>
      </c>
      <c r="M22" s="10">
        <v>378.0</v>
      </c>
      <c r="N22" s="10">
        <v>2420.0</v>
      </c>
      <c r="O22" s="10">
        <v>3937.0</v>
      </c>
      <c r="P22" s="10">
        <v>5546.0</v>
      </c>
      <c r="Q22" s="10">
        <v>1051.0</v>
      </c>
      <c r="R22" s="7" t="s">
        <v>132</v>
      </c>
      <c r="S22" s="16" t="s">
        <v>38</v>
      </c>
      <c r="T22" s="15"/>
      <c r="U22" s="15"/>
      <c r="V22" s="15"/>
      <c r="W22" s="15"/>
    </row>
    <row r="23">
      <c r="A23" s="54">
        <v>46101.0</v>
      </c>
      <c r="B23" s="7" t="s">
        <v>225</v>
      </c>
      <c r="C23" s="79" t="s">
        <v>306</v>
      </c>
      <c r="D23" s="9" t="str">
        <f>HYPERLINK("https://d.vrporn.com/camgirls/", "dreams")</f>
        <v>dreams</v>
      </c>
      <c r="E23" s="7" t="s">
        <v>34</v>
      </c>
      <c r="F23" s="10">
        <v>65.0</v>
      </c>
      <c r="G23" s="10">
        <v>2563.0</v>
      </c>
      <c r="H23" s="10">
        <v>338.0</v>
      </c>
      <c r="I23" s="10">
        <v>2.0E-4</v>
      </c>
      <c r="J23" s="10">
        <v>2652.0</v>
      </c>
      <c r="K23" s="10">
        <v>347.0</v>
      </c>
      <c r="L23" s="10">
        <v>2.0E-4</v>
      </c>
      <c r="M23" s="10">
        <v>419.0</v>
      </c>
      <c r="N23" s="10">
        <v>2366.0</v>
      </c>
      <c r="O23" s="10">
        <v>3262.0</v>
      </c>
      <c r="P23" s="10">
        <v>3944.0</v>
      </c>
      <c r="Q23" s="10">
        <v>1142.0</v>
      </c>
      <c r="R23" s="7" t="s">
        <v>132</v>
      </c>
      <c r="S23" s="13" t="s">
        <v>38</v>
      </c>
      <c r="T23" s="15"/>
      <c r="U23" s="15"/>
      <c r="V23" s="15"/>
      <c r="W23" s="15"/>
    </row>
    <row r="24">
      <c r="A24" s="54">
        <v>46101.0</v>
      </c>
      <c r="B24" s="7" t="s">
        <v>225</v>
      </c>
      <c r="C24" s="8" t="s">
        <v>307</v>
      </c>
      <c r="D24" s="9" t="str">
        <f>HYPERLINK("https://d.vrporn.com/camgirls/model-vrporn/", "s_dream")</f>
        <v>s_dream</v>
      </c>
      <c r="E24" s="7" t="s">
        <v>34</v>
      </c>
      <c r="F24" s="10">
        <v>62.0</v>
      </c>
      <c r="G24" s="10">
        <v>2549.0</v>
      </c>
      <c r="H24" s="10">
        <v>274.0</v>
      </c>
      <c r="I24" s="10">
        <v>2.0E-4</v>
      </c>
      <c r="J24" s="10">
        <v>2570.0</v>
      </c>
      <c r="K24" s="10">
        <v>297.0</v>
      </c>
      <c r="L24" s="10">
        <v>2.0E-4</v>
      </c>
      <c r="M24" s="10">
        <v>428.0</v>
      </c>
      <c r="N24" s="10">
        <v>2349.0</v>
      </c>
      <c r="O24" s="10">
        <v>3410.0</v>
      </c>
      <c r="P24" s="10">
        <v>4057.0</v>
      </c>
      <c r="Q24" s="10">
        <v>1379.0</v>
      </c>
      <c r="R24" s="7" t="s">
        <v>132</v>
      </c>
      <c r="S24" s="16" t="s">
        <v>38</v>
      </c>
      <c r="T24" s="15"/>
      <c r="U24" s="15"/>
      <c r="V24" s="15"/>
      <c r="W24" s="15"/>
    </row>
    <row r="25">
      <c r="A25" s="54">
        <v>46105.72574074074</v>
      </c>
      <c r="B25" s="7" t="s">
        <v>225</v>
      </c>
      <c r="C25" s="79" t="s">
        <v>45</v>
      </c>
      <c r="D25" s="9" t="str">
        <f t="shared" ref="D25:D26" si="1">HYPERLINK("https://d.vrporn.com/", "main")</f>
        <v>main</v>
      </c>
      <c r="E25" s="7" t="s">
        <v>35</v>
      </c>
      <c r="F25" s="10">
        <v>31.0</v>
      </c>
      <c r="G25" s="10">
        <v>16193.0</v>
      </c>
      <c r="H25" s="10">
        <v>1601.0</v>
      </c>
      <c r="I25" s="10">
        <v>0.0039</v>
      </c>
      <c r="J25" s="10">
        <v>17337.0</v>
      </c>
      <c r="K25" s="10">
        <v>1953.0</v>
      </c>
      <c r="L25" s="10">
        <v>0.0039</v>
      </c>
      <c r="M25" s="10">
        <v>1473.0</v>
      </c>
      <c r="N25" s="10">
        <v>11055.0</v>
      </c>
      <c r="O25" s="10">
        <v>11055.0</v>
      </c>
      <c r="P25" s="10">
        <v>21040.0</v>
      </c>
      <c r="Q25" s="10">
        <v>1270.0</v>
      </c>
      <c r="R25" s="7" t="s">
        <v>135</v>
      </c>
      <c r="S25" s="13" t="s">
        <v>38</v>
      </c>
      <c r="T25" s="57" t="s">
        <v>168</v>
      </c>
      <c r="U25" s="57" t="s">
        <v>49</v>
      </c>
      <c r="V25" s="57" t="s">
        <v>169</v>
      </c>
      <c r="W25" s="59">
        <v>10.0</v>
      </c>
    </row>
    <row r="26">
      <c r="A26" s="54">
        <v>46105.72798611111</v>
      </c>
      <c r="B26" s="7" t="s">
        <v>225</v>
      </c>
      <c r="C26" s="8" t="s">
        <v>45</v>
      </c>
      <c r="D26" s="9" t="str">
        <f t="shared" si="1"/>
        <v>main</v>
      </c>
      <c r="E26" s="7" t="s">
        <v>34</v>
      </c>
      <c r="F26" s="10">
        <v>53.0</v>
      </c>
      <c r="G26" s="10">
        <v>4008.0</v>
      </c>
      <c r="H26" s="10">
        <v>398.0</v>
      </c>
      <c r="I26" s="10">
        <v>2.0E-4</v>
      </c>
      <c r="J26" s="10">
        <v>4036.0</v>
      </c>
      <c r="K26" s="10">
        <v>442.0</v>
      </c>
      <c r="L26" s="10">
        <v>2.0E-4</v>
      </c>
      <c r="M26" s="10">
        <v>410.0</v>
      </c>
      <c r="N26" s="10">
        <v>2367.0</v>
      </c>
      <c r="O26" s="10">
        <v>3299.0</v>
      </c>
      <c r="P26" s="10">
        <v>4643.0</v>
      </c>
      <c r="Q26" s="10">
        <v>1312.0</v>
      </c>
      <c r="R26" s="7" t="s">
        <v>135</v>
      </c>
      <c r="S26" s="16" t="s">
        <v>38</v>
      </c>
      <c r="T26" s="57" t="s">
        <v>168</v>
      </c>
      <c r="U26" s="57" t="s">
        <v>49</v>
      </c>
      <c r="V26" s="57" t="s">
        <v>169</v>
      </c>
      <c r="W26" s="59">
        <v>10.0</v>
      </c>
    </row>
    <row r="27">
      <c r="A27" s="54">
        <v>46105.728472222225</v>
      </c>
      <c r="B27" s="7" t="s">
        <v>225</v>
      </c>
      <c r="C27" s="79" t="s">
        <v>45</v>
      </c>
      <c r="D27" s="9" t="str">
        <f t="shared" ref="D27:D28" si="2">HYPERLINK("https://d.vrporn.com/pornstars/?sort=latest", "models")</f>
        <v>models</v>
      </c>
      <c r="E27" s="7" t="s">
        <v>35</v>
      </c>
      <c r="F27" s="10">
        <v>33.0</v>
      </c>
      <c r="G27" s="10">
        <v>16286.0</v>
      </c>
      <c r="H27" s="10">
        <v>1162.0</v>
      </c>
      <c r="I27" s="10">
        <v>0.0039</v>
      </c>
      <c r="J27" s="10">
        <v>16504.0</v>
      </c>
      <c r="K27" s="10">
        <v>1185.0</v>
      </c>
      <c r="L27" s="10">
        <v>0.0039</v>
      </c>
      <c r="M27" s="10">
        <v>1249.0</v>
      </c>
      <c r="N27" s="10">
        <v>10848.0</v>
      </c>
      <c r="O27" s="10">
        <v>10848.0</v>
      </c>
      <c r="P27" s="10">
        <v>19263.0</v>
      </c>
      <c r="Q27" s="10">
        <v>780.0</v>
      </c>
      <c r="R27" s="7" t="s">
        <v>135</v>
      </c>
      <c r="S27" s="13" t="s">
        <v>38</v>
      </c>
      <c r="T27" s="57" t="s">
        <v>168</v>
      </c>
      <c r="U27" s="57" t="s">
        <v>49</v>
      </c>
      <c r="V27" s="57" t="s">
        <v>169</v>
      </c>
      <c r="W27" s="59">
        <v>10.0</v>
      </c>
    </row>
    <row r="28">
      <c r="A28" s="54">
        <v>46105.730358796296</v>
      </c>
      <c r="B28" s="7" t="s">
        <v>225</v>
      </c>
      <c r="C28" s="8" t="s">
        <v>45</v>
      </c>
      <c r="D28" s="9" t="str">
        <f t="shared" si="2"/>
        <v>models</v>
      </c>
      <c r="E28" s="7" t="s">
        <v>34</v>
      </c>
      <c r="F28" s="10">
        <v>56.0</v>
      </c>
      <c r="G28" s="10">
        <v>2478.0</v>
      </c>
      <c r="H28" s="10">
        <v>276.0</v>
      </c>
      <c r="I28" s="10">
        <v>2.0E-4</v>
      </c>
      <c r="J28" s="10">
        <v>2487.0</v>
      </c>
      <c r="K28" s="10">
        <v>280.0</v>
      </c>
      <c r="L28" s="10">
        <v>2.0E-4</v>
      </c>
      <c r="M28" s="10">
        <v>389.0</v>
      </c>
      <c r="N28" s="10">
        <v>2284.0</v>
      </c>
      <c r="O28" s="10">
        <v>2791.0</v>
      </c>
      <c r="P28" s="10">
        <v>3558.0</v>
      </c>
      <c r="Q28" s="10">
        <v>762.0</v>
      </c>
      <c r="R28" s="7" t="s">
        <v>135</v>
      </c>
      <c r="S28" s="16" t="s">
        <v>38</v>
      </c>
      <c r="T28" s="57" t="s">
        <v>168</v>
      </c>
      <c r="U28" s="57" t="s">
        <v>49</v>
      </c>
      <c r="V28" s="57" t="s">
        <v>169</v>
      </c>
      <c r="W28" s="59">
        <v>10.0</v>
      </c>
    </row>
    <row r="29">
      <c r="A29" s="54">
        <v>46105.73113425926</v>
      </c>
      <c r="B29" s="7" t="s">
        <v>225</v>
      </c>
      <c r="C29" s="79" t="s">
        <v>45</v>
      </c>
      <c r="D29" s="9" t="str">
        <f>HYPERLINK("https://d.vrporn.com/categories/", "categories")</f>
        <v>categories</v>
      </c>
      <c r="E29" s="7" t="s">
        <v>35</v>
      </c>
      <c r="F29" s="10">
        <v>34.0</v>
      </c>
      <c r="G29" s="10">
        <v>17476.0</v>
      </c>
      <c r="H29" s="10">
        <v>1038.0</v>
      </c>
      <c r="I29" s="10">
        <v>0.0039</v>
      </c>
      <c r="J29" s="10">
        <v>17698.0</v>
      </c>
      <c r="K29" s="10">
        <v>1135.0</v>
      </c>
      <c r="L29" s="10">
        <v>0.0039</v>
      </c>
      <c r="M29" s="10">
        <v>1111.0</v>
      </c>
      <c r="N29" s="10">
        <v>10857.0</v>
      </c>
      <c r="O29" s="10">
        <v>10857.0</v>
      </c>
      <c r="P29" s="10">
        <v>19849.0</v>
      </c>
      <c r="Q29" s="10">
        <v>782.0</v>
      </c>
      <c r="R29" s="7" t="s">
        <v>135</v>
      </c>
      <c r="S29" s="13" t="s">
        <v>38</v>
      </c>
      <c r="T29" s="57" t="s">
        <v>168</v>
      </c>
      <c r="U29" s="57" t="s">
        <v>49</v>
      </c>
      <c r="V29" s="57" t="s">
        <v>169</v>
      </c>
      <c r="W29" s="59">
        <v>10.0</v>
      </c>
    </row>
    <row r="30">
      <c r="A30" s="54">
        <v>46105.73401620371</v>
      </c>
      <c r="B30" s="7" t="s">
        <v>225</v>
      </c>
      <c r="C30" s="8" t="s">
        <v>45</v>
      </c>
      <c r="D30" s="9" t="str">
        <f>HYPERLINK("https://d.vrporn.com/tag/anal/", "s_category")</f>
        <v>s_category</v>
      </c>
      <c r="E30" s="7" t="s">
        <v>35</v>
      </c>
      <c r="F30" s="10">
        <v>30.0</v>
      </c>
      <c r="G30" s="10">
        <v>18918.0</v>
      </c>
      <c r="H30" s="10">
        <v>1623.0</v>
      </c>
      <c r="I30" s="10">
        <v>0.0039</v>
      </c>
      <c r="J30" s="10">
        <v>19073.0</v>
      </c>
      <c r="K30" s="10">
        <v>1681.0</v>
      </c>
      <c r="L30" s="10">
        <v>0.0039</v>
      </c>
      <c r="M30" s="10">
        <v>1668.0</v>
      </c>
      <c r="N30" s="10">
        <v>11162.0</v>
      </c>
      <c r="O30" s="10">
        <v>11162.0</v>
      </c>
      <c r="P30" s="10">
        <v>21729.0</v>
      </c>
      <c r="Q30" s="10">
        <v>890.0</v>
      </c>
      <c r="R30" s="7" t="s">
        <v>135</v>
      </c>
      <c r="S30" s="16" t="s">
        <v>38</v>
      </c>
      <c r="T30" s="57" t="s">
        <v>168</v>
      </c>
      <c r="U30" s="57" t="s">
        <v>49</v>
      </c>
      <c r="V30" s="57" t="s">
        <v>169</v>
      </c>
      <c r="W30" s="59">
        <v>10.0</v>
      </c>
    </row>
    <row r="31">
      <c r="A31" s="54">
        <v>46105.736759259256</v>
      </c>
      <c r="B31" s="7" t="s">
        <v>225</v>
      </c>
      <c r="C31" s="79" t="s">
        <v>45</v>
      </c>
      <c r="D31" s="9" t="str">
        <f>HYPERLINK("https://d.vrporn.com/categories/", "categories")</f>
        <v>categories</v>
      </c>
      <c r="E31" s="7" t="s">
        <v>34</v>
      </c>
      <c r="F31" s="10">
        <v>62.0</v>
      </c>
      <c r="G31" s="10">
        <v>3642.0</v>
      </c>
      <c r="H31" s="10">
        <v>276.0</v>
      </c>
      <c r="I31" s="10">
        <v>2.0E-4</v>
      </c>
      <c r="J31" s="10">
        <v>3659.0</v>
      </c>
      <c r="K31" s="10">
        <v>279.0</v>
      </c>
      <c r="L31" s="10">
        <v>2.0E-4</v>
      </c>
      <c r="M31" s="10">
        <v>341.0</v>
      </c>
      <c r="N31" s="10">
        <v>2287.0</v>
      </c>
      <c r="O31" s="10">
        <v>2696.0</v>
      </c>
      <c r="P31" s="10">
        <v>3958.0</v>
      </c>
      <c r="Q31" s="10">
        <v>732.0</v>
      </c>
      <c r="R31" s="7" t="s">
        <v>135</v>
      </c>
      <c r="S31" s="13" t="s">
        <v>38</v>
      </c>
      <c r="T31" s="57" t="s">
        <v>168</v>
      </c>
      <c r="U31" s="57" t="s">
        <v>49</v>
      </c>
      <c r="V31" s="57" t="s">
        <v>169</v>
      </c>
      <c r="W31" s="59">
        <v>10.0</v>
      </c>
    </row>
    <row r="32">
      <c r="A32" s="54">
        <v>46105.73678240741</v>
      </c>
      <c r="B32" s="7" t="s">
        <v>225</v>
      </c>
      <c r="C32" s="8" t="s">
        <v>45</v>
      </c>
      <c r="D32" s="9" t="str">
        <f>HYPERLINK("https://d.vrporn.com/studio/vrbangers/", "s_studio")</f>
        <v>s_studio</v>
      </c>
      <c r="E32" s="7" t="s">
        <v>35</v>
      </c>
      <c r="F32" s="10">
        <v>31.0</v>
      </c>
      <c r="G32" s="10">
        <v>16796.0</v>
      </c>
      <c r="H32" s="10">
        <v>1534.0</v>
      </c>
      <c r="I32" s="10">
        <v>0.0039</v>
      </c>
      <c r="J32" s="10">
        <v>16938.0</v>
      </c>
      <c r="K32" s="10">
        <v>1559.0</v>
      </c>
      <c r="L32" s="10">
        <v>0.0039</v>
      </c>
      <c r="M32" s="10">
        <v>1469.0</v>
      </c>
      <c r="N32" s="10">
        <v>10968.0</v>
      </c>
      <c r="O32" s="10">
        <v>10968.0</v>
      </c>
      <c r="P32" s="10">
        <v>20226.0</v>
      </c>
      <c r="Q32" s="10">
        <v>1052.0</v>
      </c>
      <c r="R32" s="7" t="s">
        <v>135</v>
      </c>
      <c r="S32" s="16" t="s">
        <v>38</v>
      </c>
      <c r="T32" s="57" t="s">
        <v>168</v>
      </c>
      <c r="U32" s="57" t="s">
        <v>49</v>
      </c>
      <c r="V32" s="57" t="s">
        <v>169</v>
      </c>
      <c r="W32" s="59">
        <v>10.0</v>
      </c>
    </row>
    <row r="33">
      <c r="A33" s="54">
        <v>46105.739432870374</v>
      </c>
      <c r="B33" s="7" t="s">
        <v>225</v>
      </c>
      <c r="C33" s="79" t="s">
        <v>45</v>
      </c>
      <c r="D33" s="9" t="str">
        <f>HYPERLINK("https://d.vrporn.com/camgirls/", "dreams")</f>
        <v>dreams</v>
      </c>
      <c r="E33" s="7" t="s">
        <v>35</v>
      </c>
      <c r="F33" s="10">
        <v>36.0</v>
      </c>
      <c r="G33" s="10">
        <v>18074.0</v>
      </c>
      <c r="H33" s="10">
        <v>1052.0</v>
      </c>
      <c r="I33" s="10">
        <v>0.0039</v>
      </c>
      <c r="J33" s="10">
        <v>18112.0</v>
      </c>
      <c r="K33" s="10">
        <v>1080.0</v>
      </c>
      <c r="L33" s="10">
        <v>0.0039</v>
      </c>
      <c r="M33" s="10">
        <v>911.0</v>
      </c>
      <c r="N33" s="10">
        <v>11043.0</v>
      </c>
      <c r="O33" s="10">
        <v>11043.0</v>
      </c>
      <c r="P33" s="10">
        <v>20141.0</v>
      </c>
      <c r="Q33" s="10">
        <v>1120.0</v>
      </c>
      <c r="R33" s="7" t="s">
        <v>135</v>
      </c>
      <c r="S33" s="13" t="s">
        <v>38</v>
      </c>
      <c r="T33" s="57" t="s">
        <v>168</v>
      </c>
      <c r="U33" s="57" t="s">
        <v>49</v>
      </c>
      <c r="V33" s="57" t="s">
        <v>169</v>
      </c>
      <c r="W33" s="59">
        <v>10.0</v>
      </c>
    </row>
    <row r="34">
      <c r="A34" s="54">
        <v>46105.7421875</v>
      </c>
      <c r="B34" s="7" t="s">
        <v>225</v>
      </c>
      <c r="C34" s="8" t="s">
        <v>45</v>
      </c>
      <c r="D34" s="9" t="str">
        <f>HYPERLINK("https://d.vrporn.com/tag/anal/", "s_category")</f>
        <v>s_category</v>
      </c>
      <c r="E34" s="7" t="s">
        <v>34</v>
      </c>
      <c r="F34" s="10">
        <v>52.0</v>
      </c>
      <c r="G34" s="10">
        <v>3863.0</v>
      </c>
      <c r="H34" s="10">
        <v>415.0</v>
      </c>
      <c r="I34" s="10">
        <v>2.0E-4</v>
      </c>
      <c r="J34" s="10">
        <v>3873.0</v>
      </c>
      <c r="K34" s="10">
        <v>430.0</v>
      </c>
      <c r="L34" s="10">
        <v>2.0E-4</v>
      </c>
      <c r="M34" s="10">
        <v>544.0</v>
      </c>
      <c r="N34" s="10">
        <v>2372.0</v>
      </c>
      <c r="O34" s="10">
        <v>3062.0</v>
      </c>
      <c r="P34" s="10">
        <v>4436.0</v>
      </c>
      <c r="Q34" s="10">
        <v>890.0</v>
      </c>
      <c r="R34" s="7" t="s">
        <v>135</v>
      </c>
      <c r="S34" s="16" t="s">
        <v>38</v>
      </c>
      <c r="T34" s="57" t="s">
        <v>168</v>
      </c>
      <c r="U34" s="57" t="s">
        <v>49</v>
      </c>
      <c r="V34" s="57" t="s">
        <v>169</v>
      </c>
      <c r="W34" s="59">
        <v>10.0</v>
      </c>
    </row>
    <row r="35">
      <c r="A35" s="54">
        <v>46105.74244212963</v>
      </c>
      <c r="B35" s="7" t="s">
        <v>225</v>
      </c>
      <c r="C35" s="79" t="s">
        <v>45</v>
      </c>
      <c r="D35" s="9" t="str">
        <f>HYPERLINK("https://d.vrporn.com/camgirls/model-vrporn/", "s_dream")</f>
        <v>s_dream</v>
      </c>
      <c r="E35" s="7" t="s">
        <v>35</v>
      </c>
      <c r="F35" s="10">
        <v>34.0</v>
      </c>
      <c r="G35" s="10">
        <v>18716.0</v>
      </c>
      <c r="H35" s="10">
        <v>964.0</v>
      </c>
      <c r="I35" s="10">
        <v>0.0039</v>
      </c>
      <c r="J35" s="10">
        <v>18761.0</v>
      </c>
      <c r="K35" s="10">
        <v>985.0</v>
      </c>
      <c r="L35" s="10">
        <v>0.0039</v>
      </c>
      <c r="M35" s="10">
        <v>1086.0</v>
      </c>
      <c r="N35" s="10">
        <v>11193.0</v>
      </c>
      <c r="O35" s="10">
        <v>11477.0</v>
      </c>
      <c r="P35" s="10">
        <v>20506.0</v>
      </c>
      <c r="Q35" s="10">
        <v>1381.0</v>
      </c>
      <c r="R35" s="7" t="s">
        <v>135</v>
      </c>
      <c r="S35" s="13" t="s">
        <v>38</v>
      </c>
      <c r="T35" s="57" t="s">
        <v>168</v>
      </c>
      <c r="U35" s="57" t="s">
        <v>49</v>
      </c>
      <c r="V35" s="57" t="s">
        <v>169</v>
      </c>
      <c r="W35" s="59">
        <v>10.0</v>
      </c>
    </row>
    <row r="36">
      <c r="A36" s="54">
        <v>46105.746770833335</v>
      </c>
      <c r="B36" s="7" t="s">
        <v>225</v>
      </c>
      <c r="C36" s="8" t="s">
        <v>45</v>
      </c>
      <c r="D36" s="9" t="str">
        <f>HYPERLINK("https://d.vrporn.com/studio/vrbangers/", "s_studio")</f>
        <v>s_studio</v>
      </c>
      <c r="E36" s="7" t="s">
        <v>34</v>
      </c>
      <c r="F36" s="10">
        <v>56.0</v>
      </c>
      <c r="G36" s="10">
        <v>3878.0</v>
      </c>
      <c r="H36" s="10">
        <v>347.0</v>
      </c>
      <c r="I36" s="10">
        <v>2.0E-4</v>
      </c>
      <c r="J36" s="10">
        <v>3935.0</v>
      </c>
      <c r="K36" s="10">
        <v>360.0</v>
      </c>
      <c r="L36" s="10">
        <v>2.0E-4</v>
      </c>
      <c r="M36" s="10">
        <v>250.0</v>
      </c>
      <c r="N36" s="10">
        <v>2368.0</v>
      </c>
      <c r="O36" s="10">
        <v>3098.0</v>
      </c>
      <c r="P36" s="10">
        <v>4394.0</v>
      </c>
      <c r="Q36" s="10">
        <v>1055.0</v>
      </c>
      <c r="R36" s="7" t="s">
        <v>135</v>
      </c>
      <c r="S36" s="16" t="s">
        <v>38</v>
      </c>
      <c r="T36" s="57" t="s">
        <v>168</v>
      </c>
      <c r="U36" s="57" t="s">
        <v>49</v>
      </c>
      <c r="V36" s="57" t="s">
        <v>169</v>
      </c>
      <c r="W36" s="59">
        <v>10.0</v>
      </c>
    </row>
    <row r="37">
      <c r="A37" s="54">
        <v>46105.75255787037</v>
      </c>
      <c r="B37" s="7" t="s">
        <v>225</v>
      </c>
      <c r="C37" s="79" t="s">
        <v>45</v>
      </c>
      <c r="D37" s="9" t="str">
        <f>HYPERLINK("https://d.vrporn.com/camgirls/", "dreams")</f>
        <v>dreams</v>
      </c>
      <c r="E37" s="7" t="s">
        <v>34</v>
      </c>
      <c r="F37" s="10">
        <v>64.0</v>
      </c>
      <c r="G37" s="10">
        <v>2488.0</v>
      </c>
      <c r="H37" s="10">
        <v>244.0</v>
      </c>
      <c r="I37" s="10">
        <v>2.0E-4</v>
      </c>
      <c r="J37" s="10">
        <v>2547.0</v>
      </c>
      <c r="K37" s="10">
        <v>248.0</v>
      </c>
      <c r="L37" s="10">
        <v>2.0E-4</v>
      </c>
      <c r="M37" s="10">
        <v>247.0</v>
      </c>
      <c r="N37" s="10">
        <v>2297.0</v>
      </c>
      <c r="O37" s="10">
        <v>2974.0</v>
      </c>
      <c r="P37" s="10">
        <v>3524.0</v>
      </c>
      <c r="Q37" s="10">
        <v>1108.0</v>
      </c>
      <c r="R37" s="7" t="s">
        <v>135</v>
      </c>
      <c r="S37" s="13" t="s">
        <v>38</v>
      </c>
      <c r="T37" s="57" t="s">
        <v>168</v>
      </c>
      <c r="U37" s="57" t="s">
        <v>49</v>
      </c>
      <c r="V37" s="57" t="s">
        <v>169</v>
      </c>
      <c r="W37" s="59">
        <v>10.0</v>
      </c>
    </row>
    <row r="38">
      <c r="A38" s="54">
        <v>46105.76075231482</v>
      </c>
      <c r="B38" s="7" t="s">
        <v>225</v>
      </c>
      <c r="C38" s="8" t="s">
        <v>45</v>
      </c>
      <c r="D38" s="9" t="str">
        <f>HYPERLINK("https://d.vrporn.com/camgirls/model-vrporn/", "s_dream")</f>
        <v>s_dream</v>
      </c>
      <c r="E38" s="7" t="s">
        <v>34</v>
      </c>
      <c r="F38" s="10">
        <v>56.0</v>
      </c>
      <c r="G38" s="10">
        <v>2512.0</v>
      </c>
      <c r="H38" s="10">
        <v>261.0</v>
      </c>
      <c r="I38" s="10">
        <v>2.0E-4</v>
      </c>
      <c r="J38" s="10">
        <v>2522.0</v>
      </c>
      <c r="K38" s="10">
        <v>284.0</v>
      </c>
      <c r="L38" s="10">
        <v>2.0E-4</v>
      </c>
      <c r="M38" s="10">
        <v>370.0</v>
      </c>
      <c r="N38" s="10">
        <v>2323.0</v>
      </c>
      <c r="O38" s="10">
        <v>3364.0</v>
      </c>
      <c r="P38" s="10">
        <v>3642.0</v>
      </c>
      <c r="Q38" s="10">
        <v>1365.0</v>
      </c>
      <c r="R38" s="7" t="s">
        <v>135</v>
      </c>
      <c r="S38" s="7" t="s">
        <v>38</v>
      </c>
      <c r="T38" s="57" t="s">
        <v>168</v>
      </c>
      <c r="U38" s="57" t="s">
        <v>49</v>
      </c>
      <c r="V38" s="57" t="s">
        <v>169</v>
      </c>
      <c r="W38" s="59">
        <v>10.0</v>
      </c>
    </row>
    <row r="39">
      <c r="A39" s="22"/>
      <c r="B39" s="11"/>
      <c r="C39" s="79"/>
      <c r="D39" s="2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5"/>
      <c r="U39" s="15"/>
      <c r="V39" s="15"/>
      <c r="W39" s="15"/>
    </row>
    <row r="40">
      <c r="A40" s="22"/>
      <c r="B40" s="11"/>
      <c r="C40" s="8"/>
      <c r="D40" s="20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5"/>
      <c r="U40" s="15"/>
      <c r="V40" s="15"/>
      <c r="W40" s="15"/>
    </row>
    <row r="41">
      <c r="A41" s="22"/>
      <c r="B41" s="11"/>
      <c r="C41" s="79"/>
      <c r="D41" s="20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5"/>
      <c r="U41" s="15"/>
      <c r="V41" s="15"/>
      <c r="W41" s="15"/>
    </row>
    <row r="42">
      <c r="A42" s="22"/>
      <c r="B42" s="11"/>
      <c r="C42" s="8"/>
      <c r="D42" s="20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5"/>
      <c r="U42" s="15"/>
      <c r="V42" s="15"/>
      <c r="W42" s="15"/>
    </row>
    <row r="43">
      <c r="A43" s="22"/>
      <c r="B43" s="11"/>
      <c r="C43" s="80"/>
      <c r="D43" s="20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5"/>
      <c r="U43" s="15"/>
      <c r="V43" s="15"/>
      <c r="W43" s="15"/>
    </row>
    <row r="44">
      <c r="A44" s="22"/>
      <c r="B44" s="11"/>
      <c r="C44" s="81"/>
      <c r="D44" s="2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5"/>
      <c r="U44" s="15"/>
      <c r="V44" s="15"/>
      <c r="W44" s="15"/>
    </row>
    <row r="45">
      <c r="A45" s="22"/>
      <c r="B45" s="11"/>
      <c r="C45" s="80"/>
      <c r="D45" s="2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5"/>
      <c r="U45" s="15"/>
      <c r="V45" s="15"/>
      <c r="W45" s="15"/>
    </row>
    <row r="46">
      <c r="A46" s="22"/>
      <c r="B46" s="11"/>
      <c r="C46" s="81"/>
      <c r="D46" s="2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5"/>
      <c r="U46" s="15"/>
      <c r="V46" s="15"/>
      <c r="W46" s="15"/>
    </row>
    <row r="47">
      <c r="A47" s="22"/>
      <c r="B47" s="11"/>
      <c r="C47" s="80"/>
      <c r="D47" s="2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5"/>
      <c r="U47" s="15"/>
      <c r="V47" s="15"/>
      <c r="W47" s="15"/>
    </row>
    <row r="48">
      <c r="A48" s="22"/>
      <c r="B48" s="11"/>
      <c r="C48" s="81"/>
      <c r="D48" s="20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5"/>
      <c r="U48" s="15"/>
      <c r="V48" s="15"/>
      <c r="W48" s="15"/>
    </row>
    <row r="49">
      <c r="A49" s="22"/>
      <c r="B49" s="11"/>
      <c r="C49" s="80"/>
      <c r="D49" s="20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5"/>
      <c r="U49" s="15"/>
      <c r="V49" s="15"/>
      <c r="W49" s="15"/>
    </row>
    <row r="50">
      <c r="A50" s="54"/>
      <c r="B50" s="11"/>
      <c r="C50" s="81"/>
      <c r="D50" s="20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5"/>
      <c r="U50" s="15"/>
      <c r="V50" s="15"/>
      <c r="W50" s="15"/>
    </row>
    <row r="51">
      <c r="A51" s="54"/>
      <c r="B51" s="11"/>
      <c r="C51" s="80"/>
      <c r="D51" s="20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5"/>
      <c r="U51" s="15"/>
      <c r="V51" s="15"/>
      <c r="W51" s="15"/>
    </row>
    <row r="52">
      <c r="A52" s="54"/>
      <c r="B52" s="11"/>
      <c r="C52" s="81"/>
      <c r="D52" s="20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5"/>
      <c r="U52" s="15"/>
      <c r="V52" s="15"/>
      <c r="W52" s="15"/>
    </row>
    <row r="53">
      <c r="A53" s="54"/>
      <c r="B53" s="11"/>
      <c r="C53" s="80"/>
      <c r="D53" s="20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5"/>
      <c r="U53" s="15"/>
      <c r="V53" s="15"/>
      <c r="W53" s="15"/>
    </row>
    <row r="54">
      <c r="A54" s="54"/>
      <c r="B54" s="11"/>
      <c r="C54" s="81"/>
      <c r="D54" s="2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5"/>
      <c r="U54" s="15"/>
      <c r="V54" s="15"/>
      <c r="W54" s="15"/>
    </row>
    <row r="55">
      <c r="A55" s="54"/>
      <c r="B55" s="11"/>
      <c r="C55" s="80"/>
      <c r="D55" s="20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5"/>
      <c r="U55" s="15"/>
      <c r="V55" s="15"/>
      <c r="W55" s="15"/>
    </row>
    <row r="56">
      <c r="A56" s="54"/>
      <c r="B56" s="11"/>
      <c r="C56" s="81"/>
      <c r="D56" s="2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5"/>
      <c r="U56" s="15"/>
      <c r="V56" s="15"/>
      <c r="W56" s="15"/>
    </row>
    <row r="57">
      <c r="A57" s="54"/>
      <c r="B57" s="11"/>
      <c r="C57" s="80"/>
      <c r="D57" s="2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5"/>
      <c r="U57" s="15"/>
      <c r="V57" s="15"/>
      <c r="W57" s="15"/>
    </row>
    <row r="58">
      <c r="A58" s="54"/>
      <c r="B58" s="11"/>
      <c r="C58" s="81"/>
      <c r="D58" s="20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5"/>
      <c r="U58" s="15"/>
      <c r="V58" s="15"/>
      <c r="W58" s="15"/>
    </row>
    <row r="59">
      <c r="A59" s="54"/>
      <c r="B59" s="11"/>
      <c r="C59" s="80"/>
      <c r="D59" s="2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5"/>
      <c r="U59" s="15"/>
      <c r="V59" s="15"/>
      <c r="W59" s="15"/>
    </row>
    <row r="60">
      <c r="A60" s="54"/>
      <c r="B60" s="11"/>
      <c r="C60" s="81"/>
      <c r="D60" s="20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5"/>
      <c r="U60" s="15"/>
      <c r="V60" s="15"/>
      <c r="W60" s="15"/>
    </row>
    <row r="61">
      <c r="A61" s="54"/>
      <c r="B61" s="11"/>
      <c r="C61" s="80"/>
      <c r="D61" s="20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5"/>
      <c r="U61" s="15"/>
      <c r="V61" s="15"/>
      <c r="W61" s="15"/>
    </row>
    <row r="62">
      <c r="A62" s="54"/>
      <c r="B62" s="11"/>
      <c r="C62" s="81"/>
      <c r="D62" s="20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5"/>
      <c r="U62" s="15"/>
      <c r="V62" s="15"/>
      <c r="W62" s="15"/>
    </row>
    <row r="63">
      <c r="A63" s="54"/>
      <c r="B63" s="11"/>
      <c r="C63" s="80"/>
      <c r="D63" s="20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5"/>
      <c r="U63" s="15"/>
      <c r="V63" s="15"/>
      <c r="W63" s="15"/>
    </row>
    <row r="64">
      <c r="A64" s="54"/>
      <c r="B64" s="11"/>
      <c r="C64" s="81"/>
      <c r="D64" s="20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5"/>
      <c r="U64" s="15"/>
      <c r="V64" s="15"/>
      <c r="W64" s="15"/>
    </row>
    <row r="65">
      <c r="A65" s="54"/>
      <c r="B65" s="11"/>
      <c r="C65" s="80"/>
      <c r="D65" s="20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5"/>
      <c r="U65" s="15"/>
      <c r="V65" s="15"/>
      <c r="W65" s="15"/>
    </row>
    <row r="66">
      <c r="A66" s="54"/>
      <c r="B66" s="11"/>
      <c r="C66" s="81"/>
      <c r="D66" s="20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5"/>
      <c r="U66" s="15"/>
      <c r="V66" s="15"/>
      <c r="W66" s="15"/>
    </row>
    <row r="67">
      <c r="A67" s="54"/>
      <c r="B67" s="11"/>
      <c r="C67" s="80"/>
      <c r="D67" s="20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5"/>
      <c r="U67" s="15"/>
      <c r="V67" s="15"/>
      <c r="W67" s="15"/>
    </row>
    <row r="68">
      <c r="A68" s="22"/>
      <c r="B68" s="11"/>
      <c r="C68" s="81"/>
      <c r="D68" s="2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5"/>
      <c r="U68" s="15"/>
      <c r="V68" s="15"/>
      <c r="W68" s="15"/>
    </row>
    <row r="69">
      <c r="A69" s="22"/>
      <c r="B69" s="11"/>
      <c r="C69" s="80"/>
      <c r="D69" s="2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5"/>
      <c r="U69" s="15"/>
      <c r="V69" s="15"/>
      <c r="W69" s="15"/>
    </row>
    <row r="70">
      <c r="A70" s="22"/>
      <c r="B70" s="11"/>
      <c r="C70" s="81"/>
      <c r="D70" s="2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5"/>
      <c r="U70" s="15"/>
      <c r="V70" s="15"/>
      <c r="W70" s="15"/>
    </row>
    <row r="71">
      <c r="A71" s="22"/>
      <c r="B71" s="11"/>
      <c r="C71" s="80"/>
      <c r="D71" s="2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5"/>
      <c r="U71" s="15"/>
      <c r="V71" s="15"/>
      <c r="W71" s="15"/>
    </row>
    <row r="72">
      <c r="A72" s="22"/>
      <c r="B72" s="11"/>
      <c r="C72" s="81"/>
      <c r="D72" s="2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5"/>
      <c r="U72" s="15"/>
      <c r="V72" s="15"/>
      <c r="W72" s="15"/>
    </row>
    <row r="73">
      <c r="A73" s="22"/>
      <c r="B73" s="11"/>
      <c r="C73" s="80"/>
      <c r="D73" s="2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5"/>
      <c r="U73" s="15"/>
      <c r="V73" s="15"/>
      <c r="W73" s="15"/>
    </row>
    <row r="74">
      <c r="A74" s="22"/>
      <c r="B74" s="11"/>
      <c r="C74" s="81"/>
      <c r="D74" s="2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5"/>
      <c r="U74" s="15"/>
      <c r="V74" s="15"/>
      <c r="W74" s="15"/>
    </row>
    <row r="75">
      <c r="A75" s="22"/>
      <c r="B75" s="11"/>
      <c r="C75" s="80"/>
      <c r="D75" s="2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5"/>
      <c r="U75" s="15"/>
      <c r="V75" s="15"/>
      <c r="W75" s="15"/>
    </row>
    <row r="76">
      <c r="A76" s="22"/>
      <c r="B76" s="11"/>
      <c r="C76" s="81"/>
      <c r="D76" s="2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5"/>
      <c r="U76" s="15"/>
      <c r="V76" s="15"/>
      <c r="W76" s="15"/>
    </row>
    <row r="77">
      <c r="A77" s="22"/>
      <c r="B77" s="11"/>
      <c r="C77" s="80"/>
      <c r="D77" s="2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5"/>
      <c r="U77" s="15"/>
      <c r="V77" s="15"/>
      <c r="W77" s="15"/>
    </row>
    <row r="78">
      <c r="A78" s="22"/>
      <c r="B78" s="11"/>
      <c r="C78" s="81"/>
      <c r="D78" s="2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5"/>
      <c r="U78" s="15"/>
      <c r="V78" s="15"/>
      <c r="W78" s="15"/>
    </row>
    <row r="79">
      <c r="A79" s="22"/>
      <c r="B79" s="11"/>
      <c r="C79" s="80"/>
      <c r="D79" s="2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5"/>
      <c r="U79" s="15"/>
      <c r="V79" s="15"/>
      <c r="W79" s="15"/>
    </row>
    <row r="80">
      <c r="A80" s="22"/>
      <c r="B80" s="11"/>
      <c r="C80" s="81"/>
      <c r="D80" s="2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5"/>
      <c r="U80" s="15"/>
      <c r="V80" s="15"/>
      <c r="W80" s="15"/>
    </row>
    <row r="81">
      <c r="A81" s="22"/>
      <c r="B81" s="11"/>
      <c r="C81" s="80"/>
      <c r="D81" s="2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5"/>
      <c r="U81" s="15"/>
      <c r="V81" s="15"/>
      <c r="W81" s="15"/>
    </row>
    <row r="82">
      <c r="A82" s="22"/>
      <c r="B82" s="11"/>
      <c r="C82" s="81"/>
      <c r="D82" s="2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5"/>
      <c r="U82" s="15"/>
      <c r="V82" s="15"/>
      <c r="W82" s="15"/>
    </row>
    <row r="83">
      <c r="A83" s="22"/>
      <c r="B83" s="11"/>
      <c r="C83" s="80"/>
      <c r="D83" s="2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5"/>
      <c r="U83" s="15"/>
      <c r="V83" s="15"/>
      <c r="W83" s="15"/>
    </row>
    <row r="84">
      <c r="A84" s="22"/>
      <c r="B84" s="11"/>
      <c r="C84" s="81"/>
      <c r="D84" s="2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5"/>
      <c r="U84" s="15"/>
      <c r="V84" s="15"/>
      <c r="W84" s="15"/>
    </row>
    <row r="85">
      <c r="A85" s="22"/>
      <c r="B85" s="11"/>
      <c r="C85" s="80"/>
      <c r="D85" s="2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5"/>
      <c r="U85" s="15"/>
      <c r="V85" s="15"/>
      <c r="W85" s="15"/>
    </row>
    <row r="86">
      <c r="A86" s="22"/>
      <c r="B86" s="11"/>
      <c r="C86" s="81"/>
      <c r="D86" s="2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5"/>
      <c r="U86" s="15"/>
      <c r="V86" s="15"/>
      <c r="W86" s="15"/>
    </row>
    <row r="87">
      <c r="A87" s="54"/>
      <c r="B87" s="11"/>
      <c r="C87" s="80"/>
      <c r="D87" s="20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5"/>
      <c r="U87" s="15"/>
      <c r="V87" s="15"/>
      <c r="W87" s="15"/>
    </row>
    <row r="88">
      <c r="A88" s="54"/>
      <c r="B88" s="11"/>
      <c r="C88" s="81"/>
      <c r="D88" s="2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5"/>
      <c r="U88" s="15"/>
      <c r="V88" s="15"/>
      <c r="W88" s="15"/>
    </row>
    <row r="89">
      <c r="A89" s="54"/>
      <c r="B89" s="11"/>
      <c r="C89" s="80"/>
      <c r="D89" s="2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5"/>
      <c r="U89" s="15"/>
      <c r="V89" s="15"/>
      <c r="W89" s="15"/>
    </row>
    <row r="90">
      <c r="A90" s="54"/>
      <c r="B90" s="11"/>
      <c r="C90" s="81"/>
      <c r="D90" s="2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5"/>
      <c r="U90" s="15"/>
      <c r="V90" s="15"/>
      <c r="W90" s="15"/>
    </row>
    <row r="91">
      <c r="A91" s="54"/>
      <c r="B91" s="11"/>
      <c r="C91" s="80"/>
      <c r="D91" s="2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5"/>
      <c r="U91" s="15"/>
      <c r="V91" s="15"/>
      <c r="W91" s="15"/>
    </row>
    <row r="92">
      <c r="A92" s="54"/>
      <c r="B92" s="11"/>
      <c r="C92" s="81"/>
      <c r="D92" s="2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5"/>
      <c r="U92" s="15"/>
      <c r="V92" s="15"/>
      <c r="W92" s="15"/>
    </row>
    <row r="93">
      <c r="A93" s="54"/>
      <c r="B93" s="11"/>
      <c r="C93" s="80"/>
      <c r="D93" s="2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5"/>
      <c r="U93" s="15"/>
      <c r="V93" s="15"/>
      <c r="W93" s="15"/>
    </row>
    <row r="94">
      <c r="A94" s="54"/>
      <c r="B94" s="11"/>
      <c r="C94" s="81"/>
      <c r="D94" s="2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5"/>
      <c r="U94" s="15"/>
      <c r="V94" s="15"/>
      <c r="W94" s="15"/>
    </row>
    <row r="95">
      <c r="A95" s="54"/>
      <c r="B95" s="11"/>
      <c r="C95" s="80"/>
      <c r="D95" s="2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5"/>
      <c r="U95" s="15"/>
      <c r="V95" s="15"/>
      <c r="W95" s="15"/>
    </row>
    <row r="96">
      <c r="A96" s="54"/>
      <c r="B96" s="11"/>
      <c r="C96" s="81"/>
      <c r="D96" s="2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5"/>
      <c r="U96" s="15"/>
      <c r="V96" s="15"/>
      <c r="W96" s="15"/>
    </row>
    <row r="97">
      <c r="A97" s="54"/>
      <c r="B97" s="11"/>
      <c r="C97" s="80"/>
      <c r="D97" s="2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5"/>
      <c r="U97" s="15"/>
      <c r="V97" s="15"/>
      <c r="W97" s="15"/>
    </row>
    <row r="98">
      <c r="A98" s="54"/>
      <c r="B98" s="11"/>
      <c r="C98" s="81"/>
      <c r="D98" s="2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5"/>
      <c r="U98" s="15"/>
      <c r="V98" s="15"/>
      <c r="W98" s="15"/>
    </row>
    <row r="99">
      <c r="A99" s="54"/>
      <c r="B99" s="11"/>
      <c r="C99" s="80"/>
      <c r="D99" s="2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5"/>
      <c r="U99" s="15"/>
      <c r="V99" s="15"/>
      <c r="W99" s="15"/>
    </row>
    <row r="100">
      <c r="A100" s="54"/>
      <c r="B100" s="11"/>
      <c r="C100" s="81"/>
      <c r="D100" s="2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5"/>
      <c r="U100" s="15"/>
      <c r="V100" s="15"/>
      <c r="W100" s="15"/>
    </row>
    <row r="101">
      <c r="A101" s="54"/>
      <c r="B101" s="11"/>
      <c r="C101" s="80"/>
      <c r="D101" s="2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5"/>
      <c r="U101" s="15"/>
      <c r="V101" s="15"/>
      <c r="W101" s="15"/>
    </row>
    <row r="102">
      <c r="A102" s="54"/>
      <c r="B102" s="11"/>
      <c r="C102" s="81"/>
      <c r="D102" s="2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5"/>
      <c r="U102" s="15"/>
      <c r="V102" s="15"/>
      <c r="W102" s="15"/>
    </row>
    <row r="103">
      <c r="A103" s="54"/>
      <c r="B103" s="11"/>
      <c r="C103" s="80"/>
      <c r="D103" s="2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5"/>
      <c r="U103" s="15"/>
      <c r="V103" s="15"/>
      <c r="W103" s="15"/>
    </row>
    <row r="104">
      <c r="A104" s="54"/>
      <c r="B104" s="11"/>
      <c r="C104" s="81"/>
      <c r="D104" s="2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5"/>
      <c r="U104" s="15"/>
      <c r="V104" s="15"/>
      <c r="W104" s="15"/>
    </row>
    <row r="105">
      <c r="A105" s="54"/>
      <c r="B105" s="11"/>
      <c r="C105" s="80"/>
      <c r="D105" s="2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5"/>
      <c r="U105" s="15"/>
      <c r="V105" s="15"/>
      <c r="W105" s="15"/>
    </row>
    <row r="106">
      <c r="A106" s="54"/>
      <c r="B106" s="11"/>
      <c r="C106" s="81"/>
      <c r="D106" s="2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5"/>
      <c r="U106" s="15"/>
      <c r="V106" s="15"/>
      <c r="W106" s="15"/>
    </row>
    <row r="107">
      <c r="A107" s="54"/>
      <c r="B107" s="11"/>
      <c r="C107" s="80"/>
      <c r="D107" s="2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5"/>
      <c r="U107" s="15"/>
      <c r="V107" s="15"/>
      <c r="W107" s="15"/>
    </row>
    <row r="108">
      <c r="A108" s="54"/>
      <c r="B108" s="11"/>
      <c r="C108" s="81"/>
      <c r="D108" s="2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5"/>
      <c r="U108" s="15"/>
      <c r="V108" s="15"/>
      <c r="W108" s="15"/>
    </row>
    <row r="109">
      <c r="A109" s="54"/>
      <c r="B109" s="11"/>
      <c r="C109" s="80"/>
      <c r="D109" s="2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5"/>
      <c r="U109" s="15"/>
      <c r="V109" s="15"/>
      <c r="W109" s="15"/>
    </row>
    <row r="110">
      <c r="A110" s="54"/>
      <c r="B110" s="11"/>
      <c r="C110" s="81"/>
      <c r="D110" s="2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5"/>
      <c r="U110" s="15"/>
      <c r="V110" s="15"/>
      <c r="W110" s="15"/>
    </row>
    <row r="111">
      <c r="A111" s="54"/>
      <c r="B111" s="11"/>
      <c r="C111" s="80"/>
      <c r="D111" s="2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5"/>
      <c r="U111" s="15"/>
      <c r="V111" s="15"/>
      <c r="W111" s="15"/>
    </row>
    <row r="112">
      <c r="A112" s="54"/>
      <c r="B112" s="11"/>
      <c r="C112" s="81"/>
      <c r="D112" s="2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5"/>
      <c r="U112" s="15"/>
      <c r="V112" s="15"/>
      <c r="W112" s="15"/>
    </row>
    <row r="113">
      <c r="A113" s="54"/>
      <c r="B113" s="11"/>
      <c r="C113" s="80"/>
      <c r="D113" s="2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5"/>
      <c r="U113" s="15"/>
      <c r="V113" s="15"/>
      <c r="W113" s="15"/>
    </row>
    <row r="114">
      <c r="A114" s="22"/>
      <c r="B114" s="11"/>
      <c r="C114" s="81"/>
      <c r="D114" s="2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5"/>
      <c r="U114" s="15"/>
      <c r="V114" s="15"/>
      <c r="W114" s="15"/>
    </row>
    <row r="115">
      <c r="A115" s="22"/>
      <c r="B115" s="11"/>
      <c r="C115" s="80"/>
      <c r="D115" s="2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5"/>
      <c r="U115" s="15"/>
      <c r="V115" s="15"/>
      <c r="W115" s="15"/>
    </row>
    <row r="116">
      <c r="A116" s="22"/>
      <c r="B116" s="11"/>
      <c r="C116" s="81"/>
      <c r="D116" s="2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5"/>
      <c r="U116" s="15"/>
      <c r="V116" s="15"/>
      <c r="W116" s="15"/>
    </row>
    <row r="117">
      <c r="A117" s="22"/>
      <c r="B117" s="11"/>
      <c r="C117" s="80"/>
      <c r="D117" s="2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5"/>
      <c r="U117" s="15"/>
      <c r="V117" s="15"/>
      <c r="W117" s="15"/>
    </row>
    <row r="118">
      <c r="A118" s="22"/>
      <c r="B118" s="11"/>
      <c r="C118" s="81"/>
      <c r="D118" s="2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5"/>
      <c r="U118" s="15"/>
      <c r="V118" s="15"/>
      <c r="W118" s="15"/>
    </row>
    <row r="119">
      <c r="A119" s="22"/>
      <c r="B119" s="11"/>
      <c r="C119" s="80"/>
      <c r="D119" s="2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5"/>
      <c r="U119" s="15"/>
      <c r="V119" s="15"/>
      <c r="W119" s="15"/>
    </row>
    <row r="120">
      <c r="A120" s="22"/>
      <c r="B120" s="11"/>
      <c r="C120" s="81"/>
      <c r="D120" s="2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5"/>
      <c r="U120" s="15"/>
      <c r="V120" s="15"/>
      <c r="W120" s="15"/>
    </row>
    <row r="121">
      <c r="A121" s="22"/>
      <c r="B121" s="11"/>
      <c r="C121" s="20"/>
      <c r="D121" s="2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5"/>
      <c r="U121" s="15"/>
      <c r="V121" s="15"/>
      <c r="W121" s="15"/>
    </row>
    <row r="122">
      <c r="A122" s="22"/>
      <c r="B122" s="11"/>
      <c r="C122" s="20"/>
      <c r="D122" s="2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5"/>
      <c r="U122" s="15"/>
      <c r="V122" s="15"/>
      <c r="W122" s="15"/>
    </row>
    <row r="123">
      <c r="A123" s="22"/>
      <c r="B123" s="11"/>
      <c r="C123" s="20"/>
      <c r="D123" s="2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5"/>
      <c r="U123" s="15"/>
      <c r="V123" s="15"/>
      <c r="W123" s="15"/>
    </row>
    <row r="124">
      <c r="A124" s="22"/>
      <c r="B124" s="11"/>
      <c r="C124" s="20"/>
      <c r="D124" s="2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5"/>
      <c r="U124" s="15"/>
      <c r="V124" s="15"/>
      <c r="W124" s="15"/>
    </row>
    <row r="125">
      <c r="A125" s="22"/>
      <c r="B125" s="11"/>
      <c r="C125" s="20"/>
      <c r="D125" s="2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5"/>
      <c r="U125" s="15"/>
      <c r="V125" s="15"/>
      <c r="W125" s="15"/>
    </row>
    <row r="126">
      <c r="A126" s="22"/>
      <c r="B126" s="11"/>
      <c r="C126" s="20"/>
      <c r="D126" s="2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5"/>
      <c r="U126" s="15"/>
      <c r="V126" s="15"/>
      <c r="W126" s="15"/>
    </row>
    <row r="127">
      <c r="A127" s="22"/>
      <c r="B127" s="11"/>
      <c r="C127" s="20"/>
      <c r="D127" s="2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5"/>
      <c r="U127" s="15"/>
      <c r="V127" s="15"/>
      <c r="W127" s="15"/>
    </row>
    <row r="128">
      <c r="A128" s="22"/>
      <c r="B128" s="11"/>
      <c r="C128" s="20"/>
      <c r="D128" s="2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5"/>
      <c r="U128" s="15"/>
      <c r="V128" s="15"/>
      <c r="W128" s="15"/>
    </row>
    <row r="129">
      <c r="A129" s="22"/>
      <c r="B129" s="11"/>
      <c r="C129" s="20"/>
      <c r="D129" s="2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5"/>
      <c r="U129" s="15"/>
      <c r="V129" s="15"/>
      <c r="W129" s="15"/>
    </row>
    <row r="130">
      <c r="A130" s="22"/>
      <c r="B130" s="11"/>
      <c r="C130" s="20"/>
      <c r="D130" s="2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5"/>
      <c r="U130" s="15"/>
      <c r="V130" s="15"/>
      <c r="W130" s="15"/>
    </row>
    <row r="131">
      <c r="A131" s="22"/>
      <c r="B131" s="11"/>
      <c r="C131" s="20"/>
      <c r="D131" s="2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5"/>
      <c r="U131" s="15"/>
      <c r="V131" s="15"/>
      <c r="W131" s="15"/>
    </row>
    <row r="132">
      <c r="A132" s="22"/>
      <c r="B132" s="11"/>
      <c r="C132" s="20"/>
      <c r="D132" s="2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5"/>
      <c r="U132" s="15"/>
      <c r="V132" s="15"/>
      <c r="W132" s="15"/>
    </row>
    <row r="133">
      <c r="A133" s="54"/>
      <c r="B133" s="11"/>
      <c r="C133" s="20"/>
      <c r="D133" s="2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5"/>
      <c r="U133" s="15"/>
      <c r="V133" s="15"/>
      <c r="W133" s="15"/>
    </row>
    <row r="134">
      <c r="A134" s="54"/>
      <c r="B134" s="11"/>
      <c r="C134" s="20"/>
      <c r="D134" s="2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5"/>
      <c r="U134" s="15"/>
      <c r="V134" s="15"/>
      <c r="W134" s="15"/>
    </row>
    <row r="135">
      <c r="A135" s="54"/>
      <c r="B135" s="11"/>
      <c r="C135" s="20"/>
      <c r="D135" s="2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5"/>
      <c r="U135" s="15"/>
      <c r="V135" s="15"/>
      <c r="W135" s="15"/>
    </row>
    <row r="136">
      <c r="A136" s="54"/>
      <c r="B136" s="11"/>
      <c r="C136" s="20"/>
      <c r="D136" s="2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5"/>
      <c r="U136" s="15"/>
      <c r="V136" s="15"/>
      <c r="W136" s="15"/>
    </row>
    <row r="137">
      <c r="A137" s="54"/>
      <c r="B137" s="11"/>
      <c r="C137" s="20"/>
      <c r="D137" s="2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5"/>
      <c r="U137" s="15"/>
      <c r="V137" s="15"/>
      <c r="W137" s="15"/>
    </row>
    <row r="138">
      <c r="A138" s="54"/>
      <c r="B138" s="11"/>
      <c r="C138" s="20"/>
      <c r="D138" s="2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5"/>
      <c r="U138" s="15"/>
      <c r="V138" s="15"/>
      <c r="W138" s="15"/>
    </row>
    <row r="139">
      <c r="A139" s="54"/>
      <c r="B139" s="11"/>
      <c r="C139" s="20"/>
      <c r="D139" s="2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5"/>
      <c r="U139" s="15"/>
      <c r="V139" s="15"/>
      <c r="W139" s="15"/>
    </row>
    <row r="140">
      <c r="A140" s="54"/>
      <c r="B140" s="11"/>
      <c r="C140" s="20"/>
      <c r="D140" s="2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5"/>
      <c r="U140" s="15"/>
      <c r="V140" s="15"/>
      <c r="W140" s="15"/>
    </row>
    <row r="141">
      <c r="A141" s="54"/>
      <c r="B141" s="11"/>
      <c r="C141" s="20"/>
      <c r="D141" s="2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5"/>
      <c r="U141" s="15"/>
      <c r="V141" s="15"/>
      <c r="W141" s="15"/>
    </row>
    <row r="142">
      <c r="A142" s="54"/>
      <c r="B142" s="11"/>
      <c r="C142" s="20"/>
      <c r="D142" s="2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5"/>
      <c r="U142" s="15"/>
      <c r="V142" s="15"/>
      <c r="W142" s="15"/>
    </row>
    <row r="143">
      <c r="A143" s="54"/>
      <c r="B143" s="11"/>
      <c r="C143" s="20"/>
      <c r="D143" s="2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5"/>
      <c r="U143" s="15"/>
      <c r="V143" s="15"/>
      <c r="W143" s="15"/>
    </row>
    <row r="144">
      <c r="A144" s="54"/>
      <c r="B144" s="11"/>
      <c r="C144" s="20"/>
      <c r="D144" s="2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5"/>
      <c r="U144" s="15"/>
      <c r="V144" s="15"/>
      <c r="W144" s="15"/>
    </row>
    <row r="145">
      <c r="A145" s="54"/>
      <c r="B145" s="11"/>
      <c r="C145" s="20"/>
      <c r="D145" s="2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5"/>
      <c r="U145" s="15"/>
      <c r="V145" s="15"/>
      <c r="W145" s="15"/>
    </row>
    <row r="146">
      <c r="A146" s="54"/>
      <c r="B146" s="11"/>
      <c r="C146" s="20"/>
      <c r="D146" s="2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5"/>
      <c r="U146" s="15"/>
      <c r="V146" s="15"/>
      <c r="W146" s="15"/>
    </row>
    <row r="147">
      <c r="A147" s="54"/>
      <c r="B147" s="11"/>
      <c r="C147" s="20"/>
      <c r="D147" s="2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5"/>
      <c r="U147" s="15"/>
      <c r="V147" s="15"/>
      <c r="W147" s="15"/>
    </row>
    <row r="148">
      <c r="A148" s="54"/>
      <c r="B148" s="11"/>
      <c r="C148" s="20"/>
      <c r="D148" s="2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5"/>
      <c r="U148" s="15"/>
      <c r="V148" s="15"/>
      <c r="W148" s="15"/>
    </row>
    <row r="149">
      <c r="A149" s="54"/>
      <c r="B149" s="11"/>
      <c r="C149" s="20"/>
      <c r="D149" s="2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5"/>
      <c r="U149" s="15"/>
      <c r="V149" s="15"/>
      <c r="W149" s="15"/>
    </row>
    <row r="150">
      <c r="A150" s="54"/>
      <c r="B150" s="11"/>
      <c r="C150" s="20"/>
      <c r="D150" s="2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5"/>
      <c r="U150" s="15"/>
      <c r="V150" s="15"/>
      <c r="W150" s="15"/>
    </row>
    <row r="151">
      <c r="A151" s="22"/>
      <c r="B151" s="11"/>
      <c r="C151" s="20"/>
      <c r="D151" s="2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5"/>
      <c r="U151" s="15"/>
      <c r="V151" s="15"/>
      <c r="W151" s="15"/>
    </row>
    <row r="152">
      <c r="A152" s="22"/>
      <c r="B152" s="11"/>
      <c r="C152" s="20"/>
      <c r="D152" s="2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5"/>
      <c r="U152" s="15"/>
      <c r="V152" s="15"/>
      <c r="W152" s="15"/>
    </row>
    <row r="153">
      <c r="A153" s="22"/>
      <c r="B153" s="11"/>
      <c r="C153" s="20"/>
      <c r="D153" s="2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5"/>
      <c r="U153" s="15"/>
      <c r="V153" s="15"/>
      <c r="W153" s="15"/>
    </row>
    <row r="154">
      <c r="A154" s="22"/>
      <c r="B154" s="11"/>
      <c r="C154" s="20"/>
      <c r="D154" s="2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5"/>
      <c r="U154" s="15"/>
      <c r="V154" s="15"/>
      <c r="W154" s="15"/>
    </row>
    <row r="155">
      <c r="A155" s="22"/>
      <c r="B155" s="11"/>
      <c r="C155" s="20"/>
      <c r="D155" s="2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5"/>
      <c r="U155" s="15"/>
      <c r="V155" s="15"/>
      <c r="W155" s="15"/>
    </row>
    <row r="156">
      <c r="A156" s="22"/>
      <c r="B156" s="11"/>
      <c r="C156" s="20"/>
      <c r="D156" s="2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5"/>
      <c r="U156" s="15"/>
      <c r="V156" s="15"/>
      <c r="W156" s="15"/>
    </row>
    <row r="157">
      <c r="A157" s="22"/>
      <c r="B157" s="11"/>
      <c r="C157" s="20"/>
      <c r="D157" s="2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5"/>
      <c r="U157" s="15"/>
      <c r="V157" s="15"/>
      <c r="W157" s="15"/>
    </row>
    <row r="158">
      <c r="A158" s="22"/>
      <c r="B158" s="11"/>
      <c r="C158" s="20"/>
      <c r="D158" s="2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5"/>
      <c r="U158" s="15"/>
      <c r="V158" s="15"/>
      <c r="W158" s="15"/>
    </row>
    <row r="159">
      <c r="A159" s="22"/>
      <c r="B159" s="11"/>
      <c r="C159" s="20"/>
      <c r="D159" s="2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5"/>
      <c r="U159" s="15"/>
      <c r="V159" s="15"/>
      <c r="W159" s="15"/>
    </row>
    <row r="160">
      <c r="A160" s="22"/>
      <c r="B160" s="11"/>
      <c r="C160" s="20"/>
      <c r="D160" s="2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5"/>
      <c r="U160" s="15"/>
      <c r="V160" s="15"/>
      <c r="W160" s="15"/>
    </row>
    <row r="161">
      <c r="A161" s="22"/>
      <c r="B161" s="11"/>
      <c r="C161" s="20"/>
      <c r="D161" s="2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5"/>
      <c r="U161" s="15"/>
      <c r="V161" s="15"/>
      <c r="W161" s="15"/>
    </row>
    <row r="162">
      <c r="A162" s="22"/>
      <c r="B162" s="11"/>
      <c r="C162" s="20"/>
      <c r="D162" s="2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5"/>
      <c r="U162" s="15"/>
      <c r="V162" s="15"/>
      <c r="W162" s="15"/>
    </row>
    <row r="163">
      <c r="A163" s="22"/>
      <c r="B163" s="11"/>
      <c r="C163" s="20"/>
      <c r="D163" s="2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5"/>
      <c r="U163" s="15"/>
      <c r="V163" s="15"/>
      <c r="W163" s="15"/>
    </row>
    <row r="164">
      <c r="A164" s="22"/>
      <c r="B164" s="11"/>
      <c r="C164" s="20"/>
      <c r="D164" s="2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5"/>
      <c r="U164" s="15"/>
      <c r="V164" s="15"/>
      <c r="W164" s="15"/>
    </row>
    <row r="165">
      <c r="A165" s="22"/>
      <c r="B165" s="11"/>
      <c r="C165" s="20"/>
      <c r="D165" s="2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5"/>
      <c r="U165" s="15"/>
      <c r="V165" s="15"/>
      <c r="W165" s="15"/>
    </row>
    <row r="166">
      <c r="A166" s="22"/>
      <c r="B166" s="11"/>
      <c r="C166" s="20"/>
      <c r="D166" s="2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5"/>
      <c r="U166" s="15"/>
      <c r="V166" s="15"/>
      <c r="W166" s="15"/>
    </row>
    <row r="167">
      <c r="A167" s="22"/>
      <c r="B167" s="11"/>
      <c r="C167" s="20"/>
      <c r="D167" s="2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5"/>
      <c r="U167" s="15"/>
      <c r="V167" s="15"/>
      <c r="W167" s="15"/>
    </row>
    <row r="168">
      <c r="A168" s="22"/>
      <c r="B168" s="11"/>
      <c r="C168" s="20"/>
      <c r="D168" s="2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5"/>
      <c r="U168" s="15"/>
      <c r="V168" s="15"/>
      <c r="W168" s="15"/>
    </row>
    <row r="169">
      <c r="A169" s="22"/>
      <c r="B169" s="11"/>
      <c r="C169" s="20"/>
      <c r="D169" s="2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5"/>
      <c r="U169" s="15"/>
      <c r="V169" s="15"/>
      <c r="W169" s="15"/>
    </row>
    <row r="170">
      <c r="A170" s="54"/>
      <c r="B170" s="11"/>
      <c r="C170" s="20"/>
      <c r="D170" s="2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5"/>
      <c r="U170" s="15"/>
      <c r="V170" s="15"/>
      <c r="W170" s="15"/>
    </row>
    <row r="171">
      <c r="A171" s="54"/>
      <c r="B171" s="11"/>
      <c r="C171" s="20"/>
      <c r="D171" s="2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5"/>
      <c r="U171" s="15"/>
      <c r="V171" s="15"/>
      <c r="W171" s="15"/>
    </row>
    <row r="172">
      <c r="A172" s="54"/>
      <c r="B172" s="11"/>
      <c r="C172" s="20"/>
      <c r="D172" s="2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5"/>
      <c r="U172" s="15"/>
      <c r="V172" s="15"/>
      <c r="W172" s="15"/>
    </row>
    <row r="173">
      <c r="A173" s="54"/>
      <c r="B173" s="11"/>
      <c r="C173" s="20"/>
      <c r="D173" s="2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5"/>
      <c r="U173" s="15"/>
      <c r="V173" s="15"/>
      <c r="W173" s="15"/>
    </row>
    <row r="174">
      <c r="A174" s="54"/>
      <c r="B174" s="11"/>
      <c r="C174" s="20"/>
      <c r="D174" s="2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5"/>
      <c r="U174" s="15"/>
      <c r="V174" s="15"/>
      <c r="W174" s="15"/>
    </row>
    <row r="175">
      <c r="A175" s="54"/>
      <c r="B175" s="11"/>
      <c r="C175" s="20"/>
      <c r="D175" s="2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5"/>
      <c r="U175" s="15"/>
      <c r="V175" s="15"/>
      <c r="W175" s="15"/>
    </row>
    <row r="176">
      <c r="A176" s="54"/>
      <c r="B176" s="11"/>
      <c r="C176" s="20"/>
      <c r="D176" s="2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5"/>
      <c r="U176" s="15"/>
      <c r="V176" s="15"/>
      <c r="W176" s="15"/>
    </row>
    <row r="177">
      <c r="A177" s="54"/>
      <c r="B177" s="11"/>
      <c r="C177" s="20"/>
      <c r="D177" s="2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5"/>
      <c r="U177" s="15"/>
      <c r="V177" s="15"/>
      <c r="W177" s="15"/>
    </row>
    <row r="178">
      <c r="A178" s="54"/>
      <c r="B178" s="11"/>
      <c r="C178" s="20"/>
      <c r="D178" s="2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5"/>
      <c r="U178" s="15"/>
      <c r="V178" s="15"/>
      <c r="W178" s="15"/>
    </row>
    <row r="179">
      <c r="A179" s="54"/>
      <c r="B179" s="11"/>
      <c r="C179" s="20"/>
      <c r="D179" s="2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5"/>
      <c r="U179" s="15"/>
      <c r="V179" s="15"/>
      <c r="W179" s="15"/>
    </row>
    <row r="180">
      <c r="A180" s="54"/>
      <c r="B180" s="11"/>
      <c r="C180" s="20"/>
      <c r="D180" s="2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5"/>
      <c r="U180" s="15"/>
      <c r="V180" s="15"/>
      <c r="W180" s="15"/>
    </row>
    <row r="181">
      <c r="A181" s="54"/>
      <c r="B181" s="11"/>
      <c r="C181" s="20"/>
      <c r="D181" s="2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5"/>
      <c r="U181" s="15"/>
      <c r="V181" s="15"/>
      <c r="W181" s="15"/>
    </row>
    <row r="182">
      <c r="A182" s="54"/>
      <c r="B182" s="11"/>
      <c r="C182" s="20"/>
      <c r="D182" s="2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5"/>
      <c r="U182" s="15"/>
      <c r="V182" s="15"/>
      <c r="W182" s="15"/>
    </row>
    <row r="183">
      <c r="A183" s="54"/>
      <c r="B183" s="11"/>
      <c r="C183" s="20"/>
      <c r="D183" s="2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5"/>
      <c r="U183" s="15"/>
      <c r="V183" s="15"/>
      <c r="W183" s="15"/>
    </row>
    <row r="184">
      <c r="A184" s="54"/>
      <c r="B184" s="11"/>
      <c r="C184" s="20"/>
      <c r="D184" s="2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5"/>
      <c r="U184" s="15"/>
      <c r="V184" s="15"/>
      <c r="W184" s="15"/>
    </row>
    <row r="185">
      <c r="A185" s="54"/>
      <c r="B185" s="11"/>
      <c r="C185" s="20"/>
      <c r="D185" s="2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5"/>
      <c r="U185" s="15"/>
      <c r="V185" s="15"/>
      <c r="W185" s="15"/>
    </row>
    <row r="186">
      <c r="A186" s="54"/>
      <c r="B186" s="11"/>
      <c r="C186" s="20"/>
      <c r="D186" s="2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5"/>
      <c r="U186" s="15"/>
      <c r="V186" s="15"/>
      <c r="W186" s="15"/>
    </row>
    <row r="187">
      <c r="A187" s="54"/>
      <c r="B187" s="11"/>
      <c r="C187" s="20"/>
      <c r="D187" s="2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5"/>
      <c r="U187" s="15"/>
      <c r="V187" s="15"/>
      <c r="W187" s="15"/>
    </row>
    <row r="188">
      <c r="A188" s="54"/>
      <c r="B188" s="11"/>
      <c r="C188" s="20"/>
      <c r="D188" s="2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5"/>
      <c r="U188" s="15"/>
      <c r="V188" s="15"/>
      <c r="W188" s="15"/>
    </row>
    <row r="189">
      <c r="A189" s="54"/>
      <c r="B189" s="11"/>
      <c r="C189" s="20"/>
      <c r="D189" s="2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5"/>
      <c r="U189" s="15"/>
      <c r="V189" s="15"/>
      <c r="W189" s="15"/>
    </row>
    <row r="190">
      <c r="A190" s="54"/>
      <c r="B190" s="11"/>
      <c r="C190" s="20"/>
      <c r="D190" s="2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5"/>
      <c r="U190" s="15"/>
      <c r="V190" s="15"/>
      <c r="W190" s="15"/>
    </row>
    <row r="191">
      <c r="A191" s="54"/>
      <c r="B191" s="11"/>
      <c r="C191" s="20"/>
      <c r="D191" s="2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5"/>
      <c r="U191" s="15"/>
      <c r="V191" s="15"/>
      <c r="W191" s="15"/>
    </row>
    <row r="192">
      <c r="A192" s="54"/>
      <c r="B192" s="11"/>
      <c r="C192" s="20"/>
      <c r="D192" s="2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5"/>
      <c r="U192" s="15"/>
      <c r="V192" s="15"/>
      <c r="W192" s="15"/>
    </row>
    <row r="193">
      <c r="A193" s="54"/>
      <c r="B193" s="11"/>
      <c r="C193" s="20"/>
      <c r="D193" s="2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5"/>
      <c r="U193" s="15"/>
      <c r="V193" s="15"/>
      <c r="W193" s="15"/>
    </row>
    <row r="194">
      <c r="A194" s="54"/>
      <c r="B194" s="11"/>
      <c r="C194" s="20"/>
      <c r="D194" s="2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5"/>
      <c r="U194" s="15"/>
      <c r="V194" s="15"/>
      <c r="W194" s="15"/>
    </row>
    <row r="195">
      <c r="A195" s="54"/>
      <c r="B195" s="11"/>
      <c r="C195" s="20"/>
      <c r="D195" s="2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5"/>
      <c r="U195" s="15"/>
      <c r="V195" s="15"/>
      <c r="W195" s="15"/>
    </row>
    <row r="196">
      <c r="A196" s="54"/>
      <c r="B196" s="11"/>
      <c r="C196" s="20"/>
      <c r="D196" s="2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5"/>
      <c r="U196" s="15"/>
      <c r="V196" s="15"/>
      <c r="W196" s="15"/>
    </row>
    <row r="197">
      <c r="A197" s="22"/>
      <c r="B197" s="11"/>
      <c r="C197" s="20"/>
      <c r="D197" s="2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5"/>
      <c r="U197" s="15"/>
      <c r="V197" s="15"/>
      <c r="W197" s="15"/>
    </row>
    <row r="198">
      <c r="A198" s="22"/>
      <c r="B198" s="11"/>
      <c r="C198" s="20"/>
      <c r="D198" s="2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5"/>
      <c r="U198" s="15"/>
      <c r="V198" s="15"/>
      <c r="W198" s="15"/>
    </row>
    <row r="199">
      <c r="A199" s="22"/>
      <c r="B199" s="11"/>
      <c r="C199" s="20"/>
      <c r="D199" s="2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5"/>
      <c r="U199" s="15"/>
      <c r="V199" s="15"/>
      <c r="W199" s="15"/>
    </row>
    <row r="200">
      <c r="A200" s="22"/>
      <c r="B200" s="11"/>
      <c r="C200" s="20"/>
      <c r="D200" s="2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5"/>
      <c r="U200" s="15"/>
      <c r="V200" s="15"/>
      <c r="W200" s="15"/>
    </row>
    <row r="201">
      <c r="A201" s="22"/>
      <c r="B201" s="11"/>
      <c r="C201" s="20"/>
      <c r="D201" s="2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5"/>
      <c r="U201" s="15"/>
      <c r="V201" s="15"/>
      <c r="W201" s="15"/>
    </row>
    <row r="202">
      <c r="A202" s="22"/>
      <c r="B202" s="11"/>
      <c r="C202" s="20"/>
      <c r="D202" s="2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5"/>
      <c r="U202" s="15"/>
      <c r="V202" s="15"/>
      <c r="W202" s="15"/>
    </row>
    <row r="203">
      <c r="A203" s="22"/>
      <c r="B203" s="11"/>
      <c r="C203" s="20"/>
      <c r="D203" s="2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5"/>
      <c r="U203" s="15"/>
      <c r="V203" s="15"/>
      <c r="W203" s="15"/>
    </row>
    <row r="204">
      <c r="A204" s="22"/>
      <c r="B204" s="11"/>
      <c r="C204" s="20"/>
      <c r="D204" s="2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5"/>
      <c r="U204" s="15"/>
      <c r="V204" s="15"/>
      <c r="W204" s="15"/>
    </row>
    <row r="205">
      <c r="A205" s="22"/>
      <c r="B205" s="11"/>
      <c r="C205" s="20"/>
      <c r="D205" s="2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5"/>
      <c r="U205" s="15"/>
      <c r="V205" s="15"/>
      <c r="W205" s="15"/>
    </row>
    <row r="206">
      <c r="A206" s="22"/>
      <c r="B206" s="11"/>
      <c r="C206" s="20"/>
      <c r="D206" s="2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5"/>
      <c r="U206" s="15"/>
      <c r="V206" s="15"/>
      <c r="W206" s="15"/>
    </row>
    <row r="207">
      <c r="A207" s="22"/>
      <c r="B207" s="11"/>
      <c r="C207" s="20"/>
      <c r="D207" s="2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5"/>
      <c r="U207" s="15"/>
      <c r="V207" s="15"/>
      <c r="W207" s="15"/>
    </row>
    <row r="208">
      <c r="A208" s="22"/>
      <c r="B208" s="11"/>
      <c r="C208" s="20"/>
      <c r="D208" s="2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5"/>
      <c r="U208" s="15"/>
      <c r="V208" s="15"/>
      <c r="W208" s="15"/>
    </row>
    <row r="209">
      <c r="A209" s="22"/>
      <c r="B209" s="11"/>
      <c r="C209" s="20"/>
      <c r="D209" s="2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5"/>
      <c r="U209" s="15"/>
      <c r="V209" s="15"/>
      <c r="W209" s="15"/>
    </row>
    <row r="210">
      <c r="A210" s="22"/>
      <c r="B210" s="11"/>
      <c r="C210" s="20"/>
      <c r="D210" s="2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5"/>
      <c r="U210" s="15"/>
      <c r="V210" s="15"/>
      <c r="W210" s="15"/>
    </row>
    <row r="211">
      <c r="A211" s="22"/>
      <c r="B211" s="11"/>
      <c r="C211" s="20"/>
      <c r="D211" s="2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5"/>
      <c r="U211" s="15"/>
      <c r="V211" s="15"/>
      <c r="W211" s="15"/>
    </row>
    <row r="212">
      <c r="A212" s="22"/>
      <c r="B212" s="11"/>
      <c r="C212" s="20"/>
      <c r="D212" s="2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5"/>
      <c r="U212" s="15"/>
      <c r="V212" s="15"/>
      <c r="W212" s="15"/>
    </row>
    <row r="213">
      <c r="A213" s="22"/>
      <c r="B213" s="11"/>
      <c r="C213" s="20"/>
      <c r="D213" s="2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5"/>
      <c r="U213" s="15"/>
      <c r="V213" s="15"/>
      <c r="W213" s="15"/>
    </row>
    <row r="214">
      <c r="A214" s="22"/>
      <c r="B214" s="11"/>
      <c r="C214" s="20"/>
      <c r="D214" s="2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5"/>
      <c r="U214" s="15"/>
      <c r="V214" s="15"/>
      <c r="W214" s="15"/>
    </row>
    <row r="215">
      <c r="A215" s="22"/>
      <c r="B215" s="11"/>
      <c r="C215" s="20"/>
      <c r="D215" s="2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5"/>
      <c r="U215" s="15"/>
      <c r="V215" s="15"/>
      <c r="W215" s="15"/>
    </row>
    <row r="216">
      <c r="A216" s="54"/>
      <c r="B216" s="11"/>
      <c r="C216" s="20"/>
      <c r="D216" s="2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5"/>
      <c r="U216" s="15"/>
      <c r="V216" s="15"/>
      <c r="W216" s="15"/>
    </row>
    <row r="217">
      <c r="A217" s="54"/>
      <c r="B217" s="11"/>
      <c r="C217" s="20"/>
      <c r="D217" s="2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5"/>
      <c r="U217" s="15"/>
      <c r="V217" s="15"/>
      <c r="W217" s="15"/>
    </row>
    <row r="218">
      <c r="A218" s="54"/>
      <c r="B218" s="11"/>
      <c r="C218" s="20"/>
      <c r="D218" s="2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5"/>
      <c r="U218" s="15"/>
      <c r="V218" s="15"/>
      <c r="W218" s="15"/>
    </row>
    <row r="219">
      <c r="A219" s="54"/>
      <c r="B219" s="11"/>
      <c r="C219" s="20"/>
      <c r="D219" s="2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5"/>
      <c r="U219" s="15"/>
      <c r="V219" s="15"/>
      <c r="W219" s="15"/>
    </row>
    <row r="220">
      <c r="A220" s="54"/>
      <c r="B220" s="11"/>
      <c r="C220" s="20"/>
      <c r="D220" s="2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5"/>
      <c r="U220" s="15"/>
      <c r="V220" s="15"/>
      <c r="W220" s="15"/>
    </row>
    <row r="221">
      <c r="A221" s="54"/>
      <c r="B221" s="11"/>
      <c r="C221" s="20"/>
      <c r="D221" s="2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5"/>
      <c r="U221" s="15"/>
      <c r="V221" s="15"/>
      <c r="W221" s="15"/>
    </row>
    <row r="222">
      <c r="A222" s="54"/>
      <c r="B222" s="11"/>
      <c r="C222" s="20"/>
      <c r="D222" s="2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5"/>
      <c r="U222" s="15"/>
      <c r="V222" s="15"/>
      <c r="W222" s="15"/>
    </row>
    <row r="223">
      <c r="A223" s="54"/>
      <c r="B223" s="11"/>
      <c r="C223" s="20"/>
      <c r="D223" s="2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5"/>
      <c r="U223" s="15"/>
      <c r="V223" s="15"/>
      <c r="W223" s="15"/>
    </row>
    <row r="224">
      <c r="A224" s="54"/>
      <c r="B224" s="11"/>
      <c r="C224" s="20"/>
      <c r="D224" s="2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5"/>
      <c r="U224" s="15"/>
      <c r="V224" s="15"/>
      <c r="W224" s="15"/>
    </row>
    <row r="225">
      <c r="A225" s="54"/>
      <c r="B225" s="11"/>
      <c r="C225" s="20"/>
      <c r="D225" s="2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5"/>
      <c r="U225" s="15"/>
      <c r="V225" s="15"/>
      <c r="W225" s="15"/>
    </row>
    <row r="226">
      <c r="A226" s="54"/>
      <c r="B226" s="11"/>
      <c r="C226" s="20"/>
      <c r="D226" s="2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5"/>
      <c r="U226" s="15"/>
      <c r="V226" s="15"/>
      <c r="W226" s="15"/>
    </row>
    <row r="227">
      <c r="A227" s="54"/>
      <c r="B227" s="11"/>
      <c r="C227" s="20"/>
      <c r="D227" s="2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5"/>
      <c r="U227" s="15"/>
      <c r="V227" s="15"/>
      <c r="W227" s="15"/>
    </row>
    <row r="228">
      <c r="A228" s="54"/>
      <c r="B228" s="11"/>
      <c r="C228" s="20"/>
      <c r="D228" s="2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5"/>
      <c r="U228" s="15"/>
      <c r="V228" s="15"/>
      <c r="W228" s="15"/>
    </row>
    <row r="229">
      <c r="A229" s="54"/>
      <c r="B229" s="11"/>
      <c r="C229" s="20"/>
      <c r="D229" s="2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5"/>
      <c r="U229" s="15"/>
      <c r="V229" s="15"/>
      <c r="W229" s="15"/>
    </row>
    <row r="230">
      <c r="A230" s="54"/>
      <c r="B230" s="11"/>
      <c r="C230" s="20"/>
      <c r="D230" s="2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5"/>
      <c r="U230" s="15"/>
      <c r="V230" s="15"/>
      <c r="W230" s="15"/>
    </row>
    <row r="231">
      <c r="A231" s="54"/>
      <c r="B231" s="11"/>
      <c r="C231" s="20"/>
      <c r="D231" s="2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5"/>
      <c r="U231" s="15"/>
      <c r="V231" s="15"/>
      <c r="W231" s="15"/>
    </row>
    <row r="232">
      <c r="A232" s="54"/>
      <c r="B232" s="11"/>
      <c r="C232" s="20"/>
      <c r="D232" s="2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5"/>
      <c r="U232" s="15"/>
      <c r="V232" s="15"/>
      <c r="W232" s="15"/>
    </row>
    <row r="233">
      <c r="A233" s="54"/>
      <c r="B233" s="11"/>
      <c r="C233" s="20"/>
      <c r="D233" s="2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5"/>
      <c r="U233" s="15"/>
      <c r="V233" s="15"/>
      <c r="W233" s="15"/>
    </row>
    <row r="234">
      <c r="A234" s="22"/>
      <c r="B234" s="11"/>
      <c r="C234" s="20"/>
      <c r="D234" s="2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5"/>
      <c r="U234" s="15"/>
      <c r="V234" s="15"/>
      <c r="W234" s="15"/>
    </row>
    <row r="235">
      <c r="A235" s="22"/>
      <c r="B235" s="11"/>
      <c r="C235" s="20"/>
      <c r="D235" s="2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5"/>
      <c r="U235" s="15"/>
      <c r="V235" s="15"/>
      <c r="W235" s="15"/>
    </row>
    <row r="236">
      <c r="A236" s="22"/>
      <c r="B236" s="11"/>
      <c r="C236" s="20"/>
      <c r="D236" s="2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5"/>
      <c r="U236" s="15"/>
      <c r="V236" s="15"/>
      <c r="W236" s="15"/>
    </row>
    <row r="237">
      <c r="A237" s="22"/>
      <c r="B237" s="11"/>
      <c r="C237" s="20"/>
      <c r="D237" s="2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5"/>
      <c r="U237" s="15"/>
      <c r="V237" s="15"/>
      <c r="W237" s="15"/>
    </row>
    <row r="238">
      <c r="A238" s="22"/>
      <c r="B238" s="11"/>
      <c r="C238" s="20"/>
      <c r="D238" s="2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5"/>
      <c r="U238" s="15"/>
      <c r="V238" s="15"/>
      <c r="W238" s="15"/>
    </row>
    <row r="239">
      <c r="A239" s="22"/>
      <c r="B239" s="11"/>
      <c r="C239" s="20"/>
      <c r="D239" s="2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5"/>
      <c r="U239" s="15"/>
      <c r="V239" s="15"/>
      <c r="W239" s="15"/>
    </row>
    <row r="240">
      <c r="A240" s="22"/>
      <c r="B240" s="11"/>
      <c r="C240" s="20"/>
      <c r="D240" s="2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5"/>
      <c r="U240" s="15"/>
      <c r="V240" s="15"/>
      <c r="W240" s="15"/>
    </row>
    <row r="241">
      <c r="A241" s="22"/>
      <c r="B241" s="11"/>
      <c r="C241" s="20"/>
      <c r="D241" s="2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5"/>
      <c r="U241" s="15"/>
      <c r="V241" s="15"/>
      <c r="W241" s="15"/>
    </row>
    <row r="242">
      <c r="A242" s="22"/>
      <c r="B242" s="11"/>
      <c r="C242" s="20"/>
      <c r="D242" s="2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5"/>
      <c r="U242" s="15"/>
      <c r="V242" s="15"/>
      <c r="W242" s="15"/>
    </row>
    <row r="243">
      <c r="A243" s="22"/>
      <c r="B243" s="11"/>
      <c r="C243" s="20"/>
      <c r="D243" s="2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5"/>
      <c r="U243" s="15"/>
      <c r="V243" s="15"/>
      <c r="W243" s="15"/>
    </row>
    <row r="244">
      <c r="A244" s="22"/>
      <c r="B244" s="11"/>
      <c r="C244" s="20"/>
      <c r="D244" s="2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5"/>
      <c r="U244" s="15"/>
      <c r="V244" s="15"/>
      <c r="W244" s="15"/>
    </row>
    <row r="245">
      <c r="A245" s="22"/>
      <c r="B245" s="11"/>
      <c r="C245" s="20"/>
      <c r="D245" s="2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5"/>
      <c r="U245" s="15"/>
      <c r="V245" s="15"/>
      <c r="W245" s="15"/>
    </row>
    <row r="246">
      <c r="A246" s="22"/>
      <c r="B246" s="11"/>
      <c r="C246" s="20"/>
      <c r="D246" s="2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5"/>
      <c r="U246" s="15"/>
      <c r="V246" s="15"/>
      <c r="W246" s="15"/>
    </row>
    <row r="247">
      <c r="A247" s="22"/>
      <c r="B247" s="11"/>
      <c r="C247" s="20"/>
      <c r="D247" s="2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5"/>
      <c r="U247" s="15"/>
      <c r="V247" s="15"/>
      <c r="W247" s="15"/>
    </row>
    <row r="248">
      <c r="A248" s="22"/>
      <c r="B248" s="11"/>
      <c r="C248" s="20"/>
      <c r="D248" s="2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5"/>
      <c r="U248" s="15"/>
      <c r="V248" s="15"/>
      <c r="W248" s="15"/>
    </row>
    <row r="249">
      <c r="A249" s="22"/>
      <c r="B249" s="11"/>
      <c r="C249" s="20"/>
      <c r="D249" s="2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5"/>
      <c r="U249" s="15"/>
      <c r="V249" s="15"/>
      <c r="W249" s="15"/>
    </row>
    <row r="250">
      <c r="A250" s="22"/>
      <c r="B250" s="11"/>
      <c r="C250" s="20"/>
      <c r="D250" s="2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5"/>
      <c r="U250" s="15"/>
      <c r="V250" s="15"/>
      <c r="W250" s="15"/>
    </row>
    <row r="251">
      <c r="A251" s="22"/>
      <c r="B251" s="11"/>
      <c r="C251" s="20"/>
      <c r="D251" s="2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5"/>
      <c r="U251" s="15"/>
      <c r="V251" s="15"/>
      <c r="W251" s="15"/>
    </row>
    <row r="252">
      <c r="A252" s="22"/>
      <c r="B252" s="11"/>
      <c r="C252" s="20"/>
      <c r="D252" s="2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5"/>
      <c r="U252" s="15"/>
      <c r="V252" s="15"/>
      <c r="W252" s="15"/>
    </row>
    <row r="253">
      <c r="A253" s="54"/>
      <c r="B253" s="11"/>
      <c r="C253" s="20"/>
      <c r="D253" s="2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5"/>
      <c r="U253" s="15"/>
      <c r="V253" s="15"/>
      <c r="W253" s="15"/>
    </row>
    <row r="254">
      <c r="A254" s="54"/>
      <c r="B254" s="11"/>
      <c r="C254" s="20"/>
      <c r="D254" s="2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5"/>
      <c r="U254" s="15"/>
      <c r="V254" s="15"/>
      <c r="W254" s="15"/>
    </row>
    <row r="255">
      <c r="A255" s="54"/>
      <c r="B255" s="11"/>
      <c r="C255" s="20"/>
      <c r="D255" s="2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5"/>
      <c r="U255" s="15"/>
      <c r="V255" s="15"/>
      <c r="W255" s="15"/>
    </row>
    <row r="256">
      <c r="A256" s="54"/>
      <c r="B256" s="11"/>
      <c r="C256" s="20"/>
      <c r="D256" s="2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5"/>
      <c r="U256" s="15"/>
      <c r="V256" s="15"/>
      <c r="W256" s="15"/>
    </row>
    <row r="257">
      <c r="A257" s="54"/>
      <c r="B257" s="11"/>
      <c r="C257" s="20"/>
      <c r="D257" s="2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5"/>
      <c r="U257" s="15"/>
      <c r="V257" s="15"/>
      <c r="W257" s="15"/>
    </row>
    <row r="258">
      <c r="A258" s="54"/>
      <c r="B258" s="11"/>
      <c r="C258" s="20"/>
      <c r="D258" s="2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5"/>
      <c r="U258" s="15"/>
      <c r="V258" s="15"/>
      <c r="W258" s="15"/>
    </row>
    <row r="259">
      <c r="A259" s="54"/>
      <c r="B259" s="11"/>
      <c r="C259" s="20"/>
      <c r="D259" s="2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5"/>
      <c r="U259" s="15"/>
      <c r="V259" s="15"/>
      <c r="W259" s="15"/>
    </row>
    <row r="260">
      <c r="A260" s="54"/>
      <c r="B260" s="11"/>
      <c r="C260" s="20"/>
      <c r="D260" s="2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5"/>
      <c r="U260" s="15"/>
      <c r="V260" s="15"/>
      <c r="W260" s="15"/>
    </row>
    <row r="261">
      <c r="A261" s="54"/>
      <c r="B261" s="11"/>
      <c r="C261" s="20"/>
      <c r="D261" s="2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5"/>
      <c r="U261" s="15"/>
      <c r="V261" s="15"/>
      <c r="W261" s="15"/>
    </row>
    <row r="262">
      <c r="A262" s="54"/>
      <c r="B262" s="11"/>
      <c r="C262" s="20"/>
      <c r="D262" s="2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5"/>
      <c r="U262" s="15"/>
      <c r="V262" s="15"/>
      <c r="W262" s="15"/>
    </row>
    <row r="263">
      <c r="A263" s="54"/>
      <c r="B263" s="11"/>
      <c r="C263" s="20"/>
      <c r="D263" s="2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5"/>
      <c r="U263" s="15"/>
      <c r="V263" s="15"/>
      <c r="W263" s="15"/>
    </row>
    <row r="264">
      <c r="A264" s="54"/>
      <c r="B264" s="11"/>
      <c r="C264" s="20"/>
      <c r="D264" s="20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5"/>
      <c r="U264" s="15"/>
      <c r="V264" s="15"/>
      <c r="W264" s="15"/>
    </row>
    <row r="265">
      <c r="A265" s="54"/>
      <c r="B265" s="11"/>
      <c r="C265" s="20"/>
      <c r="D265" s="20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5"/>
      <c r="U265" s="15"/>
      <c r="V265" s="15"/>
      <c r="W265" s="15"/>
    </row>
    <row r="266">
      <c r="A266" s="54"/>
      <c r="B266" s="11"/>
      <c r="C266" s="20"/>
      <c r="D266" s="20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5"/>
      <c r="U266" s="15"/>
      <c r="V266" s="15"/>
      <c r="W266" s="15"/>
    </row>
    <row r="267">
      <c r="A267" s="54"/>
      <c r="B267" s="11"/>
      <c r="C267" s="20"/>
      <c r="D267" s="20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5"/>
      <c r="U267" s="15"/>
      <c r="V267" s="15"/>
      <c r="W267" s="15"/>
    </row>
    <row r="268">
      <c r="A268" s="54"/>
      <c r="B268" s="11"/>
      <c r="C268" s="20"/>
      <c r="D268" s="20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5"/>
      <c r="U268" s="15"/>
      <c r="V268" s="15"/>
      <c r="W268" s="15"/>
    </row>
    <row r="269">
      <c r="A269" s="54"/>
      <c r="B269" s="11"/>
      <c r="C269" s="20"/>
      <c r="D269" s="20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5"/>
      <c r="U269" s="15"/>
      <c r="V269" s="15"/>
      <c r="W269" s="15"/>
    </row>
    <row r="270">
      <c r="A270" s="54"/>
      <c r="B270" s="11"/>
      <c r="C270" s="20"/>
      <c r="D270" s="20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5"/>
      <c r="U270" s="15"/>
      <c r="V270" s="15"/>
      <c r="W270" s="15"/>
    </row>
    <row r="271">
      <c r="A271" s="54"/>
      <c r="B271" s="11"/>
      <c r="C271" s="20"/>
      <c r="D271" s="20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5"/>
      <c r="U271" s="15"/>
      <c r="V271" s="15"/>
      <c r="W271" s="15"/>
    </row>
    <row r="272">
      <c r="A272" s="54"/>
      <c r="B272" s="11"/>
      <c r="C272" s="20"/>
      <c r="D272" s="20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5"/>
      <c r="U272" s="15"/>
      <c r="V272" s="15"/>
      <c r="W272" s="15"/>
    </row>
    <row r="273">
      <c r="A273" s="54"/>
      <c r="B273" s="11"/>
      <c r="C273" s="20"/>
      <c r="D273" s="20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5"/>
      <c r="U273" s="15"/>
      <c r="V273" s="15"/>
      <c r="W273" s="15"/>
    </row>
    <row r="274">
      <c r="A274" s="54"/>
      <c r="B274" s="11"/>
      <c r="C274" s="20"/>
      <c r="D274" s="2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5"/>
      <c r="U274" s="15"/>
      <c r="V274" s="15"/>
      <c r="W274" s="15"/>
    </row>
    <row r="275">
      <c r="A275" s="54"/>
      <c r="B275" s="11"/>
      <c r="C275" s="20"/>
      <c r="D275" s="20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5"/>
      <c r="U275" s="15"/>
      <c r="V275" s="15"/>
      <c r="W275" s="15"/>
    </row>
    <row r="276">
      <c r="A276" s="54"/>
      <c r="B276" s="11"/>
      <c r="C276" s="20"/>
      <c r="D276" s="20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5"/>
      <c r="U276" s="15"/>
      <c r="V276" s="15"/>
      <c r="W276" s="15"/>
    </row>
    <row r="277">
      <c r="A277" s="54"/>
      <c r="B277" s="11"/>
      <c r="C277" s="20"/>
      <c r="D277" s="20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5"/>
      <c r="U277" s="15"/>
      <c r="V277" s="15"/>
      <c r="W277" s="15"/>
    </row>
    <row r="278">
      <c r="A278" s="54"/>
      <c r="B278" s="11"/>
      <c r="C278" s="20"/>
      <c r="D278" s="20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5"/>
      <c r="U278" s="15"/>
      <c r="V278" s="15"/>
      <c r="W278" s="15"/>
    </row>
    <row r="279">
      <c r="A279" s="54"/>
      <c r="B279" s="11"/>
      <c r="C279" s="20"/>
      <c r="D279" s="20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5"/>
      <c r="U279" s="15"/>
      <c r="V279" s="15"/>
      <c r="W279" s="15"/>
    </row>
    <row r="280">
      <c r="A280" s="22"/>
      <c r="B280" s="11"/>
      <c r="C280" s="20"/>
      <c r="D280" s="2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5"/>
      <c r="U280" s="15"/>
      <c r="V280" s="15"/>
      <c r="W280" s="15"/>
    </row>
    <row r="281">
      <c r="A281" s="22"/>
      <c r="B281" s="11"/>
      <c r="C281" s="20"/>
      <c r="D281" s="20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5"/>
      <c r="U281" s="15"/>
      <c r="V281" s="15"/>
      <c r="W281" s="15"/>
    </row>
    <row r="282">
      <c r="A282" s="22"/>
      <c r="B282" s="11"/>
      <c r="C282" s="20"/>
      <c r="D282" s="20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5"/>
      <c r="U282" s="15"/>
      <c r="V282" s="15"/>
      <c r="W282" s="15"/>
    </row>
    <row r="283">
      <c r="A283" s="22"/>
      <c r="B283" s="11"/>
      <c r="C283" s="20"/>
      <c r="D283" s="20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5"/>
      <c r="U283" s="15"/>
      <c r="V283" s="15"/>
      <c r="W283" s="15"/>
    </row>
    <row r="284">
      <c r="A284" s="22"/>
      <c r="B284" s="11"/>
      <c r="C284" s="20"/>
      <c r="D284" s="20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5"/>
      <c r="U284" s="15"/>
      <c r="V284" s="15"/>
      <c r="W284" s="15"/>
    </row>
    <row r="285">
      <c r="A285" s="22"/>
      <c r="B285" s="11"/>
      <c r="C285" s="20"/>
      <c r="D285" s="20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5"/>
      <c r="U285" s="15"/>
      <c r="V285" s="15"/>
      <c r="W285" s="15"/>
    </row>
    <row r="286">
      <c r="A286" s="22"/>
      <c r="B286" s="11"/>
      <c r="C286" s="20"/>
      <c r="D286" s="20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5"/>
      <c r="U286" s="15"/>
      <c r="V286" s="15"/>
      <c r="W286" s="15"/>
    </row>
    <row r="287">
      <c r="A287" s="22"/>
      <c r="B287" s="11"/>
      <c r="C287" s="20"/>
      <c r="D287" s="20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5"/>
      <c r="U287" s="15"/>
      <c r="V287" s="15"/>
      <c r="W287" s="15"/>
    </row>
    <row r="288">
      <c r="A288" s="22"/>
      <c r="B288" s="11"/>
      <c r="C288" s="20"/>
      <c r="D288" s="20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5"/>
      <c r="U288" s="15"/>
      <c r="V288" s="15"/>
      <c r="W288" s="15"/>
    </row>
    <row r="289">
      <c r="A289" s="22"/>
      <c r="B289" s="11"/>
      <c r="C289" s="20"/>
      <c r="D289" s="20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5"/>
      <c r="U289" s="15"/>
      <c r="V289" s="15"/>
      <c r="W289" s="15"/>
    </row>
    <row r="290">
      <c r="A290" s="22"/>
      <c r="B290" s="11"/>
      <c r="C290" s="20"/>
      <c r="D290" s="20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5"/>
      <c r="U290" s="15"/>
      <c r="V290" s="15"/>
      <c r="W290" s="15"/>
    </row>
    <row r="291">
      <c r="A291" s="22"/>
      <c r="B291" s="11"/>
      <c r="C291" s="20"/>
      <c r="D291" s="20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5"/>
      <c r="U291" s="15"/>
      <c r="V291" s="15"/>
      <c r="W291" s="15"/>
    </row>
    <row r="292">
      <c r="A292" s="22"/>
      <c r="B292" s="11"/>
      <c r="C292" s="20"/>
      <c r="D292" s="20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5"/>
      <c r="U292" s="15"/>
      <c r="V292" s="15"/>
      <c r="W292" s="15"/>
    </row>
    <row r="293">
      <c r="A293" s="22"/>
      <c r="B293" s="11"/>
      <c r="C293" s="20"/>
      <c r="D293" s="20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5"/>
      <c r="U293" s="15"/>
      <c r="V293" s="15"/>
      <c r="W293" s="15"/>
    </row>
    <row r="294">
      <c r="A294" s="22"/>
      <c r="B294" s="11"/>
      <c r="C294" s="20"/>
      <c r="D294" s="20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5"/>
      <c r="U294" s="15"/>
      <c r="V294" s="15"/>
      <c r="W294" s="15"/>
    </row>
    <row r="295">
      <c r="A295" s="22"/>
      <c r="B295" s="11"/>
      <c r="C295" s="20"/>
      <c r="D295" s="20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5"/>
      <c r="U295" s="15"/>
      <c r="V295" s="15"/>
      <c r="W295" s="15"/>
    </row>
    <row r="296">
      <c r="A296" s="22"/>
      <c r="B296" s="11"/>
      <c r="C296" s="20"/>
      <c r="D296" s="20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5"/>
      <c r="U296" s="15"/>
      <c r="V296" s="15"/>
      <c r="W296" s="15"/>
    </row>
    <row r="297">
      <c r="A297" s="22"/>
      <c r="B297" s="11"/>
      <c r="C297" s="20"/>
      <c r="D297" s="20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5"/>
      <c r="U297" s="15"/>
      <c r="V297" s="15"/>
      <c r="W297" s="15"/>
    </row>
    <row r="298">
      <c r="A298" s="22"/>
      <c r="B298" s="11"/>
      <c r="C298" s="20"/>
      <c r="D298" s="20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5"/>
      <c r="U298" s="15"/>
      <c r="V298" s="15"/>
      <c r="W298" s="15"/>
    </row>
    <row r="299">
      <c r="A299" s="54"/>
      <c r="B299" s="11"/>
      <c r="C299" s="20"/>
      <c r="D299" s="20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5"/>
      <c r="U299" s="15"/>
      <c r="V299" s="15"/>
      <c r="W299" s="15"/>
    </row>
    <row r="300">
      <c r="A300" s="54"/>
      <c r="B300" s="11"/>
      <c r="C300" s="20"/>
      <c r="D300" s="20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5"/>
      <c r="U300" s="15"/>
      <c r="V300" s="15"/>
      <c r="W300" s="15"/>
    </row>
    <row r="301">
      <c r="A301" s="54"/>
      <c r="B301" s="11"/>
      <c r="C301" s="20"/>
      <c r="D301" s="20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5"/>
      <c r="U301" s="15"/>
      <c r="V301" s="15"/>
      <c r="W301" s="15"/>
    </row>
    <row r="302">
      <c r="A302" s="54"/>
      <c r="B302" s="11"/>
      <c r="C302" s="20"/>
      <c r="D302" s="20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5"/>
      <c r="U302" s="15"/>
      <c r="V302" s="15"/>
      <c r="W302" s="15"/>
    </row>
    <row r="303">
      <c r="A303" s="54"/>
      <c r="B303" s="11"/>
      <c r="C303" s="20"/>
      <c r="D303" s="20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5"/>
      <c r="U303" s="15"/>
      <c r="V303" s="15"/>
      <c r="W303" s="15"/>
    </row>
    <row r="304">
      <c r="A304" s="54"/>
      <c r="B304" s="11"/>
      <c r="C304" s="20"/>
      <c r="D304" s="20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5"/>
      <c r="U304" s="15"/>
      <c r="V304" s="15"/>
      <c r="W304" s="15"/>
    </row>
    <row r="305">
      <c r="A305" s="54"/>
      <c r="B305" s="11"/>
      <c r="C305" s="20"/>
      <c r="D305" s="20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5"/>
      <c r="U305" s="15"/>
      <c r="V305" s="15"/>
      <c r="W305" s="15"/>
    </row>
    <row r="306">
      <c r="A306" s="54"/>
      <c r="B306" s="11"/>
      <c r="C306" s="20"/>
      <c r="D306" s="20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5"/>
      <c r="U306" s="15"/>
      <c r="V306" s="15"/>
      <c r="W306" s="15"/>
    </row>
    <row r="307">
      <c r="A307" s="54"/>
      <c r="B307" s="11"/>
      <c r="C307" s="20"/>
      <c r="D307" s="20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5"/>
      <c r="U307" s="15"/>
      <c r="V307" s="15"/>
      <c r="W307" s="15"/>
    </row>
    <row r="308">
      <c r="A308" s="54"/>
      <c r="B308" s="11"/>
      <c r="C308" s="20"/>
      <c r="D308" s="20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5"/>
      <c r="U308" s="15"/>
      <c r="V308" s="15"/>
      <c r="W308" s="15"/>
    </row>
    <row r="309">
      <c r="A309" s="54"/>
      <c r="B309" s="11"/>
      <c r="C309" s="20"/>
      <c r="D309" s="20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5"/>
      <c r="U309" s="15"/>
      <c r="V309" s="15"/>
      <c r="W309" s="15"/>
    </row>
    <row r="310">
      <c r="A310" s="54"/>
      <c r="B310" s="11"/>
      <c r="C310" s="20"/>
      <c r="D310" s="20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5"/>
      <c r="U310" s="15"/>
      <c r="V310" s="15"/>
      <c r="W310" s="15"/>
    </row>
    <row r="311">
      <c r="A311" s="54"/>
      <c r="B311" s="11"/>
      <c r="C311" s="20"/>
      <c r="D311" s="2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5"/>
      <c r="U311" s="15"/>
      <c r="V311" s="15"/>
      <c r="W311" s="15"/>
    </row>
    <row r="312">
      <c r="A312" s="54"/>
      <c r="B312" s="11"/>
      <c r="C312" s="20"/>
      <c r="D312" s="20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5"/>
      <c r="U312" s="15"/>
      <c r="V312" s="15"/>
      <c r="W312" s="15"/>
    </row>
    <row r="313">
      <c r="A313" s="54"/>
      <c r="B313" s="11"/>
      <c r="C313" s="20"/>
      <c r="D313" s="20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5"/>
      <c r="U313" s="15"/>
      <c r="V313" s="15"/>
      <c r="W313" s="15"/>
    </row>
    <row r="314">
      <c r="A314" s="54"/>
      <c r="B314" s="11"/>
      <c r="C314" s="20"/>
      <c r="D314" s="20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5"/>
      <c r="U314" s="15"/>
      <c r="V314" s="15"/>
      <c r="W314" s="15"/>
    </row>
    <row r="315">
      <c r="A315" s="54"/>
      <c r="B315" s="11"/>
      <c r="C315" s="20"/>
      <c r="D315" s="20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5"/>
      <c r="U315" s="15"/>
      <c r="V315" s="15"/>
      <c r="W315" s="15"/>
    </row>
    <row r="316">
      <c r="A316" s="54"/>
      <c r="B316" s="11"/>
      <c r="C316" s="20"/>
      <c r="D316" s="20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5"/>
      <c r="U316" s="15"/>
      <c r="V316" s="15"/>
      <c r="W316" s="15"/>
    </row>
    <row r="317">
      <c r="A317" s="22"/>
      <c r="B317" s="11"/>
      <c r="C317" s="20"/>
      <c r="D317" s="20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5"/>
      <c r="U317" s="15"/>
      <c r="V317" s="15"/>
      <c r="W317" s="15"/>
    </row>
    <row r="318">
      <c r="A318" s="22"/>
      <c r="B318" s="11"/>
      <c r="C318" s="20"/>
      <c r="D318" s="20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5"/>
      <c r="U318" s="15"/>
      <c r="V318" s="15"/>
      <c r="W318" s="15"/>
    </row>
    <row r="319">
      <c r="A319" s="22"/>
      <c r="B319" s="11"/>
      <c r="C319" s="20"/>
      <c r="D319" s="20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5"/>
      <c r="U319" s="15"/>
      <c r="V319" s="15"/>
      <c r="W319" s="15"/>
    </row>
    <row r="320">
      <c r="A320" s="22"/>
      <c r="B320" s="11"/>
      <c r="C320" s="20"/>
      <c r="D320" s="20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5"/>
      <c r="U320" s="15"/>
      <c r="V320" s="15"/>
      <c r="W320" s="15"/>
    </row>
    <row r="321">
      <c r="A321" s="22"/>
      <c r="B321" s="11"/>
      <c r="C321" s="20"/>
      <c r="D321" s="20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5"/>
      <c r="U321" s="15"/>
      <c r="V321" s="15"/>
      <c r="W321" s="15"/>
    </row>
    <row r="322">
      <c r="A322" s="22"/>
      <c r="B322" s="11"/>
      <c r="C322" s="20"/>
      <c r="D322" s="2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5"/>
      <c r="U322" s="15"/>
      <c r="V322" s="15"/>
      <c r="W322" s="15"/>
    </row>
    <row r="323">
      <c r="A323" s="22"/>
      <c r="B323" s="11"/>
      <c r="C323" s="20"/>
      <c r="D323" s="20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5"/>
      <c r="U323" s="15"/>
      <c r="V323" s="15"/>
      <c r="W323" s="15"/>
    </row>
    <row r="324">
      <c r="A324" s="22"/>
      <c r="B324" s="11"/>
      <c r="C324" s="20"/>
      <c r="D324" s="20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5"/>
      <c r="U324" s="15"/>
      <c r="V324" s="15"/>
      <c r="W324" s="15"/>
    </row>
    <row r="325">
      <c r="A325" s="22"/>
      <c r="B325" s="11"/>
      <c r="C325" s="20"/>
      <c r="D325" s="20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5"/>
      <c r="U325" s="15"/>
      <c r="V325" s="15"/>
      <c r="W325" s="15"/>
    </row>
    <row r="326">
      <c r="A326" s="22"/>
      <c r="B326" s="11"/>
      <c r="C326" s="20"/>
      <c r="D326" s="20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5"/>
      <c r="U326" s="15"/>
      <c r="V326" s="15"/>
      <c r="W326" s="15"/>
    </row>
    <row r="327">
      <c r="A327" s="22"/>
      <c r="B327" s="11"/>
      <c r="C327" s="20"/>
      <c r="D327" s="20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5"/>
      <c r="U327" s="15"/>
      <c r="V327" s="15"/>
      <c r="W327" s="15"/>
    </row>
    <row r="328">
      <c r="A328" s="22"/>
      <c r="B328" s="11"/>
      <c r="C328" s="20"/>
      <c r="D328" s="2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5"/>
      <c r="U328" s="15"/>
      <c r="V328" s="15"/>
      <c r="W328" s="15"/>
    </row>
    <row r="329">
      <c r="A329" s="22"/>
      <c r="B329" s="11"/>
      <c r="C329" s="20"/>
      <c r="D329" s="20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5"/>
      <c r="U329" s="15"/>
      <c r="V329" s="15"/>
      <c r="W329" s="15"/>
    </row>
    <row r="330">
      <c r="A330" s="22"/>
      <c r="B330" s="11"/>
      <c r="C330" s="20"/>
      <c r="D330" s="2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5"/>
      <c r="U330" s="15"/>
      <c r="V330" s="15"/>
      <c r="W330" s="15"/>
    </row>
    <row r="331">
      <c r="A331" s="22"/>
      <c r="B331" s="11"/>
      <c r="C331" s="20"/>
      <c r="D331" s="20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5"/>
      <c r="U331" s="15"/>
      <c r="V331" s="15"/>
      <c r="W331" s="15"/>
    </row>
    <row r="332">
      <c r="A332" s="22"/>
      <c r="B332" s="11"/>
      <c r="C332" s="20"/>
      <c r="D332" s="20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5"/>
      <c r="U332" s="15"/>
      <c r="V332" s="15"/>
      <c r="W332" s="15"/>
    </row>
    <row r="333">
      <c r="A333" s="22"/>
      <c r="B333" s="11"/>
      <c r="C333" s="20"/>
      <c r="D333" s="20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5"/>
      <c r="U333" s="15"/>
      <c r="V333" s="15"/>
      <c r="W333" s="15"/>
    </row>
    <row r="334">
      <c r="A334" s="22"/>
      <c r="B334" s="11"/>
      <c r="C334" s="20"/>
      <c r="D334" s="20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5"/>
      <c r="U334" s="15"/>
      <c r="V334" s="15"/>
      <c r="W334" s="15"/>
    </row>
    <row r="335">
      <c r="A335" s="22"/>
      <c r="B335" s="11"/>
      <c r="C335" s="20"/>
      <c r="D335" s="20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5"/>
      <c r="U335" s="15"/>
      <c r="V335" s="15"/>
      <c r="W335" s="15"/>
    </row>
    <row r="336">
      <c r="A336" s="54"/>
      <c r="B336" s="11"/>
      <c r="C336" s="20"/>
      <c r="D336" s="2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5"/>
      <c r="U336" s="15"/>
      <c r="V336" s="15"/>
      <c r="W336" s="15"/>
    </row>
    <row r="337">
      <c r="A337" s="54"/>
      <c r="B337" s="11"/>
      <c r="C337" s="20"/>
      <c r="D337" s="20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5"/>
      <c r="U337" s="15"/>
      <c r="V337" s="15"/>
      <c r="W337" s="15"/>
    </row>
    <row r="338">
      <c r="A338" s="54"/>
      <c r="B338" s="11"/>
      <c r="C338" s="20"/>
      <c r="D338" s="20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5"/>
      <c r="U338" s="15"/>
      <c r="V338" s="15"/>
      <c r="W338" s="15"/>
    </row>
    <row r="339">
      <c r="A339" s="54"/>
      <c r="B339" s="11"/>
      <c r="C339" s="20"/>
      <c r="D339" s="20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5"/>
      <c r="U339" s="15"/>
      <c r="V339" s="15"/>
      <c r="W339" s="15"/>
    </row>
    <row r="340">
      <c r="A340" s="54"/>
      <c r="B340" s="11"/>
      <c r="C340" s="20"/>
      <c r="D340" s="20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5"/>
      <c r="U340" s="15"/>
      <c r="V340" s="15"/>
      <c r="W340" s="15"/>
    </row>
    <row r="341">
      <c r="A341" s="54"/>
      <c r="B341" s="11"/>
      <c r="C341" s="20"/>
      <c r="D341" s="20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5"/>
      <c r="U341" s="15"/>
      <c r="V341" s="15"/>
      <c r="W341" s="15"/>
    </row>
    <row r="342">
      <c r="A342" s="54"/>
      <c r="B342" s="11"/>
      <c r="C342" s="20"/>
      <c r="D342" s="20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5"/>
      <c r="U342" s="15"/>
      <c r="V342" s="15"/>
      <c r="W342" s="15"/>
    </row>
    <row r="343">
      <c r="A343" s="54"/>
      <c r="B343" s="11"/>
      <c r="C343" s="20"/>
      <c r="D343" s="20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5"/>
      <c r="U343" s="15"/>
      <c r="V343" s="15"/>
      <c r="W343" s="15"/>
    </row>
    <row r="344">
      <c r="A344" s="54"/>
      <c r="B344" s="11"/>
      <c r="C344" s="20"/>
      <c r="D344" s="20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5"/>
      <c r="U344" s="15"/>
      <c r="V344" s="15"/>
      <c r="W344" s="15"/>
    </row>
    <row r="345">
      <c r="A345" s="54"/>
      <c r="B345" s="11"/>
      <c r="C345" s="20"/>
      <c r="D345" s="20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5"/>
      <c r="U345" s="15"/>
      <c r="V345" s="15"/>
      <c r="W345" s="15"/>
    </row>
    <row r="346">
      <c r="A346" s="54"/>
      <c r="B346" s="11"/>
      <c r="C346" s="20"/>
      <c r="D346" s="20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5"/>
      <c r="U346" s="15"/>
      <c r="V346" s="15"/>
      <c r="W346" s="15"/>
    </row>
    <row r="347">
      <c r="A347" s="54"/>
      <c r="B347" s="11"/>
      <c r="C347" s="20"/>
      <c r="D347" s="20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5"/>
      <c r="U347" s="15"/>
      <c r="V347" s="15"/>
      <c r="W347" s="15"/>
    </row>
    <row r="348">
      <c r="A348" s="54"/>
      <c r="B348" s="11"/>
      <c r="C348" s="20"/>
      <c r="D348" s="20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5"/>
      <c r="U348" s="15"/>
      <c r="V348" s="15"/>
      <c r="W348" s="15"/>
    </row>
    <row r="349">
      <c r="A349" s="54"/>
      <c r="B349" s="11"/>
      <c r="C349" s="20"/>
      <c r="D349" s="20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5"/>
      <c r="U349" s="15"/>
      <c r="V349" s="15"/>
      <c r="W349" s="15"/>
    </row>
    <row r="350">
      <c r="A350" s="54"/>
      <c r="B350" s="11"/>
      <c r="C350" s="20"/>
      <c r="D350" s="20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5"/>
      <c r="U350" s="15"/>
      <c r="V350" s="15"/>
      <c r="W350" s="15"/>
    </row>
    <row r="351">
      <c r="A351" s="54"/>
      <c r="B351" s="11"/>
      <c r="C351" s="20"/>
      <c r="D351" s="20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5"/>
      <c r="U351" s="15"/>
      <c r="V351" s="15"/>
      <c r="W351" s="15"/>
    </row>
    <row r="352">
      <c r="A352" s="54"/>
      <c r="B352" s="11"/>
      <c r="C352" s="20"/>
      <c r="D352" s="20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5"/>
      <c r="U352" s="15"/>
      <c r="V352" s="15"/>
      <c r="W352" s="15"/>
    </row>
    <row r="353">
      <c r="A353" s="54"/>
      <c r="B353" s="11"/>
      <c r="C353" s="20"/>
      <c r="D353" s="20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5"/>
      <c r="U353" s="15"/>
      <c r="V353" s="15"/>
      <c r="W353" s="15"/>
    </row>
    <row r="354">
      <c r="A354" s="54"/>
      <c r="B354" s="11"/>
      <c r="C354" s="20"/>
      <c r="D354" s="20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5"/>
      <c r="U354" s="15"/>
      <c r="V354" s="15"/>
      <c r="W354" s="15"/>
    </row>
    <row r="355">
      <c r="A355" s="54"/>
      <c r="B355" s="11"/>
      <c r="C355" s="20"/>
      <c r="D355" s="20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5"/>
      <c r="U355" s="15"/>
      <c r="V355" s="15"/>
      <c r="W355" s="15"/>
    </row>
    <row r="356">
      <c r="A356" s="54"/>
      <c r="B356" s="11"/>
      <c r="C356" s="20"/>
      <c r="D356" s="20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5"/>
      <c r="U356" s="15"/>
      <c r="V356" s="15"/>
      <c r="W356" s="15"/>
    </row>
    <row r="357">
      <c r="A357" s="54"/>
      <c r="B357" s="11"/>
      <c r="C357" s="20"/>
      <c r="D357" s="20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5"/>
      <c r="U357" s="15"/>
      <c r="V357" s="15"/>
      <c r="W357" s="15"/>
    </row>
    <row r="358">
      <c r="A358" s="54"/>
      <c r="B358" s="11"/>
      <c r="C358" s="20"/>
      <c r="D358" s="20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5"/>
      <c r="U358" s="15"/>
      <c r="V358" s="15"/>
      <c r="W358" s="15"/>
    </row>
    <row r="359">
      <c r="A359" s="54"/>
      <c r="B359" s="11"/>
      <c r="C359" s="20"/>
      <c r="D359" s="20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5"/>
      <c r="U359" s="15"/>
      <c r="V359" s="15"/>
      <c r="W359" s="15"/>
    </row>
    <row r="360">
      <c r="A360" s="54"/>
      <c r="B360" s="11"/>
      <c r="C360" s="20"/>
      <c r="D360" s="20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5"/>
      <c r="U360" s="15"/>
      <c r="V360" s="15"/>
      <c r="W360" s="15"/>
    </row>
    <row r="361">
      <c r="A361" s="54"/>
      <c r="B361" s="11"/>
      <c r="C361" s="20"/>
      <c r="D361" s="2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5"/>
      <c r="U361" s="15"/>
      <c r="V361" s="15"/>
      <c r="W361" s="15"/>
    </row>
    <row r="362">
      <c r="A362" s="54"/>
      <c r="B362" s="11"/>
      <c r="C362" s="20"/>
      <c r="D362" s="20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5"/>
      <c r="U362" s="15"/>
      <c r="V362" s="15"/>
      <c r="W362" s="15"/>
    </row>
    <row r="363">
      <c r="A363" s="22"/>
      <c r="B363" s="11"/>
      <c r="C363" s="20"/>
      <c r="D363" s="20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5"/>
      <c r="U363" s="15"/>
      <c r="V363" s="15"/>
      <c r="W363" s="15"/>
    </row>
    <row r="364">
      <c r="A364" s="22"/>
      <c r="B364" s="11"/>
      <c r="C364" s="20"/>
      <c r="D364" s="20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5"/>
      <c r="U364" s="15"/>
      <c r="V364" s="15"/>
      <c r="W364" s="15"/>
    </row>
    <row r="365">
      <c r="A365" s="22"/>
      <c r="B365" s="11"/>
      <c r="C365" s="20"/>
      <c r="D365" s="20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5"/>
      <c r="U365" s="15"/>
      <c r="V365" s="15"/>
      <c r="W365" s="15"/>
    </row>
    <row r="366">
      <c r="A366" s="22"/>
      <c r="B366" s="11"/>
      <c r="C366" s="20"/>
      <c r="D366" s="2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5"/>
      <c r="U366" s="15"/>
      <c r="V366" s="15"/>
      <c r="W366" s="15"/>
    </row>
    <row r="367">
      <c r="A367" s="22"/>
      <c r="B367" s="11"/>
      <c r="C367" s="20"/>
      <c r="D367" s="20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5"/>
      <c r="U367" s="15"/>
      <c r="V367" s="15"/>
      <c r="W367" s="15"/>
    </row>
    <row r="368">
      <c r="A368" s="22"/>
      <c r="B368" s="11"/>
      <c r="C368" s="20"/>
      <c r="D368" s="20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5"/>
      <c r="U368" s="15"/>
      <c r="V368" s="15"/>
      <c r="W368" s="15"/>
    </row>
    <row r="369">
      <c r="A369" s="22"/>
      <c r="B369" s="11"/>
      <c r="C369" s="20"/>
      <c r="D369" s="20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5"/>
      <c r="U369" s="15"/>
      <c r="V369" s="15"/>
      <c r="W369" s="15"/>
    </row>
    <row r="370">
      <c r="A370" s="22"/>
      <c r="B370" s="11"/>
      <c r="C370" s="20"/>
      <c r="D370" s="20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5"/>
      <c r="U370" s="15"/>
      <c r="V370" s="15"/>
      <c r="W370" s="15"/>
    </row>
    <row r="371">
      <c r="A371" s="22"/>
      <c r="B371" s="11"/>
      <c r="C371" s="20"/>
      <c r="D371" s="20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5"/>
      <c r="U371" s="15"/>
      <c r="V371" s="15"/>
      <c r="W371" s="15"/>
    </row>
    <row r="372">
      <c r="A372" s="22"/>
      <c r="B372" s="11"/>
      <c r="C372" s="20"/>
      <c r="D372" s="20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5"/>
      <c r="U372" s="15"/>
      <c r="V372" s="15"/>
      <c r="W372" s="15"/>
    </row>
    <row r="373">
      <c r="A373" s="22"/>
      <c r="B373" s="11"/>
      <c r="C373" s="20"/>
      <c r="D373" s="20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5"/>
      <c r="U373" s="15"/>
      <c r="V373" s="15"/>
      <c r="W373" s="15"/>
    </row>
    <row r="374">
      <c r="A374" s="22"/>
      <c r="B374" s="11"/>
      <c r="C374" s="20"/>
      <c r="D374" s="20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5"/>
      <c r="U374" s="15"/>
      <c r="V374" s="15"/>
      <c r="W374" s="15"/>
    </row>
    <row r="375">
      <c r="A375" s="22"/>
      <c r="B375" s="11"/>
      <c r="C375" s="20"/>
      <c r="D375" s="20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5"/>
      <c r="U375" s="15"/>
      <c r="V375" s="15"/>
      <c r="W375" s="15"/>
    </row>
    <row r="376">
      <c r="A376" s="22"/>
      <c r="B376" s="11"/>
      <c r="C376" s="20"/>
      <c r="D376" s="20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5"/>
      <c r="U376" s="15"/>
      <c r="V376" s="15"/>
      <c r="W376" s="15"/>
    </row>
    <row r="377">
      <c r="A377" s="22"/>
      <c r="B377" s="11"/>
      <c r="C377" s="20"/>
      <c r="D377" s="20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5"/>
      <c r="U377" s="15"/>
      <c r="V377" s="15"/>
      <c r="W377" s="15"/>
    </row>
    <row r="378">
      <c r="A378" s="22"/>
      <c r="B378" s="11"/>
      <c r="C378" s="20"/>
      <c r="D378" s="20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5"/>
      <c r="U378" s="15"/>
      <c r="V378" s="15"/>
      <c r="W378" s="15"/>
    </row>
    <row r="379">
      <c r="A379" s="22"/>
      <c r="B379" s="11"/>
      <c r="C379" s="20"/>
      <c r="D379" s="20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5"/>
      <c r="U379" s="15"/>
      <c r="V379" s="15"/>
      <c r="W379" s="15"/>
    </row>
    <row r="380">
      <c r="A380" s="22"/>
      <c r="B380" s="11"/>
      <c r="C380" s="20"/>
      <c r="D380" s="20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5"/>
      <c r="U380" s="15"/>
      <c r="V380" s="15"/>
      <c r="W380" s="15"/>
    </row>
    <row r="381">
      <c r="A381" s="22"/>
      <c r="B381" s="11"/>
      <c r="C381" s="20"/>
      <c r="D381" s="20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5"/>
      <c r="U381" s="15"/>
      <c r="V381" s="15"/>
      <c r="W381" s="15"/>
    </row>
    <row r="382">
      <c r="A382" s="54"/>
      <c r="B382" s="11"/>
      <c r="C382" s="20"/>
      <c r="D382" s="20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5"/>
      <c r="U382" s="15"/>
      <c r="V382" s="15"/>
      <c r="W382" s="15"/>
    </row>
    <row r="383">
      <c r="A383" s="54"/>
      <c r="B383" s="11"/>
      <c r="C383" s="20"/>
      <c r="D383" s="20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5"/>
      <c r="U383" s="15"/>
      <c r="V383" s="15"/>
      <c r="W383" s="15"/>
    </row>
    <row r="384">
      <c r="A384" s="54"/>
      <c r="B384" s="11"/>
      <c r="C384" s="20"/>
      <c r="D384" s="20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5"/>
      <c r="U384" s="15"/>
      <c r="V384" s="15"/>
      <c r="W384" s="15"/>
    </row>
    <row r="385">
      <c r="A385" s="54"/>
      <c r="B385" s="11"/>
      <c r="C385" s="20"/>
      <c r="D385" s="20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5"/>
      <c r="U385" s="15"/>
      <c r="V385" s="15"/>
      <c r="W385" s="15"/>
    </row>
    <row r="386">
      <c r="A386" s="54"/>
      <c r="B386" s="11"/>
      <c r="C386" s="20"/>
      <c r="D386" s="2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5"/>
      <c r="U386" s="15"/>
      <c r="V386" s="15"/>
      <c r="W386" s="15"/>
    </row>
    <row r="387">
      <c r="A387" s="54"/>
      <c r="B387" s="11"/>
      <c r="C387" s="20"/>
      <c r="D387" s="20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5"/>
      <c r="U387" s="15"/>
      <c r="V387" s="15"/>
      <c r="W387" s="15"/>
    </row>
    <row r="388">
      <c r="A388" s="54"/>
      <c r="B388" s="11"/>
      <c r="C388" s="20"/>
      <c r="D388" s="20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5"/>
      <c r="U388" s="15"/>
      <c r="V388" s="15"/>
      <c r="W388" s="15"/>
    </row>
    <row r="389">
      <c r="A389" s="54"/>
      <c r="B389" s="11"/>
      <c r="C389" s="20"/>
      <c r="D389" s="20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5"/>
      <c r="U389" s="15"/>
      <c r="V389" s="15"/>
      <c r="W389" s="15"/>
    </row>
    <row r="390">
      <c r="A390" s="54"/>
      <c r="B390" s="11"/>
      <c r="C390" s="20"/>
      <c r="D390" s="20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5"/>
      <c r="U390" s="15"/>
      <c r="V390" s="15"/>
      <c r="W390" s="15"/>
    </row>
    <row r="391">
      <c r="A391" s="54"/>
      <c r="B391" s="11"/>
      <c r="C391" s="20"/>
      <c r="D391" s="20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5"/>
      <c r="U391" s="15"/>
      <c r="V391" s="15"/>
      <c r="W391" s="15"/>
    </row>
    <row r="392">
      <c r="A392" s="54"/>
      <c r="B392" s="11"/>
      <c r="C392" s="20"/>
      <c r="D392" s="20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5"/>
      <c r="U392" s="15"/>
      <c r="V392" s="15"/>
      <c r="W392" s="15"/>
    </row>
    <row r="393">
      <c r="A393" s="54"/>
      <c r="B393" s="11"/>
      <c r="C393" s="20"/>
      <c r="D393" s="20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5"/>
      <c r="U393" s="15"/>
      <c r="V393" s="15"/>
      <c r="W393" s="15"/>
    </row>
    <row r="394">
      <c r="A394" s="54"/>
      <c r="B394" s="11"/>
      <c r="C394" s="20"/>
      <c r="D394" s="20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5"/>
      <c r="U394" s="15"/>
      <c r="V394" s="15"/>
      <c r="W394" s="15"/>
    </row>
    <row r="395">
      <c r="A395" s="54"/>
      <c r="B395" s="11"/>
      <c r="C395" s="20"/>
      <c r="D395" s="20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5"/>
      <c r="U395" s="15"/>
      <c r="V395" s="15"/>
      <c r="W395" s="15"/>
    </row>
    <row r="396">
      <c r="A396" s="54"/>
      <c r="B396" s="11"/>
      <c r="C396" s="20"/>
      <c r="D396" s="2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5"/>
      <c r="U396" s="15"/>
      <c r="V396" s="15"/>
      <c r="W396" s="15"/>
    </row>
    <row r="397">
      <c r="A397" s="54"/>
      <c r="B397" s="11"/>
      <c r="C397" s="20"/>
      <c r="D397" s="20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5"/>
      <c r="U397" s="15"/>
      <c r="V397" s="15"/>
      <c r="W397" s="15"/>
    </row>
    <row r="398">
      <c r="A398" s="54"/>
      <c r="B398" s="11"/>
      <c r="C398" s="20"/>
      <c r="D398" s="2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5"/>
      <c r="U398" s="15"/>
      <c r="V398" s="15"/>
      <c r="W398" s="15"/>
    </row>
    <row r="399">
      <c r="A399" s="54"/>
      <c r="B399" s="11"/>
      <c r="C399" s="20"/>
      <c r="D399" s="20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5"/>
      <c r="U399" s="15"/>
      <c r="V399" s="15"/>
      <c r="W399" s="15"/>
    </row>
    <row r="400">
      <c r="A400" s="22"/>
      <c r="B400" s="11"/>
      <c r="C400" s="20"/>
      <c r="D400" s="20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5"/>
      <c r="U400" s="15"/>
      <c r="V400" s="15"/>
      <c r="W400" s="15"/>
    </row>
    <row r="401">
      <c r="A401" s="22"/>
      <c r="B401" s="11"/>
      <c r="C401" s="20"/>
      <c r="D401" s="20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5"/>
      <c r="U401" s="15"/>
      <c r="V401" s="15"/>
      <c r="W401" s="15"/>
    </row>
    <row r="402">
      <c r="A402" s="22"/>
      <c r="B402" s="11"/>
      <c r="C402" s="20"/>
      <c r="D402" s="20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5"/>
      <c r="U402" s="15"/>
      <c r="V402" s="15"/>
      <c r="W402" s="15"/>
    </row>
    <row r="403">
      <c r="A403" s="22"/>
      <c r="B403" s="11"/>
      <c r="C403" s="20"/>
      <c r="D403" s="20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5"/>
      <c r="U403" s="15"/>
      <c r="V403" s="15"/>
      <c r="W403" s="15"/>
    </row>
    <row r="404">
      <c r="A404" s="22"/>
      <c r="B404" s="11"/>
      <c r="C404" s="20"/>
      <c r="D404" s="20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5"/>
      <c r="U404" s="15"/>
      <c r="V404" s="15"/>
      <c r="W404" s="15"/>
    </row>
    <row r="405">
      <c r="A405" s="22"/>
      <c r="B405" s="11"/>
      <c r="C405" s="20"/>
      <c r="D405" s="20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5"/>
      <c r="U405" s="15"/>
      <c r="V405" s="15"/>
      <c r="W405" s="15"/>
    </row>
    <row r="406">
      <c r="A406" s="22"/>
      <c r="B406" s="11"/>
      <c r="C406" s="20"/>
      <c r="D406" s="20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5"/>
      <c r="U406" s="15"/>
      <c r="V406" s="15"/>
      <c r="W406" s="15"/>
    </row>
    <row r="407">
      <c r="A407" s="22"/>
      <c r="B407" s="11"/>
      <c r="C407" s="20"/>
      <c r="D407" s="20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5"/>
      <c r="U407" s="15"/>
      <c r="V407" s="15"/>
      <c r="W407" s="15"/>
    </row>
    <row r="408">
      <c r="A408" s="22"/>
      <c r="B408" s="11"/>
      <c r="C408" s="20"/>
      <c r="D408" s="20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5"/>
      <c r="U408" s="15"/>
      <c r="V408" s="15"/>
      <c r="W408" s="15"/>
    </row>
    <row r="409">
      <c r="A409" s="22"/>
      <c r="B409" s="11"/>
      <c r="C409" s="20"/>
      <c r="D409" s="20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5"/>
      <c r="U409" s="15"/>
      <c r="V409" s="15"/>
      <c r="W409" s="15"/>
    </row>
    <row r="410">
      <c r="A410" s="22"/>
      <c r="B410" s="11"/>
      <c r="C410" s="20"/>
      <c r="D410" s="20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5"/>
      <c r="U410" s="15"/>
      <c r="V410" s="15"/>
      <c r="W410" s="15"/>
    </row>
    <row r="411">
      <c r="A411" s="22"/>
      <c r="B411" s="11"/>
      <c r="C411" s="20"/>
      <c r="D411" s="2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5"/>
      <c r="U411" s="15"/>
      <c r="V411" s="15"/>
      <c r="W411" s="15"/>
    </row>
    <row r="412">
      <c r="A412" s="22"/>
      <c r="B412" s="11"/>
      <c r="C412" s="20"/>
      <c r="D412" s="20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5"/>
      <c r="U412" s="15"/>
      <c r="V412" s="15"/>
      <c r="W412" s="15"/>
    </row>
    <row r="413">
      <c r="A413" s="22"/>
      <c r="B413" s="11"/>
      <c r="C413" s="20"/>
      <c r="D413" s="20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5"/>
      <c r="U413" s="15"/>
      <c r="V413" s="15"/>
      <c r="W413" s="15"/>
    </row>
    <row r="414">
      <c r="A414" s="22"/>
      <c r="B414" s="11"/>
      <c r="C414" s="20"/>
      <c r="D414" s="20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5"/>
      <c r="U414" s="15"/>
      <c r="V414" s="15"/>
      <c r="W414" s="15"/>
    </row>
    <row r="415">
      <c r="A415" s="22"/>
      <c r="B415" s="11"/>
      <c r="C415" s="20"/>
      <c r="D415" s="20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5"/>
      <c r="U415" s="15"/>
      <c r="V415" s="15"/>
      <c r="W415" s="15"/>
    </row>
    <row r="416">
      <c r="A416" s="22"/>
      <c r="B416" s="11"/>
      <c r="C416" s="20"/>
      <c r="D416" s="20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5"/>
      <c r="U416" s="15"/>
      <c r="V416" s="15"/>
      <c r="W416" s="15"/>
    </row>
    <row r="417">
      <c r="A417" s="22"/>
      <c r="B417" s="11"/>
      <c r="C417" s="20"/>
      <c r="D417" s="20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5"/>
      <c r="U417" s="15"/>
      <c r="V417" s="15"/>
      <c r="W417" s="15"/>
    </row>
    <row r="418">
      <c r="A418" s="22"/>
      <c r="B418" s="11"/>
      <c r="C418" s="20"/>
      <c r="D418" s="20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5"/>
      <c r="U418" s="15"/>
      <c r="V418" s="15"/>
      <c r="W418" s="15"/>
    </row>
    <row r="419">
      <c r="A419" s="54"/>
      <c r="B419" s="11"/>
      <c r="C419" s="20"/>
      <c r="D419" s="20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5"/>
      <c r="U419" s="15"/>
      <c r="V419" s="15"/>
      <c r="W419" s="15"/>
    </row>
    <row r="420">
      <c r="A420" s="54"/>
      <c r="B420" s="11"/>
      <c r="C420" s="20"/>
      <c r="D420" s="20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5"/>
      <c r="U420" s="15"/>
      <c r="V420" s="15"/>
      <c r="W420" s="15"/>
    </row>
    <row r="421">
      <c r="A421" s="54"/>
      <c r="B421" s="11"/>
      <c r="C421" s="20"/>
      <c r="D421" s="20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5"/>
      <c r="U421" s="15"/>
      <c r="V421" s="15"/>
      <c r="W421" s="15"/>
    </row>
    <row r="422">
      <c r="A422" s="54"/>
      <c r="B422" s="11"/>
      <c r="C422" s="20"/>
      <c r="D422" s="2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5"/>
      <c r="U422" s="15"/>
      <c r="V422" s="15"/>
      <c r="W422" s="15"/>
    </row>
    <row r="423">
      <c r="A423" s="54"/>
      <c r="B423" s="11"/>
      <c r="C423" s="20"/>
      <c r="D423" s="20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5"/>
      <c r="U423" s="15"/>
      <c r="V423" s="15"/>
      <c r="W423" s="15"/>
    </row>
    <row r="424">
      <c r="A424" s="54"/>
      <c r="B424" s="11"/>
      <c r="C424" s="20"/>
      <c r="D424" s="20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5"/>
      <c r="U424" s="15"/>
      <c r="V424" s="15"/>
      <c r="W424" s="15"/>
    </row>
    <row r="425">
      <c r="A425" s="54"/>
      <c r="B425" s="11"/>
      <c r="C425" s="20"/>
      <c r="D425" s="20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5"/>
      <c r="U425" s="15"/>
      <c r="V425" s="15"/>
      <c r="W425" s="15"/>
    </row>
    <row r="426">
      <c r="A426" s="54"/>
      <c r="B426" s="11"/>
      <c r="C426" s="20"/>
      <c r="D426" s="20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5"/>
      <c r="U426" s="15"/>
      <c r="V426" s="15"/>
      <c r="W426" s="15"/>
    </row>
    <row r="427">
      <c r="A427" s="54"/>
      <c r="B427" s="11"/>
      <c r="C427" s="20"/>
      <c r="D427" s="20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5"/>
      <c r="U427" s="15"/>
      <c r="V427" s="15"/>
      <c r="W427" s="15"/>
    </row>
    <row r="428">
      <c r="A428" s="54"/>
      <c r="B428" s="11"/>
      <c r="C428" s="20"/>
      <c r="D428" s="20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5"/>
      <c r="U428" s="15"/>
      <c r="V428" s="15"/>
      <c r="W428" s="15"/>
    </row>
    <row r="429">
      <c r="A429" s="54"/>
      <c r="B429" s="11"/>
      <c r="C429" s="20"/>
      <c r="D429" s="20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5"/>
      <c r="U429" s="15"/>
      <c r="V429" s="15"/>
      <c r="W429" s="15"/>
    </row>
    <row r="430">
      <c r="A430" s="54"/>
      <c r="B430" s="11"/>
      <c r="C430" s="20"/>
      <c r="D430" s="20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5"/>
      <c r="U430" s="15"/>
      <c r="V430" s="15"/>
      <c r="W430" s="15"/>
    </row>
    <row r="431">
      <c r="A431" s="54"/>
      <c r="B431" s="11"/>
      <c r="C431" s="20"/>
      <c r="D431" s="20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5"/>
      <c r="U431" s="15"/>
      <c r="V431" s="15"/>
      <c r="W431" s="15"/>
    </row>
    <row r="432">
      <c r="A432" s="54"/>
      <c r="B432" s="11"/>
      <c r="C432" s="20"/>
      <c r="D432" s="20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5"/>
      <c r="U432" s="15"/>
      <c r="V432" s="15"/>
      <c r="W432" s="15"/>
    </row>
    <row r="433">
      <c r="A433" s="54"/>
      <c r="B433" s="11"/>
      <c r="C433" s="20"/>
      <c r="D433" s="20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5"/>
      <c r="U433" s="15"/>
      <c r="V433" s="15"/>
      <c r="W433" s="15"/>
    </row>
    <row r="434">
      <c r="A434" s="54"/>
      <c r="B434" s="11"/>
      <c r="C434" s="20"/>
      <c r="D434" s="20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5"/>
      <c r="U434" s="15"/>
      <c r="V434" s="15"/>
      <c r="W434" s="15"/>
    </row>
    <row r="435">
      <c r="A435" s="54"/>
      <c r="B435" s="11"/>
      <c r="C435" s="20"/>
      <c r="D435" s="20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5"/>
      <c r="U435" s="15"/>
      <c r="V435" s="15"/>
      <c r="W435" s="15"/>
    </row>
    <row r="436">
      <c r="A436" s="54"/>
      <c r="B436" s="11"/>
      <c r="C436" s="20"/>
      <c r="D436" s="2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5"/>
      <c r="U436" s="15"/>
      <c r="V436" s="15"/>
      <c r="W436" s="15"/>
    </row>
    <row r="437">
      <c r="A437" s="54"/>
      <c r="B437" s="11"/>
      <c r="C437" s="20"/>
      <c r="D437" s="20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5"/>
      <c r="U437" s="15"/>
      <c r="V437" s="15"/>
      <c r="W437" s="15"/>
    </row>
    <row r="438">
      <c r="A438" s="54"/>
      <c r="B438" s="11"/>
      <c r="C438" s="20"/>
      <c r="D438" s="20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5"/>
      <c r="U438" s="15"/>
      <c r="V438" s="15"/>
      <c r="W438" s="15"/>
    </row>
    <row r="439">
      <c r="A439" s="54"/>
      <c r="B439" s="11"/>
      <c r="C439" s="20"/>
      <c r="D439" s="20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5"/>
      <c r="U439" s="15"/>
      <c r="V439" s="15"/>
      <c r="W439" s="15"/>
    </row>
    <row r="440">
      <c r="A440" s="54"/>
      <c r="B440" s="11"/>
      <c r="C440" s="20"/>
      <c r="D440" s="20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5"/>
      <c r="U440" s="15"/>
      <c r="V440" s="15"/>
      <c r="W440" s="15"/>
    </row>
    <row r="441">
      <c r="A441" s="54"/>
      <c r="B441" s="11"/>
      <c r="C441" s="20"/>
      <c r="D441" s="20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5"/>
      <c r="U441" s="15"/>
      <c r="V441" s="15"/>
      <c r="W441" s="15"/>
    </row>
    <row r="442">
      <c r="A442" s="54"/>
      <c r="B442" s="11"/>
      <c r="C442" s="20"/>
      <c r="D442" s="20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5"/>
      <c r="U442" s="15"/>
      <c r="V442" s="15"/>
      <c r="W442" s="15"/>
    </row>
    <row r="443">
      <c r="A443" s="54"/>
      <c r="B443" s="11"/>
      <c r="C443" s="20"/>
      <c r="D443" s="20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5"/>
      <c r="U443" s="15"/>
      <c r="V443" s="15"/>
      <c r="W443" s="15"/>
    </row>
    <row r="444">
      <c r="A444" s="54"/>
      <c r="B444" s="11"/>
      <c r="C444" s="20"/>
      <c r="D444" s="20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5"/>
      <c r="U444" s="15"/>
      <c r="V444" s="15"/>
      <c r="W444" s="15"/>
    </row>
    <row r="445">
      <c r="A445" s="54"/>
      <c r="B445" s="11"/>
      <c r="C445" s="20"/>
      <c r="D445" s="20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5"/>
      <c r="U445" s="15"/>
      <c r="V445" s="15"/>
      <c r="W445" s="15"/>
    </row>
    <row r="446">
      <c r="A446" s="22"/>
      <c r="B446" s="11"/>
      <c r="C446" s="20"/>
      <c r="D446" s="20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5"/>
      <c r="U446" s="15"/>
      <c r="V446" s="15"/>
      <c r="W446" s="15"/>
    </row>
    <row r="447">
      <c r="A447" s="22"/>
      <c r="B447" s="11"/>
      <c r="C447" s="20"/>
      <c r="D447" s="20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5"/>
      <c r="U447" s="15"/>
      <c r="V447" s="15"/>
      <c r="W447" s="15"/>
    </row>
    <row r="448">
      <c r="A448" s="22"/>
      <c r="B448" s="11"/>
      <c r="C448" s="20"/>
      <c r="D448" s="20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5"/>
      <c r="U448" s="15"/>
      <c r="V448" s="15"/>
      <c r="W448" s="15"/>
    </row>
    <row r="449">
      <c r="A449" s="22"/>
      <c r="B449" s="11"/>
      <c r="C449" s="20"/>
      <c r="D449" s="20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5"/>
      <c r="U449" s="15"/>
      <c r="V449" s="15"/>
      <c r="W449" s="15"/>
    </row>
    <row r="450">
      <c r="A450" s="22"/>
      <c r="B450" s="11"/>
      <c r="C450" s="20"/>
      <c r="D450" s="20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5"/>
      <c r="U450" s="15"/>
      <c r="V450" s="15"/>
      <c r="W450" s="15"/>
    </row>
    <row r="451">
      <c r="A451" s="22"/>
      <c r="B451" s="11"/>
      <c r="C451" s="20"/>
      <c r="D451" s="20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5"/>
      <c r="U451" s="15"/>
      <c r="V451" s="15"/>
      <c r="W451" s="15"/>
    </row>
    <row r="452">
      <c r="A452" s="22"/>
      <c r="B452" s="11"/>
      <c r="C452" s="20"/>
      <c r="D452" s="20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5"/>
      <c r="U452" s="15"/>
      <c r="V452" s="15"/>
      <c r="W452" s="15"/>
    </row>
    <row r="453">
      <c r="A453" s="22"/>
      <c r="B453" s="11"/>
      <c r="C453" s="20"/>
      <c r="D453" s="20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5"/>
      <c r="U453" s="15"/>
      <c r="V453" s="15"/>
      <c r="W453" s="15"/>
    </row>
    <row r="454">
      <c r="A454" s="22"/>
      <c r="B454" s="11"/>
      <c r="C454" s="20"/>
      <c r="D454" s="20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5"/>
      <c r="U454" s="15"/>
      <c r="V454" s="15"/>
      <c r="W454" s="15"/>
    </row>
    <row r="455">
      <c r="A455" s="22"/>
      <c r="B455" s="11"/>
      <c r="C455" s="20"/>
      <c r="D455" s="20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5"/>
      <c r="U455" s="15"/>
      <c r="V455" s="15"/>
      <c r="W455" s="15"/>
    </row>
    <row r="456">
      <c r="A456" s="22"/>
      <c r="B456" s="11"/>
      <c r="C456" s="20"/>
      <c r="D456" s="20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5"/>
      <c r="U456" s="15"/>
      <c r="V456" s="15"/>
      <c r="W456" s="15"/>
    </row>
    <row r="457">
      <c r="A457" s="22"/>
      <c r="B457" s="11"/>
      <c r="C457" s="20"/>
      <c r="D457" s="20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5"/>
      <c r="U457" s="15"/>
      <c r="V457" s="15"/>
      <c r="W457" s="15"/>
    </row>
    <row r="458">
      <c r="A458" s="22"/>
      <c r="B458" s="11"/>
      <c r="C458" s="20"/>
      <c r="D458" s="20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5"/>
      <c r="U458" s="15"/>
      <c r="V458" s="15"/>
      <c r="W458" s="15"/>
    </row>
    <row r="459">
      <c r="A459" s="22"/>
      <c r="B459" s="11"/>
      <c r="C459" s="20"/>
      <c r="D459" s="20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5"/>
      <c r="U459" s="15"/>
      <c r="V459" s="15"/>
      <c r="W459" s="15"/>
    </row>
    <row r="460">
      <c r="A460" s="22"/>
      <c r="B460" s="11"/>
      <c r="C460" s="20"/>
      <c r="D460" s="20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5"/>
      <c r="U460" s="15"/>
      <c r="V460" s="15"/>
      <c r="W460" s="15"/>
    </row>
    <row r="461">
      <c r="A461" s="22"/>
      <c r="B461" s="11"/>
      <c r="C461" s="20"/>
      <c r="D461" s="2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5"/>
      <c r="U461" s="15"/>
      <c r="V461" s="15"/>
      <c r="W461" s="15"/>
    </row>
    <row r="462">
      <c r="A462" s="22"/>
      <c r="B462" s="11"/>
      <c r="C462" s="20"/>
      <c r="D462" s="20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5"/>
      <c r="U462" s="15"/>
      <c r="V462" s="15"/>
      <c r="W462" s="15"/>
    </row>
    <row r="463">
      <c r="A463" s="22"/>
      <c r="B463" s="11"/>
      <c r="C463" s="20"/>
      <c r="D463" s="20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5"/>
      <c r="U463" s="15"/>
      <c r="V463" s="15"/>
      <c r="W463" s="15"/>
    </row>
    <row r="464">
      <c r="A464" s="22"/>
      <c r="B464" s="11"/>
      <c r="C464" s="20"/>
      <c r="D464" s="20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5"/>
      <c r="U464" s="15"/>
      <c r="V464" s="15"/>
      <c r="W464" s="15"/>
    </row>
    <row r="465">
      <c r="A465" s="54"/>
      <c r="B465" s="11"/>
      <c r="C465" s="20"/>
      <c r="D465" s="20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5"/>
      <c r="U465" s="15"/>
      <c r="V465" s="15"/>
      <c r="W465" s="15"/>
    </row>
    <row r="466">
      <c r="A466" s="54"/>
      <c r="B466" s="11"/>
      <c r="C466" s="20"/>
      <c r="D466" s="20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5"/>
      <c r="U466" s="15"/>
      <c r="V466" s="15"/>
      <c r="W466" s="15"/>
    </row>
    <row r="467">
      <c r="A467" s="54"/>
      <c r="B467" s="11"/>
      <c r="C467" s="20"/>
      <c r="D467" s="20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5"/>
      <c r="U467" s="15"/>
      <c r="V467" s="15"/>
      <c r="W467" s="15"/>
    </row>
    <row r="468">
      <c r="A468" s="54"/>
      <c r="B468" s="11"/>
      <c r="C468" s="20"/>
      <c r="D468" s="20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5"/>
      <c r="U468" s="15"/>
      <c r="V468" s="15"/>
      <c r="W468" s="15"/>
    </row>
    <row r="469">
      <c r="A469" s="54"/>
      <c r="B469" s="11"/>
      <c r="C469" s="20"/>
      <c r="D469" s="20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5"/>
      <c r="U469" s="15"/>
      <c r="V469" s="15"/>
      <c r="W469" s="15"/>
    </row>
    <row r="470">
      <c r="A470" s="54"/>
      <c r="B470" s="11"/>
      <c r="C470" s="20"/>
      <c r="D470" s="20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5"/>
      <c r="U470" s="15"/>
      <c r="V470" s="15"/>
      <c r="W470" s="15"/>
    </row>
    <row r="471">
      <c r="A471" s="54"/>
      <c r="B471" s="11"/>
      <c r="C471" s="20"/>
      <c r="D471" s="20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5"/>
      <c r="U471" s="15"/>
      <c r="V471" s="15"/>
      <c r="W471" s="15"/>
    </row>
    <row r="472">
      <c r="A472" s="54"/>
      <c r="B472" s="11"/>
      <c r="C472" s="20"/>
      <c r="D472" s="20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5"/>
      <c r="U472" s="15"/>
      <c r="V472" s="15"/>
      <c r="W472" s="15"/>
    </row>
    <row r="473">
      <c r="A473" s="54"/>
      <c r="B473" s="11"/>
      <c r="C473" s="20"/>
      <c r="D473" s="20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5"/>
      <c r="U473" s="15"/>
      <c r="V473" s="15"/>
      <c r="W473" s="15"/>
    </row>
    <row r="474">
      <c r="A474" s="54"/>
      <c r="B474" s="11"/>
      <c r="C474" s="20"/>
      <c r="D474" s="20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5"/>
      <c r="U474" s="15"/>
      <c r="V474" s="15"/>
      <c r="W474" s="15"/>
    </row>
    <row r="475">
      <c r="A475" s="54"/>
      <c r="B475" s="11"/>
      <c r="C475" s="20"/>
      <c r="D475" s="20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5"/>
      <c r="U475" s="15"/>
      <c r="V475" s="15"/>
      <c r="W475" s="15"/>
    </row>
    <row r="476">
      <c r="A476" s="54"/>
      <c r="B476" s="11"/>
      <c r="C476" s="20"/>
      <c r="D476" s="20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5"/>
      <c r="U476" s="15"/>
      <c r="V476" s="15"/>
      <c r="W476" s="15"/>
    </row>
    <row r="477">
      <c r="A477" s="54"/>
      <c r="B477" s="11"/>
      <c r="C477" s="20"/>
      <c r="D477" s="20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5"/>
      <c r="U477" s="15"/>
      <c r="V477" s="15"/>
      <c r="W477" s="15"/>
    </row>
    <row r="478">
      <c r="A478" s="54"/>
      <c r="B478" s="11"/>
      <c r="C478" s="20"/>
      <c r="D478" s="20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5"/>
      <c r="U478" s="15"/>
      <c r="V478" s="15"/>
      <c r="W478" s="15"/>
    </row>
    <row r="479">
      <c r="A479" s="54"/>
      <c r="B479" s="11"/>
      <c r="C479" s="20"/>
      <c r="D479" s="20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5"/>
      <c r="U479" s="15"/>
      <c r="V479" s="15"/>
      <c r="W479" s="15"/>
    </row>
    <row r="480">
      <c r="A480" s="54"/>
      <c r="B480" s="11"/>
      <c r="C480" s="20"/>
      <c r="D480" s="20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5"/>
      <c r="U480" s="15"/>
      <c r="V480" s="15"/>
      <c r="W480" s="15"/>
    </row>
    <row r="481">
      <c r="A481" s="54"/>
      <c r="B481" s="11"/>
      <c r="C481" s="20"/>
      <c r="D481" s="20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5"/>
      <c r="U481" s="15"/>
      <c r="V481" s="15"/>
      <c r="W481" s="15"/>
    </row>
    <row r="482">
      <c r="A482" s="54"/>
      <c r="B482" s="11"/>
      <c r="C482" s="20"/>
      <c r="D482" s="20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5"/>
      <c r="U482" s="15"/>
      <c r="V482" s="15"/>
      <c r="W482" s="15"/>
    </row>
    <row r="483">
      <c r="A483" s="22"/>
      <c r="B483" s="11"/>
      <c r="C483" s="20"/>
      <c r="D483" s="20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5"/>
      <c r="U483" s="15"/>
      <c r="V483" s="15"/>
      <c r="W483" s="15"/>
    </row>
    <row r="484">
      <c r="A484" s="22"/>
      <c r="B484" s="11"/>
      <c r="C484" s="20"/>
      <c r="D484" s="20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5"/>
      <c r="U484" s="15"/>
      <c r="V484" s="15"/>
      <c r="W484" s="15"/>
    </row>
    <row r="485">
      <c r="A485" s="22"/>
      <c r="B485" s="11"/>
      <c r="C485" s="20"/>
      <c r="D485" s="20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5"/>
      <c r="U485" s="15"/>
      <c r="V485" s="15"/>
      <c r="W485" s="15"/>
    </row>
    <row r="486">
      <c r="A486" s="22"/>
      <c r="B486" s="11"/>
      <c r="C486" s="20"/>
      <c r="D486" s="2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5"/>
      <c r="U486" s="15"/>
      <c r="V486" s="15"/>
      <c r="W486" s="15"/>
    </row>
    <row r="487">
      <c r="A487" s="22"/>
      <c r="B487" s="11"/>
      <c r="C487" s="20"/>
      <c r="D487" s="2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5"/>
      <c r="U487" s="15"/>
      <c r="V487" s="15"/>
      <c r="W487" s="15"/>
    </row>
    <row r="488">
      <c r="A488" s="22"/>
      <c r="B488" s="11"/>
      <c r="C488" s="20"/>
      <c r="D488" s="20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5"/>
      <c r="U488" s="15"/>
      <c r="V488" s="15"/>
      <c r="W488" s="15"/>
    </row>
    <row r="489">
      <c r="A489" s="22"/>
      <c r="B489" s="11"/>
      <c r="C489" s="20"/>
      <c r="D489" s="20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5"/>
      <c r="U489" s="15"/>
      <c r="V489" s="15"/>
      <c r="W489" s="15"/>
    </row>
    <row r="490">
      <c r="A490" s="22"/>
      <c r="B490" s="11"/>
      <c r="C490" s="20"/>
      <c r="D490" s="20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5"/>
      <c r="U490" s="15"/>
      <c r="V490" s="15"/>
      <c r="W490" s="15"/>
    </row>
    <row r="491">
      <c r="A491" s="22"/>
      <c r="B491" s="11"/>
      <c r="C491" s="20"/>
      <c r="D491" s="20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5"/>
      <c r="U491" s="15"/>
      <c r="V491" s="15"/>
      <c r="W491" s="15"/>
    </row>
    <row r="492">
      <c r="A492" s="22"/>
      <c r="B492" s="11"/>
      <c r="C492" s="20"/>
      <c r="D492" s="20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5"/>
      <c r="U492" s="15"/>
      <c r="V492" s="15"/>
      <c r="W492" s="15"/>
    </row>
    <row r="493">
      <c r="A493" s="22"/>
      <c r="B493" s="11"/>
      <c r="C493" s="20"/>
      <c r="D493" s="20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5"/>
      <c r="U493" s="15"/>
      <c r="V493" s="15"/>
      <c r="W493" s="15"/>
    </row>
    <row r="494">
      <c r="A494" s="22"/>
      <c r="B494" s="11"/>
      <c r="C494" s="20"/>
      <c r="D494" s="20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5"/>
      <c r="U494" s="15"/>
      <c r="V494" s="15"/>
      <c r="W494" s="15"/>
    </row>
    <row r="495">
      <c r="A495" s="22"/>
      <c r="B495" s="11"/>
      <c r="C495" s="20"/>
      <c r="D495" s="20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5"/>
      <c r="U495" s="15"/>
      <c r="V495" s="15"/>
      <c r="W495" s="15"/>
    </row>
    <row r="496">
      <c r="A496" s="22"/>
      <c r="B496" s="11"/>
      <c r="C496" s="20"/>
      <c r="D496" s="20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5"/>
      <c r="U496" s="15"/>
      <c r="V496" s="15"/>
      <c r="W496" s="15"/>
    </row>
    <row r="497">
      <c r="A497" s="22"/>
      <c r="B497" s="11"/>
      <c r="C497" s="20"/>
      <c r="D497" s="20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5"/>
      <c r="U497" s="15"/>
      <c r="V497" s="15"/>
      <c r="W497" s="15"/>
    </row>
    <row r="498">
      <c r="A498" s="22"/>
      <c r="B498" s="11"/>
      <c r="C498" s="20"/>
      <c r="D498" s="20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5"/>
      <c r="U498" s="15"/>
      <c r="V498" s="15"/>
      <c r="W498" s="15"/>
    </row>
    <row r="499">
      <c r="A499" s="22"/>
      <c r="B499" s="11"/>
      <c r="C499" s="20"/>
      <c r="D499" s="20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5"/>
      <c r="U499" s="15"/>
      <c r="V499" s="15"/>
      <c r="W499" s="15"/>
    </row>
    <row r="500">
      <c r="A500" s="22"/>
      <c r="B500" s="11"/>
      <c r="C500" s="20"/>
      <c r="D500" s="20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5"/>
      <c r="U500" s="15"/>
      <c r="V500" s="15"/>
      <c r="W500" s="15"/>
    </row>
    <row r="501">
      <c r="A501" s="22"/>
      <c r="B501" s="11"/>
      <c r="C501" s="20"/>
      <c r="D501" s="20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5"/>
      <c r="U501" s="15"/>
      <c r="V501" s="15"/>
      <c r="W501" s="15"/>
    </row>
    <row r="502">
      <c r="A502" s="54"/>
      <c r="B502" s="11"/>
      <c r="C502" s="20"/>
      <c r="D502" s="20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5"/>
      <c r="U502" s="15"/>
      <c r="V502" s="15"/>
      <c r="W502" s="15"/>
    </row>
    <row r="503">
      <c r="A503" s="54"/>
      <c r="B503" s="11"/>
      <c r="C503" s="20"/>
      <c r="D503" s="20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5"/>
      <c r="U503" s="15"/>
      <c r="V503" s="15"/>
      <c r="W503" s="15"/>
    </row>
    <row r="504">
      <c r="A504" s="54"/>
      <c r="B504" s="11"/>
      <c r="C504" s="20"/>
      <c r="D504" s="20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5"/>
      <c r="U504" s="15"/>
      <c r="V504" s="15"/>
      <c r="W504" s="15"/>
    </row>
    <row r="505">
      <c r="A505" s="54"/>
      <c r="B505" s="11"/>
      <c r="C505" s="20"/>
      <c r="D505" s="20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5"/>
      <c r="U505" s="15"/>
      <c r="V505" s="15"/>
      <c r="W505" s="15"/>
    </row>
    <row r="506">
      <c r="A506" s="54"/>
      <c r="B506" s="11"/>
      <c r="C506" s="20"/>
      <c r="D506" s="20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5"/>
      <c r="U506" s="15"/>
      <c r="V506" s="15"/>
      <c r="W506" s="15"/>
    </row>
    <row r="507">
      <c r="A507" s="54"/>
      <c r="B507" s="11"/>
      <c r="C507" s="20"/>
      <c r="D507" s="20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5"/>
      <c r="U507" s="15"/>
      <c r="V507" s="15"/>
      <c r="W507" s="15"/>
    </row>
    <row r="508">
      <c r="A508" s="54"/>
      <c r="B508" s="11"/>
      <c r="C508" s="20"/>
      <c r="D508" s="20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5"/>
      <c r="U508" s="15"/>
      <c r="V508" s="15"/>
      <c r="W508" s="15"/>
    </row>
    <row r="509">
      <c r="A509" s="54"/>
      <c r="B509" s="11"/>
      <c r="C509" s="20"/>
      <c r="D509" s="20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5"/>
      <c r="U509" s="15"/>
      <c r="V509" s="15"/>
      <c r="W509" s="15"/>
    </row>
    <row r="510">
      <c r="A510" s="54"/>
      <c r="B510" s="11"/>
      <c r="C510" s="20"/>
      <c r="D510" s="20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5"/>
      <c r="U510" s="15"/>
      <c r="V510" s="15"/>
      <c r="W510" s="15"/>
    </row>
    <row r="511">
      <c r="A511" s="54"/>
      <c r="B511" s="11"/>
      <c r="C511" s="20"/>
      <c r="D511" s="20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5"/>
      <c r="U511" s="15"/>
      <c r="V511" s="15"/>
      <c r="W511" s="15"/>
    </row>
    <row r="512">
      <c r="A512" s="54"/>
      <c r="B512" s="11"/>
      <c r="C512" s="20"/>
      <c r="D512" s="20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5"/>
      <c r="U512" s="15"/>
      <c r="V512" s="15"/>
      <c r="W512" s="15"/>
    </row>
    <row r="513">
      <c r="A513" s="54"/>
      <c r="B513" s="11"/>
      <c r="C513" s="20"/>
      <c r="D513" s="20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5"/>
      <c r="U513" s="15"/>
      <c r="V513" s="15"/>
      <c r="W513" s="15"/>
    </row>
    <row r="514">
      <c r="A514" s="54"/>
      <c r="B514" s="11"/>
      <c r="C514" s="20"/>
      <c r="D514" s="20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5"/>
      <c r="U514" s="15"/>
      <c r="V514" s="15"/>
      <c r="W514" s="15"/>
    </row>
    <row r="515">
      <c r="A515" s="54"/>
      <c r="B515" s="11"/>
      <c r="C515" s="20"/>
      <c r="D515" s="20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5"/>
      <c r="U515" s="15"/>
      <c r="V515" s="15"/>
      <c r="W515" s="15"/>
    </row>
    <row r="516">
      <c r="A516" s="54"/>
      <c r="B516" s="11"/>
      <c r="C516" s="20"/>
      <c r="D516" s="20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5"/>
      <c r="U516" s="15"/>
      <c r="V516" s="15"/>
      <c r="W516" s="15"/>
    </row>
    <row r="517">
      <c r="A517" s="54"/>
      <c r="B517" s="11"/>
      <c r="C517" s="20"/>
      <c r="D517" s="20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5"/>
      <c r="U517" s="15"/>
      <c r="V517" s="15"/>
      <c r="W517" s="15"/>
    </row>
    <row r="518">
      <c r="A518" s="54"/>
      <c r="B518" s="11"/>
      <c r="C518" s="20"/>
      <c r="D518" s="20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5"/>
      <c r="U518" s="15"/>
      <c r="V518" s="15"/>
      <c r="W518" s="15"/>
    </row>
    <row r="519">
      <c r="A519" s="54"/>
      <c r="B519" s="11"/>
      <c r="C519" s="20"/>
      <c r="D519" s="20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5"/>
      <c r="U519" s="15"/>
      <c r="V519" s="15"/>
      <c r="W519" s="15"/>
    </row>
    <row r="520">
      <c r="A520" s="54"/>
      <c r="B520" s="11"/>
      <c r="C520" s="20"/>
      <c r="D520" s="20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5"/>
      <c r="U520" s="15"/>
      <c r="V520" s="15"/>
      <c r="W520" s="15"/>
    </row>
    <row r="521">
      <c r="A521" s="54"/>
      <c r="B521" s="11"/>
      <c r="C521" s="20"/>
      <c r="D521" s="20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5"/>
      <c r="U521" s="15"/>
      <c r="V521" s="15"/>
      <c r="W521" s="15"/>
    </row>
    <row r="522">
      <c r="A522" s="54"/>
      <c r="B522" s="11"/>
      <c r="C522" s="20"/>
      <c r="D522" s="20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5"/>
      <c r="U522" s="15"/>
      <c r="V522" s="15"/>
      <c r="W522" s="15"/>
    </row>
    <row r="523">
      <c r="A523" s="54"/>
      <c r="B523" s="11"/>
      <c r="C523" s="20"/>
      <c r="D523" s="20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5"/>
      <c r="U523" s="15"/>
      <c r="V523" s="15"/>
      <c r="W523" s="15"/>
    </row>
    <row r="524">
      <c r="A524" s="54"/>
      <c r="B524" s="11"/>
      <c r="C524" s="20"/>
      <c r="D524" s="20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5"/>
      <c r="U524" s="15"/>
      <c r="V524" s="15"/>
      <c r="W524" s="15"/>
    </row>
    <row r="525">
      <c r="A525" s="54"/>
      <c r="B525" s="11"/>
      <c r="C525" s="20"/>
      <c r="D525" s="20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5"/>
      <c r="U525" s="15"/>
      <c r="V525" s="15"/>
      <c r="W525" s="15"/>
    </row>
    <row r="526">
      <c r="A526" s="54"/>
      <c r="B526" s="11"/>
      <c r="C526" s="20"/>
      <c r="D526" s="20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5"/>
      <c r="U526" s="15"/>
      <c r="V526" s="15"/>
      <c r="W526" s="15"/>
    </row>
    <row r="527">
      <c r="A527" s="54"/>
      <c r="B527" s="11"/>
      <c r="C527" s="20"/>
      <c r="D527" s="20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5"/>
      <c r="U527" s="15"/>
      <c r="V527" s="15"/>
      <c r="W527" s="15"/>
    </row>
    <row r="528">
      <c r="A528" s="54"/>
      <c r="B528" s="11"/>
      <c r="C528" s="20"/>
      <c r="D528" s="20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5"/>
      <c r="U528" s="15"/>
      <c r="V528" s="15"/>
      <c r="W528" s="15"/>
    </row>
    <row r="529">
      <c r="A529" s="22"/>
      <c r="B529" s="11"/>
      <c r="C529" s="20"/>
      <c r="D529" s="20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5"/>
      <c r="U529" s="15"/>
      <c r="V529" s="15"/>
      <c r="W529" s="15"/>
    </row>
    <row r="530">
      <c r="A530" s="22"/>
      <c r="B530" s="11"/>
      <c r="C530" s="20"/>
      <c r="D530" s="20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5"/>
      <c r="U530" s="15"/>
      <c r="V530" s="15"/>
      <c r="W530" s="15"/>
    </row>
    <row r="531">
      <c r="A531" s="22"/>
      <c r="B531" s="11"/>
      <c r="C531" s="20"/>
      <c r="D531" s="20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5"/>
      <c r="U531" s="15"/>
      <c r="V531" s="15"/>
      <c r="W531" s="15"/>
    </row>
    <row r="532">
      <c r="A532" s="22"/>
      <c r="B532" s="11"/>
      <c r="C532" s="20"/>
      <c r="D532" s="20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5"/>
      <c r="U532" s="15"/>
      <c r="V532" s="15"/>
      <c r="W532" s="15"/>
    </row>
    <row r="533">
      <c r="A533" s="22"/>
      <c r="B533" s="11"/>
      <c r="C533" s="20"/>
      <c r="D533" s="20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5"/>
      <c r="U533" s="15"/>
      <c r="V533" s="15"/>
      <c r="W533" s="15"/>
    </row>
    <row r="534">
      <c r="A534" s="22"/>
      <c r="B534" s="11"/>
      <c r="C534" s="20"/>
      <c r="D534" s="20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5"/>
      <c r="U534" s="15"/>
      <c r="V534" s="15"/>
      <c r="W534" s="15"/>
    </row>
    <row r="535">
      <c r="A535" s="22"/>
      <c r="B535" s="11"/>
      <c r="C535" s="20"/>
      <c r="D535" s="20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5"/>
      <c r="U535" s="15"/>
      <c r="V535" s="15"/>
      <c r="W535" s="15"/>
    </row>
    <row r="536">
      <c r="A536" s="22"/>
      <c r="B536" s="11"/>
      <c r="C536" s="20"/>
      <c r="D536" s="20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5"/>
      <c r="U536" s="15"/>
      <c r="V536" s="15"/>
      <c r="W536" s="15"/>
    </row>
    <row r="537">
      <c r="A537" s="22"/>
      <c r="B537" s="11"/>
      <c r="C537" s="20"/>
      <c r="D537" s="20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5"/>
      <c r="U537" s="15"/>
      <c r="V537" s="15"/>
      <c r="W537" s="15"/>
    </row>
    <row r="538">
      <c r="A538" s="22"/>
      <c r="B538" s="11"/>
      <c r="C538" s="20"/>
      <c r="D538" s="20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5"/>
      <c r="U538" s="15"/>
      <c r="V538" s="15"/>
      <c r="W538" s="15"/>
    </row>
    <row r="539">
      <c r="A539" s="22"/>
      <c r="B539" s="11"/>
      <c r="C539" s="20"/>
      <c r="D539" s="20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5"/>
      <c r="U539" s="15"/>
      <c r="V539" s="15"/>
      <c r="W539" s="15"/>
    </row>
    <row r="540">
      <c r="A540" s="22"/>
      <c r="B540" s="11"/>
      <c r="C540" s="20"/>
      <c r="D540" s="20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5"/>
      <c r="U540" s="15"/>
      <c r="V540" s="15"/>
      <c r="W540" s="15"/>
    </row>
    <row r="541">
      <c r="A541" s="22"/>
      <c r="B541" s="11"/>
      <c r="C541" s="20"/>
      <c r="D541" s="20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5"/>
      <c r="U541" s="15"/>
      <c r="V541" s="15"/>
      <c r="W541" s="15"/>
    </row>
    <row r="542">
      <c r="A542" s="22"/>
      <c r="B542" s="11"/>
      <c r="C542" s="20"/>
      <c r="D542" s="20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5"/>
      <c r="U542" s="15"/>
      <c r="V542" s="15"/>
      <c r="W542" s="15"/>
    </row>
    <row r="543">
      <c r="A543" s="22"/>
      <c r="B543" s="11"/>
      <c r="C543" s="20"/>
      <c r="D543" s="20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5"/>
      <c r="U543" s="15"/>
      <c r="V543" s="15"/>
      <c r="W543" s="15"/>
    </row>
    <row r="544">
      <c r="A544" s="22"/>
      <c r="B544" s="11"/>
      <c r="C544" s="20"/>
      <c r="D544" s="20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5"/>
      <c r="U544" s="15"/>
      <c r="V544" s="15"/>
      <c r="W544" s="15"/>
    </row>
    <row r="545">
      <c r="A545" s="22"/>
      <c r="B545" s="11"/>
      <c r="C545" s="20"/>
      <c r="D545" s="20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5"/>
      <c r="U545" s="15"/>
      <c r="V545" s="15"/>
      <c r="W545" s="15"/>
    </row>
    <row r="546">
      <c r="A546" s="22"/>
      <c r="B546" s="11"/>
      <c r="C546" s="20"/>
      <c r="D546" s="20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5"/>
      <c r="U546" s="15"/>
      <c r="V546" s="15"/>
      <c r="W546" s="15"/>
    </row>
    <row r="547">
      <c r="A547" s="22"/>
      <c r="B547" s="11"/>
      <c r="C547" s="20"/>
      <c r="D547" s="20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5"/>
      <c r="U547" s="15"/>
      <c r="V547" s="15"/>
      <c r="W547" s="15"/>
    </row>
    <row r="548">
      <c r="A548" s="54"/>
      <c r="B548" s="11"/>
      <c r="C548" s="20"/>
      <c r="D548" s="20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5"/>
      <c r="U548" s="15"/>
      <c r="V548" s="15"/>
      <c r="W548" s="15"/>
    </row>
    <row r="549">
      <c r="A549" s="54"/>
      <c r="B549" s="11"/>
      <c r="C549" s="20"/>
      <c r="D549" s="20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5"/>
      <c r="U549" s="15"/>
      <c r="V549" s="15"/>
      <c r="W549" s="15"/>
    </row>
    <row r="550">
      <c r="A550" s="54"/>
      <c r="B550" s="11"/>
      <c r="C550" s="20"/>
      <c r="D550" s="20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5"/>
      <c r="U550" s="15"/>
      <c r="V550" s="15"/>
      <c r="W550" s="15"/>
    </row>
    <row r="551">
      <c r="A551" s="54"/>
      <c r="B551" s="11"/>
      <c r="C551" s="20"/>
      <c r="D551" s="20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5"/>
      <c r="U551" s="15"/>
      <c r="V551" s="15"/>
      <c r="W551" s="15"/>
    </row>
    <row r="552">
      <c r="A552" s="54"/>
      <c r="B552" s="11"/>
      <c r="C552" s="20"/>
      <c r="D552" s="20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5"/>
      <c r="U552" s="15"/>
      <c r="V552" s="15"/>
      <c r="W552" s="15"/>
    </row>
    <row r="553">
      <c r="A553" s="54"/>
      <c r="B553" s="11"/>
      <c r="C553" s="20"/>
      <c r="D553" s="20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5"/>
      <c r="U553" s="15"/>
      <c r="V553" s="15"/>
      <c r="W553" s="15"/>
    </row>
    <row r="554">
      <c r="A554" s="54"/>
      <c r="B554" s="11"/>
      <c r="C554" s="20"/>
      <c r="D554" s="20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5"/>
      <c r="U554" s="15"/>
      <c r="V554" s="15"/>
      <c r="W554" s="15"/>
    </row>
    <row r="555">
      <c r="A555" s="54"/>
      <c r="B555" s="11"/>
      <c r="C555" s="20"/>
      <c r="D555" s="20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5"/>
      <c r="U555" s="15"/>
      <c r="V555" s="15"/>
      <c r="W555" s="15"/>
    </row>
    <row r="556">
      <c r="A556" s="54"/>
      <c r="B556" s="11"/>
      <c r="C556" s="20"/>
      <c r="D556" s="20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5"/>
      <c r="U556" s="15"/>
      <c r="V556" s="15"/>
      <c r="W556" s="15"/>
    </row>
    <row r="557">
      <c r="A557" s="54"/>
      <c r="B557" s="11"/>
      <c r="C557" s="20"/>
      <c r="D557" s="20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5"/>
      <c r="U557" s="15"/>
      <c r="V557" s="15"/>
      <c r="W557" s="15"/>
    </row>
    <row r="558">
      <c r="A558" s="54"/>
      <c r="B558" s="11"/>
      <c r="C558" s="20"/>
      <c r="D558" s="20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5"/>
      <c r="U558" s="15"/>
      <c r="V558" s="15"/>
      <c r="W558" s="15"/>
    </row>
    <row r="559">
      <c r="A559" s="54"/>
      <c r="B559" s="11"/>
      <c r="C559" s="20"/>
      <c r="D559" s="20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5"/>
      <c r="U559" s="15"/>
      <c r="V559" s="15"/>
      <c r="W559" s="15"/>
    </row>
    <row r="560">
      <c r="A560" s="54"/>
      <c r="B560" s="11"/>
      <c r="C560" s="20"/>
      <c r="D560" s="20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5"/>
      <c r="U560" s="15"/>
      <c r="V560" s="15"/>
      <c r="W560" s="15"/>
    </row>
    <row r="561">
      <c r="A561" s="54"/>
      <c r="B561" s="11"/>
      <c r="C561" s="20"/>
      <c r="D561" s="20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5"/>
      <c r="U561" s="15"/>
      <c r="V561" s="15"/>
      <c r="W561" s="15"/>
    </row>
    <row r="562">
      <c r="A562" s="54"/>
      <c r="B562" s="11"/>
      <c r="C562" s="20"/>
      <c r="D562" s="20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5"/>
      <c r="U562" s="15"/>
      <c r="V562" s="15"/>
      <c r="W562" s="15"/>
    </row>
    <row r="563">
      <c r="A563" s="54"/>
      <c r="B563" s="11"/>
      <c r="C563" s="20"/>
      <c r="D563" s="20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5"/>
      <c r="U563" s="15"/>
      <c r="V563" s="15"/>
      <c r="W563" s="15"/>
    </row>
    <row r="564">
      <c r="A564" s="54"/>
      <c r="B564" s="11"/>
      <c r="C564" s="20"/>
      <c r="D564" s="20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5"/>
      <c r="U564" s="15"/>
      <c r="V564" s="15"/>
      <c r="W564" s="15"/>
    </row>
    <row r="565">
      <c r="A565" s="54"/>
      <c r="B565" s="11"/>
      <c r="C565" s="20"/>
      <c r="D565" s="20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5"/>
      <c r="U565" s="15"/>
      <c r="V565" s="15"/>
      <c r="W565" s="15"/>
    </row>
    <row r="566">
      <c r="A566" s="22"/>
      <c r="B566" s="11"/>
      <c r="C566" s="20"/>
      <c r="D566" s="20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5"/>
      <c r="U566" s="15"/>
      <c r="V566" s="15"/>
      <c r="W566" s="15"/>
    </row>
    <row r="567">
      <c r="A567" s="22"/>
      <c r="B567" s="11"/>
      <c r="C567" s="20"/>
      <c r="D567" s="20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5"/>
      <c r="U567" s="15"/>
      <c r="V567" s="15"/>
      <c r="W567" s="15"/>
    </row>
    <row r="568">
      <c r="A568" s="22"/>
      <c r="B568" s="11"/>
      <c r="C568" s="20"/>
      <c r="D568" s="20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5"/>
      <c r="U568" s="15"/>
      <c r="V568" s="15"/>
      <c r="W568" s="15"/>
    </row>
    <row r="569">
      <c r="A569" s="22"/>
      <c r="B569" s="11"/>
      <c r="C569" s="20"/>
      <c r="D569" s="20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5"/>
      <c r="U569" s="15"/>
      <c r="V569" s="15"/>
      <c r="W569" s="15"/>
    </row>
    <row r="570">
      <c r="A570" s="22"/>
      <c r="B570" s="11"/>
      <c r="C570" s="20"/>
      <c r="D570" s="20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5"/>
      <c r="U570" s="15"/>
      <c r="V570" s="15"/>
      <c r="W570" s="15"/>
    </row>
    <row r="571">
      <c r="A571" s="22"/>
      <c r="B571" s="11"/>
      <c r="C571" s="20"/>
      <c r="D571" s="20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5"/>
      <c r="U571" s="15"/>
      <c r="V571" s="15"/>
      <c r="W571" s="15"/>
    </row>
    <row r="572">
      <c r="A572" s="22"/>
      <c r="B572" s="11"/>
      <c r="C572" s="20"/>
      <c r="D572" s="20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5"/>
      <c r="U572" s="15"/>
      <c r="V572" s="15"/>
      <c r="W572" s="15"/>
    </row>
    <row r="573">
      <c r="A573" s="22"/>
      <c r="B573" s="11"/>
      <c r="C573" s="20"/>
      <c r="D573" s="20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5"/>
      <c r="U573" s="15"/>
      <c r="V573" s="15"/>
      <c r="W573" s="15"/>
    </row>
    <row r="574">
      <c r="A574" s="22"/>
      <c r="B574" s="11"/>
      <c r="C574" s="20"/>
      <c r="D574" s="20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5"/>
      <c r="U574" s="15"/>
      <c r="V574" s="15"/>
      <c r="W574" s="15"/>
    </row>
    <row r="575">
      <c r="A575" s="22"/>
      <c r="B575" s="11"/>
      <c r="C575" s="20"/>
      <c r="D575" s="20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5"/>
      <c r="U575" s="15"/>
      <c r="V575" s="15"/>
      <c r="W575" s="15"/>
    </row>
    <row r="576">
      <c r="A576" s="22"/>
      <c r="B576" s="11"/>
      <c r="C576" s="20"/>
      <c r="D576" s="20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5"/>
      <c r="U576" s="15"/>
      <c r="V576" s="15"/>
      <c r="W576" s="15"/>
    </row>
    <row r="577">
      <c r="A577" s="22"/>
      <c r="B577" s="11"/>
      <c r="C577" s="20"/>
      <c r="D577" s="20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5"/>
      <c r="U577" s="15"/>
      <c r="V577" s="15"/>
      <c r="W577" s="15"/>
    </row>
    <row r="578">
      <c r="A578" s="22"/>
      <c r="B578" s="11"/>
      <c r="C578" s="20"/>
      <c r="D578" s="20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5"/>
      <c r="U578" s="15"/>
      <c r="V578" s="15"/>
      <c r="W578" s="15"/>
    </row>
    <row r="579">
      <c r="A579" s="22"/>
      <c r="B579" s="11"/>
      <c r="C579" s="20"/>
      <c r="D579" s="20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5"/>
      <c r="U579" s="15"/>
      <c r="V579" s="15"/>
      <c r="W579" s="15"/>
    </row>
    <row r="580">
      <c r="A580" s="22"/>
      <c r="B580" s="11"/>
      <c r="C580" s="20"/>
      <c r="D580" s="20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5"/>
      <c r="U580" s="15"/>
      <c r="V580" s="15"/>
      <c r="W580" s="15"/>
    </row>
    <row r="581">
      <c r="A581" s="22"/>
      <c r="B581" s="11"/>
      <c r="C581" s="20"/>
      <c r="D581" s="20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5"/>
      <c r="U581" s="15"/>
      <c r="V581" s="15"/>
      <c r="W581" s="15"/>
    </row>
    <row r="582">
      <c r="A582" s="22"/>
      <c r="B582" s="11"/>
      <c r="C582" s="20"/>
      <c r="D582" s="20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5"/>
      <c r="U582" s="15"/>
      <c r="V582" s="15"/>
      <c r="W582" s="15"/>
    </row>
    <row r="583">
      <c r="A583" s="22"/>
      <c r="B583" s="11"/>
      <c r="C583" s="20"/>
      <c r="D583" s="20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5"/>
      <c r="U583" s="15"/>
      <c r="V583" s="15"/>
      <c r="W583" s="15"/>
    </row>
    <row r="584">
      <c r="A584" s="22"/>
      <c r="B584" s="11"/>
      <c r="C584" s="20"/>
      <c r="D584" s="20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5"/>
      <c r="U584" s="15"/>
      <c r="V584" s="15"/>
      <c r="W584" s="15"/>
    </row>
    <row r="585">
      <c r="A585" s="54"/>
      <c r="B585" s="11"/>
      <c r="C585" s="20"/>
      <c r="D585" s="20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5"/>
      <c r="U585" s="15"/>
      <c r="V585" s="15"/>
      <c r="W585" s="15"/>
    </row>
    <row r="586">
      <c r="A586" s="54"/>
      <c r="B586" s="11"/>
      <c r="C586" s="20"/>
      <c r="D586" s="20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5"/>
      <c r="U586" s="15"/>
      <c r="V586" s="15"/>
      <c r="W586" s="15"/>
    </row>
    <row r="587">
      <c r="A587" s="54"/>
      <c r="B587" s="11"/>
      <c r="C587" s="20"/>
      <c r="D587" s="20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5"/>
      <c r="U587" s="15"/>
      <c r="V587" s="15"/>
      <c r="W587" s="15"/>
    </row>
    <row r="588">
      <c r="A588" s="54"/>
      <c r="B588" s="11"/>
      <c r="C588" s="20"/>
      <c r="D588" s="20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5"/>
      <c r="U588" s="15"/>
      <c r="V588" s="15"/>
      <c r="W588" s="15"/>
    </row>
    <row r="589">
      <c r="A589" s="54"/>
      <c r="B589" s="11"/>
      <c r="C589" s="20"/>
      <c r="D589" s="20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5"/>
      <c r="U589" s="15"/>
      <c r="V589" s="15"/>
      <c r="W589" s="15"/>
    </row>
    <row r="590">
      <c r="A590" s="54"/>
      <c r="B590" s="11"/>
      <c r="C590" s="20"/>
      <c r="D590" s="20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5"/>
      <c r="U590" s="15"/>
      <c r="V590" s="15"/>
      <c r="W590" s="15"/>
    </row>
    <row r="591">
      <c r="A591" s="54"/>
      <c r="B591" s="11"/>
      <c r="C591" s="20"/>
      <c r="D591" s="20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5"/>
      <c r="U591" s="15"/>
      <c r="V591" s="15"/>
      <c r="W591" s="15"/>
    </row>
    <row r="592">
      <c r="A592" s="54"/>
      <c r="B592" s="11"/>
      <c r="C592" s="20"/>
      <c r="D592" s="20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5"/>
      <c r="U592" s="15"/>
      <c r="V592" s="15"/>
      <c r="W592" s="15"/>
    </row>
    <row r="593">
      <c r="A593" s="54"/>
      <c r="B593" s="11"/>
      <c r="C593" s="20"/>
      <c r="D593" s="20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5"/>
      <c r="U593" s="15"/>
      <c r="V593" s="15"/>
      <c r="W593" s="15"/>
    </row>
    <row r="594">
      <c r="A594" s="54"/>
      <c r="B594" s="11"/>
      <c r="C594" s="20"/>
      <c r="D594" s="20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5"/>
      <c r="U594" s="15"/>
      <c r="V594" s="15"/>
      <c r="W594" s="15"/>
    </row>
    <row r="595">
      <c r="A595" s="54"/>
      <c r="B595" s="11"/>
      <c r="C595" s="20"/>
      <c r="D595" s="20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5"/>
      <c r="U595" s="15"/>
      <c r="V595" s="15"/>
      <c r="W595" s="15"/>
    </row>
    <row r="596">
      <c r="A596" s="54"/>
      <c r="B596" s="11"/>
      <c r="C596" s="20"/>
      <c r="D596" s="20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5"/>
      <c r="U596" s="15"/>
      <c r="V596" s="15"/>
      <c r="W596" s="15"/>
    </row>
    <row r="597">
      <c r="A597" s="54"/>
      <c r="B597" s="11"/>
      <c r="C597" s="20"/>
      <c r="D597" s="20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5"/>
      <c r="U597" s="15"/>
      <c r="V597" s="15"/>
      <c r="W597" s="15"/>
    </row>
    <row r="598">
      <c r="A598" s="54"/>
      <c r="B598" s="11"/>
      <c r="C598" s="20"/>
      <c r="D598" s="20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5"/>
      <c r="U598" s="15"/>
      <c r="V598" s="15"/>
      <c r="W598" s="15"/>
    </row>
    <row r="599">
      <c r="A599" s="54"/>
      <c r="B599" s="11"/>
      <c r="C599" s="20"/>
      <c r="D599" s="20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5"/>
      <c r="U599" s="15"/>
      <c r="V599" s="15"/>
      <c r="W599" s="15"/>
    </row>
    <row r="600">
      <c r="A600" s="54"/>
      <c r="B600" s="11"/>
      <c r="C600" s="20"/>
      <c r="D600" s="20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5"/>
      <c r="U600" s="15"/>
      <c r="V600" s="15"/>
      <c r="W600" s="15"/>
    </row>
    <row r="601">
      <c r="A601" s="54"/>
      <c r="B601" s="11"/>
      <c r="C601" s="20"/>
      <c r="D601" s="20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5"/>
      <c r="U601" s="15"/>
      <c r="V601" s="15"/>
      <c r="W601" s="15"/>
    </row>
    <row r="602">
      <c r="A602" s="54"/>
      <c r="B602" s="11"/>
      <c r="C602" s="20"/>
      <c r="D602" s="20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5"/>
      <c r="U602" s="15"/>
      <c r="V602" s="15"/>
      <c r="W602" s="15"/>
    </row>
    <row r="603">
      <c r="A603" s="54"/>
      <c r="B603" s="11"/>
      <c r="C603" s="20"/>
      <c r="D603" s="20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5"/>
      <c r="U603" s="15"/>
      <c r="V603" s="15"/>
      <c r="W603" s="15"/>
    </row>
    <row r="604">
      <c r="A604" s="54"/>
      <c r="B604" s="11"/>
      <c r="C604" s="20"/>
      <c r="D604" s="20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5"/>
      <c r="U604" s="15"/>
      <c r="V604" s="15"/>
      <c r="W604" s="15"/>
    </row>
    <row r="605">
      <c r="A605" s="54"/>
      <c r="B605" s="11"/>
      <c r="C605" s="20"/>
      <c r="D605" s="20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5"/>
      <c r="U605" s="15"/>
      <c r="V605" s="15"/>
      <c r="W605" s="15"/>
    </row>
    <row r="606">
      <c r="A606" s="54"/>
      <c r="B606" s="11"/>
      <c r="C606" s="20"/>
      <c r="D606" s="20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5"/>
      <c r="U606" s="15"/>
      <c r="V606" s="15"/>
      <c r="W606" s="15"/>
    </row>
    <row r="607">
      <c r="A607" s="54"/>
      <c r="B607" s="11"/>
      <c r="C607" s="20"/>
      <c r="D607" s="20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5"/>
      <c r="U607" s="15"/>
      <c r="V607" s="15"/>
      <c r="W607" s="15"/>
    </row>
    <row r="608">
      <c r="A608" s="54"/>
      <c r="B608" s="11"/>
      <c r="C608" s="20"/>
      <c r="D608" s="20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5"/>
      <c r="U608" s="15"/>
      <c r="V608" s="15"/>
      <c r="W608" s="15"/>
    </row>
    <row r="609">
      <c r="A609" s="54"/>
      <c r="B609" s="11"/>
      <c r="C609" s="20"/>
      <c r="D609" s="20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5"/>
      <c r="U609" s="15"/>
      <c r="V609" s="15"/>
      <c r="W609" s="15"/>
    </row>
    <row r="610">
      <c r="A610" s="54"/>
      <c r="B610" s="11"/>
      <c r="C610" s="20"/>
      <c r="D610" s="20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5"/>
      <c r="U610" s="15"/>
      <c r="V610" s="15"/>
      <c r="W610" s="15"/>
    </row>
    <row r="611">
      <c r="A611" s="54"/>
      <c r="B611" s="11"/>
      <c r="C611" s="20"/>
      <c r="D611" s="20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5"/>
      <c r="U611" s="15"/>
      <c r="V611" s="15"/>
      <c r="W611" s="15"/>
    </row>
    <row r="612">
      <c r="A612" s="22"/>
      <c r="B612" s="11"/>
      <c r="C612" s="20"/>
      <c r="D612" s="20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5"/>
      <c r="U612" s="15"/>
      <c r="V612" s="15"/>
      <c r="W612" s="15"/>
    </row>
    <row r="613">
      <c r="A613" s="22"/>
      <c r="B613" s="11"/>
      <c r="C613" s="20"/>
      <c r="D613" s="20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5"/>
      <c r="U613" s="15"/>
      <c r="V613" s="15"/>
      <c r="W613" s="15"/>
    </row>
    <row r="614">
      <c r="A614" s="22"/>
      <c r="B614" s="11"/>
      <c r="C614" s="20"/>
      <c r="D614" s="20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5"/>
      <c r="U614" s="15"/>
      <c r="V614" s="15"/>
      <c r="W614" s="15"/>
    </row>
    <row r="615">
      <c r="A615" s="22"/>
      <c r="B615" s="11"/>
      <c r="C615" s="20"/>
      <c r="D615" s="20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5"/>
      <c r="U615" s="15"/>
      <c r="V615" s="15"/>
      <c r="W615" s="15"/>
    </row>
    <row r="616">
      <c r="A616" s="22"/>
      <c r="B616" s="11"/>
      <c r="C616" s="20"/>
      <c r="D616" s="20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5"/>
      <c r="U616" s="15"/>
      <c r="V616" s="15"/>
      <c r="W616" s="15"/>
    </row>
    <row r="617">
      <c r="A617" s="22"/>
      <c r="B617" s="11"/>
      <c r="C617" s="20"/>
      <c r="D617" s="20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5"/>
      <c r="U617" s="15"/>
      <c r="V617" s="15"/>
      <c r="W617" s="15"/>
    </row>
    <row r="618">
      <c r="A618" s="22"/>
      <c r="B618" s="11"/>
      <c r="C618" s="20"/>
      <c r="D618" s="20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5"/>
      <c r="U618" s="15"/>
      <c r="V618" s="15"/>
      <c r="W618" s="15"/>
    </row>
    <row r="619">
      <c r="A619" s="22"/>
      <c r="B619" s="11"/>
      <c r="C619" s="20"/>
      <c r="D619" s="20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5"/>
      <c r="U619" s="15"/>
      <c r="V619" s="15"/>
      <c r="W619" s="15"/>
    </row>
    <row r="620">
      <c r="A620" s="22"/>
      <c r="B620" s="11"/>
      <c r="C620" s="20"/>
      <c r="D620" s="20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5"/>
      <c r="U620" s="15"/>
      <c r="V620" s="15"/>
      <c r="W620" s="15"/>
    </row>
    <row r="621">
      <c r="A621" s="22"/>
      <c r="B621" s="11"/>
      <c r="C621" s="20"/>
      <c r="D621" s="20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5"/>
      <c r="U621" s="15"/>
      <c r="V621" s="15"/>
      <c r="W621" s="15"/>
    </row>
    <row r="622">
      <c r="A622" s="22"/>
      <c r="B622" s="11"/>
      <c r="C622" s="20"/>
      <c r="D622" s="20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5"/>
      <c r="U622" s="15"/>
      <c r="V622" s="15"/>
      <c r="W622" s="15"/>
    </row>
    <row r="623">
      <c r="A623" s="22"/>
      <c r="B623" s="11"/>
      <c r="C623" s="20"/>
      <c r="D623" s="20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5"/>
      <c r="U623" s="15"/>
      <c r="V623" s="15"/>
      <c r="W623" s="15"/>
    </row>
    <row r="624">
      <c r="A624" s="22"/>
      <c r="B624" s="11"/>
      <c r="C624" s="20"/>
      <c r="D624" s="20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5"/>
      <c r="U624" s="15"/>
      <c r="V624" s="15"/>
      <c r="W624" s="15"/>
    </row>
    <row r="625">
      <c r="A625" s="22"/>
      <c r="B625" s="11"/>
      <c r="C625" s="20"/>
      <c r="D625" s="20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5"/>
      <c r="U625" s="15"/>
      <c r="V625" s="15"/>
      <c r="W625" s="15"/>
    </row>
    <row r="626">
      <c r="A626" s="22"/>
      <c r="B626" s="11"/>
      <c r="C626" s="20"/>
      <c r="D626" s="20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5"/>
      <c r="U626" s="15"/>
      <c r="V626" s="15"/>
      <c r="W626" s="15"/>
    </row>
    <row r="627">
      <c r="A627" s="22"/>
      <c r="B627" s="11"/>
      <c r="C627" s="20"/>
      <c r="D627" s="20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5"/>
      <c r="U627" s="15"/>
      <c r="V627" s="15"/>
      <c r="W627" s="15"/>
    </row>
    <row r="628">
      <c r="A628" s="22"/>
      <c r="B628" s="11"/>
      <c r="C628" s="20"/>
      <c r="D628" s="20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5"/>
      <c r="U628" s="15"/>
      <c r="V628" s="15"/>
      <c r="W628" s="15"/>
    </row>
    <row r="629">
      <c r="A629" s="22"/>
      <c r="B629" s="11"/>
      <c r="C629" s="20"/>
      <c r="D629" s="20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5"/>
      <c r="U629" s="15"/>
      <c r="V629" s="15"/>
      <c r="W629" s="15"/>
    </row>
    <row r="630">
      <c r="A630" s="22"/>
      <c r="B630" s="11"/>
      <c r="C630" s="20"/>
      <c r="D630" s="20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5"/>
      <c r="U630" s="15"/>
      <c r="V630" s="15"/>
      <c r="W630" s="15"/>
    </row>
    <row r="631">
      <c r="A631" s="54"/>
      <c r="B631" s="11"/>
      <c r="C631" s="20"/>
      <c r="D631" s="20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5"/>
      <c r="U631" s="15"/>
      <c r="V631" s="15"/>
      <c r="W631" s="15"/>
    </row>
    <row r="632">
      <c r="A632" s="54"/>
      <c r="B632" s="11"/>
      <c r="C632" s="20"/>
      <c r="D632" s="20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5"/>
      <c r="U632" s="15"/>
      <c r="V632" s="15"/>
      <c r="W632" s="15"/>
    </row>
    <row r="633">
      <c r="A633" s="54"/>
      <c r="B633" s="11"/>
      <c r="C633" s="20"/>
      <c r="D633" s="20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5"/>
      <c r="U633" s="15"/>
      <c r="V633" s="15"/>
      <c r="W633" s="15"/>
    </row>
    <row r="634">
      <c r="A634" s="54"/>
      <c r="B634" s="11"/>
      <c r="C634" s="20"/>
      <c r="D634" s="20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5"/>
      <c r="U634" s="15"/>
      <c r="V634" s="15"/>
      <c r="W634" s="15"/>
    </row>
    <row r="635">
      <c r="A635" s="54"/>
      <c r="B635" s="11"/>
      <c r="C635" s="20"/>
      <c r="D635" s="20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5"/>
      <c r="U635" s="15"/>
      <c r="V635" s="15"/>
      <c r="W635" s="15"/>
    </row>
    <row r="636">
      <c r="A636" s="54"/>
      <c r="B636" s="11"/>
      <c r="C636" s="20"/>
      <c r="D636" s="20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5"/>
      <c r="U636" s="15"/>
      <c r="V636" s="15"/>
      <c r="W636" s="15"/>
    </row>
    <row r="637">
      <c r="A637" s="54"/>
      <c r="B637" s="11"/>
      <c r="C637" s="20"/>
      <c r="D637" s="20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5"/>
      <c r="U637" s="15"/>
      <c r="V637" s="15"/>
      <c r="W637" s="15"/>
    </row>
    <row r="638">
      <c r="A638" s="54"/>
      <c r="B638" s="11"/>
      <c r="C638" s="20"/>
      <c r="D638" s="20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5"/>
      <c r="U638" s="15"/>
      <c r="V638" s="15"/>
      <c r="W638" s="15"/>
    </row>
    <row r="639">
      <c r="A639" s="54"/>
      <c r="B639" s="11"/>
      <c r="C639" s="20"/>
      <c r="D639" s="20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5"/>
      <c r="U639" s="15"/>
      <c r="V639" s="15"/>
      <c r="W639" s="15"/>
    </row>
    <row r="640">
      <c r="A640" s="54"/>
      <c r="B640" s="11"/>
      <c r="C640" s="20"/>
      <c r="D640" s="20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5"/>
      <c r="U640" s="15"/>
      <c r="V640" s="15"/>
      <c r="W640" s="15"/>
    </row>
    <row r="641">
      <c r="A641" s="54"/>
      <c r="B641" s="11"/>
      <c r="C641" s="20"/>
      <c r="D641" s="20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5"/>
      <c r="U641" s="15"/>
      <c r="V641" s="15"/>
      <c r="W641" s="15"/>
    </row>
    <row r="642">
      <c r="A642" s="54"/>
      <c r="B642" s="11"/>
      <c r="C642" s="20"/>
      <c r="D642" s="20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5"/>
      <c r="U642" s="15"/>
      <c r="V642" s="15"/>
      <c r="W642" s="15"/>
    </row>
    <row r="643">
      <c r="A643" s="54"/>
      <c r="B643" s="11"/>
      <c r="C643" s="20"/>
      <c r="D643" s="20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5"/>
      <c r="U643" s="15"/>
      <c r="V643" s="15"/>
      <c r="W643" s="15"/>
    </row>
    <row r="644">
      <c r="A644" s="54"/>
      <c r="B644" s="11"/>
      <c r="C644" s="20"/>
      <c r="D644" s="20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5"/>
      <c r="U644" s="15"/>
      <c r="V644" s="15"/>
      <c r="W644" s="15"/>
    </row>
    <row r="645">
      <c r="A645" s="54"/>
      <c r="B645" s="11"/>
      <c r="C645" s="20"/>
      <c r="D645" s="20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5"/>
      <c r="U645" s="15"/>
      <c r="V645" s="15"/>
      <c r="W645" s="15"/>
    </row>
    <row r="646">
      <c r="A646" s="54"/>
      <c r="B646" s="11"/>
      <c r="C646" s="20"/>
      <c r="D646" s="20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5"/>
      <c r="U646" s="15"/>
      <c r="V646" s="15"/>
      <c r="W646" s="15"/>
    </row>
    <row r="647">
      <c r="A647" s="54"/>
      <c r="B647" s="11"/>
      <c r="C647" s="20"/>
      <c r="D647" s="20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5"/>
      <c r="U647" s="15"/>
      <c r="V647" s="15"/>
      <c r="W647" s="15"/>
    </row>
    <row r="648">
      <c r="A648" s="54"/>
      <c r="B648" s="11"/>
      <c r="C648" s="20"/>
      <c r="D648" s="20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5"/>
      <c r="U648" s="15"/>
      <c r="V648" s="15"/>
      <c r="W648" s="15"/>
    </row>
    <row r="649">
      <c r="A649" s="22"/>
      <c r="B649" s="11"/>
      <c r="C649" s="20"/>
      <c r="D649" s="20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5"/>
      <c r="U649" s="15"/>
      <c r="V649" s="15"/>
      <c r="W649" s="15"/>
    </row>
    <row r="650">
      <c r="A650" s="22"/>
      <c r="B650" s="11"/>
      <c r="C650" s="20"/>
      <c r="D650" s="20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5"/>
      <c r="U650" s="15"/>
      <c r="V650" s="15"/>
      <c r="W650" s="15"/>
    </row>
    <row r="651">
      <c r="A651" s="22"/>
      <c r="B651" s="11"/>
      <c r="C651" s="20"/>
      <c r="D651" s="20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5"/>
      <c r="U651" s="15"/>
      <c r="V651" s="15"/>
      <c r="W651" s="15"/>
    </row>
    <row r="652">
      <c r="A652" s="22"/>
      <c r="B652" s="11"/>
      <c r="C652" s="20"/>
      <c r="D652" s="20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5"/>
      <c r="U652" s="15"/>
      <c r="V652" s="15"/>
      <c r="W652" s="15"/>
    </row>
    <row r="653">
      <c r="A653" s="22"/>
      <c r="B653" s="11"/>
      <c r="C653" s="20"/>
      <c r="D653" s="20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5"/>
      <c r="U653" s="15"/>
      <c r="V653" s="15"/>
      <c r="W653" s="15"/>
    </row>
    <row r="654">
      <c r="A654" s="22"/>
      <c r="B654" s="11"/>
      <c r="C654" s="20"/>
      <c r="D654" s="20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5"/>
      <c r="U654" s="15"/>
      <c r="V654" s="15"/>
      <c r="W654" s="15"/>
    </row>
    <row r="655">
      <c r="A655" s="22"/>
      <c r="B655" s="11"/>
      <c r="C655" s="20"/>
      <c r="D655" s="20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5"/>
      <c r="U655" s="15"/>
      <c r="V655" s="15"/>
      <c r="W655" s="15"/>
    </row>
    <row r="656">
      <c r="A656" s="22"/>
      <c r="B656" s="11"/>
      <c r="C656" s="20"/>
      <c r="D656" s="20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5"/>
      <c r="U656" s="15"/>
      <c r="V656" s="15"/>
      <c r="W656" s="15"/>
    </row>
    <row r="657">
      <c r="A657" s="22"/>
      <c r="B657" s="11"/>
      <c r="C657" s="20"/>
      <c r="D657" s="20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5"/>
      <c r="U657" s="15"/>
      <c r="V657" s="15"/>
      <c r="W657" s="15"/>
    </row>
    <row r="658">
      <c r="A658" s="22"/>
      <c r="B658" s="11"/>
      <c r="C658" s="20"/>
      <c r="D658" s="20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5"/>
      <c r="U658" s="15"/>
      <c r="V658" s="15"/>
      <c r="W658" s="15"/>
    </row>
    <row r="659">
      <c r="A659" s="22"/>
      <c r="B659" s="11"/>
      <c r="C659" s="20"/>
      <c r="D659" s="20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5"/>
      <c r="U659" s="15"/>
      <c r="V659" s="15"/>
      <c r="W659" s="15"/>
    </row>
    <row r="660">
      <c r="A660" s="22"/>
      <c r="B660" s="11"/>
      <c r="C660" s="20"/>
      <c r="D660" s="20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5"/>
      <c r="U660" s="15"/>
      <c r="V660" s="15"/>
      <c r="W660" s="15"/>
    </row>
    <row r="661">
      <c r="A661" s="22"/>
      <c r="B661" s="11"/>
      <c r="C661" s="20"/>
      <c r="D661" s="20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5"/>
      <c r="U661" s="15"/>
      <c r="V661" s="15"/>
      <c r="W661" s="15"/>
    </row>
    <row r="662">
      <c r="A662" s="22"/>
      <c r="B662" s="11"/>
      <c r="C662" s="20"/>
      <c r="D662" s="20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5"/>
      <c r="U662" s="15"/>
      <c r="V662" s="15"/>
      <c r="W662" s="15"/>
    </row>
    <row r="663">
      <c r="A663" s="22"/>
      <c r="B663" s="11"/>
      <c r="C663" s="20"/>
      <c r="D663" s="20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5"/>
      <c r="U663" s="15"/>
      <c r="V663" s="15"/>
      <c r="W663" s="15"/>
    </row>
    <row r="664">
      <c r="A664" s="22"/>
      <c r="B664" s="11"/>
      <c r="C664" s="20"/>
      <c r="D664" s="20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5"/>
      <c r="U664" s="15"/>
      <c r="V664" s="15"/>
      <c r="W664" s="15"/>
    </row>
    <row r="665">
      <c r="A665" s="22"/>
      <c r="B665" s="11"/>
      <c r="C665" s="20"/>
      <c r="D665" s="20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5"/>
      <c r="U665" s="15"/>
      <c r="V665" s="15"/>
      <c r="W665" s="15"/>
    </row>
    <row r="666">
      <c r="A666" s="22"/>
      <c r="B666" s="11"/>
      <c r="C666" s="20"/>
      <c r="D666" s="20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5"/>
      <c r="U666" s="15"/>
      <c r="V666" s="15"/>
      <c r="W666" s="15"/>
    </row>
    <row r="667">
      <c r="A667" s="22"/>
      <c r="B667" s="11"/>
      <c r="C667" s="20"/>
      <c r="D667" s="20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5"/>
      <c r="U667" s="15"/>
      <c r="V667" s="15"/>
      <c r="W667" s="15"/>
    </row>
    <row r="668">
      <c r="A668" s="54"/>
      <c r="B668" s="11"/>
      <c r="C668" s="20"/>
      <c r="D668" s="20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5"/>
      <c r="U668" s="15"/>
      <c r="V668" s="15"/>
      <c r="W668" s="15"/>
    </row>
    <row r="669">
      <c r="A669" s="54"/>
      <c r="B669" s="11"/>
      <c r="C669" s="20"/>
      <c r="D669" s="20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5"/>
      <c r="U669" s="15"/>
      <c r="V669" s="15"/>
      <c r="W669" s="15"/>
    </row>
    <row r="670">
      <c r="A670" s="54"/>
      <c r="B670" s="11"/>
      <c r="C670" s="20"/>
      <c r="D670" s="20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5"/>
      <c r="U670" s="15"/>
      <c r="V670" s="15"/>
      <c r="W670" s="15"/>
    </row>
    <row r="671">
      <c r="A671" s="54"/>
      <c r="B671" s="11"/>
      <c r="C671" s="20"/>
      <c r="D671" s="20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5"/>
      <c r="U671" s="15"/>
      <c r="V671" s="15"/>
      <c r="W671" s="15"/>
    </row>
    <row r="672">
      <c r="A672" s="54"/>
      <c r="B672" s="11"/>
      <c r="C672" s="20"/>
      <c r="D672" s="20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5"/>
      <c r="U672" s="15"/>
      <c r="V672" s="15"/>
      <c r="W672" s="15"/>
    </row>
    <row r="673">
      <c r="A673" s="54"/>
      <c r="B673" s="11"/>
      <c r="C673" s="20"/>
      <c r="D673" s="20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5"/>
      <c r="U673" s="15"/>
      <c r="V673" s="15"/>
      <c r="W673" s="15"/>
    </row>
    <row r="674">
      <c r="A674" s="54"/>
      <c r="B674" s="11"/>
      <c r="C674" s="20"/>
      <c r="D674" s="20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5"/>
      <c r="U674" s="15"/>
      <c r="V674" s="15"/>
      <c r="W674" s="15"/>
    </row>
    <row r="675">
      <c r="A675" s="54"/>
      <c r="B675" s="11"/>
      <c r="C675" s="20"/>
      <c r="D675" s="20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5"/>
      <c r="U675" s="15"/>
      <c r="V675" s="15"/>
      <c r="W675" s="15"/>
    </row>
    <row r="676">
      <c r="A676" s="54"/>
      <c r="B676" s="11"/>
      <c r="C676" s="20"/>
      <c r="D676" s="20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5"/>
      <c r="U676" s="15"/>
      <c r="V676" s="15"/>
      <c r="W676" s="15"/>
    </row>
    <row r="677">
      <c r="A677" s="54"/>
      <c r="B677" s="11"/>
      <c r="C677" s="20"/>
      <c r="D677" s="20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5"/>
      <c r="U677" s="15"/>
      <c r="V677" s="15"/>
      <c r="W677" s="15"/>
    </row>
    <row r="678">
      <c r="A678" s="54"/>
      <c r="B678" s="11"/>
      <c r="C678" s="20"/>
      <c r="D678" s="20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5"/>
      <c r="U678" s="15"/>
      <c r="V678" s="15"/>
      <c r="W678" s="15"/>
    </row>
    <row r="679">
      <c r="A679" s="54"/>
      <c r="B679" s="11"/>
      <c r="C679" s="20"/>
      <c r="D679" s="20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5"/>
      <c r="U679" s="15"/>
      <c r="V679" s="15"/>
      <c r="W679" s="15"/>
    </row>
    <row r="680">
      <c r="A680" s="54"/>
      <c r="B680" s="11"/>
      <c r="C680" s="20"/>
      <c r="D680" s="20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5"/>
      <c r="U680" s="15"/>
      <c r="V680" s="15"/>
      <c r="W680" s="15"/>
    </row>
    <row r="681">
      <c r="A681" s="54"/>
      <c r="B681" s="11"/>
      <c r="C681" s="20"/>
      <c r="D681" s="20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5"/>
      <c r="U681" s="15"/>
      <c r="V681" s="15"/>
      <c r="W681" s="15"/>
    </row>
    <row r="682">
      <c r="A682" s="54"/>
      <c r="B682" s="11"/>
      <c r="C682" s="20"/>
      <c r="D682" s="20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5"/>
      <c r="U682" s="15"/>
      <c r="V682" s="15"/>
      <c r="W682" s="15"/>
    </row>
    <row r="683">
      <c r="A683" s="54"/>
      <c r="B683" s="11"/>
      <c r="C683" s="20"/>
      <c r="D683" s="20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5"/>
      <c r="U683" s="15"/>
      <c r="V683" s="15"/>
      <c r="W683" s="15"/>
    </row>
    <row r="684">
      <c r="A684" s="54"/>
      <c r="B684" s="11"/>
      <c r="C684" s="20"/>
      <c r="D684" s="20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5"/>
      <c r="U684" s="15"/>
      <c r="V684" s="15"/>
      <c r="W684" s="15"/>
    </row>
    <row r="685">
      <c r="A685" s="54"/>
      <c r="B685" s="11"/>
      <c r="C685" s="20"/>
      <c r="D685" s="20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5"/>
      <c r="U685" s="15"/>
      <c r="V685" s="15"/>
      <c r="W685" s="15"/>
    </row>
    <row r="686">
      <c r="A686" s="54"/>
      <c r="B686" s="11"/>
      <c r="C686" s="20"/>
      <c r="D686" s="20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5"/>
      <c r="U686" s="15"/>
      <c r="V686" s="15"/>
      <c r="W686" s="15"/>
    </row>
    <row r="687">
      <c r="A687" s="54"/>
      <c r="B687" s="11"/>
      <c r="C687" s="20"/>
      <c r="D687" s="20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5"/>
      <c r="U687" s="15"/>
      <c r="V687" s="15"/>
      <c r="W687" s="15"/>
    </row>
    <row r="688">
      <c r="A688" s="54"/>
      <c r="B688" s="11"/>
      <c r="C688" s="20"/>
      <c r="D688" s="20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5"/>
      <c r="U688" s="15"/>
      <c r="V688" s="15"/>
      <c r="W688" s="15"/>
    </row>
    <row r="689">
      <c r="A689" s="54"/>
      <c r="B689" s="11"/>
      <c r="C689" s="20"/>
      <c r="D689" s="20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5"/>
      <c r="U689" s="15"/>
      <c r="V689" s="15"/>
      <c r="W689" s="15"/>
    </row>
    <row r="690">
      <c r="A690" s="54"/>
      <c r="B690" s="11"/>
      <c r="C690" s="20"/>
      <c r="D690" s="20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5"/>
      <c r="U690" s="15"/>
      <c r="V690" s="15"/>
      <c r="W690" s="15"/>
    </row>
    <row r="691">
      <c r="A691" s="54"/>
      <c r="B691" s="11"/>
      <c r="C691" s="20"/>
      <c r="D691" s="20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5"/>
      <c r="U691" s="15"/>
      <c r="V691" s="15"/>
      <c r="W691" s="15"/>
    </row>
    <row r="692">
      <c r="A692" s="54"/>
      <c r="B692" s="11"/>
      <c r="C692" s="20"/>
      <c r="D692" s="20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5"/>
      <c r="U692" s="15"/>
      <c r="V692" s="15"/>
      <c r="W692" s="15"/>
    </row>
    <row r="693">
      <c r="A693" s="54"/>
      <c r="B693" s="11"/>
      <c r="C693" s="20"/>
      <c r="D693" s="20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5"/>
      <c r="U693" s="15"/>
      <c r="V693" s="15"/>
      <c r="W693" s="15"/>
    </row>
    <row r="694">
      <c r="A694" s="54"/>
      <c r="B694" s="11"/>
      <c r="C694" s="20"/>
      <c r="D694" s="20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5"/>
      <c r="U694" s="15"/>
      <c r="V694" s="15"/>
      <c r="W694" s="15"/>
    </row>
    <row r="695">
      <c r="A695" s="22"/>
      <c r="B695" s="11"/>
      <c r="C695" s="20"/>
      <c r="D695" s="20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5"/>
      <c r="U695" s="15"/>
      <c r="V695" s="15"/>
      <c r="W695" s="15"/>
    </row>
    <row r="696">
      <c r="A696" s="22"/>
      <c r="B696" s="11"/>
      <c r="C696" s="20"/>
      <c r="D696" s="20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5"/>
      <c r="U696" s="15"/>
      <c r="V696" s="15"/>
      <c r="W696" s="15"/>
    </row>
    <row r="697">
      <c r="A697" s="22"/>
      <c r="B697" s="11"/>
      <c r="C697" s="20"/>
      <c r="D697" s="20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5"/>
      <c r="U697" s="15"/>
      <c r="V697" s="15"/>
      <c r="W697" s="15"/>
    </row>
    <row r="698">
      <c r="A698" s="22"/>
      <c r="B698" s="11"/>
      <c r="C698" s="20"/>
      <c r="D698" s="20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5"/>
      <c r="U698" s="15"/>
      <c r="V698" s="15"/>
      <c r="W698" s="15"/>
    </row>
    <row r="699">
      <c r="A699" s="22"/>
      <c r="B699" s="11"/>
      <c r="C699" s="20"/>
      <c r="D699" s="20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5"/>
      <c r="U699" s="15"/>
      <c r="V699" s="15"/>
      <c r="W699" s="15"/>
    </row>
    <row r="700">
      <c r="A700" s="22"/>
      <c r="B700" s="11"/>
      <c r="C700" s="20"/>
      <c r="D700" s="20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5"/>
      <c r="U700" s="15"/>
      <c r="V700" s="15"/>
      <c r="W700" s="15"/>
    </row>
    <row r="701">
      <c r="A701" s="22"/>
      <c r="B701" s="11"/>
      <c r="C701" s="20"/>
      <c r="D701" s="20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5"/>
      <c r="U701" s="15"/>
      <c r="V701" s="15"/>
      <c r="W701" s="15"/>
    </row>
    <row r="702">
      <c r="A702" s="22"/>
      <c r="B702" s="11"/>
      <c r="C702" s="20"/>
      <c r="D702" s="20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5"/>
      <c r="U702" s="15"/>
      <c r="V702" s="15"/>
      <c r="W702" s="15"/>
    </row>
    <row r="703">
      <c r="A703" s="22"/>
      <c r="B703" s="11"/>
      <c r="C703" s="20"/>
      <c r="D703" s="20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5"/>
      <c r="U703" s="15"/>
      <c r="V703" s="15"/>
      <c r="W703" s="15"/>
    </row>
    <row r="704">
      <c r="A704" s="22"/>
      <c r="B704" s="11"/>
      <c r="C704" s="20"/>
      <c r="D704" s="20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5"/>
      <c r="U704" s="15"/>
      <c r="V704" s="15"/>
      <c r="W704" s="15"/>
    </row>
    <row r="705">
      <c r="A705" s="22"/>
      <c r="B705" s="11"/>
      <c r="C705" s="20"/>
      <c r="D705" s="20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5"/>
      <c r="U705" s="15"/>
      <c r="V705" s="15"/>
      <c r="W705" s="15"/>
    </row>
    <row r="706">
      <c r="A706" s="22"/>
      <c r="B706" s="11"/>
      <c r="C706" s="20"/>
      <c r="D706" s="20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5"/>
      <c r="U706" s="15"/>
      <c r="V706" s="15"/>
      <c r="W706" s="15"/>
    </row>
    <row r="707">
      <c r="A707" s="22"/>
      <c r="B707" s="11"/>
      <c r="C707" s="20"/>
      <c r="D707" s="20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5"/>
      <c r="U707" s="15"/>
      <c r="V707" s="15"/>
      <c r="W707" s="15"/>
    </row>
    <row r="708">
      <c r="A708" s="22"/>
      <c r="B708" s="11"/>
      <c r="C708" s="20"/>
      <c r="D708" s="20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5"/>
      <c r="U708" s="15"/>
      <c r="V708" s="15"/>
      <c r="W708" s="15"/>
    </row>
    <row r="709">
      <c r="A709" s="22"/>
      <c r="B709" s="11"/>
      <c r="C709" s="20"/>
      <c r="D709" s="20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5"/>
      <c r="U709" s="15"/>
      <c r="V709" s="15"/>
      <c r="W709" s="15"/>
    </row>
    <row r="710">
      <c r="A710" s="22"/>
      <c r="B710" s="11"/>
      <c r="C710" s="20"/>
      <c r="D710" s="20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5"/>
      <c r="U710" s="15"/>
      <c r="V710" s="15"/>
      <c r="W710" s="15"/>
    </row>
    <row r="711">
      <c r="A711" s="22"/>
      <c r="B711" s="11"/>
      <c r="C711" s="20"/>
      <c r="D711" s="20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5"/>
      <c r="U711" s="15"/>
      <c r="V711" s="15"/>
      <c r="W711" s="15"/>
    </row>
    <row r="712">
      <c r="A712" s="22"/>
      <c r="B712" s="11"/>
      <c r="C712" s="20"/>
      <c r="D712" s="20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5"/>
      <c r="U712" s="15"/>
      <c r="V712" s="15"/>
      <c r="W712" s="15"/>
    </row>
    <row r="713">
      <c r="A713" s="22"/>
      <c r="B713" s="11"/>
      <c r="C713" s="20"/>
      <c r="D713" s="20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5"/>
      <c r="U713" s="15"/>
      <c r="V713" s="15"/>
      <c r="W713" s="15"/>
    </row>
    <row r="714">
      <c r="A714" s="54"/>
      <c r="B714" s="11"/>
      <c r="C714" s="20"/>
      <c r="D714" s="20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5"/>
      <c r="U714" s="15"/>
      <c r="V714" s="15"/>
      <c r="W714" s="15"/>
    </row>
    <row r="715">
      <c r="A715" s="54"/>
      <c r="B715" s="11"/>
      <c r="C715" s="20"/>
      <c r="D715" s="20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5"/>
      <c r="U715" s="15"/>
      <c r="V715" s="15"/>
      <c r="W715" s="15"/>
    </row>
    <row r="716">
      <c r="A716" s="54"/>
      <c r="B716" s="11"/>
      <c r="C716" s="20"/>
      <c r="D716" s="20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5"/>
      <c r="U716" s="15"/>
      <c r="V716" s="15"/>
      <c r="W716" s="15"/>
    </row>
    <row r="717">
      <c r="A717" s="54"/>
      <c r="B717" s="11"/>
      <c r="C717" s="20"/>
      <c r="D717" s="20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5"/>
      <c r="U717" s="15"/>
      <c r="V717" s="15"/>
      <c r="W717" s="15"/>
    </row>
    <row r="718">
      <c r="A718" s="54"/>
      <c r="B718" s="11"/>
      <c r="C718" s="20"/>
      <c r="D718" s="20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5"/>
      <c r="U718" s="15"/>
      <c r="V718" s="15"/>
      <c r="W718" s="15"/>
    </row>
    <row r="719">
      <c r="A719" s="54"/>
      <c r="B719" s="11"/>
      <c r="C719" s="20"/>
      <c r="D719" s="20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5"/>
      <c r="U719" s="15"/>
      <c r="V719" s="15"/>
      <c r="W719" s="15"/>
    </row>
    <row r="720">
      <c r="A720" s="54"/>
      <c r="B720" s="11"/>
      <c r="C720" s="20"/>
      <c r="D720" s="20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5"/>
      <c r="U720" s="15"/>
      <c r="V720" s="15"/>
      <c r="W720" s="15"/>
    </row>
    <row r="721">
      <c r="A721" s="54"/>
      <c r="B721" s="11"/>
      <c r="C721" s="20"/>
      <c r="D721" s="20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5"/>
      <c r="U721" s="15"/>
      <c r="V721" s="15"/>
      <c r="W721" s="15"/>
    </row>
    <row r="722">
      <c r="A722" s="54"/>
      <c r="B722" s="11"/>
      <c r="C722" s="20"/>
      <c r="D722" s="20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5"/>
      <c r="U722" s="15"/>
      <c r="V722" s="15"/>
      <c r="W722" s="15"/>
    </row>
    <row r="723">
      <c r="A723" s="54"/>
      <c r="B723" s="11"/>
      <c r="C723" s="20"/>
      <c r="D723" s="20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5"/>
      <c r="U723" s="15"/>
      <c r="V723" s="15"/>
      <c r="W723" s="15"/>
    </row>
    <row r="724">
      <c r="A724" s="54"/>
      <c r="B724" s="11"/>
      <c r="C724" s="20"/>
      <c r="D724" s="20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5"/>
      <c r="U724" s="15"/>
      <c r="V724" s="15"/>
      <c r="W724" s="15"/>
    </row>
    <row r="725">
      <c r="A725" s="54"/>
      <c r="B725" s="11"/>
      <c r="C725" s="20"/>
      <c r="D725" s="20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5"/>
      <c r="U725" s="15"/>
      <c r="V725" s="15"/>
      <c r="W725" s="15"/>
    </row>
    <row r="726">
      <c r="A726" s="54"/>
      <c r="B726" s="11"/>
      <c r="C726" s="20"/>
      <c r="D726" s="20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5"/>
      <c r="U726" s="15"/>
      <c r="V726" s="15"/>
      <c r="W726" s="15"/>
    </row>
    <row r="727">
      <c r="A727" s="54"/>
      <c r="B727" s="11"/>
      <c r="C727" s="20"/>
      <c r="D727" s="20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5"/>
      <c r="U727" s="15"/>
      <c r="V727" s="15"/>
      <c r="W727" s="15"/>
    </row>
    <row r="728">
      <c r="A728" s="54"/>
      <c r="B728" s="11"/>
      <c r="C728" s="20"/>
      <c r="D728" s="20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5"/>
      <c r="U728" s="15"/>
      <c r="V728" s="15"/>
      <c r="W728" s="15"/>
    </row>
    <row r="729">
      <c r="A729" s="54"/>
      <c r="B729" s="11"/>
      <c r="C729" s="20"/>
      <c r="D729" s="20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5"/>
      <c r="U729" s="15"/>
      <c r="V729" s="15"/>
      <c r="W729" s="15"/>
    </row>
    <row r="730">
      <c r="A730" s="54"/>
      <c r="B730" s="11"/>
      <c r="C730" s="20"/>
      <c r="D730" s="20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5"/>
      <c r="U730" s="15"/>
      <c r="V730" s="15"/>
      <c r="W730" s="15"/>
    </row>
    <row r="731">
      <c r="A731" s="54"/>
      <c r="B731" s="11"/>
      <c r="C731" s="20"/>
      <c r="D731" s="20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5"/>
      <c r="U731" s="15"/>
      <c r="V731" s="15"/>
      <c r="W731" s="15"/>
    </row>
    <row r="732">
      <c r="A732" s="22"/>
      <c r="B732" s="11"/>
      <c r="C732" s="20"/>
      <c r="D732" s="20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5"/>
      <c r="U732" s="15"/>
      <c r="V732" s="15"/>
      <c r="W732" s="15"/>
    </row>
    <row r="733">
      <c r="A733" s="22"/>
      <c r="B733" s="11"/>
      <c r="C733" s="20"/>
      <c r="D733" s="20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5"/>
      <c r="U733" s="15"/>
      <c r="V733" s="15"/>
      <c r="W733" s="15"/>
    </row>
    <row r="734">
      <c r="A734" s="22"/>
      <c r="B734" s="11"/>
      <c r="C734" s="20"/>
      <c r="D734" s="20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5"/>
      <c r="U734" s="15"/>
      <c r="V734" s="15"/>
      <c r="W734" s="15"/>
    </row>
    <row r="735">
      <c r="A735" s="22"/>
      <c r="B735" s="11"/>
      <c r="C735" s="20"/>
      <c r="D735" s="20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5"/>
      <c r="U735" s="15"/>
      <c r="V735" s="15"/>
      <c r="W735" s="15"/>
    </row>
    <row r="736">
      <c r="A736" s="22"/>
      <c r="B736" s="11"/>
      <c r="C736" s="20"/>
      <c r="D736" s="20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5"/>
      <c r="U736" s="15"/>
      <c r="V736" s="15"/>
      <c r="W736" s="15"/>
    </row>
    <row r="737">
      <c r="A737" s="22"/>
      <c r="B737" s="11"/>
      <c r="C737" s="20"/>
      <c r="D737" s="20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5"/>
      <c r="U737" s="15"/>
      <c r="V737" s="15"/>
      <c r="W737" s="15"/>
    </row>
    <row r="738">
      <c r="A738" s="22"/>
      <c r="B738" s="11"/>
      <c r="C738" s="20"/>
      <c r="D738" s="20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5"/>
      <c r="U738" s="15"/>
      <c r="V738" s="15"/>
      <c r="W738" s="15"/>
    </row>
    <row r="739">
      <c r="A739" s="22"/>
      <c r="B739" s="11"/>
      <c r="C739" s="20"/>
      <c r="D739" s="20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5"/>
      <c r="U739" s="15"/>
      <c r="V739" s="15"/>
      <c r="W739" s="15"/>
    </row>
    <row r="740">
      <c r="A740" s="22"/>
      <c r="B740" s="11"/>
      <c r="C740" s="20"/>
      <c r="D740" s="20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5"/>
      <c r="U740" s="15"/>
      <c r="V740" s="15"/>
      <c r="W740" s="15"/>
    </row>
    <row r="741">
      <c r="A741" s="22"/>
      <c r="B741" s="11"/>
      <c r="C741" s="20"/>
      <c r="D741" s="20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5"/>
      <c r="U741" s="15"/>
      <c r="V741" s="15"/>
      <c r="W741" s="15"/>
    </row>
    <row r="742">
      <c r="A742" s="22"/>
      <c r="B742" s="11"/>
      <c r="C742" s="20"/>
      <c r="D742" s="20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5"/>
      <c r="U742" s="15"/>
      <c r="V742" s="15"/>
      <c r="W742" s="15"/>
    </row>
    <row r="743">
      <c r="A743" s="22"/>
      <c r="B743" s="11"/>
      <c r="C743" s="20"/>
      <c r="D743" s="20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5"/>
      <c r="U743" s="15"/>
      <c r="V743" s="15"/>
      <c r="W743" s="15"/>
    </row>
    <row r="744">
      <c r="A744" s="22"/>
      <c r="B744" s="11"/>
      <c r="C744" s="20"/>
      <c r="D744" s="20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5"/>
      <c r="U744" s="15"/>
      <c r="V744" s="15"/>
      <c r="W744" s="15"/>
    </row>
    <row r="745">
      <c r="A745" s="22"/>
      <c r="B745" s="11"/>
      <c r="C745" s="20"/>
      <c r="D745" s="20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5"/>
      <c r="U745" s="15"/>
      <c r="V745" s="15"/>
      <c r="W745" s="15"/>
    </row>
    <row r="746">
      <c r="A746" s="22"/>
      <c r="B746" s="11"/>
      <c r="C746" s="20"/>
      <c r="D746" s="20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5"/>
      <c r="U746" s="15"/>
      <c r="V746" s="15"/>
      <c r="W746" s="15"/>
    </row>
    <row r="747">
      <c r="A747" s="22"/>
      <c r="B747" s="11"/>
      <c r="C747" s="20"/>
      <c r="D747" s="20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5"/>
      <c r="U747" s="15"/>
      <c r="V747" s="15"/>
      <c r="W747" s="15"/>
    </row>
    <row r="748">
      <c r="A748" s="22"/>
      <c r="B748" s="11"/>
      <c r="C748" s="20"/>
      <c r="D748" s="20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5"/>
      <c r="U748" s="15"/>
      <c r="V748" s="15"/>
      <c r="W748" s="15"/>
    </row>
    <row r="749">
      <c r="A749" s="22"/>
      <c r="B749" s="11"/>
      <c r="C749" s="20"/>
      <c r="D749" s="20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5"/>
      <c r="U749" s="15"/>
      <c r="V749" s="15"/>
      <c r="W749" s="15"/>
    </row>
    <row r="750">
      <c r="A750" s="22"/>
      <c r="B750" s="11"/>
      <c r="C750" s="20"/>
      <c r="D750" s="20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5"/>
      <c r="U750" s="15"/>
      <c r="V750" s="15"/>
      <c r="W750" s="15"/>
    </row>
    <row r="751">
      <c r="A751" s="54"/>
      <c r="B751" s="11"/>
      <c r="C751" s="20"/>
      <c r="D751" s="20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5"/>
      <c r="U751" s="15"/>
      <c r="V751" s="15"/>
      <c r="W751" s="15"/>
    </row>
    <row r="752">
      <c r="A752" s="54"/>
      <c r="B752" s="11"/>
      <c r="C752" s="20"/>
      <c r="D752" s="20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5"/>
      <c r="U752" s="15"/>
      <c r="V752" s="15"/>
      <c r="W752" s="15"/>
    </row>
    <row r="753">
      <c r="A753" s="54"/>
      <c r="B753" s="11"/>
      <c r="C753" s="20"/>
      <c r="D753" s="20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5"/>
      <c r="U753" s="15"/>
      <c r="V753" s="15"/>
      <c r="W753" s="15"/>
    </row>
    <row r="754">
      <c r="A754" s="54"/>
      <c r="B754" s="11"/>
      <c r="C754" s="20"/>
      <c r="D754" s="20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5"/>
      <c r="U754" s="15"/>
      <c r="V754" s="15"/>
      <c r="W754" s="15"/>
    </row>
    <row r="755">
      <c r="A755" s="54"/>
      <c r="B755" s="11"/>
      <c r="C755" s="20"/>
      <c r="D755" s="20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5"/>
      <c r="U755" s="15"/>
      <c r="V755" s="15"/>
      <c r="W755" s="15"/>
    </row>
    <row r="756">
      <c r="A756" s="54"/>
      <c r="B756" s="11"/>
      <c r="C756" s="20"/>
      <c r="D756" s="20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5"/>
      <c r="U756" s="15"/>
      <c r="V756" s="15"/>
      <c r="W756" s="15"/>
    </row>
    <row r="757">
      <c r="A757" s="54"/>
      <c r="B757" s="11"/>
      <c r="C757" s="20"/>
      <c r="D757" s="20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5"/>
      <c r="U757" s="15"/>
      <c r="V757" s="15"/>
      <c r="W757" s="15"/>
    </row>
    <row r="758">
      <c r="A758" s="54"/>
      <c r="B758" s="11"/>
      <c r="C758" s="20"/>
      <c r="D758" s="20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5"/>
      <c r="U758" s="15"/>
      <c r="V758" s="15"/>
      <c r="W758" s="15"/>
    </row>
    <row r="759">
      <c r="A759" s="54"/>
      <c r="B759" s="11"/>
      <c r="C759" s="20"/>
      <c r="D759" s="20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5"/>
      <c r="U759" s="15"/>
      <c r="V759" s="15"/>
      <c r="W759" s="15"/>
    </row>
    <row r="760">
      <c r="A760" s="54"/>
      <c r="B760" s="11"/>
      <c r="C760" s="20"/>
      <c r="D760" s="20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5"/>
      <c r="U760" s="15"/>
      <c r="V760" s="15"/>
      <c r="W760" s="15"/>
    </row>
    <row r="761">
      <c r="A761" s="54"/>
      <c r="B761" s="11"/>
      <c r="C761" s="20"/>
      <c r="D761" s="20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5"/>
      <c r="U761" s="15"/>
      <c r="V761" s="15"/>
      <c r="W761" s="15"/>
    </row>
    <row r="762">
      <c r="A762" s="54"/>
      <c r="B762" s="11"/>
      <c r="C762" s="20"/>
      <c r="D762" s="20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5"/>
      <c r="U762" s="15"/>
      <c r="V762" s="15"/>
      <c r="W762" s="15"/>
    </row>
    <row r="763">
      <c r="A763" s="54"/>
      <c r="B763" s="11"/>
      <c r="C763" s="20"/>
      <c r="D763" s="20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5"/>
      <c r="U763" s="15"/>
      <c r="V763" s="15"/>
      <c r="W763" s="15"/>
    </row>
    <row r="764">
      <c r="A764" s="54"/>
      <c r="B764" s="11"/>
      <c r="C764" s="20"/>
      <c r="D764" s="20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5"/>
      <c r="U764" s="15"/>
      <c r="V764" s="15"/>
      <c r="W764" s="15"/>
    </row>
    <row r="765">
      <c r="A765" s="54"/>
      <c r="B765" s="11"/>
      <c r="C765" s="20"/>
      <c r="D765" s="20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5"/>
      <c r="U765" s="15"/>
      <c r="V765" s="15"/>
      <c r="W765" s="15"/>
    </row>
    <row r="766">
      <c r="A766" s="54"/>
      <c r="B766" s="11"/>
      <c r="C766" s="20"/>
      <c r="D766" s="20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5"/>
      <c r="U766" s="15"/>
      <c r="V766" s="15"/>
      <c r="W766" s="15"/>
    </row>
    <row r="767">
      <c r="A767" s="54"/>
      <c r="B767" s="11"/>
      <c r="C767" s="20"/>
      <c r="D767" s="20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5"/>
      <c r="U767" s="15"/>
      <c r="V767" s="15"/>
      <c r="W767" s="15"/>
    </row>
    <row r="768">
      <c r="A768" s="54"/>
      <c r="B768" s="11"/>
      <c r="C768" s="20"/>
      <c r="D768" s="20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5"/>
      <c r="U768" s="15"/>
      <c r="V768" s="15"/>
      <c r="W768" s="15"/>
    </row>
    <row r="769">
      <c r="A769" s="54"/>
      <c r="B769" s="11"/>
      <c r="C769" s="20"/>
      <c r="D769" s="20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5"/>
      <c r="U769" s="15"/>
      <c r="V769" s="15"/>
      <c r="W769" s="15"/>
    </row>
    <row r="770">
      <c r="A770" s="54"/>
      <c r="B770" s="11"/>
      <c r="C770" s="20"/>
      <c r="D770" s="20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5"/>
      <c r="U770" s="15"/>
      <c r="V770" s="15"/>
      <c r="W770" s="15"/>
    </row>
    <row r="771">
      <c r="A771" s="54"/>
      <c r="B771" s="11"/>
      <c r="C771" s="20"/>
      <c r="D771" s="20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5"/>
      <c r="U771" s="15"/>
      <c r="V771" s="15"/>
      <c r="W771" s="15"/>
    </row>
    <row r="772">
      <c r="A772" s="54"/>
      <c r="B772" s="11"/>
      <c r="C772" s="20"/>
      <c r="D772" s="20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5"/>
      <c r="U772" s="15"/>
      <c r="V772" s="15"/>
      <c r="W772" s="15"/>
    </row>
    <row r="773">
      <c r="A773" s="54"/>
      <c r="B773" s="11"/>
      <c r="C773" s="20"/>
      <c r="D773" s="20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5"/>
      <c r="U773" s="15"/>
      <c r="V773" s="15"/>
      <c r="W773" s="15"/>
    </row>
    <row r="774">
      <c r="A774" s="54"/>
      <c r="B774" s="11"/>
      <c r="C774" s="20"/>
      <c r="D774" s="20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5"/>
      <c r="U774" s="15"/>
      <c r="V774" s="15"/>
      <c r="W774" s="15"/>
    </row>
    <row r="775">
      <c r="A775" s="54"/>
      <c r="B775" s="11"/>
      <c r="C775" s="20"/>
      <c r="D775" s="20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5"/>
      <c r="U775" s="15"/>
      <c r="V775" s="15"/>
      <c r="W775" s="15"/>
    </row>
    <row r="776">
      <c r="A776" s="54"/>
      <c r="B776" s="11"/>
      <c r="C776" s="20"/>
      <c r="D776" s="20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5"/>
      <c r="U776" s="15"/>
      <c r="V776" s="15"/>
      <c r="W776" s="15"/>
    </row>
    <row r="777">
      <c r="A777" s="54"/>
      <c r="B777" s="11"/>
      <c r="C777" s="20"/>
      <c r="D777" s="20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5"/>
      <c r="U777" s="15"/>
      <c r="V777" s="15"/>
      <c r="W777" s="15"/>
    </row>
    <row r="778">
      <c r="A778" s="22"/>
      <c r="B778" s="11"/>
      <c r="C778" s="20"/>
      <c r="D778" s="20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5"/>
      <c r="U778" s="15"/>
      <c r="V778" s="15"/>
      <c r="W778" s="15"/>
    </row>
    <row r="779">
      <c r="A779" s="22"/>
      <c r="B779" s="11"/>
      <c r="C779" s="20"/>
      <c r="D779" s="20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5"/>
      <c r="U779" s="15"/>
      <c r="V779" s="15"/>
      <c r="W779" s="15"/>
    </row>
    <row r="780">
      <c r="A780" s="22"/>
      <c r="B780" s="11"/>
      <c r="C780" s="20"/>
      <c r="D780" s="20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5"/>
      <c r="U780" s="15"/>
      <c r="V780" s="15"/>
      <c r="W780" s="15"/>
    </row>
    <row r="781">
      <c r="A781" s="22"/>
      <c r="B781" s="11"/>
      <c r="C781" s="20"/>
      <c r="D781" s="20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5"/>
      <c r="U781" s="15"/>
      <c r="V781" s="15"/>
      <c r="W781" s="15"/>
    </row>
    <row r="782">
      <c r="A782" s="22"/>
      <c r="B782" s="11"/>
      <c r="C782" s="20"/>
      <c r="D782" s="20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5"/>
      <c r="U782" s="15"/>
      <c r="V782" s="15"/>
      <c r="W782" s="15"/>
    </row>
    <row r="783">
      <c r="A783" s="22"/>
      <c r="B783" s="11"/>
      <c r="C783" s="20"/>
      <c r="D783" s="20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5"/>
      <c r="U783" s="15"/>
      <c r="V783" s="15"/>
      <c r="W783" s="15"/>
    </row>
    <row r="784">
      <c r="A784" s="22"/>
      <c r="B784" s="11"/>
      <c r="C784" s="20"/>
      <c r="D784" s="20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5"/>
      <c r="U784" s="15"/>
      <c r="V784" s="15"/>
      <c r="W784" s="15"/>
    </row>
    <row r="785">
      <c r="A785" s="22"/>
      <c r="B785" s="11"/>
      <c r="C785" s="20"/>
      <c r="D785" s="20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5"/>
      <c r="U785" s="15"/>
      <c r="V785" s="15"/>
      <c r="W785" s="15"/>
    </row>
    <row r="786">
      <c r="A786" s="22"/>
      <c r="B786" s="11"/>
      <c r="C786" s="20"/>
      <c r="D786" s="20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5"/>
      <c r="U786" s="15"/>
      <c r="V786" s="15"/>
      <c r="W786" s="15"/>
    </row>
    <row r="787">
      <c r="A787" s="22"/>
      <c r="B787" s="11"/>
      <c r="C787" s="20"/>
      <c r="D787" s="20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5"/>
      <c r="U787" s="15"/>
      <c r="V787" s="15"/>
      <c r="W787" s="15"/>
    </row>
    <row r="788">
      <c r="A788" s="22"/>
      <c r="B788" s="11"/>
      <c r="C788" s="20"/>
      <c r="D788" s="20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5"/>
      <c r="U788" s="15"/>
      <c r="V788" s="15"/>
      <c r="W788" s="15"/>
    </row>
    <row r="789">
      <c r="A789" s="22"/>
      <c r="B789" s="11"/>
      <c r="C789" s="20"/>
      <c r="D789" s="20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5"/>
      <c r="U789" s="15"/>
      <c r="V789" s="15"/>
      <c r="W789" s="15"/>
    </row>
    <row r="790">
      <c r="A790" s="22"/>
      <c r="B790" s="11"/>
      <c r="C790" s="20"/>
      <c r="D790" s="20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5"/>
      <c r="U790" s="15"/>
      <c r="V790" s="15"/>
      <c r="W790" s="15"/>
    </row>
    <row r="791">
      <c r="A791" s="22"/>
      <c r="B791" s="11"/>
      <c r="C791" s="20"/>
      <c r="D791" s="20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5"/>
      <c r="U791" s="15"/>
      <c r="V791" s="15"/>
      <c r="W791" s="15"/>
    </row>
    <row r="792">
      <c r="A792" s="22"/>
      <c r="B792" s="11"/>
      <c r="C792" s="20"/>
      <c r="D792" s="20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5"/>
      <c r="U792" s="15"/>
      <c r="V792" s="15"/>
      <c r="W792" s="15"/>
    </row>
    <row r="793">
      <c r="A793" s="22"/>
      <c r="B793" s="11"/>
      <c r="C793" s="20"/>
      <c r="D793" s="20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5"/>
      <c r="U793" s="15"/>
      <c r="V793" s="15"/>
      <c r="W793" s="15"/>
    </row>
    <row r="794">
      <c r="A794" s="22"/>
      <c r="B794" s="11"/>
      <c r="C794" s="20"/>
      <c r="D794" s="20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5"/>
      <c r="U794" s="15"/>
      <c r="V794" s="15"/>
      <c r="W794" s="15"/>
    </row>
    <row r="795">
      <c r="A795" s="22"/>
      <c r="B795" s="11"/>
      <c r="C795" s="20"/>
      <c r="D795" s="20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5"/>
      <c r="U795" s="15"/>
      <c r="V795" s="15"/>
      <c r="W795" s="15"/>
    </row>
    <row r="796">
      <c r="A796" s="22"/>
      <c r="B796" s="11"/>
      <c r="C796" s="20"/>
      <c r="D796" s="20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5"/>
      <c r="U796" s="15"/>
      <c r="V796" s="15"/>
      <c r="W796" s="15"/>
    </row>
    <row r="797">
      <c r="A797" s="54"/>
      <c r="B797" s="11"/>
      <c r="C797" s="20"/>
      <c r="D797" s="20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5"/>
      <c r="U797" s="15"/>
      <c r="V797" s="15"/>
      <c r="W797" s="15"/>
    </row>
    <row r="798">
      <c r="A798" s="54"/>
      <c r="B798" s="11"/>
      <c r="C798" s="20"/>
      <c r="D798" s="20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5"/>
      <c r="U798" s="15"/>
      <c r="V798" s="15"/>
      <c r="W798" s="15"/>
    </row>
    <row r="799">
      <c r="A799" s="54"/>
      <c r="B799" s="11"/>
      <c r="C799" s="20"/>
      <c r="D799" s="20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5"/>
      <c r="U799" s="15"/>
      <c r="V799" s="15"/>
      <c r="W799" s="15"/>
    </row>
    <row r="800">
      <c r="A800" s="54"/>
      <c r="B800" s="11"/>
      <c r="C800" s="20"/>
      <c r="D800" s="20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5"/>
      <c r="U800" s="15"/>
      <c r="V800" s="15"/>
      <c r="W800" s="15"/>
    </row>
    <row r="801">
      <c r="A801" s="54"/>
      <c r="B801" s="11"/>
      <c r="C801" s="20"/>
      <c r="D801" s="20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5"/>
      <c r="U801" s="15"/>
      <c r="V801" s="15"/>
      <c r="W801" s="15"/>
    </row>
    <row r="802">
      <c r="A802" s="54"/>
      <c r="B802" s="11"/>
      <c r="C802" s="20"/>
      <c r="D802" s="20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5"/>
      <c r="U802" s="15"/>
      <c r="V802" s="15"/>
      <c r="W802" s="15"/>
    </row>
    <row r="803">
      <c r="A803" s="54"/>
      <c r="B803" s="11"/>
      <c r="C803" s="20"/>
      <c r="D803" s="20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5"/>
      <c r="U803" s="15"/>
      <c r="V803" s="15"/>
      <c r="W803" s="15"/>
    </row>
    <row r="804">
      <c r="A804" s="54"/>
      <c r="B804" s="11"/>
      <c r="C804" s="20"/>
      <c r="D804" s="20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5"/>
      <c r="U804" s="15"/>
      <c r="V804" s="15"/>
      <c r="W804" s="15"/>
    </row>
    <row r="805">
      <c r="A805" s="54"/>
      <c r="B805" s="11"/>
      <c r="C805" s="20"/>
      <c r="D805" s="20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5"/>
      <c r="U805" s="15"/>
      <c r="V805" s="15"/>
      <c r="W805" s="15"/>
    </row>
    <row r="806">
      <c r="A806" s="54"/>
      <c r="B806" s="11"/>
      <c r="C806" s="20"/>
      <c r="D806" s="20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5"/>
      <c r="U806" s="15"/>
      <c r="V806" s="15"/>
      <c r="W806" s="15"/>
    </row>
    <row r="807">
      <c r="A807" s="54"/>
      <c r="B807" s="11"/>
      <c r="C807" s="20"/>
      <c r="D807" s="20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5"/>
      <c r="U807" s="15"/>
      <c r="V807" s="15"/>
      <c r="W807" s="15"/>
    </row>
    <row r="808">
      <c r="A808" s="54"/>
      <c r="B808" s="11"/>
      <c r="C808" s="20"/>
      <c r="D808" s="20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5"/>
      <c r="U808" s="15"/>
      <c r="V808" s="15"/>
      <c r="W808" s="15"/>
    </row>
    <row r="809">
      <c r="A809" s="54"/>
      <c r="B809" s="11"/>
      <c r="C809" s="20"/>
      <c r="D809" s="20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5"/>
      <c r="U809" s="15"/>
      <c r="V809" s="15"/>
      <c r="W809" s="15"/>
    </row>
    <row r="810">
      <c r="A810" s="54"/>
      <c r="B810" s="11"/>
      <c r="C810" s="20"/>
      <c r="D810" s="20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5"/>
      <c r="U810" s="15"/>
      <c r="V810" s="15"/>
      <c r="W810" s="15"/>
    </row>
    <row r="811">
      <c r="A811" s="54"/>
      <c r="B811" s="11"/>
      <c r="C811" s="20"/>
      <c r="D811" s="20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5"/>
      <c r="U811" s="15"/>
      <c r="V811" s="15"/>
      <c r="W811" s="15"/>
    </row>
    <row r="812">
      <c r="A812" s="54"/>
      <c r="B812" s="11"/>
      <c r="C812" s="20"/>
      <c r="D812" s="20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5"/>
      <c r="U812" s="15"/>
      <c r="V812" s="15"/>
      <c r="W812" s="15"/>
    </row>
    <row r="813">
      <c r="A813" s="54"/>
      <c r="B813" s="11"/>
      <c r="C813" s="20"/>
      <c r="D813" s="20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5"/>
      <c r="U813" s="15"/>
      <c r="V813" s="15"/>
      <c r="W813" s="15"/>
    </row>
    <row r="814">
      <c r="A814" s="54"/>
      <c r="B814" s="11"/>
      <c r="C814" s="20"/>
      <c r="D814" s="20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5"/>
      <c r="U814" s="15"/>
      <c r="V814" s="15"/>
      <c r="W814" s="15"/>
    </row>
    <row r="815">
      <c r="A815" s="22"/>
      <c r="B815" s="11"/>
      <c r="C815" s="20"/>
      <c r="D815" s="20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5"/>
      <c r="U815" s="15"/>
      <c r="V815" s="15"/>
      <c r="W815" s="15"/>
    </row>
    <row r="816">
      <c r="A816" s="22"/>
      <c r="B816" s="11"/>
      <c r="C816" s="20"/>
      <c r="D816" s="20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5"/>
      <c r="U816" s="15"/>
      <c r="V816" s="15"/>
      <c r="W816" s="15"/>
    </row>
    <row r="817">
      <c r="A817" s="22"/>
      <c r="B817" s="11"/>
      <c r="C817" s="20"/>
      <c r="D817" s="20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5"/>
      <c r="U817" s="15"/>
      <c r="V817" s="15"/>
      <c r="W817" s="15"/>
    </row>
    <row r="818">
      <c r="A818" s="22"/>
      <c r="B818" s="11"/>
      <c r="C818" s="20"/>
      <c r="D818" s="20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5"/>
      <c r="U818" s="15"/>
      <c r="V818" s="15"/>
      <c r="W818" s="15"/>
    </row>
    <row r="819">
      <c r="A819" s="22"/>
      <c r="B819" s="11"/>
      <c r="C819" s="20"/>
      <c r="D819" s="20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5"/>
      <c r="U819" s="15"/>
      <c r="V819" s="15"/>
      <c r="W819" s="15"/>
    </row>
    <row r="820">
      <c r="A820" s="22"/>
      <c r="B820" s="11"/>
      <c r="C820" s="20"/>
      <c r="D820" s="20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5"/>
      <c r="U820" s="15"/>
      <c r="V820" s="15"/>
      <c r="W820" s="15"/>
    </row>
    <row r="821">
      <c r="A821" s="22"/>
      <c r="B821" s="11"/>
      <c r="C821" s="20"/>
      <c r="D821" s="20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5"/>
      <c r="U821" s="15"/>
      <c r="V821" s="15"/>
      <c r="W821" s="15"/>
    </row>
    <row r="822">
      <c r="A822" s="22"/>
      <c r="B822" s="11"/>
      <c r="C822" s="20"/>
      <c r="D822" s="20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5"/>
      <c r="U822" s="15"/>
      <c r="V822" s="15"/>
      <c r="W822" s="15"/>
    </row>
    <row r="823">
      <c r="A823" s="22"/>
      <c r="B823" s="11"/>
      <c r="C823" s="20"/>
      <c r="D823" s="20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5"/>
      <c r="U823" s="15"/>
      <c r="V823" s="15"/>
      <c r="W823" s="15"/>
    </row>
    <row r="824">
      <c r="A824" s="22"/>
      <c r="B824" s="11"/>
      <c r="C824" s="20"/>
      <c r="D824" s="20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5"/>
      <c r="U824" s="15"/>
      <c r="V824" s="15"/>
      <c r="W824" s="15"/>
    </row>
    <row r="825">
      <c r="A825" s="22"/>
      <c r="B825" s="11"/>
      <c r="C825" s="20"/>
      <c r="D825" s="20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5"/>
      <c r="U825" s="15"/>
      <c r="V825" s="15"/>
      <c r="W825" s="15"/>
    </row>
    <row r="826">
      <c r="A826" s="22"/>
      <c r="B826" s="11"/>
      <c r="C826" s="20"/>
      <c r="D826" s="20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5"/>
      <c r="U826" s="15"/>
      <c r="V826" s="15"/>
      <c r="W826" s="15"/>
    </row>
    <row r="827">
      <c r="A827" s="22"/>
      <c r="B827" s="11"/>
      <c r="C827" s="20"/>
      <c r="D827" s="20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5"/>
      <c r="U827" s="15"/>
      <c r="V827" s="15"/>
      <c r="W827" s="15"/>
    </row>
    <row r="828">
      <c r="A828" s="22"/>
      <c r="B828" s="11"/>
      <c r="C828" s="20"/>
      <c r="D828" s="20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5"/>
      <c r="U828" s="15"/>
      <c r="V828" s="15"/>
      <c r="W828" s="15"/>
    </row>
    <row r="829">
      <c r="A829" s="22"/>
      <c r="B829" s="11"/>
      <c r="C829" s="20"/>
      <c r="D829" s="20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5"/>
      <c r="U829" s="15"/>
      <c r="V829" s="15"/>
      <c r="W829" s="15"/>
    </row>
    <row r="830">
      <c r="A830" s="22"/>
      <c r="B830" s="11"/>
      <c r="C830" s="20"/>
      <c r="D830" s="20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5"/>
      <c r="U830" s="15"/>
      <c r="V830" s="15"/>
      <c r="W830" s="15"/>
    </row>
    <row r="831">
      <c r="A831" s="22"/>
      <c r="B831" s="11"/>
      <c r="C831" s="20"/>
      <c r="D831" s="20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5"/>
      <c r="U831" s="15"/>
      <c r="V831" s="15"/>
      <c r="W831" s="15"/>
    </row>
    <row r="832">
      <c r="A832" s="22"/>
      <c r="B832" s="11"/>
      <c r="C832" s="20"/>
      <c r="D832" s="20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5"/>
      <c r="U832" s="15"/>
      <c r="V832" s="15"/>
      <c r="W832" s="15"/>
    </row>
    <row r="833">
      <c r="A833" s="22"/>
      <c r="B833" s="11"/>
      <c r="C833" s="20"/>
      <c r="D833" s="20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5"/>
      <c r="U833" s="15"/>
      <c r="V833" s="15"/>
      <c r="W833" s="15"/>
    </row>
    <row r="834">
      <c r="A834" s="54"/>
      <c r="B834" s="11"/>
      <c r="C834" s="20"/>
      <c r="D834" s="20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5"/>
      <c r="U834" s="15"/>
      <c r="V834" s="15"/>
      <c r="W834" s="15"/>
    </row>
    <row r="835">
      <c r="A835" s="54"/>
      <c r="B835" s="11"/>
      <c r="C835" s="20"/>
      <c r="D835" s="20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5"/>
      <c r="U835" s="15"/>
      <c r="V835" s="15"/>
      <c r="W835" s="15"/>
    </row>
    <row r="836">
      <c r="A836" s="54"/>
      <c r="B836" s="11"/>
      <c r="C836" s="20"/>
      <c r="D836" s="20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5"/>
      <c r="U836" s="15"/>
      <c r="V836" s="15"/>
      <c r="W836" s="15"/>
    </row>
    <row r="837">
      <c r="A837" s="54"/>
      <c r="B837" s="11"/>
      <c r="C837" s="20"/>
      <c r="D837" s="20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5"/>
      <c r="U837" s="15"/>
      <c r="V837" s="15"/>
      <c r="W837" s="15"/>
    </row>
    <row r="838">
      <c r="A838" s="54"/>
      <c r="B838" s="11"/>
      <c r="C838" s="20"/>
      <c r="D838" s="20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5"/>
      <c r="U838" s="15"/>
      <c r="V838" s="15"/>
      <c r="W838" s="15"/>
    </row>
    <row r="839">
      <c r="A839" s="54"/>
      <c r="B839" s="11"/>
      <c r="C839" s="20"/>
      <c r="D839" s="20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5"/>
      <c r="U839" s="15"/>
      <c r="V839" s="15"/>
      <c r="W839" s="15"/>
    </row>
    <row r="840">
      <c r="A840" s="54"/>
      <c r="B840" s="11"/>
      <c r="C840" s="20"/>
      <c r="D840" s="20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5"/>
      <c r="U840" s="15"/>
      <c r="V840" s="15"/>
      <c r="W840" s="15"/>
    </row>
    <row r="841">
      <c r="A841" s="54"/>
      <c r="B841" s="11"/>
      <c r="C841" s="20"/>
      <c r="D841" s="20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5"/>
      <c r="U841" s="15"/>
      <c r="V841" s="15"/>
      <c r="W841" s="15"/>
    </row>
    <row r="842">
      <c r="A842" s="54"/>
      <c r="B842" s="11"/>
      <c r="C842" s="20"/>
      <c r="D842" s="20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5"/>
      <c r="U842" s="15"/>
      <c r="V842" s="15"/>
      <c r="W842" s="15"/>
    </row>
    <row r="843">
      <c r="A843" s="54"/>
      <c r="B843" s="11"/>
      <c r="C843" s="20"/>
      <c r="D843" s="20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5"/>
      <c r="U843" s="15"/>
      <c r="V843" s="15"/>
      <c r="W843" s="15"/>
    </row>
    <row r="844">
      <c r="A844" s="54"/>
      <c r="B844" s="11"/>
      <c r="C844" s="20"/>
      <c r="D844" s="20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5"/>
      <c r="U844" s="15"/>
      <c r="V844" s="15"/>
      <c r="W844" s="15"/>
    </row>
    <row r="845">
      <c r="A845" s="54"/>
      <c r="B845" s="11"/>
      <c r="C845" s="20"/>
      <c r="D845" s="20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5"/>
      <c r="U845" s="15"/>
      <c r="V845" s="15"/>
      <c r="W845" s="15"/>
    </row>
    <row r="846">
      <c r="A846" s="54"/>
      <c r="B846" s="11"/>
      <c r="C846" s="20"/>
      <c r="D846" s="20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5"/>
      <c r="U846" s="15"/>
      <c r="V846" s="15"/>
      <c r="W846" s="15"/>
    </row>
    <row r="847">
      <c r="A847" s="54"/>
      <c r="B847" s="11"/>
      <c r="C847" s="20"/>
      <c r="D847" s="20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5"/>
      <c r="U847" s="15"/>
      <c r="V847" s="15"/>
      <c r="W847" s="15"/>
    </row>
    <row r="848">
      <c r="A848" s="54"/>
      <c r="B848" s="11"/>
      <c r="C848" s="20"/>
      <c r="D848" s="20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5"/>
      <c r="U848" s="15"/>
      <c r="V848" s="15"/>
      <c r="W848" s="15"/>
    </row>
    <row r="849">
      <c r="A849" s="54"/>
      <c r="B849" s="11"/>
      <c r="C849" s="20"/>
      <c r="D849" s="20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5"/>
      <c r="U849" s="15"/>
      <c r="V849" s="15"/>
      <c r="W849" s="15"/>
    </row>
    <row r="850">
      <c r="A850" s="54"/>
      <c r="B850" s="11"/>
      <c r="C850" s="20"/>
      <c r="D850" s="20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5"/>
      <c r="U850" s="15"/>
      <c r="V850" s="15"/>
      <c r="W850" s="15"/>
    </row>
    <row r="851">
      <c r="A851" s="54"/>
      <c r="B851" s="11"/>
      <c r="C851" s="20"/>
      <c r="D851" s="20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5"/>
      <c r="U851" s="15"/>
      <c r="V851" s="15"/>
      <c r="W851" s="15"/>
    </row>
    <row r="852">
      <c r="A852" s="54"/>
      <c r="B852" s="11"/>
      <c r="C852" s="20"/>
      <c r="D852" s="20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5"/>
      <c r="U852" s="15"/>
      <c r="V852" s="15"/>
      <c r="W852" s="15"/>
    </row>
    <row r="853">
      <c r="A853" s="54"/>
      <c r="B853" s="11"/>
      <c r="C853" s="20"/>
      <c r="D853" s="20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5"/>
      <c r="U853" s="15"/>
      <c r="V853" s="15"/>
      <c r="W853" s="15"/>
    </row>
    <row r="854">
      <c r="A854" s="54"/>
      <c r="B854" s="11"/>
      <c r="C854" s="20"/>
      <c r="D854" s="20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5"/>
      <c r="U854" s="15"/>
      <c r="V854" s="15"/>
      <c r="W854" s="15"/>
    </row>
    <row r="855">
      <c r="A855" s="54"/>
      <c r="B855" s="11"/>
      <c r="C855" s="20"/>
      <c r="D855" s="20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5"/>
      <c r="U855" s="15"/>
      <c r="V855" s="15"/>
      <c r="W855" s="15"/>
    </row>
    <row r="856">
      <c r="A856" s="54"/>
      <c r="B856" s="11"/>
      <c r="C856" s="20"/>
      <c r="D856" s="20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5"/>
      <c r="U856" s="15"/>
      <c r="V856" s="15"/>
      <c r="W856" s="15"/>
    </row>
    <row r="857">
      <c r="A857" s="54"/>
      <c r="B857" s="11"/>
      <c r="C857" s="20"/>
      <c r="D857" s="20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5"/>
      <c r="U857" s="15"/>
      <c r="V857" s="15"/>
      <c r="W857" s="15"/>
    </row>
    <row r="858">
      <c r="A858" s="54"/>
      <c r="B858" s="11"/>
      <c r="C858" s="20"/>
      <c r="D858" s="20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5"/>
      <c r="U858" s="15"/>
      <c r="V858" s="15"/>
      <c r="W858" s="15"/>
    </row>
    <row r="859">
      <c r="A859" s="54"/>
      <c r="B859" s="11"/>
      <c r="C859" s="20"/>
      <c r="D859" s="20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5"/>
      <c r="U859" s="15"/>
      <c r="V859" s="15"/>
      <c r="W859" s="15"/>
    </row>
    <row r="860">
      <c r="A860" s="54"/>
      <c r="B860" s="11"/>
      <c r="C860" s="20"/>
      <c r="D860" s="20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5"/>
      <c r="U860" s="15"/>
      <c r="V860" s="15"/>
      <c r="W860" s="15"/>
    </row>
    <row r="861">
      <c r="A861" s="22"/>
      <c r="B861" s="11"/>
      <c r="C861" s="20"/>
      <c r="D861" s="20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5"/>
      <c r="U861" s="15"/>
      <c r="V861" s="15"/>
      <c r="W861" s="15"/>
    </row>
    <row r="862">
      <c r="A862" s="22"/>
      <c r="B862" s="11"/>
      <c r="C862" s="20"/>
      <c r="D862" s="20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5"/>
      <c r="U862" s="15"/>
      <c r="V862" s="15"/>
      <c r="W862" s="15"/>
    </row>
    <row r="863">
      <c r="A863" s="22"/>
      <c r="B863" s="11"/>
      <c r="C863" s="20"/>
      <c r="D863" s="20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5"/>
      <c r="U863" s="15"/>
      <c r="V863" s="15"/>
      <c r="W863" s="15"/>
    </row>
    <row r="864">
      <c r="A864" s="22"/>
      <c r="B864" s="11"/>
      <c r="C864" s="20"/>
      <c r="D864" s="20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5"/>
      <c r="U864" s="15"/>
      <c r="V864" s="15"/>
      <c r="W864" s="15"/>
    </row>
    <row r="865">
      <c r="A865" s="22"/>
      <c r="B865" s="11"/>
      <c r="C865" s="20"/>
      <c r="D865" s="20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5"/>
      <c r="U865" s="15"/>
      <c r="V865" s="15"/>
      <c r="W865" s="15"/>
    </row>
    <row r="866">
      <c r="A866" s="22"/>
      <c r="B866" s="11"/>
      <c r="C866" s="20"/>
      <c r="D866" s="20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5"/>
      <c r="U866" s="15"/>
      <c r="V866" s="15"/>
      <c r="W866" s="15"/>
    </row>
    <row r="867">
      <c r="A867" s="22"/>
      <c r="B867" s="11"/>
      <c r="C867" s="20"/>
      <c r="D867" s="20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5"/>
      <c r="U867" s="15"/>
      <c r="V867" s="15"/>
      <c r="W867" s="15"/>
    </row>
    <row r="868">
      <c r="A868" s="22"/>
      <c r="B868" s="11"/>
      <c r="C868" s="20"/>
      <c r="D868" s="20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5"/>
      <c r="U868" s="15"/>
      <c r="V868" s="15"/>
      <c r="W868" s="15"/>
    </row>
    <row r="869">
      <c r="A869" s="22"/>
      <c r="B869" s="11"/>
      <c r="C869" s="20"/>
      <c r="D869" s="20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5"/>
      <c r="U869" s="15"/>
      <c r="V869" s="15"/>
      <c r="W869" s="15"/>
    </row>
    <row r="870">
      <c r="A870" s="22"/>
      <c r="B870" s="11"/>
      <c r="C870" s="20"/>
      <c r="D870" s="20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5"/>
      <c r="U870" s="15"/>
      <c r="V870" s="15"/>
      <c r="W870" s="15"/>
    </row>
    <row r="871">
      <c r="A871" s="22"/>
      <c r="B871" s="11"/>
      <c r="C871" s="20"/>
      <c r="D871" s="20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5"/>
      <c r="U871" s="15"/>
      <c r="V871" s="15"/>
      <c r="W871" s="15"/>
    </row>
    <row r="872">
      <c r="A872" s="22"/>
      <c r="B872" s="11"/>
      <c r="C872" s="20"/>
      <c r="D872" s="20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5"/>
      <c r="U872" s="15"/>
      <c r="V872" s="15"/>
      <c r="W872" s="15"/>
    </row>
    <row r="873">
      <c r="A873" s="22"/>
      <c r="B873" s="11"/>
      <c r="C873" s="20"/>
      <c r="D873" s="20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5"/>
      <c r="U873" s="15"/>
      <c r="V873" s="15"/>
      <c r="W873" s="15"/>
    </row>
    <row r="874">
      <c r="A874" s="22"/>
      <c r="B874" s="11"/>
      <c r="C874" s="20"/>
      <c r="D874" s="20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5"/>
      <c r="U874" s="15"/>
      <c r="V874" s="15"/>
      <c r="W874" s="15"/>
    </row>
    <row r="875">
      <c r="A875" s="22"/>
      <c r="B875" s="11"/>
      <c r="C875" s="20"/>
      <c r="D875" s="20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5"/>
      <c r="U875" s="15"/>
      <c r="V875" s="15"/>
      <c r="W875" s="15"/>
    </row>
    <row r="876">
      <c r="A876" s="22"/>
      <c r="B876" s="11"/>
      <c r="C876" s="20"/>
      <c r="D876" s="20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5"/>
      <c r="U876" s="15"/>
      <c r="V876" s="15"/>
      <c r="W876" s="15"/>
    </row>
    <row r="877">
      <c r="A877" s="22"/>
      <c r="B877" s="11"/>
      <c r="C877" s="20"/>
      <c r="D877" s="20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5"/>
      <c r="U877" s="15"/>
      <c r="V877" s="15"/>
      <c r="W877" s="15"/>
    </row>
    <row r="878">
      <c r="A878" s="22"/>
      <c r="B878" s="11"/>
      <c r="C878" s="20"/>
      <c r="D878" s="20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5"/>
      <c r="U878" s="15"/>
      <c r="V878" s="15"/>
      <c r="W878" s="15"/>
    </row>
    <row r="879">
      <c r="A879" s="22"/>
      <c r="B879" s="11"/>
      <c r="C879" s="20"/>
      <c r="D879" s="20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5"/>
      <c r="U879" s="15"/>
      <c r="V879" s="15"/>
      <c r="W879" s="15"/>
    </row>
    <row r="880">
      <c r="A880" s="54"/>
      <c r="B880" s="11"/>
      <c r="C880" s="20"/>
      <c r="D880" s="20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5"/>
      <c r="U880" s="15"/>
      <c r="V880" s="15"/>
      <c r="W880" s="15"/>
    </row>
    <row r="881">
      <c r="A881" s="54"/>
      <c r="B881" s="11"/>
      <c r="C881" s="20"/>
      <c r="D881" s="20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5"/>
      <c r="U881" s="15"/>
      <c r="V881" s="15"/>
      <c r="W881" s="15"/>
    </row>
    <row r="882">
      <c r="A882" s="54"/>
      <c r="B882" s="11"/>
      <c r="C882" s="20"/>
      <c r="D882" s="20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5"/>
      <c r="U882" s="15"/>
      <c r="V882" s="15"/>
      <c r="W882" s="15"/>
    </row>
    <row r="883">
      <c r="A883" s="54"/>
      <c r="B883" s="11"/>
      <c r="C883" s="20"/>
      <c r="D883" s="20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5"/>
      <c r="U883" s="15"/>
      <c r="V883" s="15"/>
      <c r="W883" s="15"/>
    </row>
    <row r="884">
      <c r="A884" s="54"/>
      <c r="B884" s="11"/>
      <c r="C884" s="20"/>
      <c r="D884" s="20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5"/>
      <c r="U884" s="15"/>
      <c r="V884" s="15"/>
      <c r="W884" s="15"/>
    </row>
    <row r="885">
      <c r="A885" s="54"/>
      <c r="B885" s="11"/>
      <c r="C885" s="20"/>
      <c r="D885" s="20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5"/>
      <c r="U885" s="15"/>
      <c r="V885" s="15"/>
      <c r="W885" s="15"/>
    </row>
    <row r="886">
      <c r="A886" s="54"/>
      <c r="B886" s="11"/>
      <c r="C886" s="20"/>
      <c r="D886" s="20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5"/>
      <c r="U886" s="15"/>
      <c r="V886" s="15"/>
      <c r="W886" s="15"/>
    </row>
    <row r="887">
      <c r="A887" s="54"/>
      <c r="B887" s="11"/>
      <c r="C887" s="20"/>
      <c r="D887" s="20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5"/>
      <c r="U887" s="15"/>
      <c r="V887" s="15"/>
      <c r="W887" s="15"/>
    </row>
    <row r="888">
      <c r="A888" s="54"/>
      <c r="B888" s="11"/>
      <c r="C888" s="20"/>
      <c r="D888" s="20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5"/>
      <c r="U888" s="15"/>
      <c r="V888" s="15"/>
      <c r="W888" s="15"/>
    </row>
    <row r="889">
      <c r="A889" s="54"/>
      <c r="B889" s="11"/>
      <c r="C889" s="20"/>
      <c r="D889" s="20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5"/>
      <c r="U889" s="15"/>
      <c r="V889" s="15"/>
      <c r="W889" s="15"/>
    </row>
    <row r="890">
      <c r="A890" s="54"/>
      <c r="B890" s="11"/>
      <c r="C890" s="20"/>
      <c r="D890" s="20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5"/>
      <c r="U890" s="15"/>
      <c r="V890" s="15"/>
      <c r="W890" s="15"/>
    </row>
    <row r="891">
      <c r="A891" s="54"/>
      <c r="B891" s="11"/>
      <c r="C891" s="20"/>
      <c r="D891" s="20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5"/>
      <c r="U891" s="15"/>
      <c r="V891" s="15"/>
      <c r="W891" s="15"/>
    </row>
    <row r="892">
      <c r="A892" s="54"/>
      <c r="B892" s="11"/>
      <c r="C892" s="20"/>
      <c r="D892" s="20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5"/>
      <c r="U892" s="15"/>
      <c r="V892" s="15"/>
      <c r="W892" s="15"/>
    </row>
    <row r="893">
      <c r="A893" s="54"/>
      <c r="B893" s="11"/>
      <c r="C893" s="20"/>
      <c r="D893" s="20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5"/>
      <c r="U893" s="15"/>
      <c r="V893" s="15"/>
      <c r="W893" s="15"/>
    </row>
    <row r="894">
      <c r="A894" s="54"/>
      <c r="B894" s="11"/>
      <c r="C894" s="20"/>
      <c r="D894" s="20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5"/>
      <c r="U894" s="15"/>
      <c r="V894" s="15"/>
      <c r="W894" s="15"/>
    </row>
    <row r="895">
      <c r="A895" s="54"/>
      <c r="B895" s="11"/>
      <c r="C895" s="20"/>
      <c r="D895" s="20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5"/>
      <c r="U895" s="15"/>
      <c r="V895" s="15"/>
      <c r="W895" s="15"/>
    </row>
    <row r="896">
      <c r="A896" s="54"/>
      <c r="B896" s="11"/>
      <c r="C896" s="20"/>
      <c r="D896" s="20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5"/>
      <c r="U896" s="15"/>
      <c r="V896" s="15"/>
      <c r="W896" s="15"/>
    </row>
    <row r="897">
      <c r="A897" s="54"/>
      <c r="B897" s="11"/>
      <c r="C897" s="20"/>
      <c r="D897" s="20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5"/>
      <c r="U897" s="15"/>
      <c r="V897" s="15"/>
      <c r="W897" s="15"/>
    </row>
    <row r="898">
      <c r="A898" s="22"/>
      <c r="B898" s="11"/>
      <c r="C898" s="20"/>
      <c r="D898" s="20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5"/>
      <c r="U898" s="15"/>
      <c r="V898" s="15"/>
      <c r="W898" s="15"/>
    </row>
    <row r="899">
      <c r="A899" s="22"/>
      <c r="B899" s="11"/>
      <c r="C899" s="20"/>
      <c r="D899" s="20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5"/>
      <c r="U899" s="15"/>
      <c r="V899" s="15"/>
      <c r="W899" s="15"/>
    </row>
    <row r="900">
      <c r="A900" s="22"/>
      <c r="B900" s="11"/>
      <c r="C900" s="20"/>
      <c r="D900" s="20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5"/>
      <c r="U900" s="15"/>
      <c r="V900" s="15"/>
      <c r="W900" s="15"/>
    </row>
    <row r="901">
      <c r="A901" s="22"/>
      <c r="B901" s="11"/>
      <c r="C901" s="20"/>
      <c r="D901" s="20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5"/>
      <c r="U901" s="15"/>
      <c r="V901" s="15"/>
      <c r="W901" s="15"/>
    </row>
    <row r="902">
      <c r="A902" s="22"/>
      <c r="B902" s="11"/>
      <c r="C902" s="20"/>
      <c r="D902" s="20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5"/>
      <c r="U902" s="15"/>
      <c r="V902" s="15"/>
      <c r="W902" s="15"/>
    </row>
    <row r="903">
      <c r="A903" s="22"/>
      <c r="B903" s="11"/>
      <c r="C903" s="20"/>
      <c r="D903" s="20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5"/>
      <c r="U903" s="15"/>
      <c r="V903" s="15"/>
      <c r="W903" s="15"/>
    </row>
    <row r="904">
      <c r="A904" s="22"/>
      <c r="B904" s="11"/>
      <c r="C904" s="20"/>
      <c r="D904" s="20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5"/>
      <c r="U904" s="15"/>
      <c r="V904" s="15"/>
      <c r="W904" s="15"/>
    </row>
    <row r="905">
      <c r="A905" s="22"/>
      <c r="B905" s="11"/>
      <c r="C905" s="20"/>
      <c r="D905" s="20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5"/>
      <c r="U905" s="15"/>
      <c r="V905" s="15"/>
      <c r="W905" s="15"/>
    </row>
    <row r="906">
      <c r="A906" s="22"/>
      <c r="B906" s="11"/>
      <c r="C906" s="20"/>
      <c r="D906" s="20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5"/>
      <c r="U906" s="15"/>
      <c r="V906" s="15"/>
      <c r="W906" s="15"/>
    </row>
    <row r="907">
      <c r="A907" s="22"/>
      <c r="B907" s="11"/>
      <c r="C907" s="20"/>
      <c r="D907" s="20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5"/>
      <c r="U907" s="15"/>
      <c r="V907" s="15"/>
      <c r="W907" s="15"/>
    </row>
    <row r="908">
      <c r="A908" s="22"/>
      <c r="B908" s="11"/>
      <c r="C908" s="20"/>
      <c r="D908" s="20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5"/>
      <c r="U908" s="15"/>
      <c r="V908" s="15"/>
      <c r="W908" s="15"/>
    </row>
    <row r="909">
      <c r="A909" s="22"/>
      <c r="B909" s="11"/>
      <c r="C909" s="20"/>
      <c r="D909" s="20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5"/>
      <c r="U909" s="15"/>
      <c r="V909" s="15"/>
      <c r="W909" s="15"/>
    </row>
    <row r="910">
      <c r="A910" s="22"/>
      <c r="B910" s="11"/>
      <c r="C910" s="20"/>
      <c r="D910" s="20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5"/>
      <c r="U910" s="15"/>
      <c r="V910" s="15"/>
      <c r="W910" s="15"/>
    </row>
    <row r="911">
      <c r="A911" s="22"/>
      <c r="B911" s="11"/>
      <c r="C911" s="20"/>
      <c r="D911" s="20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5"/>
      <c r="U911" s="15"/>
      <c r="V911" s="15"/>
      <c r="W911" s="15"/>
    </row>
    <row r="912">
      <c r="A912" s="22"/>
      <c r="B912" s="11"/>
      <c r="C912" s="20"/>
      <c r="D912" s="20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5"/>
      <c r="U912" s="15"/>
      <c r="V912" s="15"/>
      <c r="W912" s="15"/>
    </row>
    <row r="913">
      <c r="A913" s="22"/>
      <c r="B913" s="11"/>
      <c r="C913" s="20"/>
      <c r="D913" s="20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5"/>
      <c r="U913" s="15"/>
      <c r="V913" s="15"/>
      <c r="W913" s="15"/>
    </row>
    <row r="914">
      <c r="A914" s="22"/>
      <c r="B914" s="11"/>
      <c r="C914" s="20"/>
      <c r="D914" s="20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5"/>
      <c r="U914" s="15"/>
      <c r="V914" s="15"/>
      <c r="W914" s="15"/>
    </row>
    <row r="915">
      <c r="A915" s="22"/>
      <c r="B915" s="11"/>
      <c r="C915" s="20"/>
      <c r="D915" s="20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5"/>
      <c r="U915" s="15"/>
      <c r="V915" s="15"/>
      <c r="W915" s="15"/>
    </row>
    <row r="916">
      <c r="A916" s="22"/>
      <c r="B916" s="11"/>
      <c r="C916" s="20"/>
      <c r="D916" s="20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5"/>
      <c r="U916" s="15"/>
      <c r="V916" s="15"/>
      <c r="W916" s="15"/>
    </row>
    <row r="917">
      <c r="A917" s="54"/>
      <c r="B917" s="11"/>
      <c r="C917" s="20"/>
      <c r="D917" s="20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5"/>
      <c r="U917" s="15"/>
      <c r="V917" s="15"/>
      <c r="W917" s="15"/>
    </row>
    <row r="918">
      <c r="A918" s="54"/>
      <c r="B918" s="11"/>
      <c r="C918" s="20"/>
      <c r="D918" s="20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5"/>
      <c r="U918" s="15"/>
      <c r="V918" s="15"/>
      <c r="W918" s="15"/>
    </row>
    <row r="919">
      <c r="A919" s="54"/>
      <c r="B919" s="11"/>
      <c r="C919" s="20"/>
      <c r="D919" s="20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5"/>
      <c r="U919" s="15"/>
      <c r="V919" s="15"/>
      <c r="W919" s="15"/>
    </row>
    <row r="920">
      <c r="A920" s="54"/>
      <c r="B920" s="11"/>
      <c r="C920" s="20"/>
      <c r="D920" s="20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5"/>
      <c r="U920" s="15"/>
      <c r="V920" s="15"/>
      <c r="W920" s="15"/>
    </row>
    <row r="921">
      <c r="A921" s="54"/>
      <c r="B921" s="11"/>
      <c r="C921" s="20"/>
      <c r="D921" s="20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5"/>
      <c r="U921" s="15"/>
      <c r="V921" s="15"/>
      <c r="W921" s="15"/>
    </row>
    <row r="922">
      <c r="A922" s="54"/>
      <c r="B922" s="11"/>
      <c r="C922" s="20"/>
      <c r="D922" s="20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5"/>
      <c r="U922" s="15"/>
      <c r="V922" s="15"/>
      <c r="W922" s="15"/>
    </row>
    <row r="923">
      <c r="A923" s="54"/>
      <c r="B923" s="11"/>
      <c r="C923" s="20"/>
      <c r="D923" s="20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5"/>
      <c r="U923" s="15"/>
      <c r="V923" s="15"/>
      <c r="W923" s="15"/>
    </row>
    <row r="924">
      <c r="A924" s="54"/>
      <c r="B924" s="11"/>
      <c r="C924" s="20"/>
      <c r="D924" s="20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5"/>
      <c r="U924" s="15"/>
      <c r="V924" s="15"/>
      <c r="W924" s="15"/>
    </row>
    <row r="925">
      <c r="A925" s="54"/>
      <c r="B925" s="11"/>
      <c r="C925" s="20"/>
      <c r="D925" s="20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5"/>
      <c r="U925" s="15"/>
      <c r="V925" s="15"/>
      <c r="W925" s="15"/>
    </row>
    <row r="926">
      <c r="A926" s="54"/>
      <c r="B926" s="11"/>
      <c r="C926" s="20"/>
      <c r="D926" s="20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5"/>
      <c r="U926" s="15"/>
      <c r="V926" s="15"/>
      <c r="W926" s="15"/>
    </row>
    <row r="927">
      <c r="A927" s="54"/>
      <c r="B927" s="11"/>
      <c r="C927" s="20"/>
      <c r="D927" s="20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5"/>
      <c r="U927" s="15"/>
      <c r="V927" s="15"/>
      <c r="W927" s="15"/>
    </row>
    <row r="928">
      <c r="A928" s="54"/>
      <c r="B928" s="11"/>
      <c r="C928" s="20"/>
      <c r="D928" s="20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5"/>
      <c r="U928" s="15"/>
      <c r="V928" s="15"/>
      <c r="W928" s="15"/>
    </row>
    <row r="929">
      <c r="A929" s="54"/>
      <c r="B929" s="11"/>
      <c r="C929" s="20"/>
      <c r="D929" s="20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5"/>
      <c r="U929" s="15"/>
      <c r="V929" s="15"/>
      <c r="W929" s="15"/>
    </row>
    <row r="930">
      <c r="A930" s="54"/>
      <c r="B930" s="11"/>
      <c r="C930" s="20"/>
      <c r="D930" s="20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5"/>
      <c r="U930" s="15"/>
      <c r="V930" s="15"/>
      <c r="W930" s="15"/>
    </row>
    <row r="931">
      <c r="A931" s="54"/>
      <c r="B931" s="11"/>
      <c r="C931" s="20"/>
      <c r="D931" s="20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5"/>
      <c r="U931" s="15"/>
      <c r="V931" s="15"/>
      <c r="W931" s="15"/>
    </row>
    <row r="932">
      <c r="A932" s="54"/>
      <c r="B932" s="11"/>
      <c r="C932" s="20"/>
      <c r="D932" s="20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5"/>
      <c r="U932" s="15"/>
      <c r="V932" s="15"/>
      <c r="W932" s="15"/>
    </row>
    <row r="933">
      <c r="A933" s="54"/>
      <c r="B933" s="11"/>
      <c r="C933" s="20"/>
      <c r="D933" s="20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5"/>
      <c r="U933" s="15"/>
      <c r="V933" s="15"/>
      <c r="W933" s="15"/>
    </row>
    <row r="934">
      <c r="A934" s="54"/>
      <c r="B934" s="11"/>
      <c r="C934" s="20"/>
      <c r="D934" s="20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5"/>
      <c r="U934" s="15"/>
      <c r="V934" s="15"/>
      <c r="W934" s="15"/>
    </row>
    <row r="935">
      <c r="A935" s="54"/>
      <c r="B935" s="11"/>
      <c r="C935" s="20"/>
      <c r="D935" s="20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5"/>
      <c r="U935" s="15"/>
      <c r="V935" s="15"/>
      <c r="W935" s="15"/>
    </row>
    <row r="936">
      <c r="A936" s="54"/>
      <c r="B936" s="11"/>
      <c r="C936" s="20"/>
      <c r="D936" s="20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5"/>
      <c r="U936" s="15"/>
      <c r="V936" s="15"/>
      <c r="W936" s="15"/>
    </row>
    <row r="937">
      <c r="A937" s="54"/>
      <c r="B937" s="11"/>
      <c r="C937" s="20"/>
      <c r="D937" s="20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5"/>
      <c r="U937" s="15"/>
      <c r="V937" s="15"/>
      <c r="W937" s="15"/>
    </row>
    <row r="938">
      <c r="A938" s="54"/>
      <c r="B938" s="11"/>
      <c r="C938" s="20"/>
      <c r="D938" s="20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5"/>
      <c r="U938" s="15"/>
      <c r="V938" s="15"/>
      <c r="W938" s="15"/>
    </row>
    <row r="939">
      <c r="A939" s="54"/>
      <c r="B939" s="11"/>
      <c r="C939" s="20"/>
      <c r="D939" s="20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5"/>
      <c r="U939" s="15"/>
      <c r="V939" s="15"/>
      <c r="W939" s="15"/>
    </row>
    <row r="940">
      <c r="A940" s="54"/>
      <c r="B940" s="11"/>
      <c r="C940" s="20"/>
      <c r="D940" s="20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5"/>
      <c r="U940" s="15"/>
      <c r="V940" s="15"/>
      <c r="W940" s="15"/>
    </row>
    <row r="941">
      <c r="A941" s="54"/>
      <c r="B941" s="11"/>
      <c r="C941" s="20"/>
      <c r="D941" s="20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5"/>
      <c r="U941" s="15"/>
      <c r="V941" s="15"/>
      <c r="W941" s="15"/>
    </row>
    <row r="942">
      <c r="A942" s="54"/>
      <c r="B942" s="11"/>
      <c r="C942" s="20"/>
      <c r="D942" s="20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5"/>
      <c r="U942" s="15"/>
      <c r="V942" s="15"/>
      <c r="W942" s="15"/>
    </row>
    <row r="943">
      <c r="A943" s="54"/>
      <c r="B943" s="11"/>
      <c r="C943" s="20"/>
      <c r="D943" s="20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5"/>
      <c r="U943" s="15"/>
      <c r="V943" s="15"/>
      <c r="W943" s="15"/>
    </row>
    <row r="944">
      <c r="A944" s="22"/>
      <c r="B944" s="11"/>
      <c r="C944" s="20"/>
      <c r="D944" s="20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5"/>
      <c r="U944" s="15"/>
      <c r="V944" s="15"/>
      <c r="W944" s="15"/>
    </row>
    <row r="945">
      <c r="A945" s="22"/>
      <c r="B945" s="11"/>
      <c r="C945" s="20"/>
      <c r="D945" s="20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5"/>
      <c r="U945" s="15"/>
      <c r="V945" s="15"/>
      <c r="W945" s="15"/>
    </row>
    <row r="946">
      <c r="A946" s="22"/>
      <c r="B946" s="11"/>
      <c r="C946" s="20"/>
      <c r="D946" s="20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5"/>
      <c r="U946" s="15"/>
      <c r="V946" s="15"/>
      <c r="W946" s="15"/>
    </row>
    <row r="947">
      <c r="A947" s="22"/>
      <c r="B947" s="11"/>
      <c r="C947" s="20"/>
      <c r="D947" s="20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5"/>
      <c r="U947" s="15"/>
      <c r="V947" s="15"/>
      <c r="W947" s="15"/>
    </row>
    <row r="948">
      <c r="A948" s="22"/>
      <c r="B948" s="11"/>
      <c r="C948" s="20"/>
      <c r="D948" s="20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5"/>
      <c r="U948" s="15"/>
      <c r="V948" s="15"/>
      <c r="W948" s="15"/>
    </row>
    <row r="949">
      <c r="A949" s="22"/>
      <c r="B949" s="11"/>
      <c r="C949" s="20"/>
      <c r="D949" s="20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5"/>
      <c r="U949" s="15"/>
      <c r="V949" s="15"/>
      <c r="W949" s="15"/>
    </row>
    <row r="950">
      <c r="A950" s="22"/>
      <c r="B950" s="11"/>
      <c r="C950" s="20"/>
      <c r="D950" s="20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5"/>
      <c r="U950" s="15"/>
      <c r="V950" s="15"/>
      <c r="W950" s="15"/>
    </row>
    <row r="951">
      <c r="A951" s="22"/>
      <c r="B951" s="11"/>
      <c r="C951" s="20"/>
      <c r="D951" s="20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5"/>
      <c r="U951" s="15"/>
      <c r="V951" s="15"/>
      <c r="W951" s="15"/>
    </row>
    <row r="952">
      <c r="A952" s="22"/>
      <c r="B952" s="11"/>
      <c r="C952" s="20"/>
      <c r="D952" s="20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5"/>
      <c r="U952" s="15"/>
      <c r="V952" s="15"/>
      <c r="W952" s="15"/>
    </row>
    <row r="953">
      <c r="A953" s="22"/>
      <c r="B953" s="11"/>
      <c r="C953" s="20"/>
      <c r="D953" s="20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5"/>
      <c r="U953" s="15"/>
      <c r="V953" s="15"/>
      <c r="W953" s="15"/>
    </row>
    <row r="954">
      <c r="A954" s="22"/>
      <c r="B954" s="11"/>
      <c r="C954" s="20"/>
      <c r="D954" s="20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5"/>
      <c r="U954" s="15"/>
      <c r="V954" s="15"/>
      <c r="W954" s="15"/>
    </row>
    <row r="955">
      <c r="A955" s="22"/>
      <c r="B955" s="11"/>
      <c r="C955" s="20"/>
      <c r="D955" s="20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5"/>
      <c r="U955" s="15"/>
      <c r="V955" s="15"/>
      <c r="W955" s="15"/>
    </row>
    <row r="956">
      <c r="A956" s="22"/>
      <c r="B956" s="11"/>
      <c r="C956" s="20"/>
      <c r="D956" s="20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5"/>
      <c r="U956" s="15"/>
      <c r="V956" s="15"/>
      <c r="W956" s="15"/>
    </row>
    <row r="957">
      <c r="A957" s="22"/>
      <c r="B957" s="11"/>
      <c r="C957" s="20"/>
      <c r="D957" s="20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5"/>
      <c r="U957" s="15"/>
      <c r="V957" s="15"/>
      <c r="W957" s="15"/>
    </row>
    <row r="958">
      <c r="A958" s="22"/>
      <c r="B958" s="11"/>
      <c r="C958" s="20"/>
      <c r="D958" s="20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5"/>
      <c r="U958" s="15"/>
      <c r="V958" s="15"/>
      <c r="W958" s="15"/>
    </row>
    <row r="959">
      <c r="A959" s="22"/>
      <c r="B959" s="11"/>
      <c r="C959" s="20"/>
      <c r="D959" s="20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5"/>
      <c r="U959" s="15"/>
      <c r="V959" s="15"/>
      <c r="W959" s="15"/>
    </row>
    <row r="960">
      <c r="A960" s="22"/>
      <c r="B960" s="11"/>
      <c r="C960" s="20"/>
      <c r="D960" s="20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5"/>
      <c r="U960" s="15"/>
      <c r="V960" s="15"/>
      <c r="W960" s="15"/>
    </row>
    <row r="961">
      <c r="A961" s="22"/>
      <c r="B961" s="11"/>
      <c r="C961" s="20"/>
      <c r="D961" s="20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5"/>
      <c r="U961" s="15"/>
      <c r="V961" s="15"/>
      <c r="W961" s="15"/>
    </row>
    <row r="962">
      <c r="A962" s="22"/>
      <c r="B962" s="11"/>
      <c r="C962" s="20"/>
      <c r="D962" s="20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5"/>
      <c r="U962" s="15"/>
      <c r="V962" s="15"/>
      <c r="W962" s="15"/>
    </row>
    <row r="963">
      <c r="A963" s="54"/>
      <c r="B963" s="11"/>
      <c r="C963" s="20"/>
      <c r="D963" s="20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5"/>
      <c r="U963" s="15"/>
      <c r="V963" s="15"/>
      <c r="W963" s="15"/>
    </row>
    <row r="964">
      <c r="A964" s="54"/>
      <c r="B964" s="11"/>
      <c r="C964" s="20"/>
      <c r="D964" s="20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5"/>
      <c r="U964" s="15"/>
      <c r="V964" s="15"/>
      <c r="W964" s="15"/>
    </row>
    <row r="965">
      <c r="A965" s="54"/>
      <c r="B965" s="11"/>
      <c r="C965" s="20"/>
      <c r="D965" s="20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5"/>
      <c r="U965" s="15"/>
      <c r="V965" s="15"/>
      <c r="W965" s="15"/>
    </row>
    <row r="966">
      <c r="A966" s="54"/>
      <c r="B966" s="11"/>
      <c r="C966" s="20"/>
      <c r="D966" s="20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5"/>
      <c r="U966" s="15"/>
      <c r="V966" s="15"/>
      <c r="W966" s="15"/>
    </row>
    <row r="967">
      <c r="A967" s="54"/>
      <c r="B967" s="11"/>
      <c r="C967" s="20"/>
      <c r="D967" s="20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5"/>
      <c r="U967" s="15"/>
      <c r="V967" s="15"/>
      <c r="W967" s="15"/>
    </row>
    <row r="968">
      <c r="A968" s="54"/>
      <c r="B968" s="11"/>
      <c r="C968" s="20"/>
      <c r="D968" s="20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5"/>
      <c r="U968" s="15"/>
      <c r="V968" s="15"/>
      <c r="W968" s="15"/>
    </row>
    <row r="969">
      <c r="A969" s="54"/>
      <c r="B969" s="11"/>
      <c r="C969" s="20"/>
      <c r="D969" s="20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5"/>
      <c r="U969" s="15"/>
      <c r="V969" s="15"/>
      <c r="W969" s="15"/>
    </row>
    <row r="970">
      <c r="A970" s="54"/>
      <c r="B970" s="11"/>
      <c r="C970" s="20"/>
      <c r="D970" s="20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5"/>
      <c r="U970" s="15"/>
      <c r="V970" s="15"/>
      <c r="W970" s="15"/>
    </row>
    <row r="971">
      <c r="A971" s="54"/>
      <c r="B971" s="11"/>
      <c r="C971" s="20"/>
      <c r="D971" s="20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5"/>
      <c r="U971" s="15"/>
      <c r="V971" s="15"/>
      <c r="W971" s="15"/>
    </row>
    <row r="972">
      <c r="A972" s="54"/>
      <c r="B972" s="11"/>
      <c r="C972" s="20"/>
      <c r="D972" s="20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5"/>
      <c r="U972" s="15"/>
      <c r="V972" s="15"/>
      <c r="W972" s="15"/>
    </row>
    <row r="973">
      <c r="A973" s="54"/>
      <c r="B973" s="11"/>
      <c r="C973" s="20"/>
      <c r="D973" s="20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5"/>
      <c r="U973" s="15"/>
      <c r="V973" s="15"/>
      <c r="W973" s="15"/>
    </row>
    <row r="974">
      <c r="A974" s="54"/>
      <c r="B974" s="11"/>
      <c r="C974" s="20"/>
      <c r="D974" s="20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5"/>
      <c r="U974" s="15"/>
      <c r="V974" s="15"/>
      <c r="W974" s="15"/>
    </row>
    <row r="975">
      <c r="A975" s="54"/>
      <c r="B975" s="11"/>
      <c r="C975" s="20"/>
      <c r="D975" s="20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5"/>
      <c r="U975" s="15"/>
      <c r="V975" s="15"/>
      <c r="W975" s="15"/>
    </row>
    <row r="976">
      <c r="A976" s="54"/>
      <c r="B976" s="11"/>
      <c r="C976" s="20"/>
      <c r="D976" s="20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5"/>
      <c r="U976" s="15"/>
      <c r="V976" s="15"/>
      <c r="W976" s="15"/>
    </row>
    <row r="977">
      <c r="A977" s="54"/>
      <c r="B977" s="11"/>
      <c r="C977" s="20"/>
      <c r="D977" s="20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5"/>
      <c r="U977" s="15"/>
      <c r="V977" s="15"/>
      <c r="W977" s="15"/>
    </row>
    <row r="978">
      <c r="A978" s="54"/>
      <c r="B978" s="11"/>
      <c r="C978" s="20"/>
      <c r="D978" s="20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5"/>
      <c r="U978" s="15"/>
      <c r="V978" s="15"/>
      <c r="W978" s="15"/>
    </row>
    <row r="979">
      <c r="A979" s="54"/>
      <c r="B979" s="11"/>
      <c r="C979" s="20"/>
      <c r="D979" s="20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5"/>
      <c r="U979" s="15"/>
      <c r="V979" s="15"/>
      <c r="W979" s="15"/>
    </row>
    <row r="980">
      <c r="A980" s="54"/>
      <c r="B980" s="11"/>
      <c r="C980" s="20"/>
      <c r="D980" s="20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5"/>
      <c r="U980" s="15"/>
      <c r="V980" s="15"/>
      <c r="W980" s="15"/>
    </row>
    <row r="981">
      <c r="A981" s="22"/>
      <c r="B981" s="11"/>
      <c r="C981" s="20"/>
      <c r="D981" s="20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5"/>
      <c r="U981" s="15"/>
      <c r="V981" s="15"/>
      <c r="W981" s="15"/>
    </row>
    <row r="982">
      <c r="A982" s="22"/>
      <c r="B982" s="11"/>
      <c r="C982" s="20"/>
      <c r="D982" s="20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5"/>
      <c r="U982" s="15"/>
      <c r="V982" s="15"/>
      <c r="W982" s="15"/>
    </row>
    <row r="983">
      <c r="A983" s="22"/>
      <c r="B983" s="11"/>
      <c r="C983" s="20"/>
      <c r="D983" s="20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5"/>
      <c r="U983" s="15"/>
      <c r="V983" s="15"/>
      <c r="W983" s="15"/>
    </row>
    <row r="984">
      <c r="A984" s="22"/>
      <c r="B984" s="11"/>
      <c r="C984" s="20"/>
      <c r="D984" s="20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5"/>
      <c r="U984" s="15"/>
      <c r="V984" s="15"/>
      <c r="W984" s="15"/>
    </row>
    <row r="985">
      <c r="A985" s="22"/>
      <c r="B985" s="11"/>
      <c r="C985" s="20"/>
      <c r="D985" s="20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5"/>
      <c r="U985" s="15"/>
      <c r="V985" s="15"/>
      <c r="W985" s="15"/>
    </row>
    <row r="986">
      <c r="A986" s="22"/>
      <c r="B986" s="11"/>
      <c r="C986" s="20"/>
      <c r="D986" s="20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5"/>
      <c r="U986" s="15"/>
      <c r="V986" s="15"/>
      <c r="W986" s="15"/>
    </row>
    <row r="987">
      <c r="A987" s="22"/>
      <c r="B987" s="11"/>
      <c r="C987" s="20"/>
      <c r="D987" s="20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5"/>
      <c r="U987" s="15"/>
      <c r="V987" s="15"/>
      <c r="W987" s="15"/>
    </row>
    <row r="988">
      <c r="A988" s="22"/>
      <c r="B988" s="11"/>
      <c r="C988" s="20"/>
      <c r="D988" s="20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5"/>
      <c r="U988" s="15"/>
      <c r="V988" s="15"/>
      <c r="W988" s="15"/>
    </row>
    <row r="989">
      <c r="A989" s="22"/>
      <c r="B989" s="11"/>
      <c r="C989" s="20"/>
      <c r="D989" s="20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5"/>
      <c r="U989" s="15"/>
      <c r="V989" s="15"/>
      <c r="W989" s="15"/>
    </row>
    <row r="990">
      <c r="A990" s="22"/>
      <c r="B990" s="11"/>
      <c r="C990" s="20"/>
      <c r="D990" s="20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5"/>
      <c r="U990" s="15"/>
      <c r="V990" s="15"/>
      <c r="W990" s="15"/>
    </row>
    <row r="991">
      <c r="A991" s="22"/>
      <c r="B991" s="11"/>
      <c r="C991" s="20"/>
      <c r="D991" s="20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5"/>
      <c r="U991" s="15"/>
      <c r="V991" s="15"/>
      <c r="W991" s="15"/>
    </row>
    <row r="992">
      <c r="A992" s="22"/>
      <c r="B992" s="11"/>
      <c r="C992" s="20"/>
      <c r="D992" s="20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5"/>
      <c r="U992" s="15"/>
      <c r="V992" s="15"/>
      <c r="W992" s="15"/>
    </row>
    <row r="993">
      <c r="A993" s="22"/>
      <c r="B993" s="11"/>
      <c r="C993" s="20"/>
      <c r="D993" s="20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5"/>
      <c r="U993" s="15"/>
      <c r="V993" s="15"/>
      <c r="W993" s="15"/>
    </row>
    <row r="994">
      <c r="A994" s="22"/>
      <c r="B994" s="11"/>
      <c r="C994" s="20"/>
      <c r="D994" s="20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5"/>
      <c r="U994" s="15"/>
      <c r="V994" s="15"/>
      <c r="W994" s="15"/>
    </row>
    <row r="995">
      <c r="A995" s="22"/>
      <c r="B995" s="11"/>
      <c r="C995" s="20"/>
      <c r="D995" s="20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5"/>
      <c r="U995" s="15"/>
      <c r="V995" s="15"/>
      <c r="W995" s="15"/>
    </row>
    <row r="996">
      <c r="A996" s="22"/>
      <c r="B996" s="11"/>
      <c r="C996" s="20"/>
      <c r="D996" s="20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5"/>
      <c r="U996" s="15"/>
      <c r="V996" s="15"/>
      <c r="W996" s="15"/>
    </row>
    <row r="997">
      <c r="A997" s="22"/>
      <c r="B997" s="11"/>
      <c r="C997" s="20"/>
      <c r="D997" s="20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5"/>
      <c r="U997" s="15"/>
      <c r="V997" s="15"/>
      <c r="W997" s="15"/>
    </row>
    <row r="998">
      <c r="A998" s="22"/>
      <c r="B998" s="11"/>
      <c r="C998" s="20"/>
      <c r="D998" s="20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5"/>
      <c r="U998" s="15"/>
      <c r="V998" s="15"/>
      <c r="W998" s="15"/>
    </row>
    <row r="999">
      <c r="A999" s="22"/>
      <c r="B999" s="11"/>
      <c r="C999" s="20"/>
      <c r="D999" s="20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5"/>
      <c r="U999" s="15"/>
      <c r="V999" s="15"/>
      <c r="W999" s="15"/>
    </row>
    <row r="1000">
      <c r="A1000" s="11"/>
      <c r="B1000" s="11"/>
      <c r="C1000" s="20"/>
      <c r="D1000" s="20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5"/>
      <c r="U1000" s="15"/>
      <c r="V1000" s="15"/>
      <c r="W1000" s="15"/>
    </row>
    <row r="1001">
      <c r="A1001" s="11"/>
      <c r="B1001" s="11"/>
      <c r="C1001" s="20"/>
      <c r="D1001" s="20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5"/>
      <c r="U1001" s="15"/>
      <c r="V1001" s="15"/>
      <c r="W1001" s="15"/>
    </row>
    <row r="1002">
      <c r="A1002" s="11"/>
      <c r="B1002" s="11"/>
      <c r="C1002" s="20"/>
      <c r="D1002" s="20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5"/>
      <c r="U1002" s="15"/>
      <c r="V1002" s="15"/>
      <c r="W1002" s="15"/>
    </row>
    <row r="1003">
      <c r="A1003" s="11"/>
      <c r="B1003" s="11"/>
      <c r="C1003" s="20"/>
      <c r="D1003" s="20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5"/>
      <c r="U1003" s="15"/>
      <c r="V1003" s="15"/>
      <c r="W1003" s="15"/>
    </row>
    <row r="1004">
      <c r="A1004" s="11"/>
      <c r="B1004" s="11"/>
      <c r="C1004" s="20"/>
      <c r="D1004" s="20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5"/>
      <c r="U1004" s="15"/>
      <c r="V1004" s="15"/>
      <c r="W1004" s="15"/>
    </row>
    <row r="1005">
      <c r="A1005" s="11"/>
      <c r="B1005" s="11"/>
      <c r="C1005" s="20"/>
      <c r="D1005" s="20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5"/>
      <c r="U1005" s="15"/>
      <c r="V1005" s="15"/>
      <c r="W1005" s="15"/>
    </row>
    <row r="1006">
      <c r="A1006" s="11"/>
      <c r="B1006" s="11"/>
      <c r="C1006" s="20"/>
      <c r="D1006" s="20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5"/>
      <c r="U1006" s="15"/>
      <c r="V1006" s="15"/>
      <c r="W1006" s="15"/>
    </row>
    <row r="1007">
      <c r="A1007" s="11"/>
      <c r="B1007" s="11"/>
      <c r="C1007" s="20"/>
      <c r="D1007" s="20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5"/>
      <c r="U1007" s="15"/>
      <c r="V1007" s="15"/>
      <c r="W1007" s="15"/>
    </row>
    <row r="1008">
      <c r="A1008" s="11"/>
      <c r="B1008" s="11"/>
      <c r="C1008" s="20"/>
      <c r="D1008" s="20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5"/>
      <c r="U1008" s="15"/>
      <c r="V1008" s="15"/>
      <c r="W1008" s="15"/>
    </row>
    <row r="1009">
      <c r="A1009" s="11"/>
      <c r="B1009" s="11"/>
      <c r="C1009" s="20"/>
      <c r="D1009" s="20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5"/>
      <c r="U1009" s="15"/>
      <c r="V1009" s="15"/>
      <c r="W1009" s="15"/>
    </row>
    <row r="1010">
      <c r="A1010" s="11"/>
      <c r="B1010" s="11"/>
      <c r="C1010" s="20"/>
      <c r="D1010" s="20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5"/>
      <c r="U1010" s="15"/>
      <c r="V1010" s="15"/>
      <c r="W1010" s="15"/>
    </row>
    <row r="1011">
      <c r="A1011" s="11"/>
      <c r="B1011" s="11"/>
      <c r="C1011" s="20"/>
      <c r="D1011" s="20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5"/>
      <c r="U1011" s="15"/>
      <c r="V1011" s="15"/>
      <c r="W1011" s="15"/>
    </row>
    <row r="1012">
      <c r="A1012" s="11"/>
      <c r="B1012" s="11"/>
      <c r="C1012" s="20"/>
      <c r="D1012" s="20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5"/>
      <c r="U1012" s="15"/>
      <c r="V1012" s="15"/>
      <c r="W1012" s="15"/>
    </row>
    <row r="1013">
      <c r="A1013" s="11"/>
      <c r="B1013" s="11"/>
      <c r="C1013" s="20"/>
      <c r="D1013" s="20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5"/>
      <c r="U1013" s="15"/>
      <c r="V1013" s="15"/>
      <c r="W1013" s="15"/>
    </row>
    <row r="1014">
      <c r="A1014" s="11"/>
      <c r="B1014" s="11"/>
      <c r="C1014" s="20"/>
      <c r="D1014" s="20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5"/>
      <c r="U1014" s="15"/>
      <c r="V1014" s="15"/>
      <c r="W1014" s="15"/>
    </row>
    <row r="1015">
      <c r="A1015" s="11"/>
      <c r="B1015" s="11"/>
      <c r="C1015" s="20"/>
      <c r="D1015" s="20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5"/>
      <c r="U1015" s="15"/>
      <c r="V1015" s="15"/>
      <c r="W1015" s="15"/>
    </row>
    <row r="1016">
      <c r="A1016" s="11"/>
      <c r="B1016" s="11"/>
      <c r="C1016" s="20"/>
      <c r="D1016" s="20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5"/>
      <c r="U1016" s="15"/>
      <c r="V1016" s="15"/>
      <c r="W1016" s="15"/>
    </row>
    <row r="1017">
      <c r="A1017" s="11"/>
      <c r="B1017" s="11"/>
      <c r="C1017" s="20"/>
      <c r="D1017" s="20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5"/>
      <c r="U1017" s="15"/>
      <c r="V1017" s="15"/>
      <c r="W1017" s="15"/>
    </row>
    <row r="1018">
      <c r="A1018" s="11"/>
      <c r="B1018" s="11"/>
      <c r="C1018" s="20"/>
      <c r="D1018" s="20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5"/>
      <c r="U1018" s="15"/>
      <c r="V1018" s="15"/>
      <c r="W1018" s="15"/>
    </row>
    <row r="1019">
      <c r="A1019" s="11"/>
      <c r="B1019" s="11"/>
      <c r="C1019" s="20"/>
      <c r="D1019" s="20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5"/>
      <c r="U1019" s="15"/>
      <c r="V1019" s="15"/>
      <c r="W1019" s="15"/>
    </row>
    <row r="1020">
      <c r="A1020" s="11"/>
      <c r="B1020" s="11"/>
      <c r="C1020" s="20"/>
      <c r="D1020" s="20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5"/>
      <c r="U1020" s="15"/>
      <c r="V1020" s="15"/>
      <c r="W1020" s="15"/>
    </row>
    <row r="1021">
      <c r="A1021" s="11"/>
      <c r="B1021" s="11"/>
      <c r="C1021" s="20"/>
      <c r="D1021" s="20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5"/>
      <c r="U1021" s="15"/>
      <c r="V1021" s="15"/>
      <c r="W1021" s="15"/>
    </row>
    <row r="1022">
      <c r="A1022" s="11"/>
      <c r="B1022" s="11"/>
      <c r="C1022" s="20"/>
      <c r="D1022" s="20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5"/>
      <c r="U1022" s="15"/>
      <c r="V1022" s="15"/>
      <c r="W1022" s="15"/>
    </row>
    <row r="1023">
      <c r="A1023" s="11"/>
      <c r="B1023" s="11"/>
      <c r="C1023" s="20"/>
      <c r="D1023" s="20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5"/>
      <c r="U1023" s="15"/>
      <c r="V1023" s="15"/>
      <c r="W1023" s="15"/>
    </row>
    <row r="1024">
      <c r="A1024" s="11"/>
      <c r="B1024" s="11"/>
      <c r="C1024" s="20"/>
      <c r="D1024" s="20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5"/>
      <c r="U1024" s="15"/>
      <c r="V1024" s="15"/>
      <c r="W1024" s="15"/>
    </row>
    <row r="1025">
      <c r="A1025" s="11"/>
      <c r="B1025" s="11"/>
      <c r="C1025" s="20"/>
      <c r="D1025" s="20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5"/>
      <c r="U1025" s="15"/>
      <c r="V1025" s="15"/>
      <c r="W1025" s="15"/>
    </row>
    <row r="1026">
      <c r="A1026" s="11"/>
      <c r="B1026" s="11"/>
      <c r="C1026" s="20"/>
      <c r="D1026" s="20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5"/>
      <c r="U1026" s="15"/>
      <c r="V1026" s="15"/>
      <c r="W1026" s="15"/>
    </row>
    <row r="1027">
      <c r="A1027" s="11"/>
      <c r="B1027" s="11"/>
      <c r="C1027" s="20"/>
      <c r="D1027" s="20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5"/>
      <c r="U1027" s="15"/>
      <c r="V1027" s="15"/>
      <c r="W1027" s="15"/>
    </row>
    <row r="1028">
      <c r="A1028" s="11"/>
      <c r="B1028" s="11"/>
      <c r="C1028" s="20"/>
      <c r="D1028" s="20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5"/>
      <c r="U1028" s="15"/>
      <c r="V1028" s="15"/>
      <c r="W1028" s="15"/>
    </row>
    <row r="1029">
      <c r="A1029" s="11"/>
      <c r="B1029" s="11"/>
      <c r="C1029" s="20"/>
      <c r="D1029" s="20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5"/>
      <c r="U1029" s="15"/>
      <c r="V1029" s="15"/>
      <c r="W1029" s="15"/>
    </row>
    <row r="1030">
      <c r="A1030" s="11"/>
      <c r="B1030" s="11"/>
      <c r="C1030" s="20"/>
      <c r="D1030" s="20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5"/>
      <c r="U1030" s="15"/>
      <c r="V1030" s="15"/>
      <c r="W1030" s="15"/>
    </row>
    <row r="1031">
      <c r="A1031" s="11"/>
      <c r="B1031" s="11"/>
      <c r="C1031" s="20"/>
      <c r="D1031" s="20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5"/>
      <c r="U1031" s="15"/>
      <c r="V1031" s="15"/>
      <c r="W1031" s="15"/>
    </row>
    <row r="1032">
      <c r="A1032" s="11"/>
      <c r="B1032" s="11"/>
      <c r="C1032" s="20"/>
      <c r="D1032" s="20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5"/>
      <c r="U1032" s="15"/>
      <c r="V1032" s="15"/>
      <c r="W1032" s="15"/>
    </row>
    <row r="1033">
      <c r="A1033" s="11"/>
      <c r="B1033" s="11"/>
      <c r="C1033" s="20"/>
      <c r="D1033" s="20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5"/>
      <c r="U1033" s="15"/>
      <c r="V1033" s="15"/>
      <c r="W1033" s="15"/>
    </row>
    <row r="1034">
      <c r="A1034" s="11"/>
      <c r="B1034" s="11"/>
      <c r="C1034" s="20"/>
      <c r="D1034" s="20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5"/>
      <c r="U1034" s="15"/>
      <c r="V1034" s="15"/>
      <c r="W1034" s="15"/>
    </row>
    <row r="1035">
      <c r="A1035" s="11"/>
      <c r="B1035" s="11"/>
      <c r="C1035" s="20"/>
      <c r="D1035" s="20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5"/>
      <c r="U1035" s="15"/>
      <c r="V1035" s="15"/>
      <c r="W1035" s="15"/>
    </row>
    <row r="1036">
      <c r="A1036" s="11"/>
      <c r="B1036" s="11"/>
      <c r="C1036" s="20"/>
      <c r="D1036" s="20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5"/>
      <c r="U1036" s="15"/>
      <c r="V1036" s="15"/>
      <c r="W1036" s="15"/>
    </row>
    <row r="1037">
      <c r="A1037" s="11"/>
      <c r="B1037" s="11"/>
      <c r="C1037" s="20"/>
      <c r="D1037" s="20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5"/>
      <c r="U1037" s="15"/>
      <c r="V1037" s="15"/>
      <c r="W1037" s="15"/>
    </row>
    <row r="1038">
      <c r="A1038" s="11"/>
      <c r="B1038" s="11"/>
      <c r="C1038" s="20"/>
      <c r="D1038" s="20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5"/>
      <c r="U1038" s="15"/>
      <c r="V1038" s="15"/>
      <c r="W1038" s="15"/>
    </row>
    <row r="1039">
      <c r="A1039" s="11"/>
      <c r="B1039" s="11"/>
      <c r="C1039" s="20"/>
      <c r="D1039" s="20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5"/>
      <c r="U1039" s="15"/>
      <c r="V1039" s="15"/>
      <c r="W1039" s="15"/>
    </row>
    <row r="1040">
      <c r="A1040" s="11"/>
      <c r="B1040" s="11"/>
      <c r="C1040" s="20"/>
      <c r="D1040" s="20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5"/>
      <c r="U1040" s="15"/>
      <c r="V1040" s="15"/>
      <c r="W1040" s="15"/>
    </row>
    <row r="1041">
      <c r="A1041" s="11"/>
      <c r="B1041" s="11"/>
      <c r="C1041" s="20"/>
      <c r="D1041" s="20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5"/>
      <c r="U1041" s="15"/>
      <c r="V1041" s="15"/>
      <c r="W1041" s="15"/>
    </row>
    <row r="1042">
      <c r="A1042" s="11"/>
      <c r="B1042" s="11"/>
      <c r="C1042" s="20"/>
      <c r="D1042" s="20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5"/>
      <c r="U1042" s="15"/>
      <c r="V1042" s="15"/>
      <c r="W1042" s="15"/>
    </row>
    <row r="1043">
      <c r="A1043" s="11"/>
      <c r="B1043" s="11"/>
      <c r="C1043" s="20"/>
      <c r="D1043" s="20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5"/>
      <c r="U1043" s="15"/>
      <c r="V1043" s="15"/>
      <c r="W1043" s="15"/>
    </row>
    <row r="1044">
      <c r="A1044" s="11"/>
      <c r="B1044" s="11"/>
      <c r="C1044" s="20"/>
      <c r="D1044" s="20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5"/>
      <c r="U1044" s="15"/>
      <c r="V1044" s="15"/>
      <c r="W1044" s="15"/>
    </row>
    <row r="1045">
      <c r="A1045" s="11"/>
      <c r="B1045" s="11"/>
      <c r="C1045" s="20"/>
      <c r="D1045" s="20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5"/>
      <c r="U1045" s="15"/>
      <c r="V1045" s="15"/>
      <c r="W1045" s="15"/>
    </row>
    <row r="1046">
      <c r="A1046" s="11"/>
      <c r="B1046" s="11"/>
      <c r="C1046" s="20"/>
      <c r="D1046" s="20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5"/>
      <c r="U1046" s="15"/>
      <c r="V1046" s="15"/>
      <c r="W1046" s="15"/>
    </row>
    <row r="1047">
      <c r="A1047" s="11"/>
      <c r="B1047" s="11"/>
      <c r="C1047" s="20"/>
      <c r="D1047" s="20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5"/>
      <c r="U1047" s="15"/>
      <c r="V1047" s="15"/>
      <c r="W1047" s="15"/>
    </row>
    <row r="1048">
      <c r="A1048" s="11"/>
      <c r="B1048" s="11"/>
      <c r="C1048" s="20"/>
      <c r="D1048" s="20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5"/>
      <c r="U1048" s="15"/>
      <c r="V1048" s="15"/>
      <c r="W1048" s="15"/>
    </row>
    <row r="1049">
      <c r="A1049" s="11"/>
      <c r="B1049" s="11"/>
      <c r="C1049" s="20"/>
      <c r="D1049" s="20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5"/>
      <c r="U1049" s="15"/>
      <c r="V1049" s="15"/>
      <c r="W1049" s="15"/>
    </row>
    <row r="1050">
      <c r="A1050" s="11"/>
      <c r="B1050" s="11"/>
      <c r="C1050" s="20"/>
      <c r="D1050" s="20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5"/>
      <c r="U1050" s="15"/>
      <c r="V1050" s="15"/>
      <c r="W1050" s="15"/>
    </row>
    <row r="1051">
      <c r="A1051" s="11"/>
      <c r="B1051" s="11"/>
      <c r="C1051" s="20"/>
      <c r="D1051" s="20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5"/>
      <c r="U1051" s="15"/>
      <c r="V1051" s="15"/>
      <c r="W1051" s="15"/>
    </row>
    <row r="1052">
      <c r="A1052" s="11"/>
      <c r="B1052" s="11"/>
      <c r="C1052" s="20"/>
      <c r="D1052" s="20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5"/>
      <c r="U1052" s="15"/>
      <c r="V1052" s="15"/>
      <c r="W1052" s="15"/>
    </row>
    <row r="1053">
      <c r="A1053" s="11"/>
      <c r="B1053" s="11"/>
      <c r="C1053" s="20"/>
      <c r="D1053" s="20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5"/>
      <c r="U1053" s="15"/>
      <c r="V1053" s="15"/>
      <c r="W1053" s="15"/>
    </row>
    <row r="1054">
      <c r="A1054" s="11"/>
      <c r="B1054" s="11"/>
      <c r="C1054" s="20"/>
      <c r="D1054" s="20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5"/>
      <c r="U1054" s="15"/>
      <c r="V1054" s="15"/>
      <c r="W1054" s="15"/>
    </row>
    <row r="1055">
      <c r="A1055" s="11"/>
      <c r="B1055" s="11"/>
      <c r="C1055" s="20"/>
      <c r="D1055" s="20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5"/>
      <c r="U1055" s="15"/>
      <c r="V1055" s="15"/>
      <c r="W1055" s="15"/>
    </row>
    <row r="1056">
      <c r="A1056" s="11"/>
      <c r="B1056" s="11"/>
      <c r="C1056" s="20"/>
      <c r="D1056" s="20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5"/>
      <c r="U1056" s="15"/>
      <c r="V1056" s="15"/>
      <c r="W1056" s="15"/>
    </row>
    <row r="1057">
      <c r="A1057" s="11"/>
      <c r="B1057" s="11"/>
      <c r="C1057" s="20"/>
      <c r="D1057" s="20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5"/>
      <c r="U1057" s="15"/>
      <c r="V1057" s="15"/>
      <c r="W1057" s="15"/>
    </row>
    <row r="1058">
      <c r="A1058" s="11"/>
      <c r="B1058" s="11"/>
      <c r="C1058" s="20"/>
      <c r="D1058" s="20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5"/>
      <c r="U1058" s="15"/>
      <c r="V1058" s="15"/>
      <c r="W1058" s="15"/>
    </row>
    <row r="1059">
      <c r="A1059" s="11"/>
      <c r="B1059" s="11"/>
      <c r="C1059" s="20"/>
      <c r="D1059" s="20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5"/>
      <c r="U1059" s="15"/>
      <c r="V1059" s="15"/>
      <c r="W1059" s="15"/>
    </row>
    <row r="1060">
      <c r="A1060" s="11"/>
      <c r="B1060" s="11"/>
      <c r="C1060" s="20"/>
      <c r="D1060" s="20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5"/>
      <c r="U1060" s="15"/>
      <c r="V1060" s="15"/>
      <c r="W1060" s="15"/>
    </row>
    <row r="1061">
      <c r="A1061" s="11"/>
      <c r="B1061" s="11"/>
      <c r="C1061" s="20"/>
      <c r="D1061" s="20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5"/>
      <c r="U1061" s="15"/>
      <c r="V1061" s="15"/>
      <c r="W1061" s="15"/>
    </row>
    <row r="1062">
      <c r="A1062" s="11"/>
      <c r="B1062" s="11"/>
      <c r="C1062" s="20"/>
      <c r="D1062" s="20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5"/>
      <c r="U1062" s="15"/>
      <c r="V1062" s="15"/>
      <c r="W1062" s="15"/>
    </row>
    <row r="1063">
      <c r="A1063" s="11"/>
      <c r="B1063" s="11"/>
      <c r="C1063" s="20"/>
      <c r="D1063" s="20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5"/>
      <c r="U1063" s="15"/>
      <c r="V1063" s="15"/>
      <c r="W1063" s="15"/>
    </row>
    <row r="1064">
      <c r="A1064" s="11"/>
      <c r="B1064" s="11"/>
      <c r="C1064" s="20"/>
      <c r="D1064" s="20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5"/>
      <c r="U1064" s="15"/>
      <c r="V1064" s="15"/>
      <c r="W1064" s="15"/>
    </row>
    <row r="1065">
      <c r="A1065" s="11"/>
      <c r="B1065" s="11"/>
      <c r="C1065" s="20"/>
      <c r="D1065" s="20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5"/>
      <c r="U1065" s="15"/>
      <c r="V1065" s="15"/>
      <c r="W1065" s="15"/>
    </row>
    <row r="1066">
      <c r="A1066" s="11"/>
      <c r="B1066" s="11"/>
      <c r="C1066" s="20"/>
      <c r="D1066" s="20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5"/>
      <c r="U1066" s="15"/>
      <c r="V1066" s="15"/>
      <c r="W1066" s="15"/>
    </row>
    <row r="1067">
      <c r="A1067" s="11"/>
      <c r="B1067" s="11"/>
      <c r="C1067" s="20"/>
      <c r="D1067" s="20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5"/>
      <c r="U1067" s="15"/>
      <c r="V1067" s="15"/>
      <c r="W1067" s="15"/>
    </row>
    <row r="1068">
      <c r="A1068" s="11"/>
      <c r="B1068" s="11"/>
      <c r="C1068" s="20"/>
      <c r="D1068" s="20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5"/>
      <c r="U1068" s="15"/>
      <c r="V1068" s="15"/>
      <c r="W1068" s="15"/>
    </row>
    <row r="1069">
      <c r="A1069" s="11"/>
      <c r="B1069" s="11"/>
      <c r="C1069" s="20"/>
      <c r="D1069" s="20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5"/>
      <c r="U1069" s="15"/>
      <c r="V1069" s="15"/>
      <c r="W1069" s="15"/>
    </row>
    <row r="1070">
      <c r="A1070" s="11"/>
      <c r="B1070" s="11"/>
      <c r="C1070" s="20"/>
      <c r="D1070" s="20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5"/>
      <c r="U1070" s="15"/>
      <c r="V1070" s="15"/>
      <c r="W1070" s="15"/>
    </row>
    <row r="1071">
      <c r="A1071" s="11"/>
      <c r="B1071" s="11"/>
      <c r="C1071" s="20"/>
      <c r="D1071" s="20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5"/>
      <c r="U1071" s="15"/>
      <c r="V1071" s="15"/>
      <c r="W1071" s="15"/>
    </row>
    <row r="1072">
      <c r="A1072" s="11"/>
      <c r="B1072" s="11"/>
      <c r="C1072" s="20"/>
      <c r="D1072" s="20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5"/>
      <c r="U1072" s="15"/>
      <c r="V1072" s="15"/>
      <c r="W1072" s="15"/>
    </row>
    <row r="1073">
      <c r="A1073" s="11"/>
      <c r="B1073" s="11"/>
      <c r="C1073" s="20"/>
      <c r="D1073" s="20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5"/>
      <c r="U1073" s="15"/>
      <c r="V1073" s="15"/>
      <c r="W1073" s="15"/>
    </row>
    <row r="1074">
      <c r="A1074" s="11"/>
      <c r="B1074" s="11"/>
      <c r="C1074" s="20"/>
      <c r="D1074" s="20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5"/>
      <c r="U1074" s="15"/>
      <c r="V1074" s="15"/>
      <c r="W1074" s="15"/>
    </row>
    <row r="1075">
      <c r="A1075" s="11"/>
      <c r="B1075" s="11"/>
      <c r="C1075" s="20"/>
      <c r="D1075" s="20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5"/>
      <c r="U1075" s="15"/>
      <c r="V1075" s="15"/>
      <c r="W1075" s="15"/>
    </row>
    <row r="1076">
      <c r="A1076" s="11"/>
      <c r="B1076" s="11"/>
      <c r="C1076" s="20"/>
      <c r="D1076" s="20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5"/>
      <c r="U1076" s="15"/>
      <c r="V1076" s="15"/>
      <c r="W1076" s="15"/>
    </row>
    <row r="1077">
      <c r="A1077" s="11"/>
      <c r="B1077" s="11"/>
      <c r="C1077" s="20"/>
      <c r="D1077" s="20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5"/>
      <c r="U1077" s="15"/>
      <c r="V1077" s="15"/>
      <c r="W1077" s="15"/>
    </row>
    <row r="1078">
      <c r="A1078" s="11"/>
      <c r="B1078" s="11"/>
      <c r="C1078" s="20"/>
      <c r="D1078" s="20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5"/>
      <c r="U1078" s="15"/>
      <c r="V1078" s="15"/>
      <c r="W1078" s="15"/>
    </row>
    <row r="1079">
      <c r="A1079" s="11"/>
      <c r="B1079" s="11"/>
      <c r="C1079" s="20"/>
      <c r="D1079" s="20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5"/>
      <c r="U1079" s="15"/>
      <c r="V1079" s="15"/>
      <c r="W1079" s="15"/>
    </row>
    <row r="1080">
      <c r="A1080" s="11"/>
      <c r="B1080" s="11"/>
      <c r="C1080" s="20"/>
      <c r="D1080" s="20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5"/>
      <c r="U1080" s="15"/>
      <c r="V1080" s="15"/>
      <c r="W1080" s="15"/>
    </row>
    <row r="1081">
      <c r="A1081" s="11"/>
      <c r="B1081" s="11"/>
      <c r="C1081" s="20"/>
      <c r="D1081" s="20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5"/>
      <c r="U1081" s="15"/>
      <c r="V1081" s="15"/>
      <c r="W1081" s="15"/>
    </row>
    <row r="1082">
      <c r="A1082" s="11"/>
      <c r="B1082" s="11"/>
      <c r="C1082" s="20"/>
      <c r="D1082" s="20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5"/>
      <c r="U1082" s="15"/>
      <c r="V1082" s="15"/>
      <c r="W1082" s="15"/>
    </row>
    <row r="1083">
      <c r="A1083" s="11"/>
      <c r="B1083" s="11"/>
      <c r="C1083" s="20"/>
      <c r="D1083" s="20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5"/>
      <c r="U1083" s="15"/>
      <c r="V1083" s="15"/>
      <c r="W1083" s="15"/>
    </row>
    <row r="1084">
      <c r="A1084" s="11"/>
      <c r="B1084" s="11"/>
      <c r="C1084" s="20"/>
      <c r="D1084" s="20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5"/>
      <c r="U1084" s="15"/>
      <c r="V1084" s="15"/>
      <c r="W1084" s="15"/>
    </row>
    <row r="1085">
      <c r="A1085" s="11"/>
      <c r="B1085" s="11"/>
      <c r="C1085" s="20"/>
      <c r="D1085" s="20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5"/>
      <c r="U1085" s="15"/>
      <c r="V1085" s="15"/>
      <c r="W1085" s="15"/>
    </row>
    <row r="1086">
      <c r="A1086" s="11"/>
      <c r="B1086" s="11"/>
      <c r="C1086" s="20"/>
      <c r="D1086" s="20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5"/>
      <c r="U1086" s="15"/>
      <c r="V1086" s="15"/>
      <c r="W1086" s="15"/>
    </row>
    <row r="1087">
      <c r="A1087" s="11"/>
      <c r="B1087" s="11"/>
      <c r="C1087" s="20"/>
      <c r="D1087" s="20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5"/>
      <c r="U1087" s="15"/>
      <c r="V1087" s="15"/>
      <c r="W1087" s="15"/>
    </row>
    <row r="1088">
      <c r="A1088" s="11"/>
      <c r="B1088" s="11"/>
      <c r="C1088" s="20"/>
      <c r="D1088" s="20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5"/>
      <c r="U1088" s="15"/>
      <c r="V1088" s="15"/>
      <c r="W1088" s="15"/>
    </row>
    <row r="1089">
      <c r="A1089" s="11"/>
      <c r="B1089" s="11"/>
      <c r="C1089" s="20"/>
      <c r="D1089" s="20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5"/>
      <c r="U1089" s="15"/>
      <c r="V1089" s="15"/>
      <c r="W1089" s="15"/>
    </row>
    <row r="1090">
      <c r="A1090" s="11"/>
      <c r="B1090" s="11"/>
      <c r="C1090" s="20"/>
      <c r="D1090" s="20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5"/>
      <c r="U1090" s="15"/>
      <c r="V1090" s="15"/>
      <c r="W1090" s="15"/>
    </row>
    <row r="1091">
      <c r="A1091" s="11"/>
      <c r="B1091" s="11"/>
      <c r="C1091" s="20"/>
      <c r="D1091" s="20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5"/>
      <c r="U1091" s="15"/>
      <c r="V1091" s="15"/>
      <c r="W1091" s="15"/>
    </row>
    <row r="1092">
      <c r="A1092" s="11"/>
      <c r="B1092" s="11"/>
      <c r="C1092" s="20"/>
      <c r="D1092" s="20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5"/>
      <c r="U1092" s="15"/>
      <c r="V1092" s="15"/>
      <c r="W1092" s="15"/>
    </row>
    <row r="1093">
      <c r="A1093" s="11"/>
      <c r="B1093" s="11"/>
      <c r="C1093" s="20"/>
      <c r="D1093" s="20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5"/>
      <c r="U1093" s="15"/>
      <c r="V1093" s="15"/>
      <c r="W1093" s="15"/>
    </row>
    <row r="1094">
      <c r="A1094" s="11"/>
      <c r="B1094" s="11"/>
      <c r="C1094" s="20"/>
      <c r="D1094" s="20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5"/>
      <c r="U1094" s="15"/>
      <c r="V1094" s="15"/>
      <c r="W1094" s="15"/>
    </row>
    <row r="1095">
      <c r="A1095" s="11"/>
      <c r="B1095" s="11"/>
      <c r="C1095" s="20"/>
      <c r="D1095" s="20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5"/>
      <c r="U1095" s="15"/>
      <c r="V1095" s="15"/>
      <c r="W1095" s="15"/>
    </row>
    <row r="1096">
      <c r="A1096" s="11"/>
      <c r="B1096" s="11"/>
      <c r="C1096" s="20"/>
      <c r="D1096" s="20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5"/>
      <c r="U1096" s="15"/>
      <c r="V1096" s="15"/>
      <c r="W1096" s="15"/>
    </row>
    <row r="1097">
      <c r="A1097" s="11"/>
      <c r="B1097" s="11"/>
      <c r="C1097" s="20"/>
      <c r="D1097" s="20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5"/>
      <c r="U1097" s="15"/>
      <c r="V1097" s="15"/>
      <c r="W1097" s="15"/>
    </row>
    <row r="1098">
      <c r="A1098" s="11"/>
      <c r="B1098" s="11"/>
      <c r="C1098" s="20"/>
      <c r="D1098" s="20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5"/>
      <c r="U1098" s="15"/>
      <c r="V1098" s="15"/>
      <c r="W1098" s="15"/>
    </row>
    <row r="1099">
      <c r="A1099" s="11"/>
      <c r="B1099" s="11"/>
      <c r="C1099" s="20"/>
      <c r="D1099" s="20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5"/>
      <c r="U1099" s="15"/>
      <c r="V1099" s="15"/>
      <c r="W1099" s="15"/>
    </row>
    <row r="1100">
      <c r="A1100" s="11"/>
      <c r="B1100" s="11"/>
      <c r="C1100" s="20"/>
      <c r="D1100" s="20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5"/>
      <c r="U1100" s="15"/>
      <c r="V1100" s="15"/>
      <c r="W1100" s="15"/>
    </row>
    <row r="1101">
      <c r="A1101" s="11"/>
      <c r="B1101" s="11"/>
      <c r="C1101" s="20"/>
      <c r="D1101" s="20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5"/>
      <c r="U1101" s="15"/>
      <c r="V1101" s="15"/>
      <c r="W1101" s="15"/>
    </row>
    <row r="1102">
      <c r="A1102" s="11"/>
      <c r="B1102" s="11"/>
      <c r="C1102" s="20"/>
      <c r="D1102" s="20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5"/>
      <c r="U1102" s="15"/>
      <c r="V1102" s="15"/>
      <c r="W1102" s="15"/>
    </row>
    <row r="1103">
      <c r="A1103" s="11"/>
      <c r="B1103" s="11"/>
      <c r="C1103" s="20"/>
      <c r="D1103" s="20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5"/>
      <c r="U1103" s="15"/>
      <c r="V1103" s="15"/>
      <c r="W1103" s="15"/>
    </row>
    <row r="1104">
      <c r="A1104" s="11"/>
      <c r="B1104" s="11"/>
      <c r="C1104" s="20"/>
      <c r="D1104" s="20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5"/>
      <c r="U1104" s="15"/>
      <c r="V1104" s="15"/>
      <c r="W1104" s="15"/>
    </row>
    <row r="1105">
      <c r="A1105" s="11"/>
      <c r="B1105" s="11"/>
      <c r="C1105" s="20"/>
      <c r="D1105" s="20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5"/>
      <c r="U1105" s="15"/>
      <c r="V1105" s="15"/>
      <c r="W1105" s="15"/>
    </row>
    <row r="1106">
      <c r="A1106" s="11"/>
      <c r="B1106" s="11"/>
      <c r="C1106" s="20"/>
      <c r="D1106" s="20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5"/>
      <c r="U1106" s="15"/>
      <c r="V1106" s="15"/>
      <c r="W1106" s="15"/>
    </row>
    <row r="1107">
      <c r="A1107" s="11"/>
      <c r="B1107" s="11"/>
      <c r="C1107" s="20"/>
      <c r="D1107" s="20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5"/>
      <c r="U1107" s="15"/>
      <c r="V1107" s="15"/>
      <c r="W1107" s="15"/>
    </row>
    <row r="1108">
      <c r="A1108" s="11"/>
      <c r="B1108" s="11"/>
      <c r="C1108" s="20"/>
      <c r="D1108" s="20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5"/>
      <c r="U1108" s="15"/>
      <c r="V1108" s="15"/>
      <c r="W1108" s="15"/>
    </row>
    <row r="1109">
      <c r="A1109" s="11"/>
      <c r="B1109" s="11"/>
      <c r="C1109" s="20"/>
      <c r="D1109" s="20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5"/>
      <c r="U1109" s="15"/>
      <c r="V1109" s="15"/>
      <c r="W1109" s="15"/>
    </row>
    <row r="1110">
      <c r="A1110" s="11"/>
      <c r="B1110" s="11"/>
      <c r="C1110" s="20"/>
      <c r="D1110" s="20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5"/>
      <c r="U1110" s="15"/>
      <c r="V1110" s="15"/>
      <c r="W1110" s="15"/>
    </row>
    <row r="1111">
      <c r="A1111" s="11"/>
      <c r="B1111" s="11"/>
      <c r="C1111" s="20"/>
      <c r="D1111" s="20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5"/>
      <c r="U1111" s="15"/>
      <c r="V1111" s="15"/>
      <c r="W1111" s="15"/>
    </row>
    <row r="1112">
      <c r="A1112" s="11"/>
      <c r="B1112" s="11"/>
      <c r="C1112" s="20"/>
      <c r="D1112" s="20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5"/>
      <c r="U1112" s="15"/>
      <c r="V1112" s="15"/>
      <c r="W1112" s="15"/>
    </row>
    <row r="1113">
      <c r="A1113" s="11"/>
      <c r="B1113" s="11"/>
      <c r="C1113" s="20"/>
      <c r="D1113" s="20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5"/>
      <c r="U1113" s="15"/>
      <c r="V1113" s="15"/>
      <c r="W1113" s="15"/>
    </row>
    <row r="1114">
      <c r="A1114" s="11"/>
      <c r="B1114" s="11"/>
      <c r="C1114" s="20"/>
      <c r="D1114" s="20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5"/>
      <c r="U1114" s="15"/>
      <c r="V1114" s="15"/>
      <c r="W1114" s="15"/>
    </row>
    <row r="1115">
      <c r="A1115" s="11"/>
      <c r="B1115" s="11"/>
      <c r="C1115" s="20"/>
      <c r="D1115" s="20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5"/>
      <c r="U1115" s="15"/>
      <c r="V1115" s="15"/>
      <c r="W1115" s="15"/>
    </row>
    <row r="1116">
      <c r="A1116" s="11"/>
      <c r="B1116" s="11"/>
      <c r="C1116" s="20"/>
      <c r="D1116" s="20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5"/>
      <c r="U1116" s="15"/>
      <c r="V1116" s="15"/>
      <c r="W1116" s="15"/>
    </row>
    <row r="1117">
      <c r="A1117" s="11"/>
      <c r="B1117" s="11"/>
      <c r="C1117" s="20"/>
      <c r="D1117" s="20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5"/>
      <c r="U1117" s="15"/>
      <c r="V1117" s="15"/>
      <c r="W1117" s="15"/>
    </row>
    <row r="1118">
      <c r="A1118" s="11"/>
      <c r="B1118" s="11"/>
      <c r="C1118" s="20"/>
      <c r="D1118" s="20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5"/>
      <c r="U1118" s="15"/>
      <c r="V1118" s="15"/>
      <c r="W1118" s="15"/>
    </row>
    <row r="1119">
      <c r="A1119" s="11"/>
      <c r="B1119" s="11"/>
      <c r="C1119" s="20"/>
      <c r="D1119" s="20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5"/>
      <c r="U1119" s="15"/>
      <c r="V1119" s="15"/>
      <c r="W1119" s="15"/>
    </row>
    <row r="1120">
      <c r="A1120" s="11"/>
      <c r="B1120" s="11"/>
      <c r="C1120" s="20"/>
      <c r="D1120" s="20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5"/>
      <c r="U1120" s="15"/>
      <c r="V1120" s="15"/>
      <c r="W1120" s="15"/>
    </row>
    <row r="1121">
      <c r="A1121" s="11"/>
      <c r="B1121" s="11"/>
      <c r="C1121" s="20"/>
      <c r="D1121" s="20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5"/>
      <c r="U1121" s="15"/>
      <c r="V1121" s="15"/>
      <c r="W1121" s="15"/>
    </row>
    <row r="1122">
      <c r="A1122" s="11"/>
      <c r="B1122" s="11"/>
      <c r="C1122" s="20"/>
      <c r="D1122" s="20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5"/>
      <c r="U1122" s="15"/>
      <c r="V1122" s="15"/>
      <c r="W1122" s="15"/>
    </row>
    <row r="1123">
      <c r="A1123" s="11"/>
      <c r="B1123" s="11"/>
      <c r="C1123" s="20"/>
      <c r="D1123" s="20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5"/>
      <c r="U1123" s="15"/>
      <c r="V1123" s="15"/>
      <c r="W1123" s="15"/>
    </row>
    <row r="1124">
      <c r="A1124" s="11"/>
      <c r="B1124" s="11"/>
      <c r="C1124" s="20"/>
      <c r="D1124" s="20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5"/>
      <c r="U1124" s="15"/>
      <c r="V1124" s="15"/>
      <c r="W1124" s="15"/>
    </row>
    <row r="1125">
      <c r="A1125" s="11"/>
      <c r="B1125" s="11"/>
      <c r="C1125" s="20"/>
      <c r="D1125" s="20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5"/>
      <c r="U1125" s="15"/>
      <c r="V1125" s="15"/>
      <c r="W1125" s="15"/>
    </row>
    <row r="1126">
      <c r="A1126" s="11"/>
      <c r="B1126" s="11"/>
      <c r="C1126" s="20"/>
      <c r="D1126" s="20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5"/>
      <c r="U1126" s="15"/>
      <c r="V1126" s="15"/>
      <c r="W1126" s="15"/>
    </row>
    <row r="1127">
      <c r="A1127" s="11"/>
      <c r="B1127" s="11"/>
      <c r="C1127" s="20"/>
      <c r="D1127" s="20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5"/>
      <c r="U1127" s="15"/>
      <c r="V1127" s="15"/>
      <c r="W1127" s="15"/>
    </row>
    <row r="1128">
      <c r="A1128" s="11"/>
      <c r="B1128" s="11"/>
      <c r="C1128" s="20"/>
      <c r="D1128" s="20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5"/>
      <c r="U1128" s="15"/>
      <c r="V1128" s="15"/>
      <c r="W1128" s="15"/>
    </row>
    <row r="1129">
      <c r="A1129" s="11"/>
      <c r="B1129" s="11"/>
      <c r="C1129" s="20"/>
      <c r="D1129" s="20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5"/>
      <c r="U1129" s="15"/>
      <c r="V1129" s="15"/>
      <c r="W1129" s="15"/>
    </row>
    <row r="1130">
      <c r="A1130" s="11"/>
      <c r="B1130" s="11"/>
      <c r="C1130" s="20"/>
      <c r="D1130" s="20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5"/>
      <c r="U1130" s="15"/>
      <c r="V1130" s="15"/>
      <c r="W1130" s="15"/>
    </row>
    <row r="1131">
      <c r="A1131" s="11"/>
      <c r="B1131" s="11"/>
      <c r="C1131" s="20"/>
      <c r="D1131" s="20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5"/>
      <c r="U1131" s="15"/>
      <c r="V1131" s="15"/>
      <c r="W1131" s="15"/>
    </row>
    <row r="1132">
      <c r="A1132" s="11"/>
      <c r="B1132" s="11"/>
      <c r="C1132" s="20"/>
      <c r="D1132" s="20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5"/>
      <c r="U1132" s="15"/>
      <c r="V1132" s="15"/>
      <c r="W1132" s="15"/>
    </row>
    <row r="1133">
      <c r="A1133" s="11"/>
      <c r="B1133" s="11"/>
      <c r="C1133" s="20"/>
      <c r="D1133" s="20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5"/>
      <c r="U1133" s="15"/>
      <c r="V1133" s="15"/>
      <c r="W1133" s="15"/>
    </row>
    <row r="1134">
      <c r="A1134" s="11"/>
      <c r="B1134" s="11"/>
      <c r="C1134" s="20"/>
      <c r="D1134" s="20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5"/>
      <c r="U1134" s="15"/>
      <c r="V1134" s="15"/>
      <c r="W1134" s="15"/>
    </row>
    <row r="1135">
      <c r="A1135" s="11"/>
      <c r="B1135" s="11"/>
      <c r="C1135" s="20"/>
      <c r="D1135" s="20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5"/>
      <c r="U1135" s="15"/>
      <c r="V1135" s="15"/>
      <c r="W1135" s="15"/>
    </row>
    <row r="1136">
      <c r="A1136" s="11"/>
      <c r="B1136" s="11"/>
      <c r="C1136" s="20"/>
      <c r="D1136" s="20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5"/>
      <c r="U1136" s="15"/>
      <c r="V1136" s="15"/>
      <c r="W1136" s="15"/>
    </row>
    <row r="1137">
      <c r="A1137" s="11"/>
      <c r="B1137" s="11"/>
      <c r="C1137" s="20"/>
      <c r="D1137" s="20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5"/>
      <c r="U1137" s="15"/>
      <c r="V1137" s="15"/>
      <c r="W1137" s="15"/>
    </row>
    <row r="1138">
      <c r="A1138" s="11"/>
      <c r="B1138" s="11"/>
      <c r="C1138" s="20"/>
      <c r="D1138" s="20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5"/>
      <c r="U1138" s="15"/>
      <c r="V1138" s="15"/>
      <c r="W1138" s="15"/>
    </row>
    <row r="1139">
      <c r="A1139" s="11"/>
      <c r="B1139" s="11"/>
      <c r="C1139" s="20"/>
      <c r="D1139" s="20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5"/>
      <c r="U1139" s="15"/>
      <c r="V1139" s="15"/>
      <c r="W1139" s="15"/>
    </row>
    <row r="1140">
      <c r="A1140" s="11"/>
      <c r="B1140" s="11"/>
      <c r="C1140" s="20"/>
      <c r="D1140" s="20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5"/>
      <c r="U1140" s="15"/>
      <c r="V1140" s="15"/>
      <c r="W1140" s="15"/>
    </row>
    <row r="1141">
      <c r="A1141" s="11"/>
      <c r="B1141" s="11"/>
      <c r="C1141" s="20"/>
      <c r="D1141" s="20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5"/>
      <c r="U1141" s="15"/>
      <c r="V1141" s="15"/>
      <c r="W1141" s="15"/>
    </row>
    <row r="1142">
      <c r="A1142" s="11"/>
      <c r="B1142" s="11"/>
      <c r="C1142" s="20"/>
      <c r="D1142" s="20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5"/>
      <c r="U1142" s="15"/>
      <c r="V1142" s="15"/>
      <c r="W1142" s="15"/>
    </row>
    <row r="1143">
      <c r="A1143" s="11"/>
      <c r="B1143" s="11"/>
      <c r="C1143" s="20"/>
      <c r="D1143" s="20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5"/>
      <c r="U1143" s="15"/>
      <c r="V1143" s="15"/>
      <c r="W1143" s="15"/>
    </row>
    <row r="1144">
      <c r="A1144" s="11"/>
      <c r="B1144" s="11"/>
      <c r="C1144" s="20"/>
      <c r="D1144" s="20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5"/>
      <c r="U1144" s="15"/>
      <c r="V1144" s="15"/>
      <c r="W1144" s="15"/>
    </row>
    <row r="1145">
      <c r="A1145" s="11"/>
      <c r="B1145" s="11"/>
      <c r="C1145" s="20"/>
      <c r="D1145" s="20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5"/>
      <c r="U1145" s="15"/>
      <c r="V1145" s="15"/>
      <c r="W1145" s="15"/>
    </row>
    <row r="1146">
      <c r="A1146" s="11"/>
      <c r="B1146" s="11"/>
      <c r="C1146" s="20"/>
      <c r="D1146" s="20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5"/>
      <c r="U1146" s="15"/>
      <c r="V1146" s="15"/>
      <c r="W1146" s="15"/>
    </row>
    <row r="1147">
      <c r="A1147" s="11"/>
      <c r="B1147" s="11"/>
      <c r="C1147" s="20"/>
      <c r="D1147" s="20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5"/>
      <c r="U1147" s="15"/>
      <c r="V1147" s="15"/>
      <c r="W1147" s="15"/>
    </row>
    <row r="1148">
      <c r="A1148" s="11"/>
      <c r="B1148" s="11"/>
      <c r="C1148" s="20"/>
      <c r="D1148" s="20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5"/>
      <c r="U1148" s="15"/>
      <c r="V1148" s="15"/>
      <c r="W1148" s="15"/>
    </row>
    <row r="1149">
      <c r="A1149" s="11"/>
      <c r="B1149" s="11"/>
      <c r="C1149" s="20"/>
      <c r="D1149" s="20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5"/>
      <c r="U1149" s="15"/>
      <c r="V1149" s="15"/>
      <c r="W1149" s="15"/>
    </row>
    <row r="1150">
      <c r="A1150" s="11"/>
      <c r="B1150" s="11"/>
      <c r="C1150" s="20"/>
      <c r="D1150" s="20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5"/>
      <c r="U1150" s="15"/>
      <c r="V1150" s="15"/>
      <c r="W1150" s="15"/>
    </row>
    <row r="1151">
      <c r="A1151" s="11"/>
      <c r="B1151" s="11"/>
      <c r="C1151" s="20"/>
      <c r="D1151" s="20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5"/>
      <c r="U1151" s="15"/>
      <c r="V1151" s="15"/>
      <c r="W1151" s="15"/>
    </row>
    <row r="1152">
      <c r="A1152" s="11"/>
      <c r="B1152" s="11"/>
      <c r="C1152" s="20"/>
      <c r="D1152" s="20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5"/>
      <c r="U1152" s="15"/>
      <c r="V1152" s="15"/>
      <c r="W1152" s="15"/>
    </row>
    <row r="1153">
      <c r="A1153" s="11"/>
      <c r="B1153" s="11"/>
      <c r="C1153" s="20"/>
      <c r="D1153" s="20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5"/>
      <c r="U1153" s="15"/>
      <c r="V1153" s="15"/>
      <c r="W1153" s="15"/>
    </row>
    <row r="1154">
      <c r="A1154" s="11"/>
      <c r="B1154" s="11"/>
      <c r="C1154" s="20"/>
      <c r="D1154" s="20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5"/>
      <c r="U1154" s="15"/>
      <c r="V1154" s="15"/>
      <c r="W1154" s="15"/>
    </row>
    <row r="1155">
      <c r="A1155" s="11"/>
      <c r="B1155" s="11"/>
      <c r="C1155" s="20"/>
      <c r="D1155" s="20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5"/>
      <c r="U1155" s="15"/>
      <c r="V1155" s="15"/>
      <c r="W1155" s="15"/>
    </row>
    <row r="1156">
      <c r="A1156" s="11"/>
      <c r="B1156" s="11"/>
      <c r="C1156" s="20"/>
      <c r="D1156" s="20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5"/>
      <c r="U1156" s="15"/>
      <c r="V1156" s="15"/>
      <c r="W1156" s="15"/>
    </row>
    <row r="1157">
      <c r="A1157" s="11"/>
      <c r="B1157" s="11"/>
      <c r="C1157" s="20"/>
      <c r="D1157" s="20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5"/>
      <c r="U1157" s="15"/>
      <c r="V1157" s="15"/>
      <c r="W1157" s="15"/>
    </row>
    <row r="1158">
      <c r="A1158" s="11"/>
      <c r="B1158" s="11"/>
      <c r="C1158" s="20"/>
      <c r="D1158" s="20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5"/>
      <c r="U1158" s="15"/>
      <c r="V1158" s="15"/>
      <c r="W1158" s="15"/>
    </row>
    <row r="1159">
      <c r="A1159" s="11"/>
      <c r="B1159" s="11"/>
      <c r="C1159" s="20"/>
      <c r="D1159" s="20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5"/>
      <c r="U1159" s="15"/>
      <c r="V1159" s="15"/>
      <c r="W1159" s="15"/>
    </row>
    <row r="1160">
      <c r="A1160" s="11"/>
      <c r="B1160" s="11"/>
      <c r="C1160" s="20"/>
      <c r="D1160" s="20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5"/>
      <c r="U1160" s="15"/>
      <c r="V1160" s="15"/>
      <c r="W1160" s="15"/>
    </row>
    <row r="1161">
      <c r="A1161" s="11"/>
      <c r="B1161" s="11"/>
      <c r="C1161" s="20"/>
      <c r="D1161" s="20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5"/>
      <c r="U1161" s="15"/>
      <c r="V1161" s="15"/>
      <c r="W1161" s="15"/>
    </row>
    <row r="1162">
      <c r="A1162" s="11"/>
      <c r="B1162" s="11"/>
      <c r="C1162" s="20"/>
      <c r="D1162" s="20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5"/>
      <c r="U1162" s="15"/>
      <c r="V1162" s="15"/>
      <c r="W1162" s="15"/>
    </row>
    <row r="1163">
      <c r="A1163" s="11"/>
      <c r="B1163" s="11"/>
      <c r="C1163" s="20"/>
      <c r="D1163" s="20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5"/>
      <c r="U1163" s="15"/>
      <c r="V1163" s="15"/>
      <c r="W1163" s="15"/>
    </row>
    <row r="1164">
      <c r="A1164" s="11"/>
      <c r="B1164" s="11"/>
      <c r="C1164" s="20"/>
      <c r="D1164" s="20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5"/>
      <c r="U1164" s="15"/>
      <c r="V1164" s="15"/>
      <c r="W1164" s="15"/>
    </row>
    <row r="1165">
      <c r="A1165" s="11"/>
      <c r="B1165" s="11"/>
      <c r="C1165" s="20"/>
      <c r="D1165" s="20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5"/>
      <c r="U1165" s="15"/>
      <c r="V1165" s="15"/>
      <c r="W1165" s="15"/>
    </row>
    <row r="1166">
      <c r="A1166" s="11"/>
      <c r="B1166" s="11"/>
      <c r="C1166" s="20"/>
      <c r="D1166" s="20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5"/>
      <c r="U1166" s="15"/>
      <c r="V1166" s="15"/>
      <c r="W1166" s="15"/>
    </row>
    <row r="1167">
      <c r="A1167" s="11"/>
      <c r="B1167" s="11"/>
      <c r="C1167" s="20"/>
      <c r="D1167" s="20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5"/>
      <c r="U1167" s="15"/>
      <c r="V1167" s="15"/>
      <c r="W1167" s="15"/>
    </row>
    <row r="1168">
      <c r="A1168" s="11"/>
      <c r="B1168" s="11"/>
      <c r="C1168" s="20"/>
      <c r="D1168" s="20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5"/>
      <c r="U1168" s="15"/>
      <c r="V1168" s="15"/>
      <c r="W1168" s="15"/>
    </row>
    <row r="1169">
      <c r="A1169" s="11"/>
      <c r="B1169" s="11"/>
      <c r="C1169" s="20"/>
      <c r="D1169" s="20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5"/>
      <c r="U1169" s="15"/>
      <c r="V1169" s="15"/>
      <c r="W1169" s="15"/>
    </row>
    <row r="1170">
      <c r="A1170" s="11"/>
      <c r="B1170" s="11"/>
      <c r="C1170" s="20"/>
      <c r="D1170" s="20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5"/>
      <c r="U1170" s="15"/>
      <c r="V1170" s="15"/>
      <c r="W1170" s="15"/>
    </row>
    <row r="1171">
      <c r="A1171" s="11"/>
      <c r="B1171" s="11"/>
      <c r="C1171" s="20"/>
      <c r="D1171" s="20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5"/>
      <c r="U1171" s="15"/>
      <c r="V1171" s="15"/>
      <c r="W1171" s="15"/>
    </row>
    <row r="1172">
      <c r="A1172" s="11"/>
      <c r="B1172" s="11"/>
      <c r="C1172" s="20"/>
      <c r="D1172" s="20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5"/>
      <c r="U1172" s="15"/>
      <c r="V1172" s="15"/>
      <c r="W1172" s="15"/>
    </row>
    <row r="1173">
      <c r="A1173" s="11"/>
      <c r="B1173" s="11"/>
      <c r="C1173" s="20"/>
      <c r="D1173" s="20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5"/>
      <c r="U1173" s="15"/>
      <c r="V1173" s="15"/>
      <c r="W1173" s="15"/>
    </row>
    <row r="1174">
      <c r="A1174" s="11"/>
      <c r="B1174" s="11"/>
      <c r="C1174" s="20"/>
      <c r="D1174" s="20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5"/>
      <c r="U1174" s="15"/>
      <c r="V1174" s="15"/>
      <c r="W1174" s="15"/>
    </row>
    <row r="1175">
      <c r="A1175" s="11"/>
      <c r="B1175" s="11"/>
      <c r="C1175" s="20"/>
      <c r="D1175" s="20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5"/>
      <c r="U1175" s="15"/>
      <c r="V1175" s="15"/>
      <c r="W1175" s="15"/>
    </row>
    <row r="1176">
      <c r="A1176" s="11"/>
      <c r="B1176" s="11"/>
      <c r="C1176" s="20"/>
      <c r="D1176" s="20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5"/>
      <c r="U1176" s="15"/>
      <c r="V1176" s="15"/>
      <c r="W1176" s="15"/>
    </row>
    <row r="1177">
      <c r="A1177" s="11"/>
      <c r="B1177" s="11"/>
      <c r="C1177" s="20"/>
      <c r="D1177" s="20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5"/>
      <c r="U1177" s="15"/>
      <c r="V1177" s="15"/>
      <c r="W1177" s="15"/>
    </row>
    <row r="1178">
      <c r="A1178" s="11"/>
      <c r="B1178" s="11"/>
      <c r="C1178" s="20"/>
      <c r="D1178" s="20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5"/>
      <c r="U1178" s="15"/>
      <c r="V1178" s="15"/>
      <c r="W1178" s="15"/>
    </row>
    <row r="1179">
      <c r="A1179" s="11"/>
      <c r="B1179" s="11"/>
      <c r="C1179" s="20"/>
      <c r="D1179" s="20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5"/>
      <c r="U1179" s="15"/>
      <c r="V1179" s="15"/>
      <c r="W1179" s="15"/>
    </row>
    <row r="1180">
      <c r="A1180" s="11"/>
      <c r="B1180" s="11"/>
      <c r="C1180" s="20"/>
      <c r="D1180" s="20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5"/>
      <c r="U1180" s="15"/>
      <c r="V1180" s="15"/>
      <c r="W1180" s="15"/>
    </row>
    <row r="1181">
      <c r="A1181" s="11"/>
      <c r="B1181" s="11"/>
      <c r="C1181" s="20"/>
      <c r="D1181" s="20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5"/>
      <c r="U1181" s="15"/>
      <c r="V1181" s="15"/>
      <c r="W1181" s="15"/>
    </row>
    <row r="1182">
      <c r="A1182" s="11"/>
      <c r="B1182" s="11"/>
      <c r="C1182" s="20"/>
      <c r="D1182" s="20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5"/>
      <c r="U1182" s="15"/>
      <c r="V1182" s="15"/>
      <c r="W1182" s="15"/>
    </row>
    <row r="1183">
      <c r="A1183" s="11"/>
      <c r="B1183" s="11"/>
      <c r="C1183" s="20"/>
      <c r="D1183" s="20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5"/>
      <c r="U1183" s="15"/>
      <c r="V1183" s="15"/>
      <c r="W1183" s="15"/>
    </row>
    <row r="1184">
      <c r="A1184" s="11"/>
      <c r="B1184" s="11"/>
      <c r="C1184" s="20"/>
      <c r="D1184" s="20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5"/>
      <c r="U1184" s="15"/>
      <c r="V1184" s="15"/>
      <c r="W1184" s="15"/>
    </row>
    <row r="1185">
      <c r="A1185" s="11"/>
      <c r="B1185" s="11"/>
      <c r="C1185" s="20"/>
      <c r="D1185" s="20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5"/>
      <c r="U1185" s="15"/>
      <c r="V1185" s="15"/>
      <c r="W1185" s="15"/>
    </row>
    <row r="1186">
      <c r="A1186" s="11"/>
      <c r="B1186" s="11"/>
      <c r="C1186" s="20"/>
      <c r="D1186" s="20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5"/>
      <c r="U1186" s="15"/>
      <c r="V1186" s="15"/>
      <c r="W1186" s="15"/>
    </row>
    <row r="1187">
      <c r="A1187" s="11"/>
      <c r="B1187" s="11"/>
      <c r="C1187" s="20"/>
      <c r="D1187" s="20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5"/>
      <c r="U1187" s="15"/>
      <c r="V1187" s="15"/>
      <c r="W1187" s="15"/>
    </row>
    <row r="1188">
      <c r="A1188" s="11"/>
      <c r="B1188" s="11"/>
      <c r="C1188" s="20"/>
      <c r="D1188" s="20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5"/>
      <c r="U1188" s="15"/>
      <c r="V1188" s="15"/>
      <c r="W1188" s="15"/>
    </row>
    <row r="1189">
      <c r="A1189" s="11"/>
      <c r="B1189" s="11"/>
      <c r="C1189" s="20"/>
      <c r="D1189" s="20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5"/>
      <c r="U1189" s="15"/>
      <c r="V1189" s="15"/>
      <c r="W1189" s="15"/>
    </row>
    <row r="1190">
      <c r="A1190" s="11"/>
      <c r="B1190" s="11"/>
      <c r="C1190" s="20"/>
      <c r="D1190" s="20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5"/>
      <c r="U1190" s="15"/>
      <c r="V1190" s="15"/>
      <c r="W1190" s="15"/>
    </row>
    <row r="1191">
      <c r="A1191" s="11"/>
      <c r="B1191" s="11"/>
      <c r="C1191" s="20"/>
      <c r="D1191" s="20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5"/>
      <c r="U1191" s="15"/>
      <c r="V1191" s="15"/>
      <c r="W1191" s="15"/>
    </row>
    <row r="1192">
      <c r="A1192" s="11"/>
      <c r="B1192" s="11"/>
      <c r="C1192" s="20"/>
      <c r="D1192" s="20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5"/>
      <c r="U1192" s="15"/>
      <c r="V1192" s="15"/>
      <c r="W1192" s="15"/>
    </row>
    <row r="1193">
      <c r="A1193" s="11"/>
      <c r="B1193" s="11"/>
      <c r="C1193" s="20"/>
      <c r="D1193" s="20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5"/>
      <c r="U1193" s="15"/>
      <c r="V1193" s="15"/>
      <c r="W1193" s="15"/>
    </row>
    <row r="1194">
      <c r="A1194" s="11"/>
      <c r="B1194" s="11"/>
      <c r="C1194" s="20"/>
      <c r="D1194" s="20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5"/>
      <c r="U1194" s="15"/>
      <c r="V1194" s="15"/>
      <c r="W1194" s="15"/>
    </row>
    <row r="1195">
      <c r="A1195" s="11"/>
      <c r="B1195" s="11"/>
      <c r="C1195" s="20"/>
      <c r="D1195" s="20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5"/>
      <c r="U1195" s="15"/>
      <c r="V1195" s="15"/>
      <c r="W1195" s="15"/>
    </row>
    <row r="1196">
      <c r="A1196" s="11"/>
      <c r="B1196" s="11"/>
      <c r="C1196" s="20"/>
      <c r="D1196" s="20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5"/>
      <c r="U1196" s="15"/>
      <c r="V1196" s="15"/>
      <c r="W1196" s="15"/>
    </row>
    <row r="1197">
      <c r="A1197" s="11"/>
      <c r="B1197" s="11"/>
      <c r="C1197" s="20"/>
      <c r="D1197" s="20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5"/>
      <c r="U1197" s="15"/>
      <c r="V1197" s="15"/>
      <c r="W1197" s="15"/>
    </row>
    <row r="1198">
      <c r="A1198" s="11"/>
      <c r="B1198" s="11"/>
      <c r="C1198" s="20"/>
      <c r="D1198" s="20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5"/>
      <c r="U1198" s="15"/>
      <c r="V1198" s="15"/>
      <c r="W1198" s="15"/>
    </row>
    <row r="1199">
      <c r="A1199" s="11"/>
      <c r="B1199" s="11"/>
      <c r="C1199" s="20"/>
      <c r="D1199" s="20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5"/>
      <c r="U1199" s="15"/>
      <c r="V1199" s="15"/>
      <c r="W1199" s="15"/>
    </row>
    <row r="1200">
      <c r="A1200" s="11"/>
      <c r="B1200" s="11"/>
      <c r="C1200" s="20"/>
      <c r="D1200" s="20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5"/>
      <c r="U1200" s="15"/>
      <c r="V1200" s="15"/>
      <c r="W1200" s="15"/>
    </row>
    <row r="1201">
      <c r="A1201" s="11"/>
      <c r="B1201" s="11"/>
      <c r="C1201" s="20"/>
      <c r="D1201" s="20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5"/>
      <c r="U1201" s="15"/>
      <c r="V1201" s="15"/>
      <c r="W1201" s="15"/>
    </row>
    <row r="1202">
      <c r="A1202" s="11"/>
      <c r="B1202" s="11"/>
      <c r="C1202" s="20"/>
      <c r="D1202" s="20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5"/>
      <c r="U1202" s="15"/>
      <c r="V1202" s="15"/>
      <c r="W1202" s="15"/>
    </row>
    <row r="1203">
      <c r="A1203" s="11"/>
      <c r="B1203" s="11"/>
      <c r="C1203" s="20"/>
      <c r="D1203" s="20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5"/>
      <c r="U1203" s="15"/>
      <c r="V1203" s="15"/>
      <c r="W1203" s="15"/>
    </row>
    <row r="1204">
      <c r="A1204" s="11"/>
      <c r="B1204" s="11"/>
      <c r="C1204" s="20"/>
      <c r="D1204" s="20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5"/>
      <c r="U1204" s="15"/>
      <c r="V1204" s="15"/>
      <c r="W1204" s="15"/>
    </row>
    <row r="1205">
      <c r="A1205" s="11"/>
      <c r="B1205" s="11"/>
      <c r="C1205" s="20"/>
      <c r="D1205" s="20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5"/>
      <c r="U1205" s="15"/>
      <c r="V1205" s="15"/>
      <c r="W1205" s="15"/>
    </row>
    <row r="1206">
      <c r="A1206" s="11"/>
      <c r="B1206" s="11"/>
      <c r="C1206" s="20"/>
      <c r="D1206" s="20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5"/>
      <c r="U1206" s="15"/>
      <c r="V1206" s="15"/>
      <c r="W1206" s="15"/>
    </row>
    <row r="1207">
      <c r="A1207" s="11"/>
      <c r="B1207" s="11"/>
      <c r="C1207" s="20"/>
      <c r="D1207" s="20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5"/>
      <c r="U1207" s="15"/>
      <c r="V1207" s="15"/>
      <c r="W1207" s="15"/>
    </row>
    <row r="1208">
      <c r="A1208" s="11"/>
      <c r="B1208" s="11"/>
      <c r="C1208" s="20"/>
      <c r="D1208" s="20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5"/>
      <c r="U1208" s="15"/>
      <c r="V1208" s="15"/>
      <c r="W1208" s="15"/>
    </row>
    <row r="1209">
      <c r="A1209" s="11"/>
      <c r="B1209" s="11"/>
      <c r="C1209" s="20"/>
      <c r="D1209" s="20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5"/>
      <c r="U1209" s="15"/>
      <c r="V1209" s="15"/>
      <c r="W1209" s="15"/>
    </row>
    <row r="1210">
      <c r="A1210" s="11"/>
      <c r="B1210" s="11"/>
      <c r="C1210" s="20"/>
      <c r="D1210" s="20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5"/>
      <c r="U1210" s="15"/>
      <c r="V1210" s="15"/>
      <c r="W1210" s="15"/>
    </row>
    <row r="1211">
      <c r="A1211" s="11"/>
      <c r="B1211" s="11"/>
      <c r="C1211" s="20"/>
      <c r="D1211" s="20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5"/>
      <c r="U1211" s="15"/>
      <c r="V1211" s="15"/>
      <c r="W1211" s="15"/>
    </row>
    <row r="1212">
      <c r="A1212" s="11"/>
      <c r="B1212" s="11"/>
      <c r="C1212" s="20"/>
      <c r="D1212" s="20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5"/>
      <c r="U1212" s="15"/>
      <c r="V1212" s="15"/>
      <c r="W1212" s="15"/>
    </row>
    <row r="1213">
      <c r="A1213" s="11"/>
      <c r="B1213" s="11"/>
      <c r="C1213" s="20"/>
      <c r="D1213" s="20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5"/>
      <c r="U1213" s="15"/>
      <c r="V1213" s="15"/>
      <c r="W1213" s="15"/>
    </row>
    <row r="1214">
      <c r="A1214" s="11"/>
      <c r="B1214" s="11"/>
      <c r="C1214" s="20"/>
      <c r="D1214" s="20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5"/>
      <c r="U1214" s="15"/>
      <c r="V1214" s="15"/>
      <c r="W1214" s="15"/>
    </row>
    <row r="1215">
      <c r="A1215" s="11"/>
      <c r="B1215" s="11"/>
      <c r="C1215" s="20"/>
      <c r="D1215" s="20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5"/>
      <c r="U1215" s="15"/>
      <c r="V1215" s="15"/>
      <c r="W1215" s="15"/>
    </row>
    <row r="1216">
      <c r="A1216" s="11"/>
      <c r="B1216" s="11"/>
      <c r="C1216" s="20"/>
      <c r="D1216" s="20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5"/>
      <c r="U1216" s="15"/>
      <c r="V1216" s="15"/>
      <c r="W1216" s="15"/>
    </row>
    <row r="1217">
      <c r="A1217" s="11"/>
      <c r="B1217" s="11"/>
      <c r="C1217" s="20"/>
      <c r="D1217" s="20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5"/>
      <c r="U1217" s="15"/>
      <c r="V1217" s="15"/>
      <c r="W1217" s="15"/>
    </row>
    <row r="1218">
      <c r="A1218" s="11"/>
      <c r="B1218" s="11"/>
      <c r="C1218" s="20"/>
      <c r="D1218" s="20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5"/>
      <c r="U1218" s="15"/>
      <c r="V1218" s="15"/>
      <c r="W1218" s="15"/>
    </row>
    <row r="1219">
      <c r="A1219" s="11"/>
      <c r="B1219" s="11"/>
      <c r="C1219" s="20"/>
      <c r="D1219" s="20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5"/>
      <c r="U1219" s="15"/>
      <c r="V1219" s="15"/>
      <c r="W1219" s="15"/>
    </row>
    <row r="1220">
      <c r="A1220" s="11"/>
      <c r="B1220" s="11"/>
      <c r="C1220" s="20"/>
      <c r="D1220" s="20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5"/>
      <c r="U1220" s="15"/>
      <c r="V1220" s="15"/>
      <c r="W1220" s="15"/>
    </row>
    <row r="1221">
      <c r="A1221" s="11"/>
      <c r="B1221" s="11"/>
      <c r="C1221" s="20"/>
      <c r="D1221" s="20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5"/>
      <c r="U1221" s="15"/>
      <c r="V1221" s="15"/>
      <c r="W1221" s="15"/>
    </row>
    <row r="1222">
      <c r="A1222" s="11"/>
      <c r="B1222" s="11"/>
      <c r="C1222" s="20"/>
      <c r="D1222" s="20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5"/>
      <c r="U1222" s="15"/>
      <c r="V1222" s="15"/>
      <c r="W1222" s="15"/>
    </row>
    <row r="1223">
      <c r="A1223" s="11"/>
      <c r="B1223" s="11"/>
      <c r="C1223" s="20"/>
      <c r="D1223" s="20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5"/>
      <c r="U1223" s="15"/>
      <c r="V1223" s="15"/>
      <c r="W1223" s="15"/>
    </row>
    <row r="1224">
      <c r="A1224" s="11"/>
      <c r="B1224" s="11"/>
      <c r="C1224" s="20"/>
      <c r="D1224" s="20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5"/>
      <c r="U1224" s="15"/>
      <c r="V1224" s="15"/>
      <c r="W1224" s="15"/>
    </row>
    <row r="1225">
      <c r="A1225" s="11"/>
      <c r="B1225" s="11"/>
      <c r="C1225" s="20"/>
      <c r="D1225" s="20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5"/>
      <c r="U1225" s="15"/>
      <c r="V1225" s="15"/>
      <c r="W1225" s="15"/>
    </row>
    <row r="1226">
      <c r="A1226" s="11"/>
      <c r="B1226" s="11"/>
      <c r="C1226" s="20"/>
      <c r="D1226" s="20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5"/>
      <c r="U1226" s="15"/>
      <c r="V1226" s="15"/>
      <c r="W1226" s="15"/>
    </row>
    <row r="1227">
      <c r="A1227" s="11"/>
      <c r="B1227" s="11"/>
      <c r="C1227" s="20"/>
      <c r="D1227" s="20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5"/>
      <c r="U1227" s="15"/>
      <c r="V1227" s="15"/>
      <c r="W1227" s="15"/>
    </row>
    <row r="1228">
      <c r="A1228" s="11"/>
      <c r="B1228" s="11"/>
      <c r="C1228" s="20"/>
      <c r="D1228" s="20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5"/>
      <c r="U1228" s="15"/>
      <c r="V1228" s="15"/>
      <c r="W1228" s="15"/>
    </row>
    <row r="1229">
      <c r="A1229" s="11"/>
      <c r="B1229" s="11"/>
      <c r="C1229" s="20"/>
      <c r="D1229" s="20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5"/>
      <c r="U1229" s="15"/>
      <c r="V1229" s="15"/>
      <c r="W1229" s="15"/>
    </row>
    <row r="1230">
      <c r="A1230" s="11"/>
      <c r="B1230" s="11"/>
      <c r="C1230" s="20"/>
      <c r="D1230" s="20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5"/>
      <c r="U1230" s="15"/>
      <c r="V1230" s="15"/>
      <c r="W1230" s="15"/>
    </row>
    <row r="1231">
      <c r="A1231" s="11"/>
      <c r="B1231" s="11"/>
      <c r="C1231" s="20"/>
      <c r="D1231" s="20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5"/>
      <c r="U1231" s="15"/>
      <c r="V1231" s="15"/>
      <c r="W1231" s="15"/>
    </row>
    <row r="1232">
      <c r="A1232" s="11"/>
      <c r="B1232" s="11"/>
      <c r="C1232" s="20"/>
      <c r="D1232" s="20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5"/>
      <c r="U1232" s="15"/>
      <c r="V1232" s="15"/>
      <c r="W1232" s="15"/>
    </row>
    <row r="1233">
      <c r="A1233" s="11"/>
      <c r="B1233" s="11"/>
      <c r="C1233" s="20"/>
      <c r="D1233" s="20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5"/>
      <c r="U1233" s="15"/>
      <c r="V1233" s="15"/>
      <c r="W1233" s="15"/>
    </row>
    <row r="1234">
      <c r="A1234" s="11"/>
      <c r="B1234" s="11"/>
      <c r="C1234" s="20"/>
      <c r="D1234" s="20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5"/>
      <c r="U1234" s="15"/>
      <c r="V1234" s="15"/>
      <c r="W1234" s="15"/>
    </row>
    <row r="1235">
      <c r="A1235" s="11"/>
      <c r="B1235" s="11"/>
      <c r="C1235" s="20"/>
      <c r="D1235" s="20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5"/>
      <c r="U1235" s="15"/>
      <c r="V1235" s="15"/>
      <c r="W1235" s="15"/>
    </row>
    <row r="1236">
      <c r="A1236" s="11"/>
      <c r="B1236" s="11"/>
      <c r="C1236" s="20"/>
      <c r="D1236" s="20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5"/>
      <c r="U1236" s="15"/>
      <c r="V1236" s="15"/>
      <c r="W1236" s="15"/>
    </row>
    <row r="1237">
      <c r="A1237" s="11"/>
      <c r="B1237" s="11"/>
      <c r="C1237" s="20"/>
      <c r="D1237" s="20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5"/>
      <c r="U1237" s="15"/>
      <c r="V1237" s="15"/>
      <c r="W1237" s="15"/>
    </row>
    <row r="1238">
      <c r="A1238" s="11"/>
      <c r="B1238" s="11"/>
      <c r="C1238" s="20"/>
      <c r="D1238" s="20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5"/>
      <c r="U1238" s="15"/>
      <c r="V1238" s="15"/>
      <c r="W1238" s="15"/>
    </row>
    <row r="1239">
      <c r="A1239" s="11"/>
      <c r="B1239" s="11"/>
      <c r="C1239" s="20"/>
      <c r="D1239" s="20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5"/>
      <c r="U1239" s="15"/>
      <c r="V1239" s="15"/>
      <c r="W1239" s="15"/>
    </row>
    <row r="1240">
      <c r="A1240" s="11"/>
      <c r="B1240" s="11"/>
      <c r="C1240" s="20"/>
      <c r="D1240" s="20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5"/>
      <c r="U1240" s="15"/>
      <c r="V1240" s="15"/>
      <c r="W1240" s="15"/>
    </row>
    <row r="1241">
      <c r="A1241" s="11"/>
      <c r="B1241" s="11"/>
      <c r="C1241" s="20"/>
      <c r="D1241" s="20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5"/>
      <c r="U1241" s="15"/>
      <c r="V1241" s="15"/>
      <c r="W1241" s="15"/>
    </row>
    <row r="1242">
      <c r="A1242" s="11"/>
      <c r="B1242" s="11"/>
      <c r="C1242" s="20"/>
      <c r="D1242" s="20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5"/>
      <c r="U1242" s="15"/>
      <c r="V1242" s="15"/>
      <c r="W1242" s="15"/>
    </row>
    <row r="1243">
      <c r="A1243" s="11"/>
      <c r="B1243" s="11"/>
      <c r="C1243" s="20"/>
      <c r="D1243" s="20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5"/>
      <c r="U1243" s="15"/>
      <c r="V1243" s="15"/>
      <c r="W1243" s="15"/>
    </row>
    <row r="1244">
      <c r="A1244" s="11"/>
      <c r="B1244" s="11"/>
      <c r="C1244" s="20"/>
      <c r="D1244" s="20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5"/>
      <c r="U1244" s="15"/>
      <c r="V1244" s="15"/>
      <c r="W1244" s="15"/>
    </row>
    <row r="1245">
      <c r="A1245" s="11"/>
      <c r="B1245" s="11"/>
      <c r="C1245" s="20"/>
      <c r="D1245" s="20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5"/>
      <c r="U1245" s="15"/>
      <c r="V1245" s="15"/>
      <c r="W1245" s="15"/>
    </row>
    <row r="1246">
      <c r="A1246" s="11"/>
      <c r="B1246" s="11"/>
      <c r="C1246" s="20"/>
      <c r="D1246" s="20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5"/>
      <c r="U1246" s="15"/>
      <c r="V1246" s="15"/>
      <c r="W1246" s="15"/>
    </row>
    <row r="1247">
      <c r="A1247" s="11"/>
      <c r="B1247" s="11"/>
      <c r="C1247" s="20"/>
      <c r="D1247" s="20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5"/>
      <c r="U1247" s="15"/>
      <c r="V1247" s="15"/>
      <c r="W1247" s="15"/>
    </row>
    <row r="1248">
      <c r="A1248" s="11"/>
      <c r="B1248" s="11"/>
      <c r="C1248" s="20"/>
      <c r="D1248" s="20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5"/>
      <c r="U1248" s="15"/>
      <c r="V1248" s="15"/>
      <c r="W1248" s="15"/>
    </row>
    <row r="1249">
      <c r="A1249" s="11"/>
      <c r="B1249" s="11"/>
      <c r="C1249" s="20"/>
      <c r="D1249" s="20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5"/>
      <c r="U1249" s="15"/>
      <c r="V1249" s="15"/>
      <c r="W1249" s="15"/>
    </row>
    <row r="1250">
      <c r="A1250" s="11"/>
      <c r="B1250" s="11"/>
      <c r="C1250" s="20"/>
      <c r="D1250" s="20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5"/>
      <c r="U1250" s="15"/>
      <c r="V1250" s="15"/>
      <c r="W1250" s="15"/>
    </row>
    <row r="1251">
      <c r="A1251" s="11"/>
      <c r="B1251" s="11"/>
      <c r="C1251" s="20"/>
      <c r="D1251" s="20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5"/>
      <c r="U1251" s="15"/>
      <c r="V1251" s="15"/>
      <c r="W1251" s="15"/>
    </row>
    <row r="1252">
      <c r="A1252" s="11"/>
      <c r="B1252" s="11"/>
      <c r="C1252" s="20"/>
      <c r="D1252" s="20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5"/>
      <c r="U1252" s="15"/>
      <c r="V1252" s="15"/>
      <c r="W1252" s="15"/>
    </row>
    <row r="1253">
      <c r="A1253" s="11"/>
      <c r="B1253" s="11"/>
      <c r="C1253" s="20"/>
      <c r="D1253" s="20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5"/>
      <c r="U1253" s="15"/>
      <c r="V1253" s="15"/>
      <c r="W1253" s="15"/>
    </row>
    <row r="1254">
      <c r="A1254" s="11"/>
      <c r="B1254" s="11"/>
      <c r="C1254" s="20"/>
      <c r="D1254" s="20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5"/>
      <c r="U1254" s="15"/>
      <c r="V1254" s="15"/>
      <c r="W1254" s="15"/>
    </row>
    <row r="1255">
      <c r="A1255" s="11"/>
      <c r="B1255" s="11"/>
      <c r="C1255" s="20"/>
      <c r="D1255" s="20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5"/>
      <c r="U1255" s="15"/>
      <c r="V1255" s="15"/>
      <c r="W1255" s="15"/>
    </row>
    <row r="1256">
      <c r="A1256" s="11"/>
      <c r="B1256" s="11"/>
      <c r="C1256" s="20"/>
      <c r="D1256" s="20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5"/>
      <c r="U1256" s="15"/>
      <c r="V1256" s="15"/>
      <c r="W1256" s="15"/>
    </row>
    <row r="1257">
      <c r="A1257" s="11"/>
      <c r="B1257" s="11"/>
      <c r="C1257" s="20"/>
      <c r="D1257" s="20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5"/>
      <c r="U1257" s="15"/>
      <c r="V1257" s="15"/>
      <c r="W1257" s="15"/>
    </row>
    <row r="1258">
      <c r="A1258" s="11"/>
      <c r="B1258" s="11"/>
      <c r="C1258" s="20"/>
      <c r="D1258" s="20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5"/>
      <c r="U1258" s="15"/>
      <c r="V1258" s="15"/>
      <c r="W1258" s="15"/>
    </row>
    <row r="1259">
      <c r="A1259" s="11"/>
      <c r="B1259" s="11"/>
      <c r="C1259" s="20"/>
      <c r="D1259" s="20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5"/>
      <c r="U1259" s="15"/>
      <c r="V1259" s="15"/>
      <c r="W1259" s="15"/>
    </row>
    <row r="1260">
      <c r="A1260" s="11"/>
      <c r="B1260" s="11"/>
      <c r="C1260" s="20"/>
      <c r="D1260" s="20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5"/>
      <c r="U1260" s="15"/>
      <c r="V1260" s="15"/>
      <c r="W1260" s="15"/>
    </row>
    <row r="1261">
      <c r="A1261" s="11"/>
      <c r="B1261" s="11"/>
      <c r="C1261" s="20"/>
      <c r="D1261" s="20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5"/>
      <c r="U1261" s="15"/>
      <c r="V1261" s="15"/>
      <c r="W1261" s="15"/>
    </row>
    <row r="1262">
      <c r="A1262" s="11"/>
      <c r="B1262" s="11"/>
      <c r="C1262" s="20"/>
      <c r="D1262" s="20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5"/>
      <c r="U1262" s="15"/>
      <c r="V1262" s="15"/>
      <c r="W1262" s="15"/>
    </row>
    <row r="1263">
      <c r="A1263" s="11"/>
      <c r="B1263" s="11"/>
      <c r="C1263" s="20"/>
      <c r="D1263" s="20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5"/>
      <c r="U1263" s="15"/>
      <c r="V1263" s="15"/>
      <c r="W1263" s="15"/>
    </row>
    <row r="1264">
      <c r="A1264" s="11"/>
      <c r="B1264" s="11"/>
      <c r="C1264" s="20"/>
      <c r="D1264" s="20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5"/>
      <c r="U1264" s="15"/>
      <c r="V1264" s="15"/>
      <c r="W1264" s="15"/>
    </row>
    <row r="1265">
      <c r="A1265" s="11"/>
      <c r="B1265" s="11"/>
      <c r="C1265" s="20"/>
      <c r="D1265" s="20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5"/>
      <c r="U1265" s="15"/>
      <c r="V1265" s="15"/>
      <c r="W1265" s="15"/>
    </row>
    <row r="1266">
      <c r="A1266" s="11"/>
      <c r="B1266" s="11"/>
      <c r="C1266" s="20"/>
      <c r="D1266" s="20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5"/>
      <c r="U1266" s="15"/>
      <c r="V1266" s="15"/>
      <c r="W1266" s="15"/>
    </row>
    <row r="1267">
      <c r="A1267" s="11"/>
      <c r="B1267" s="11"/>
      <c r="C1267" s="20"/>
      <c r="D1267" s="20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5"/>
      <c r="U1267" s="15"/>
      <c r="V1267" s="15"/>
      <c r="W1267" s="15"/>
    </row>
    <row r="1268">
      <c r="A1268" s="11"/>
      <c r="B1268" s="11"/>
      <c r="C1268" s="20"/>
      <c r="D1268" s="20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5"/>
      <c r="U1268" s="15"/>
      <c r="V1268" s="15"/>
      <c r="W1268" s="15"/>
    </row>
    <row r="1269">
      <c r="A1269" s="11"/>
      <c r="B1269" s="11"/>
      <c r="C1269" s="20"/>
      <c r="D1269" s="20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5"/>
      <c r="U1269" s="15"/>
      <c r="V1269" s="15"/>
      <c r="W1269" s="15"/>
    </row>
    <row r="1270">
      <c r="A1270" s="11"/>
      <c r="B1270" s="11"/>
      <c r="C1270" s="20"/>
      <c r="D1270" s="20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5"/>
      <c r="U1270" s="15"/>
      <c r="V1270" s="15"/>
      <c r="W1270" s="15"/>
    </row>
    <row r="1271">
      <c r="A1271" s="11"/>
      <c r="B1271" s="11"/>
      <c r="C1271" s="20"/>
      <c r="D1271" s="20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5"/>
      <c r="U1271" s="15"/>
      <c r="V1271" s="15"/>
      <c r="W1271" s="15"/>
    </row>
    <row r="1272">
      <c r="A1272" s="11"/>
      <c r="B1272" s="11"/>
      <c r="C1272" s="20"/>
      <c r="D1272" s="20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5"/>
      <c r="U1272" s="15"/>
      <c r="V1272" s="15"/>
      <c r="W1272" s="15"/>
    </row>
    <row r="1273">
      <c r="A1273" s="11"/>
      <c r="B1273" s="11"/>
      <c r="C1273" s="20"/>
      <c r="D1273" s="20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5"/>
      <c r="U1273" s="15"/>
      <c r="V1273" s="15"/>
      <c r="W1273" s="15"/>
    </row>
    <row r="1274">
      <c r="A1274" s="11"/>
      <c r="B1274" s="11"/>
      <c r="C1274" s="20"/>
      <c r="D1274" s="20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5"/>
      <c r="U1274" s="15"/>
      <c r="V1274" s="15"/>
      <c r="W1274" s="15"/>
    </row>
    <row r="1275">
      <c r="A1275" s="11"/>
      <c r="B1275" s="11"/>
      <c r="C1275" s="20"/>
      <c r="D1275" s="20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5"/>
      <c r="U1275" s="15"/>
      <c r="V1275" s="15"/>
      <c r="W1275" s="15"/>
    </row>
    <row r="1276">
      <c r="A1276" s="11"/>
      <c r="B1276" s="11"/>
      <c r="C1276" s="20"/>
      <c r="D1276" s="20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5"/>
      <c r="U1276" s="15"/>
      <c r="V1276" s="15"/>
      <c r="W1276" s="15"/>
    </row>
    <row r="1277">
      <c r="A1277" s="11"/>
      <c r="B1277" s="11"/>
      <c r="C1277" s="20"/>
      <c r="D1277" s="20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5"/>
      <c r="U1277" s="15"/>
      <c r="V1277" s="15"/>
      <c r="W1277" s="15"/>
    </row>
    <row r="1278">
      <c r="A1278" s="11"/>
      <c r="B1278" s="11"/>
      <c r="C1278" s="20"/>
      <c r="D1278" s="20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5"/>
      <c r="U1278" s="15"/>
      <c r="V1278" s="15"/>
      <c r="W1278" s="15"/>
    </row>
    <row r="1279">
      <c r="A1279" s="11"/>
      <c r="B1279" s="11"/>
      <c r="C1279" s="20"/>
      <c r="D1279" s="20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5"/>
      <c r="U1279" s="15"/>
      <c r="V1279" s="15"/>
      <c r="W1279" s="15"/>
    </row>
    <row r="1280">
      <c r="A1280" s="11"/>
      <c r="B1280" s="11"/>
      <c r="C1280" s="20"/>
      <c r="D1280" s="20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5"/>
      <c r="U1280" s="15"/>
      <c r="V1280" s="15"/>
      <c r="W1280" s="15"/>
    </row>
    <row r="1281">
      <c r="A1281" s="11"/>
      <c r="B1281" s="11"/>
      <c r="C1281" s="20"/>
      <c r="D1281" s="20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5"/>
      <c r="U1281" s="15"/>
      <c r="V1281" s="15"/>
      <c r="W1281" s="15"/>
    </row>
    <row r="1282">
      <c r="A1282" s="11"/>
      <c r="B1282" s="11"/>
      <c r="C1282" s="20"/>
      <c r="D1282" s="20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5"/>
      <c r="U1282" s="15"/>
      <c r="V1282" s="15"/>
      <c r="W1282" s="15"/>
    </row>
    <row r="1283">
      <c r="A1283" s="11"/>
      <c r="B1283" s="11"/>
      <c r="C1283" s="20"/>
      <c r="D1283" s="20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5"/>
      <c r="U1283" s="15"/>
      <c r="V1283" s="15"/>
      <c r="W1283" s="15"/>
    </row>
    <row r="1284">
      <c r="A1284" s="11"/>
      <c r="B1284" s="11"/>
      <c r="C1284" s="20"/>
      <c r="D1284" s="20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5"/>
      <c r="U1284" s="15"/>
      <c r="V1284" s="15"/>
      <c r="W1284" s="15"/>
    </row>
    <row r="1285">
      <c r="A1285" s="11"/>
      <c r="B1285" s="11"/>
      <c r="C1285" s="20"/>
      <c r="D1285" s="20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5"/>
      <c r="U1285" s="15"/>
      <c r="V1285" s="15"/>
      <c r="W1285" s="15"/>
    </row>
    <row r="1286">
      <c r="A1286" s="11"/>
      <c r="B1286" s="11"/>
      <c r="C1286" s="20"/>
      <c r="D1286" s="20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5"/>
      <c r="U1286" s="15"/>
      <c r="V1286" s="15"/>
      <c r="W1286" s="15"/>
    </row>
    <row r="1287">
      <c r="A1287" s="11"/>
      <c r="B1287" s="11"/>
      <c r="C1287" s="20"/>
      <c r="D1287" s="20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5"/>
      <c r="U1287" s="15"/>
      <c r="V1287" s="15"/>
      <c r="W1287" s="15"/>
    </row>
    <row r="1288">
      <c r="A1288" s="11"/>
      <c r="B1288" s="11"/>
      <c r="C1288" s="20"/>
      <c r="D1288" s="20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5"/>
      <c r="U1288" s="15"/>
      <c r="V1288" s="15"/>
      <c r="W1288" s="15"/>
    </row>
    <row r="1289">
      <c r="A1289" s="11"/>
      <c r="B1289" s="11"/>
      <c r="C1289" s="20"/>
      <c r="D1289" s="20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5"/>
      <c r="U1289" s="15"/>
      <c r="V1289" s="15"/>
      <c r="W1289" s="15"/>
    </row>
    <row r="1290">
      <c r="A1290" s="11"/>
      <c r="B1290" s="11"/>
      <c r="C1290" s="20"/>
      <c r="D1290" s="20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5"/>
      <c r="U1290" s="15"/>
      <c r="V1290" s="15"/>
      <c r="W1290" s="15"/>
    </row>
    <row r="1291">
      <c r="A1291" s="11"/>
      <c r="B1291" s="11"/>
      <c r="C1291" s="20"/>
      <c r="D1291" s="20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5"/>
      <c r="U1291" s="15"/>
      <c r="V1291" s="15"/>
      <c r="W1291" s="15"/>
    </row>
    <row r="1292">
      <c r="A1292" s="11"/>
      <c r="B1292" s="11"/>
      <c r="C1292" s="20"/>
      <c r="D1292" s="20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5"/>
      <c r="U1292" s="15"/>
      <c r="V1292" s="15"/>
      <c r="W1292" s="15"/>
    </row>
    <row r="1293">
      <c r="A1293" s="11"/>
      <c r="B1293" s="11"/>
      <c r="C1293" s="20"/>
      <c r="D1293" s="20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5"/>
      <c r="U1293" s="15"/>
      <c r="V1293" s="15"/>
      <c r="W1293" s="15"/>
    </row>
    <row r="1294">
      <c r="A1294" s="11"/>
      <c r="B1294" s="11"/>
      <c r="C1294" s="20"/>
      <c r="D1294" s="20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5"/>
      <c r="U1294" s="15"/>
      <c r="V1294" s="15"/>
      <c r="W1294" s="15"/>
    </row>
    <row r="1295">
      <c r="A1295" s="11"/>
      <c r="B1295" s="11"/>
      <c r="C1295" s="20"/>
      <c r="D1295" s="20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5"/>
      <c r="U1295" s="15"/>
      <c r="V1295" s="15"/>
      <c r="W1295" s="15"/>
    </row>
    <row r="1296">
      <c r="A1296" s="11"/>
      <c r="B1296" s="11"/>
      <c r="C1296" s="20"/>
      <c r="D1296" s="20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5"/>
      <c r="U1296" s="15"/>
      <c r="V1296" s="15"/>
      <c r="W1296" s="15"/>
    </row>
    <row r="1297">
      <c r="A1297" s="11"/>
      <c r="B1297" s="11"/>
      <c r="C1297" s="20"/>
      <c r="D1297" s="20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5"/>
      <c r="U1297" s="15"/>
      <c r="V1297" s="15"/>
      <c r="W1297" s="15"/>
    </row>
    <row r="1298">
      <c r="A1298" s="11"/>
      <c r="B1298" s="11"/>
      <c r="C1298" s="20"/>
      <c r="D1298" s="20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5"/>
      <c r="U1298" s="15"/>
      <c r="V1298" s="15"/>
      <c r="W1298" s="15"/>
    </row>
    <row r="1299">
      <c r="A1299" s="11"/>
      <c r="B1299" s="11"/>
      <c r="C1299" s="20"/>
      <c r="D1299" s="20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5"/>
      <c r="U1299" s="15"/>
      <c r="V1299" s="15"/>
      <c r="W1299" s="15"/>
    </row>
    <row r="1300">
      <c r="A1300" s="11"/>
      <c r="B1300" s="11"/>
      <c r="C1300" s="20"/>
      <c r="D1300" s="20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5"/>
      <c r="U1300" s="15"/>
      <c r="V1300" s="15"/>
      <c r="W1300" s="15"/>
    </row>
    <row r="1301">
      <c r="A1301" s="11"/>
      <c r="B1301" s="11"/>
      <c r="C1301" s="20"/>
      <c r="D1301" s="20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5"/>
      <c r="U1301" s="15"/>
      <c r="V1301" s="15"/>
      <c r="W1301" s="15"/>
    </row>
    <row r="1302">
      <c r="A1302" s="11"/>
      <c r="B1302" s="11"/>
      <c r="C1302" s="20"/>
      <c r="D1302" s="20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5"/>
      <c r="U1302" s="15"/>
      <c r="V1302" s="15"/>
      <c r="W1302" s="15"/>
    </row>
    <row r="1303">
      <c r="A1303" s="11"/>
      <c r="B1303" s="11"/>
      <c r="C1303" s="20"/>
      <c r="D1303" s="20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5"/>
      <c r="U1303" s="15"/>
      <c r="V1303" s="15"/>
      <c r="W1303" s="15"/>
    </row>
    <row r="1304">
      <c r="A1304" s="11"/>
      <c r="B1304" s="11"/>
      <c r="C1304" s="20"/>
      <c r="D1304" s="20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5"/>
      <c r="U1304" s="15"/>
      <c r="V1304" s="15"/>
      <c r="W1304" s="15"/>
    </row>
    <row r="1305">
      <c r="A1305" s="11"/>
      <c r="B1305" s="11"/>
      <c r="C1305" s="20"/>
      <c r="D1305" s="20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5"/>
      <c r="U1305" s="15"/>
      <c r="V1305" s="15"/>
      <c r="W1305" s="15"/>
    </row>
    <row r="1306">
      <c r="A1306" s="11"/>
      <c r="B1306" s="11"/>
      <c r="C1306" s="20"/>
      <c r="D1306" s="20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5"/>
      <c r="U1306" s="15"/>
      <c r="V1306" s="15"/>
      <c r="W1306" s="15"/>
    </row>
    <row r="1307">
      <c r="A1307" s="11"/>
      <c r="B1307" s="11"/>
      <c r="C1307" s="20"/>
      <c r="D1307" s="20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5"/>
      <c r="U1307" s="15"/>
      <c r="V1307" s="15"/>
      <c r="W1307" s="15"/>
    </row>
    <row r="1308">
      <c r="A1308" s="11"/>
      <c r="B1308" s="11"/>
      <c r="C1308" s="20"/>
      <c r="D1308" s="20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5"/>
      <c r="U1308" s="15"/>
      <c r="V1308" s="15"/>
      <c r="W1308" s="15"/>
    </row>
    <row r="1309">
      <c r="A1309" s="11"/>
      <c r="B1309" s="11"/>
      <c r="C1309" s="20"/>
      <c r="D1309" s="20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5"/>
      <c r="U1309" s="15"/>
      <c r="V1309" s="15"/>
      <c r="W1309" s="15"/>
    </row>
    <row r="1310">
      <c r="A1310" s="11"/>
      <c r="B1310" s="11"/>
      <c r="C1310" s="20"/>
      <c r="D1310" s="20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5"/>
      <c r="U1310" s="15"/>
      <c r="V1310" s="15"/>
      <c r="W1310" s="15"/>
    </row>
    <row r="1311">
      <c r="A1311" s="11"/>
      <c r="B1311" s="11"/>
      <c r="C1311" s="20"/>
      <c r="D1311" s="20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5"/>
      <c r="U1311" s="15"/>
      <c r="V1311" s="15"/>
      <c r="W1311" s="15"/>
    </row>
    <row r="1312">
      <c r="A1312" s="11"/>
      <c r="B1312" s="11"/>
      <c r="C1312" s="20"/>
      <c r="D1312" s="20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5"/>
      <c r="U1312" s="15"/>
      <c r="V1312" s="15"/>
      <c r="W1312" s="15"/>
    </row>
    <row r="1313">
      <c r="A1313" s="11"/>
      <c r="B1313" s="11"/>
      <c r="C1313" s="20"/>
      <c r="D1313" s="20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5"/>
      <c r="U1313" s="15"/>
      <c r="V1313" s="15"/>
      <c r="W1313" s="15"/>
    </row>
    <row r="1314">
      <c r="A1314" s="11"/>
      <c r="B1314" s="11"/>
      <c r="C1314" s="20"/>
      <c r="D1314" s="20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5"/>
      <c r="U1314" s="15"/>
      <c r="V1314" s="15"/>
      <c r="W1314" s="15"/>
    </row>
    <row r="1315">
      <c r="A1315" s="11"/>
      <c r="B1315" s="11"/>
      <c r="C1315" s="20"/>
      <c r="D1315" s="20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5"/>
      <c r="U1315" s="15"/>
      <c r="V1315" s="15"/>
      <c r="W1315" s="15"/>
    </row>
    <row r="1316">
      <c r="A1316" s="11"/>
      <c r="B1316" s="11"/>
      <c r="C1316" s="20"/>
      <c r="D1316" s="20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5"/>
      <c r="U1316" s="15"/>
      <c r="V1316" s="15"/>
      <c r="W1316" s="15"/>
    </row>
    <row r="1317">
      <c r="A1317" s="11"/>
      <c r="B1317" s="11"/>
      <c r="C1317" s="20"/>
      <c r="D1317" s="20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5"/>
      <c r="U1317" s="15"/>
      <c r="V1317" s="15"/>
      <c r="W1317" s="15"/>
    </row>
    <row r="1318">
      <c r="A1318" s="11"/>
      <c r="B1318" s="11"/>
      <c r="C1318" s="20"/>
      <c r="D1318" s="20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5"/>
      <c r="U1318" s="15"/>
      <c r="V1318" s="15"/>
      <c r="W1318" s="15"/>
    </row>
    <row r="1319">
      <c r="A1319" s="11"/>
      <c r="B1319" s="11"/>
      <c r="C1319" s="20"/>
      <c r="D1319" s="20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5"/>
      <c r="U1319" s="15"/>
      <c r="V1319" s="15"/>
      <c r="W1319" s="15"/>
    </row>
    <row r="1320">
      <c r="A1320" s="11"/>
      <c r="B1320" s="11"/>
      <c r="C1320" s="20"/>
      <c r="D1320" s="20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5"/>
      <c r="U1320" s="15"/>
      <c r="V1320" s="15"/>
      <c r="W1320" s="15"/>
    </row>
    <row r="1321">
      <c r="A1321" s="11"/>
      <c r="B1321" s="11"/>
      <c r="C1321" s="20"/>
      <c r="D1321" s="20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5"/>
      <c r="U1321" s="15"/>
      <c r="V1321" s="15"/>
      <c r="W1321" s="15"/>
    </row>
    <row r="1322">
      <c r="A1322" s="11"/>
      <c r="B1322" s="11"/>
      <c r="C1322" s="20"/>
      <c r="D1322" s="20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5"/>
      <c r="U1322" s="15"/>
      <c r="V1322" s="15"/>
      <c r="W1322" s="15"/>
    </row>
    <row r="1323">
      <c r="A1323" s="11"/>
      <c r="B1323" s="11"/>
      <c r="C1323" s="20"/>
      <c r="D1323" s="20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5"/>
      <c r="U1323" s="15"/>
      <c r="V1323" s="15"/>
      <c r="W1323" s="15"/>
    </row>
    <row r="1324">
      <c r="A1324" s="11"/>
      <c r="B1324" s="11"/>
      <c r="C1324" s="20"/>
      <c r="D1324" s="20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5"/>
      <c r="U1324" s="15"/>
      <c r="V1324" s="15"/>
      <c r="W1324" s="15"/>
    </row>
    <row r="1325">
      <c r="A1325" s="11"/>
      <c r="B1325" s="11"/>
      <c r="C1325" s="20"/>
      <c r="D1325" s="20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5"/>
      <c r="U1325" s="15"/>
      <c r="V1325" s="15"/>
      <c r="W1325" s="15"/>
    </row>
    <row r="1326">
      <c r="A1326" s="11"/>
      <c r="B1326" s="11"/>
      <c r="C1326" s="20"/>
      <c r="D1326" s="20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5"/>
      <c r="U1326" s="15"/>
      <c r="V1326" s="15"/>
      <c r="W1326" s="15"/>
    </row>
    <row r="1327">
      <c r="A1327" s="11"/>
      <c r="B1327" s="11"/>
      <c r="C1327" s="20"/>
      <c r="D1327" s="20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5"/>
      <c r="U1327" s="15"/>
      <c r="V1327" s="15"/>
      <c r="W1327" s="15"/>
    </row>
    <row r="1328">
      <c r="A1328" s="11"/>
      <c r="B1328" s="11"/>
      <c r="C1328" s="20"/>
      <c r="D1328" s="20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5"/>
      <c r="U1328" s="15"/>
      <c r="V1328" s="15"/>
      <c r="W1328" s="15"/>
    </row>
    <row r="1329">
      <c r="A1329" s="11"/>
      <c r="B1329" s="11"/>
      <c r="C1329" s="20"/>
      <c r="D1329" s="20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5"/>
      <c r="U1329" s="15"/>
      <c r="V1329" s="15"/>
      <c r="W1329" s="15"/>
    </row>
    <row r="1330">
      <c r="A1330" s="11"/>
      <c r="B1330" s="11"/>
      <c r="C1330" s="20"/>
      <c r="D1330" s="20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5"/>
      <c r="U1330" s="15"/>
      <c r="V1330" s="15"/>
      <c r="W1330" s="15"/>
    </row>
    <row r="1331">
      <c r="A1331" s="11"/>
      <c r="B1331" s="11"/>
      <c r="C1331" s="20"/>
      <c r="D1331" s="20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5"/>
      <c r="U1331" s="15"/>
      <c r="V1331" s="15"/>
      <c r="W1331" s="15"/>
    </row>
    <row r="1332">
      <c r="A1332" s="11"/>
      <c r="B1332" s="11"/>
      <c r="C1332" s="20"/>
      <c r="D1332" s="20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5"/>
      <c r="U1332" s="15"/>
      <c r="V1332" s="15"/>
      <c r="W1332" s="15"/>
    </row>
    <row r="1333">
      <c r="A1333" s="11"/>
      <c r="B1333" s="11"/>
      <c r="C1333" s="20"/>
      <c r="D1333" s="20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5"/>
      <c r="U1333" s="15"/>
      <c r="V1333" s="15"/>
      <c r="W1333" s="15"/>
    </row>
    <row r="1334">
      <c r="A1334" s="11"/>
      <c r="B1334" s="11"/>
      <c r="C1334" s="20"/>
      <c r="D1334" s="20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5"/>
      <c r="U1334" s="15"/>
      <c r="V1334" s="15"/>
      <c r="W1334" s="15"/>
    </row>
    <row r="1335">
      <c r="A1335" s="11"/>
      <c r="B1335" s="11"/>
      <c r="C1335" s="20"/>
      <c r="D1335" s="20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5"/>
      <c r="U1335" s="15"/>
      <c r="V1335" s="15"/>
      <c r="W1335" s="15"/>
    </row>
    <row r="1336">
      <c r="A1336" s="11"/>
      <c r="B1336" s="11"/>
      <c r="C1336" s="20"/>
      <c r="D1336" s="20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5"/>
      <c r="U1336" s="15"/>
      <c r="V1336" s="15"/>
      <c r="W1336" s="15"/>
    </row>
    <row r="1337">
      <c r="A1337" s="11"/>
      <c r="B1337" s="11"/>
      <c r="C1337" s="20"/>
      <c r="D1337" s="20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5"/>
      <c r="U1337" s="15"/>
      <c r="V1337" s="15"/>
      <c r="W1337" s="15"/>
    </row>
    <row r="1338">
      <c r="A1338" s="11"/>
      <c r="B1338" s="11"/>
      <c r="C1338" s="20"/>
      <c r="D1338" s="20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5"/>
      <c r="U1338" s="15"/>
      <c r="V1338" s="15"/>
      <c r="W1338" s="15"/>
    </row>
    <row r="1339">
      <c r="A1339" s="11"/>
      <c r="B1339" s="11"/>
      <c r="C1339" s="20"/>
      <c r="D1339" s="20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5"/>
      <c r="U1339" s="15"/>
      <c r="V1339" s="15"/>
      <c r="W1339" s="15"/>
    </row>
    <row r="1340">
      <c r="A1340" s="11"/>
      <c r="B1340" s="11"/>
      <c r="C1340" s="20"/>
      <c r="D1340" s="20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5"/>
      <c r="U1340" s="15"/>
      <c r="V1340" s="15"/>
      <c r="W1340" s="15"/>
    </row>
    <row r="1341">
      <c r="A1341" s="11"/>
      <c r="B1341" s="11"/>
      <c r="C1341" s="20"/>
      <c r="D1341" s="20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5"/>
      <c r="U1341" s="15"/>
      <c r="V1341" s="15"/>
      <c r="W1341" s="15"/>
    </row>
    <row r="1342">
      <c r="A1342" s="11"/>
      <c r="B1342" s="11"/>
      <c r="C1342" s="20"/>
      <c r="D1342" s="20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5"/>
      <c r="U1342" s="15"/>
      <c r="V1342" s="15"/>
      <c r="W1342" s="15"/>
    </row>
    <row r="1343">
      <c r="A1343" s="11"/>
      <c r="B1343" s="11"/>
      <c r="C1343" s="20"/>
      <c r="D1343" s="20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5"/>
      <c r="U1343" s="15"/>
      <c r="V1343" s="15"/>
      <c r="W1343" s="15"/>
    </row>
    <row r="1344">
      <c r="A1344" s="11"/>
      <c r="B1344" s="11"/>
      <c r="C1344" s="20"/>
      <c r="D1344" s="20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5"/>
      <c r="U1344" s="15"/>
      <c r="V1344" s="15"/>
      <c r="W1344" s="15"/>
    </row>
    <row r="1345">
      <c r="A1345" s="11"/>
      <c r="B1345" s="11"/>
      <c r="C1345" s="20"/>
      <c r="D1345" s="20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5"/>
      <c r="U1345" s="15"/>
      <c r="V1345" s="15"/>
      <c r="W1345" s="15"/>
    </row>
    <row r="1346">
      <c r="A1346" s="11"/>
      <c r="B1346" s="11"/>
      <c r="C1346" s="20"/>
      <c r="D1346" s="20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5"/>
      <c r="U1346" s="15"/>
      <c r="V1346" s="15"/>
      <c r="W1346" s="15"/>
    </row>
    <row r="1347">
      <c r="A1347" s="11"/>
      <c r="B1347" s="11"/>
      <c r="C1347" s="20"/>
      <c r="D1347" s="20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5"/>
      <c r="U1347" s="15"/>
      <c r="V1347" s="15"/>
      <c r="W1347" s="15"/>
    </row>
    <row r="1348">
      <c r="A1348" s="11"/>
      <c r="B1348" s="11"/>
      <c r="C1348" s="20"/>
      <c r="D1348" s="20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5"/>
      <c r="U1348" s="15"/>
      <c r="V1348" s="15"/>
      <c r="W1348" s="15"/>
    </row>
    <row r="1349">
      <c r="A1349" s="11"/>
      <c r="B1349" s="11"/>
      <c r="C1349" s="20"/>
      <c r="D1349" s="20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5"/>
      <c r="U1349" s="15"/>
      <c r="V1349" s="15"/>
      <c r="W1349" s="15"/>
    </row>
    <row r="1350">
      <c r="A1350" s="11"/>
      <c r="B1350" s="11"/>
      <c r="C1350" s="20"/>
      <c r="D1350" s="20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5"/>
      <c r="U1350" s="15"/>
      <c r="V1350" s="15"/>
      <c r="W1350" s="15"/>
    </row>
    <row r="1351">
      <c r="A1351" s="11"/>
      <c r="B1351" s="11"/>
      <c r="C1351" s="20"/>
      <c r="D1351" s="20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5"/>
      <c r="U1351" s="15"/>
      <c r="V1351" s="15"/>
      <c r="W1351" s="15"/>
    </row>
    <row r="1352">
      <c r="A1352" s="11"/>
      <c r="B1352" s="11"/>
      <c r="C1352" s="20"/>
      <c r="D1352" s="20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5"/>
      <c r="U1352" s="15"/>
      <c r="V1352" s="15"/>
      <c r="W1352" s="15"/>
    </row>
    <row r="1353">
      <c r="A1353" s="11"/>
      <c r="B1353" s="11"/>
      <c r="C1353" s="20"/>
      <c r="D1353" s="20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5"/>
      <c r="U1353" s="15"/>
      <c r="V1353" s="15"/>
      <c r="W1353" s="15"/>
    </row>
    <row r="1354">
      <c r="A1354" s="11"/>
      <c r="B1354" s="11"/>
      <c r="C1354" s="20"/>
      <c r="D1354" s="20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5"/>
      <c r="U1354" s="15"/>
      <c r="V1354" s="15"/>
      <c r="W1354" s="15"/>
    </row>
    <row r="1355">
      <c r="A1355" s="11"/>
      <c r="B1355" s="11"/>
      <c r="C1355" s="20"/>
      <c r="D1355" s="20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5"/>
      <c r="U1355" s="15"/>
      <c r="V1355" s="15"/>
      <c r="W1355" s="15"/>
    </row>
    <row r="1356">
      <c r="A1356" s="11"/>
      <c r="B1356" s="11"/>
      <c r="C1356" s="20"/>
      <c r="D1356" s="20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5"/>
      <c r="U1356" s="15"/>
      <c r="V1356" s="15"/>
      <c r="W1356" s="15"/>
    </row>
    <row r="1357">
      <c r="A1357" s="11"/>
      <c r="B1357" s="11"/>
      <c r="C1357" s="20"/>
      <c r="D1357" s="20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5"/>
      <c r="U1357" s="15"/>
      <c r="V1357" s="15"/>
      <c r="W1357" s="15"/>
    </row>
    <row r="1358">
      <c r="A1358" s="11"/>
      <c r="B1358" s="11"/>
      <c r="C1358" s="20"/>
      <c r="D1358" s="20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5"/>
      <c r="U1358" s="15"/>
      <c r="V1358" s="15"/>
      <c r="W1358" s="15"/>
    </row>
    <row r="1359">
      <c r="A1359" s="11"/>
      <c r="B1359" s="11"/>
      <c r="C1359" s="20"/>
      <c r="D1359" s="20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5"/>
      <c r="U1359" s="15"/>
      <c r="V1359" s="15"/>
      <c r="W1359" s="15"/>
    </row>
    <row r="1360">
      <c r="A1360" s="11"/>
      <c r="B1360" s="11"/>
      <c r="C1360" s="20"/>
      <c r="D1360" s="20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5"/>
      <c r="U1360" s="15"/>
      <c r="V1360" s="15"/>
      <c r="W1360" s="15"/>
    </row>
    <row r="1361">
      <c r="A1361" s="11"/>
      <c r="B1361" s="11"/>
      <c r="C1361" s="20"/>
      <c r="D1361" s="20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5"/>
      <c r="U1361" s="15"/>
      <c r="V1361" s="15"/>
      <c r="W1361" s="15"/>
    </row>
    <row r="1362">
      <c r="A1362" s="11"/>
      <c r="B1362" s="11"/>
      <c r="C1362" s="20"/>
      <c r="D1362" s="20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5"/>
      <c r="U1362" s="15"/>
      <c r="V1362" s="15"/>
      <c r="W1362" s="15"/>
    </row>
    <row r="1363">
      <c r="A1363" s="11"/>
      <c r="B1363" s="11"/>
      <c r="C1363" s="20"/>
      <c r="D1363" s="20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5"/>
      <c r="U1363" s="15"/>
      <c r="V1363" s="15"/>
      <c r="W1363" s="15"/>
    </row>
    <row r="1364">
      <c r="A1364" s="11"/>
      <c r="B1364" s="11"/>
      <c r="C1364" s="20"/>
      <c r="D1364" s="20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5"/>
      <c r="U1364" s="15"/>
      <c r="V1364" s="15"/>
      <c r="W1364" s="15"/>
    </row>
    <row r="1365">
      <c r="A1365" s="11"/>
      <c r="B1365" s="11"/>
      <c r="C1365" s="20"/>
      <c r="D1365" s="20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5"/>
      <c r="U1365" s="15"/>
      <c r="V1365" s="15"/>
      <c r="W1365" s="15"/>
    </row>
    <row r="1366">
      <c r="A1366" s="11"/>
      <c r="B1366" s="11"/>
      <c r="C1366" s="20"/>
      <c r="D1366" s="20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5"/>
      <c r="U1366" s="15"/>
      <c r="V1366" s="15"/>
      <c r="W1366" s="15"/>
    </row>
    <row r="1367">
      <c r="A1367" s="11"/>
      <c r="B1367" s="11"/>
      <c r="C1367" s="20"/>
      <c r="D1367" s="20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5"/>
      <c r="U1367" s="15"/>
      <c r="V1367" s="15"/>
      <c r="W1367" s="15"/>
    </row>
    <row r="1368">
      <c r="A1368" s="11"/>
      <c r="B1368" s="11"/>
      <c r="C1368" s="20"/>
      <c r="D1368" s="20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5"/>
      <c r="U1368" s="15"/>
      <c r="V1368" s="15"/>
      <c r="W1368" s="15"/>
    </row>
    <row r="1369">
      <c r="A1369" s="11"/>
      <c r="B1369" s="11"/>
      <c r="C1369" s="20"/>
      <c r="D1369" s="20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5"/>
      <c r="U1369" s="15"/>
      <c r="V1369" s="15"/>
      <c r="W1369" s="15"/>
    </row>
    <row r="1370">
      <c r="A1370" s="11"/>
      <c r="B1370" s="11"/>
      <c r="C1370" s="20"/>
      <c r="D1370" s="20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5"/>
      <c r="U1370" s="15"/>
      <c r="V1370" s="15"/>
      <c r="W1370" s="15"/>
    </row>
    <row r="1371">
      <c r="A1371" s="11"/>
      <c r="B1371" s="11"/>
      <c r="C1371" s="20"/>
      <c r="D1371" s="20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5"/>
      <c r="U1371" s="15"/>
      <c r="V1371" s="15"/>
      <c r="W1371" s="15"/>
    </row>
    <row r="1372">
      <c r="A1372" s="11"/>
      <c r="B1372" s="11"/>
      <c r="C1372" s="20"/>
      <c r="D1372" s="20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5"/>
      <c r="U1372" s="15"/>
      <c r="V1372" s="15"/>
      <c r="W1372" s="15"/>
    </row>
    <row r="1373">
      <c r="A1373" s="11"/>
      <c r="B1373" s="11"/>
      <c r="C1373" s="20"/>
      <c r="D1373" s="20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5"/>
      <c r="U1373" s="15"/>
      <c r="V1373" s="15"/>
      <c r="W1373" s="15"/>
    </row>
    <row r="1374">
      <c r="A1374" s="11"/>
      <c r="B1374" s="11"/>
      <c r="C1374" s="20"/>
      <c r="D1374" s="20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5"/>
      <c r="U1374" s="15"/>
      <c r="V1374" s="15"/>
      <c r="W1374" s="15"/>
    </row>
    <row r="1375">
      <c r="A1375" s="11"/>
      <c r="B1375" s="11"/>
      <c r="C1375" s="20"/>
      <c r="D1375" s="20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5"/>
      <c r="U1375" s="15"/>
      <c r="V1375" s="15"/>
      <c r="W1375" s="15"/>
    </row>
    <row r="1376">
      <c r="A1376" s="11"/>
      <c r="B1376" s="11"/>
      <c r="C1376" s="20"/>
      <c r="D1376" s="20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5"/>
      <c r="U1376" s="15"/>
      <c r="V1376" s="15"/>
      <c r="W1376" s="15"/>
    </row>
    <row r="1377">
      <c r="A1377" s="11"/>
      <c r="B1377" s="11"/>
      <c r="C1377" s="20"/>
      <c r="D1377" s="20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5"/>
      <c r="U1377" s="15"/>
      <c r="V1377" s="15"/>
      <c r="W1377" s="15"/>
    </row>
    <row r="1378">
      <c r="A1378" s="11"/>
      <c r="B1378" s="11"/>
      <c r="C1378" s="20"/>
      <c r="D1378" s="20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5"/>
      <c r="U1378" s="15"/>
      <c r="V1378" s="15"/>
      <c r="W1378" s="15"/>
    </row>
    <row r="1379">
      <c r="A1379" s="11"/>
      <c r="B1379" s="11"/>
      <c r="C1379" s="20"/>
      <c r="D1379" s="20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5"/>
      <c r="U1379" s="15"/>
      <c r="V1379" s="15"/>
      <c r="W1379" s="15"/>
    </row>
    <row r="1380">
      <c r="A1380" s="11"/>
      <c r="B1380" s="11"/>
      <c r="C1380" s="20"/>
      <c r="D1380" s="20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5"/>
      <c r="U1380" s="15"/>
      <c r="V1380" s="15"/>
      <c r="W1380" s="15"/>
    </row>
    <row r="1381">
      <c r="A1381" s="11"/>
      <c r="B1381" s="11"/>
      <c r="C1381" s="20"/>
      <c r="D1381" s="20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5"/>
      <c r="U1381" s="15"/>
      <c r="V1381" s="15"/>
      <c r="W1381" s="15"/>
    </row>
    <row r="1382">
      <c r="A1382" s="11"/>
      <c r="B1382" s="11"/>
      <c r="C1382" s="20"/>
      <c r="D1382" s="20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5"/>
      <c r="U1382" s="15"/>
      <c r="V1382" s="15"/>
      <c r="W1382" s="15"/>
    </row>
    <row r="1383">
      <c r="A1383" s="11"/>
      <c r="B1383" s="11"/>
      <c r="C1383" s="20"/>
      <c r="D1383" s="20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5"/>
      <c r="U1383" s="15"/>
      <c r="V1383" s="15"/>
      <c r="W1383" s="15"/>
    </row>
    <row r="1384">
      <c r="A1384" s="11"/>
      <c r="B1384" s="11"/>
      <c r="C1384" s="20"/>
      <c r="D1384" s="20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5"/>
      <c r="U1384" s="15"/>
      <c r="V1384" s="15"/>
      <c r="W1384" s="15"/>
    </row>
    <row r="1385">
      <c r="A1385" s="11"/>
      <c r="B1385" s="11"/>
      <c r="C1385" s="20"/>
      <c r="D1385" s="20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5"/>
      <c r="U1385" s="15"/>
      <c r="V1385" s="15"/>
      <c r="W1385" s="15"/>
    </row>
    <row r="1386">
      <c r="A1386" s="11"/>
      <c r="B1386" s="11"/>
      <c r="C1386" s="20"/>
      <c r="D1386" s="20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5"/>
      <c r="U1386" s="15"/>
      <c r="V1386" s="15"/>
      <c r="W1386" s="15"/>
    </row>
    <row r="1387">
      <c r="A1387" s="11"/>
      <c r="B1387" s="11"/>
      <c r="C1387" s="20"/>
      <c r="D1387" s="20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5"/>
      <c r="U1387" s="15"/>
      <c r="V1387" s="15"/>
      <c r="W1387" s="15"/>
    </row>
    <row r="1388">
      <c r="A1388" s="11"/>
      <c r="B1388" s="11"/>
      <c r="C1388" s="20"/>
      <c r="D1388" s="20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5"/>
      <c r="U1388" s="15"/>
      <c r="V1388" s="15"/>
      <c r="W1388" s="15"/>
    </row>
    <row r="1389">
      <c r="A1389" s="11"/>
      <c r="B1389" s="11"/>
      <c r="C1389" s="20"/>
      <c r="D1389" s="20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5"/>
      <c r="U1389" s="15"/>
      <c r="V1389" s="15"/>
      <c r="W1389" s="15"/>
    </row>
    <row r="1390">
      <c r="A1390" s="11"/>
      <c r="B1390" s="11"/>
      <c r="C1390" s="20"/>
      <c r="D1390" s="20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5"/>
      <c r="U1390" s="15"/>
      <c r="V1390" s="15"/>
      <c r="W1390" s="15"/>
    </row>
    <row r="1391">
      <c r="A1391" s="11"/>
      <c r="B1391" s="11"/>
      <c r="C1391" s="20"/>
      <c r="D1391" s="20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5"/>
      <c r="U1391" s="15"/>
      <c r="V1391" s="15"/>
      <c r="W1391" s="15"/>
    </row>
    <row r="1392">
      <c r="A1392" s="11"/>
      <c r="B1392" s="11"/>
      <c r="C1392" s="20"/>
      <c r="D1392" s="20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5"/>
      <c r="U1392" s="15"/>
      <c r="V1392" s="15"/>
      <c r="W1392" s="15"/>
    </row>
    <row r="1393">
      <c r="A1393" s="11"/>
      <c r="B1393" s="11"/>
      <c r="C1393" s="20"/>
      <c r="D1393" s="20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5"/>
      <c r="U1393" s="15"/>
      <c r="V1393" s="15"/>
      <c r="W1393" s="15"/>
    </row>
    <row r="1394">
      <c r="A1394" s="11"/>
      <c r="B1394" s="11"/>
      <c r="C1394" s="20"/>
      <c r="D1394" s="20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5"/>
      <c r="U1394" s="15"/>
      <c r="V1394" s="15"/>
      <c r="W1394" s="15"/>
    </row>
    <row r="1395">
      <c r="A1395" s="11"/>
      <c r="B1395" s="11"/>
      <c r="C1395" s="20"/>
      <c r="D1395" s="20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5"/>
      <c r="U1395" s="15"/>
      <c r="V1395" s="15"/>
      <c r="W1395" s="15"/>
    </row>
    <row r="1396">
      <c r="A1396" s="11"/>
      <c r="B1396" s="11"/>
      <c r="C1396" s="20"/>
      <c r="D1396" s="20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5"/>
      <c r="U1396" s="15"/>
      <c r="V1396" s="15"/>
      <c r="W1396" s="15"/>
    </row>
    <row r="1397">
      <c r="A1397" s="11"/>
      <c r="B1397" s="11"/>
      <c r="C1397" s="20"/>
      <c r="D1397" s="20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5"/>
      <c r="U1397" s="15"/>
      <c r="V1397" s="15"/>
      <c r="W1397" s="15"/>
    </row>
    <row r="1398">
      <c r="A1398" s="11"/>
      <c r="B1398" s="11"/>
      <c r="C1398" s="20"/>
      <c r="D1398" s="20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5"/>
      <c r="U1398" s="15"/>
      <c r="V1398" s="15"/>
      <c r="W1398" s="15"/>
    </row>
    <row r="1399">
      <c r="A1399" s="11"/>
      <c r="B1399" s="11"/>
      <c r="C1399" s="20"/>
      <c r="D1399" s="20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5"/>
      <c r="U1399" s="15"/>
      <c r="V1399" s="15"/>
      <c r="W1399" s="15"/>
    </row>
    <row r="1400">
      <c r="A1400" s="11"/>
      <c r="B1400" s="11"/>
      <c r="C1400" s="20"/>
      <c r="D1400" s="20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5"/>
      <c r="U1400" s="15"/>
      <c r="V1400" s="15"/>
      <c r="W1400" s="15"/>
    </row>
    <row r="1401">
      <c r="A1401" s="11"/>
      <c r="B1401" s="11"/>
      <c r="C1401" s="20"/>
      <c r="D1401" s="20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5"/>
      <c r="U1401" s="15"/>
      <c r="V1401" s="15"/>
      <c r="W1401" s="15"/>
    </row>
    <row r="1402">
      <c r="A1402" s="11"/>
      <c r="B1402" s="11"/>
      <c r="C1402" s="20"/>
      <c r="D1402" s="20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5"/>
      <c r="U1402" s="15"/>
      <c r="V1402" s="15"/>
      <c r="W1402" s="15"/>
    </row>
    <row r="1403">
      <c r="A1403" s="11"/>
      <c r="B1403" s="11"/>
      <c r="C1403" s="20"/>
      <c r="D1403" s="20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5"/>
      <c r="U1403" s="15"/>
      <c r="V1403" s="15"/>
      <c r="W1403" s="15"/>
    </row>
    <row r="1404">
      <c r="A1404" s="11"/>
      <c r="B1404" s="11"/>
      <c r="C1404" s="20"/>
      <c r="D1404" s="20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5"/>
      <c r="U1404" s="15"/>
      <c r="V1404" s="15"/>
      <c r="W1404" s="15"/>
    </row>
    <row r="1405">
      <c r="A1405" s="11"/>
      <c r="B1405" s="11"/>
      <c r="C1405" s="20"/>
      <c r="D1405" s="20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5"/>
      <c r="U1405" s="15"/>
      <c r="V1405" s="15"/>
      <c r="W1405" s="15"/>
    </row>
    <row r="1406">
      <c r="A1406" s="11"/>
      <c r="B1406" s="11"/>
      <c r="C1406" s="20"/>
      <c r="D1406" s="20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5"/>
      <c r="U1406" s="15"/>
      <c r="V1406" s="15"/>
      <c r="W1406" s="15"/>
    </row>
    <row r="1407">
      <c r="A1407" s="11"/>
      <c r="B1407" s="11"/>
      <c r="C1407" s="20"/>
      <c r="D1407" s="20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5"/>
      <c r="U1407" s="15"/>
      <c r="V1407" s="15"/>
      <c r="W1407" s="15"/>
    </row>
    <row r="1408">
      <c r="A1408" s="11"/>
      <c r="B1408" s="11"/>
      <c r="C1408" s="20"/>
      <c r="D1408" s="20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5"/>
      <c r="U1408" s="15"/>
      <c r="V1408" s="15"/>
      <c r="W1408" s="15"/>
    </row>
    <row r="1409">
      <c r="A1409" s="11"/>
      <c r="B1409" s="11"/>
      <c r="C1409" s="20"/>
      <c r="D1409" s="20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5"/>
      <c r="U1409" s="15"/>
      <c r="V1409" s="15"/>
      <c r="W1409" s="15"/>
    </row>
    <row r="1410">
      <c r="A1410" s="11"/>
      <c r="B1410" s="11"/>
      <c r="C1410" s="20"/>
      <c r="D1410" s="20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5"/>
      <c r="U1410" s="15"/>
      <c r="V1410" s="15"/>
      <c r="W1410" s="15"/>
    </row>
    <row r="1411">
      <c r="A1411" s="11"/>
      <c r="B1411" s="11"/>
      <c r="C1411" s="20"/>
      <c r="D1411" s="20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5"/>
      <c r="U1411" s="15"/>
      <c r="V1411" s="15"/>
      <c r="W1411" s="15"/>
    </row>
    <row r="1412">
      <c r="A1412" s="11"/>
      <c r="B1412" s="11"/>
      <c r="C1412" s="20"/>
      <c r="D1412" s="20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5"/>
      <c r="U1412" s="15"/>
      <c r="V1412" s="15"/>
      <c r="W1412" s="15"/>
    </row>
    <row r="1413">
      <c r="A1413" s="11"/>
      <c r="B1413" s="11"/>
      <c r="C1413" s="20"/>
      <c r="D1413" s="20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5"/>
      <c r="U1413" s="15"/>
      <c r="V1413" s="15"/>
      <c r="W1413" s="15"/>
    </row>
    <row r="1414">
      <c r="A1414" s="11"/>
      <c r="B1414" s="11"/>
      <c r="C1414" s="20"/>
      <c r="D1414" s="20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5"/>
      <c r="U1414" s="15"/>
      <c r="V1414" s="15"/>
      <c r="W1414" s="15"/>
    </row>
    <row r="1415">
      <c r="A1415" s="11"/>
      <c r="B1415" s="11"/>
      <c r="C1415" s="20"/>
      <c r="D1415" s="20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5"/>
      <c r="U1415" s="15"/>
      <c r="V1415" s="15"/>
      <c r="W1415" s="15"/>
    </row>
    <row r="1416">
      <c r="A1416" s="11"/>
      <c r="B1416" s="11"/>
      <c r="C1416" s="20"/>
      <c r="D1416" s="20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5"/>
      <c r="U1416" s="15"/>
      <c r="V1416" s="15"/>
      <c r="W1416" s="15"/>
    </row>
    <row r="1417">
      <c r="A1417" s="11"/>
      <c r="B1417" s="11"/>
      <c r="C1417" s="20"/>
      <c r="D1417" s="20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5"/>
      <c r="U1417" s="15"/>
      <c r="V1417" s="15"/>
      <c r="W1417" s="15"/>
    </row>
    <row r="1418">
      <c r="A1418" s="11"/>
      <c r="B1418" s="11"/>
      <c r="C1418" s="20"/>
      <c r="D1418" s="20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5"/>
      <c r="U1418" s="15"/>
      <c r="V1418" s="15"/>
      <c r="W1418" s="15"/>
    </row>
    <row r="1419">
      <c r="A1419" s="11"/>
      <c r="B1419" s="11"/>
      <c r="C1419" s="20"/>
      <c r="D1419" s="20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5"/>
      <c r="U1419" s="15"/>
      <c r="V1419" s="15"/>
      <c r="W1419" s="15"/>
    </row>
    <row r="1420">
      <c r="A1420" s="11"/>
      <c r="B1420" s="11"/>
      <c r="C1420" s="20"/>
      <c r="D1420" s="20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5"/>
      <c r="U1420" s="15"/>
      <c r="V1420" s="15"/>
      <c r="W1420" s="15"/>
    </row>
    <row r="1421">
      <c r="A1421" s="11"/>
      <c r="B1421" s="11"/>
      <c r="C1421" s="20"/>
      <c r="D1421" s="20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5"/>
      <c r="U1421" s="15"/>
      <c r="V1421" s="15"/>
      <c r="W1421" s="15"/>
    </row>
    <row r="1422">
      <c r="A1422" s="11"/>
      <c r="B1422" s="11"/>
      <c r="C1422" s="20"/>
      <c r="D1422" s="20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5"/>
      <c r="U1422" s="15"/>
      <c r="V1422" s="15"/>
      <c r="W1422" s="15"/>
    </row>
    <row r="1423">
      <c r="A1423" s="11"/>
      <c r="B1423" s="11"/>
      <c r="C1423" s="20"/>
      <c r="D1423" s="20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5"/>
      <c r="U1423" s="15"/>
      <c r="V1423" s="15"/>
      <c r="W1423" s="15"/>
    </row>
    <row r="1424">
      <c r="A1424" s="11"/>
      <c r="B1424" s="11"/>
      <c r="C1424" s="20"/>
      <c r="D1424" s="20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5"/>
      <c r="U1424" s="15"/>
      <c r="V1424" s="15"/>
      <c r="W1424" s="15"/>
    </row>
    <row r="1425">
      <c r="A1425" s="11"/>
      <c r="B1425" s="11"/>
      <c r="C1425" s="20"/>
      <c r="D1425" s="20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5"/>
      <c r="U1425" s="15"/>
      <c r="V1425" s="15"/>
      <c r="W1425" s="15"/>
    </row>
    <row r="1426">
      <c r="A1426" s="11"/>
      <c r="B1426" s="11"/>
      <c r="C1426" s="20"/>
      <c r="D1426" s="20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5"/>
      <c r="U1426" s="15"/>
      <c r="V1426" s="15"/>
      <c r="W1426" s="15"/>
    </row>
    <row r="1427">
      <c r="A1427" s="11"/>
      <c r="B1427" s="11"/>
      <c r="C1427" s="20"/>
      <c r="D1427" s="20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5"/>
      <c r="U1427" s="15"/>
      <c r="V1427" s="15"/>
      <c r="W1427" s="15"/>
    </row>
    <row r="1428">
      <c r="A1428" s="11"/>
      <c r="B1428" s="11"/>
      <c r="C1428" s="20"/>
      <c r="D1428" s="20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5"/>
      <c r="U1428" s="15"/>
      <c r="V1428" s="15"/>
      <c r="W1428" s="15"/>
    </row>
    <row r="1429">
      <c r="A1429" s="11"/>
      <c r="B1429" s="11"/>
      <c r="C1429" s="20"/>
      <c r="D1429" s="20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5"/>
      <c r="U1429" s="15"/>
      <c r="V1429" s="15"/>
      <c r="W1429" s="15"/>
    </row>
    <row r="1430">
      <c r="A1430" s="11"/>
      <c r="B1430" s="11"/>
      <c r="C1430" s="20"/>
      <c r="D1430" s="20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5"/>
      <c r="U1430" s="15"/>
      <c r="V1430" s="15"/>
      <c r="W1430" s="15"/>
    </row>
    <row r="1431">
      <c r="A1431" s="11"/>
      <c r="B1431" s="11"/>
      <c r="C1431" s="20"/>
      <c r="D1431" s="20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5"/>
      <c r="U1431" s="15"/>
      <c r="V1431" s="15"/>
      <c r="W1431" s="15"/>
    </row>
    <row r="1432">
      <c r="A1432" s="11"/>
      <c r="B1432" s="11"/>
      <c r="C1432" s="20"/>
      <c r="D1432" s="20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5"/>
      <c r="U1432" s="15"/>
      <c r="V1432" s="15"/>
      <c r="W1432" s="15"/>
    </row>
    <row r="1433">
      <c r="A1433" s="11"/>
      <c r="B1433" s="11"/>
      <c r="C1433" s="20"/>
      <c r="D1433" s="20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5"/>
      <c r="U1433" s="15"/>
      <c r="V1433" s="15"/>
      <c r="W1433" s="15"/>
    </row>
    <row r="1434">
      <c r="A1434" s="11"/>
      <c r="B1434" s="11"/>
      <c r="C1434" s="20"/>
      <c r="D1434" s="20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5"/>
      <c r="U1434" s="15"/>
      <c r="V1434" s="15"/>
      <c r="W1434" s="15"/>
    </row>
    <row r="1435">
      <c r="A1435" s="11"/>
      <c r="B1435" s="11"/>
      <c r="C1435" s="20"/>
      <c r="D1435" s="20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5"/>
      <c r="U1435" s="15"/>
      <c r="V1435" s="15"/>
      <c r="W1435" s="15"/>
    </row>
    <row r="1436">
      <c r="A1436" s="11"/>
      <c r="B1436" s="11"/>
      <c r="C1436" s="20"/>
      <c r="D1436" s="20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5"/>
      <c r="U1436" s="15"/>
      <c r="V1436" s="15"/>
      <c r="W1436" s="15"/>
    </row>
    <row r="1437">
      <c r="A1437" s="11"/>
      <c r="B1437" s="11"/>
      <c r="C1437" s="20"/>
      <c r="D1437" s="20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5"/>
      <c r="U1437" s="15"/>
      <c r="V1437" s="15"/>
      <c r="W1437" s="15"/>
    </row>
    <row r="1438">
      <c r="A1438" s="11"/>
      <c r="B1438" s="11"/>
      <c r="C1438" s="20"/>
      <c r="D1438" s="20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5"/>
      <c r="U1438" s="15"/>
      <c r="V1438" s="15"/>
      <c r="W1438" s="15"/>
    </row>
    <row r="1439">
      <c r="A1439" s="11"/>
      <c r="B1439" s="11"/>
      <c r="C1439" s="20"/>
      <c r="D1439" s="20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5"/>
      <c r="U1439" s="15"/>
      <c r="V1439" s="15"/>
      <c r="W1439" s="15"/>
    </row>
    <row r="1440">
      <c r="A1440" s="11"/>
      <c r="B1440" s="11"/>
      <c r="C1440" s="20"/>
      <c r="D1440" s="20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5"/>
      <c r="U1440" s="15"/>
      <c r="V1440" s="15"/>
      <c r="W1440" s="15"/>
    </row>
    <row r="1441">
      <c r="A1441" s="11"/>
      <c r="B1441" s="11"/>
      <c r="C1441" s="20"/>
      <c r="D1441" s="20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5"/>
      <c r="U1441" s="15"/>
      <c r="V1441" s="15"/>
      <c r="W1441" s="15"/>
    </row>
    <row r="1442">
      <c r="A1442" s="11"/>
      <c r="B1442" s="11"/>
      <c r="C1442" s="20"/>
      <c r="D1442" s="20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5"/>
      <c r="U1442" s="15"/>
      <c r="V1442" s="15"/>
      <c r="W1442" s="15"/>
    </row>
    <row r="1443">
      <c r="A1443" s="11"/>
      <c r="B1443" s="11"/>
      <c r="C1443" s="20"/>
      <c r="D1443" s="20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5"/>
      <c r="U1443" s="15"/>
      <c r="V1443" s="15"/>
      <c r="W1443" s="15"/>
    </row>
    <row r="1444">
      <c r="A1444" s="11"/>
      <c r="B1444" s="11"/>
      <c r="C1444" s="20"/>
      <c r="D1444" s="20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5"/>
      <c r="U1444" s="15"/>
      <c r="V1444" s="15"/>
      <c r="W1444" s="15"/>
    </row>
    <row r="1445">
      <c r="A1445" s="11"/>
      <c r="B1445" s="11"/>
      <c r="C1445" s="20"/>
      <c r="D1445" s="20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5"/>
      <c r="U1445" s="15"/>
      <c r="V1445" s="15"/>
      <c r="W1445" s="15"/>
    </row>
    <row r="1446">
      <c r="A1446" s="11"/>
      <c r="B1446" s="11"/>
      <c r="C1446" s="20"/>
      <c r="D1446" s="20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5"/>
      <c r="U1446" s="15"/>
      <c r="V1446" s="15"/>
      <c r="W1446" s="15"/>
    </row>
    <row r="1447">
      <c r="A1447" s="11"/>
      <c r="B1447" s="11"/>
      <c r="C1447" s="20"/>
      <c r="D1447" s="20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5"/>
      <c r="U1447" s="15"/>
      <c r="V1447" s="15"/>
      <c r="W1447" s="15"/>
    </row>
    <row r="1448">
      <c r="A1448" s="11"/>
      <c r="B1448" s="11"/>
      <c r="C1448" s="20"/>
      <c r="D1448" s="20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5"/>
      <c r="U1448" s="15"/>
      <c r="V1448" s="15"/>
      <c r="W1448" s="15"/>
    </row>
    <row r="1449">
      <c r="A1449" s="11"/>
      <c r="B1449" s="11"/>
      <c r="C1449" s="20"/>
      <c r="D1449" s="20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5"/>
      <c r="U1449" s="15"/>
      <c r="V1449" s="15"/>
      <c r="W1449" s="15"/>
    </row>
    <row r="1450">
      <c r="A1450" s="11"/>
      <c r="B1450" s="11"/>
      <c r="C1450" s="20"/>
      <c r="D1450" s="20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5"/>
      <c r="U1450" s="15"/>
      <c r="V1450" s="15"/>
      <c r="W1450" s="15"/>
    </row>
    <row r="1451">
      <c r="A1451" s="11"/>
      <c r="B1451" s="11"/>
      <c r="C1451" s="20"/>
      <c r="D1451" s="20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5"/>
      <c r="U1451" s="15"/>
      <c r="V1451" s="15"/>
      <c r="W1451" s="15"/>
    </row>
    <row r="1452">
      <c r="A1452" s="11"/>
      <c r="B1452" s="11"/>
      <c r="C1452" s="20"/>
      <c r="D1452" s="20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5"/>
      <c r="U1452" s="15"/>
      <c r="V1452" s="15"/>
      <c r="W1452" s="15"/>
    </row>
    <row r="1453">
      <c r="A1453" s="11"/>
      <c r="B1453" s="11"/>
      <c r="C1453" s="20"/>
      <c r="D1453" s="20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5"/>
      <c r="U1453" s="15"/>
      <c r="V1453" s="15"/>
      <c r="W1453" s="15"/>
    </row>
    <row r="1454">
      <c r="A1454" s="11"/>
      <c r="B1454" s="11"/>
      <c r="C1454" s="20"/>
      <c r="D1454" s="20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5"/>
      <c r="U1454" s="15"/>
      <c r="V1454" s="15"/>
      <c r="W1454" s="15"/>
    </row>
    <row r="1455">
      <c r="A1455" s="11"/>
      <c r="B1455" s="11"/>
      <c r="C1455" s="20"/>
      <c r="D1455" s="20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5"/>
      <c r="U1455" s="15"/>
      <c r="V1455" s="15"/>
      <c r="W1455" s="15"/>
    </row>
    <row r="1456">
      <c r="A1456" s="11"/>
      <c r="B1456" s="11"/>
      <c r="C1456" s="20"/>
      <c r="D1456" s="20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5"/>
      <c r="U1456" s="15"/>
      <c r="V1456" s="15"/>
      <c r="W1456" s="15"/>
    </row>
    <row r="1457">
      <c r="A1457" s="11"/>
      <c r="B1457" s="11"/>
      <c r="C1457" s="20"/>
      <c r="D1457" s="20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5"/>
      <c r="U1457" s="15"/>
      <c r="V1457" s="15"/>
      <c r="W1457" s="15"/>
    </row>
    <row r="1458">
      <c r="A1458" s="11"/>
      <c r="B1458" s="11"/>
      <c r="C1458" s="20"/>
      <c r="D1458" s="20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5"/>
      <c r="U1458" s="15"/>
      <c r="V1458" s="15"/>
      <c r="W1458" s="15"/>
    </row>
    <row r="1459">
      <c r="A1459" s="11"/>
      <c r="B1459" s="11"/>
      <c r="C1459" s="20"/>
      <c r="D1459" s="20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5"/>
      <c r="U1459" s="15"/>
      <c r="V1459" s="15"/>
      <c r="W1459" s="15"/>
    </row>
    <row r="1460">
      <c r="A1460" s="11"/>
      <c r="B1460" s="11"/>
      <c r="C1460" s="20"/>
      <c r="D1460" s="20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5"/>
      <c r="U1460" s="15"/>
      <c r="V1460" s="15"/>
      <c r="W1460" s="15"/>
    </row>
    <row r="1461">
      <c r="A1461" s="11"/>
      <c r="B1461" s="11"/>
      <c r="C1461" s="20"/>
      <c r="D1461" s="20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5"/>
      <c r="U1461" s="15"/>
      <c r="V1461" s="15"/>
      <c r="W1461" s="15"/>
    </row>
    <row r="1462">
      <c r="A1462" s="11"/>
      <c r="B1462" s="11"/>
      <c r="C1462" s="20"/>
      <c r="D1462" s="20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5"/>
      <c r="U1462" s="15"/>
      <c r="V1462" s="15"/>
      <c r="W1462" s="15"/>
    </row>
    <row r="1463">
      <c r="A1463" s="11"/>
      <c r="B1463" s="11"/>
      <c r="C1463" s="20"/>
      <c r="D1463" s="20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5"/>
      <c r="U1463" s="15"/>
      <c r="V1463" s="15"/>
      <c r="W1463" s="15"/>
    </row>
    <row r="1464">
      <c r="A1464" s="11"/>
      <c r="B1464" s="11"/>
      <c r="C1464" s="20"/>
      <c r="D1464" s="20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5"/>
      <c r="U1464" s="15"/>
      <c r="V1464" s="15"/>
      <c r="W1464" s="15"/>
    </row>
    <row r="1465">
      <c r="A1465" s="11"/>
      <c r="B1465" s="11"/>
      <c r="C1465" s="20"/>
      <c r="D1465" s="20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5"/>
      <c r="U1465" s="15"/>
      <c r="V1465" s="15"/>
      <c r="W1465" s="15"/>
    </row>
    <row r="1466">
      <c r="A1466" s="11"/>
      <c r="B1466" s="11"/>
      <c r="C1466" s="20"/>
      <c r="D1466" s="20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5"/>
      <c r="U1466" s="15"/>
      <c r="V1466" s="15"/>
      <c r="W1466" s="15"/>
    </row>
    <row r="1467">
      <c r="A1467" s="11"/>
      <c r="B1467" s="11"/>
      <c r="C1467" s="20"/>
      <c r="D1467" s="20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5"/>
      <c r="U1467" s="15"/>
      <c r="V1467" s="15"/>
      <c r="W1467" s="15"/>
    </row>
    <row r="1468">
      <c r="A1468" s="11"/>
      <c r="B1468" s="11"/>
      <c r="C1468" s="20"/>
      <c r="D1468" s="20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5"/>
      <c r="U1468" s="15"/>
      <c r="V1468" s="15"/>
      <c r="W1468" s="15"/>
    </row>
    <row r="1469">
      <c r="A1469" s="11"/>
      <c r="B1469" s="11"/>
      <c r="C1469" s="20"/>
      <c r="D1469" s="20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5"/>
      <c r="U1469" s="15"/>
      <c r="V1469" s="15"/>
      <c r="W1469" s="15"/>
    </row>
    <row r="1470">
      <c r="A1470" s="11"/>
      <c r="B1470" s="11"/>
      <c r="C1470" s="20"/>
      <c r="D1470" s="20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5"/>
      <c r="U1470" s="15"/>
      <c r="V1470" s="15"/>
      <c r="W1470" s="15"/>
    </row>
    <row r="1471">
      <c r="A1471" s="11"/>
      <c r="B1471" s="11"/>
      <c r="C1471" s="20"/>
      <c r="D1471" s="20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5"/>
      <c r="U1471" s="15"/>
      <c r="V1471" s="15"/>
      <c r="W1471" s="15"/>
    </row>
    <row r="1472">
      <c r="A1472" s="11"/>
      <c r="B1472" s="11"/>
      <c r="C1472" s="20"/>
      <c r="D1472" s="20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5"/>
      <c r="U1472" s="15"/>
      <c r="V1472" s="15"/>
      <c r="W1472" s="15"/>
    </row>
    <row r="1473">
      <c r="A1473" s="11"/>
      <c r="B1473" s="11"/>
      <c r="C1473" s="20"/>
      <c r="D1473" s="20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5"/>
      <c r="U1473" s="15"/>
      <c r="V1473" s="15"/>
      <c r="W1473" s="15"/>
    </row>
    <row r="1474">
      <c r="A1474" s="11"/>
      <c r="B1474" s="11"/>
      <c r="C1474" s="20"/>
      <c r="D1474" s="20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5"/>
      <c r="U1474" s="15"/>
      <c r="V1474" s="15"/>
      <c r="W1474" s="15"/>
    </row>
    <row r="1475">
      <c r="A1475" s="11"/>
      <c r="B1475" s="11"/>
      <c r="C1475" s="20"/>
      <c r="D1475" s="20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5"/>
      <c r="U1475" s="15"/>
      <c r="V1475" s="15"/>
      <c r="W1475" s="15"/>
    </row>
    <row r="1476">
      <c r="A1476" s="11"/>
      <c r="B1476" s="11"/>
      <c r="C1476" s="20"/>
      <c r="D1476" s="20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5"/>
      <c r="U1476" s="15"/>
      <c r="V1476" s="15"/>
      <c r="W1476" s="15"/>
    </row>
    <row r="1477">
      <c r="A1477" s="11"/>
      <c r="B1477" s="11"/>
      <c r="C1477" s="20"/>
      <c r="D1477" s="20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5"/>
      <c r="U1477" s="15"/>
      <c r="V1477" s="15"/>
      <c r="W1477" s="15"/>
    </row>
    <row r="1478">
      <c r="A1478" s="11"/>
      <c r="B1478" s="11"/>
      <c r="C1478" s="20"/>
      <c r="D1478" s="20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5"/>
      <c r="U1478" s="15"/>
      <c r="V1478" s="15"/>
      <c r="W1478" s="15"/>
    </row>
    <row r="1479">
      <c r="A1479" s="11"/>
      <c r="B1479" s="11"/>
      <c r="C1479" s="20"/>
      <c r="D1479" s="20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5"/>
      <c r="U1479" s="15"/>
      <c r="V1479" s="15"/>
      <c r="W1479" s="15"/>
    </row>
    <row r="1480">
      <c r="A1480" s="11"/>
      <c r="B1480" s="11"/>
      <c r="C1480" s="20"/>
      <c r="D1480" s="20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5"/>
      <c r="U1480" s="15"/>
      <c r="V1480" s="15"/>
      <c r="W1480" s="15"/>
    </row>
    <row r="1481">
      <c r="A1481" s="11"/>
      <c r="B1481" s="11"/>
      <c r="C1481" s="20"/>
      <c r="D1481" s="20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5"/>
      <c r="U1481" s="15"/>
      <c r="V1481" s="15"/>
      <c r="W1481" s="15"/>
    </row>
    <row r="1482">
      <c r="A1482" s="11"/>
      <c r="B1482" s="11"/>
      <c r="C1482" s="20"/>
      <c r="D1482" s="20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5"/>
      <c r="U1482" s="15"/>
      <c r="V1482" s="15"/>
      <c r="W1482" s="15"/>
    </row>
    <row r="1483">
      <c r="A1483" s="11"/>
      <c r="B1483" s="11"/>
      <c r="C1483" s="20"/>
      <c r="D1483" s="20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5"/>
      <c r="U1483" s="15"/>
      <c r="V1483" s="15"/>
      <c r="W1483" s="15"/>
    </row>
    <row r="1484">
      <c r="A1484" s="11"/>
      <c r="B1484" s="11"/>
      <c r="C1484" s="20"/>
      <c r="D1484" s="20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5"/>
      <c r="U1484" s="15"/>
      <c r="V1484" s="15"/>
      <c r="W1484" s="15"/>
    </row>
    <row r="1485">
      <c r="A1485" s="11"/>
      <c r="B1485" s="11"/>
      <c r="C1485" s="20"/>
      <c r="D1485" s="20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5"/>
      <c r="U1485" s="15"/>
      <c r="V1485" s="15"/>
      <c r="W1485" s="15"/>
    </row>
    <row r="1486">
      <c r="A1486" s="11"/>
      <c r="B1486" s="11"/>
      <c r="C1486" s="20"/>
      <c r="D1486" s="20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5"/>
      <c r="U1486" s="15"/>
      <c r="V1486" s="15"/>
      <c r="W1486" s="15"/>
    </row>
    <row r="1487">
      <c r="A1487" s="11"/>
      <c r="B1487" s="11"/>
      <c r="C1487" s="20"/>
      <c r="D1487" s="20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5"/>
      <c r="U1487" s="15"/>
      <c r="V1487" s="15"/>
      <c r="W1487" s="15"/>
    </row>
    <row r="1488">
      <c r="A1488" s="11"/>
      <c r="B1488" s="11"/>
      <c r="C1488" s="20"/>
      <c r="D1488" s="20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5"/>
      <c r="U1488" s="15"/>
      <c r="V1488" s="15"/>
      <c r="W1488" s="15"/>
    </row>
    <row r="1489">
      <c r="A1489" s="11"/>
      <c r="B1489" s="11"/>
      <c r="C1489" s="20"/>
      <c r="D1489" s="20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5"/>
      <c r="U1489" s="15"/>
      <c r="V1489" s="15"/>
      <c r="W1489" s="15"/>
    </row>
    <row r="1490">
      <c r="A1490" s="11"/>
      <c r="B1490" s="11"/>
      <c r="C1490" s="20"/>
      <c r="D1490" s="20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5"/>
      <c r="U1490" s="15"/>
      <c r="V1490" s="15"/>
      <c r="W1490" s="15"/>
    </row>
    <row r="1491">
      <c r="A1491" s="11"/>
      <c r="B1491" s="11"/>
      <c r="C1491" s="20"/>
      <c r="D1491" s="20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5"/>
      <c r="U1491" s="15"/>
      <c r="V1491" s="15"/>
      <c r="W1491" s="15"/>
    </row>
    <row r="1492">
      <c r="A1492" s="11"/>
      <c r="B1492" s="11"/>
      <c r="C1492" s="20"/>
      <c r="D1492" s="20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5"/>
      <c r="U1492" s="15"/>
      <c r="V1492" s="15"/>
      <c r="W1492" s="15"/>
    </row>
    <row r="1493">
      <c r="A1493" s="11"/>
      <c r="B1493" s="11"/>
      <c r="C1493" s="20"/>
      <c r="D1493" s="20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5"/>
      <c r="U1493" s="15"/>
      <c r="V1493" s="15"/>
      <c r="W1493" s="15"/>
    </row>
    <row r="1494">
      <c r="A1494" s="11"/>
      <c r="B1494" s="11"/>
      <c r="C1494" s="20"/>
      <c r="D1494" s="20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5"/>
      <c r="U1494" s="15"/>
      <c r="V1494" s="15"/>
      <c r="W1494" s="15"/>
    </row>
    <row r="1495">
      <c r="A1495" s="11"/>
      <c r="B1495" s="11"/>
      <c r="C1495" s="20"/>
      <c r="D1495" s="20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5"/>
      <c r="U1495" s="15"/>
      <c r="V1495" s="15"/>
      <c r="W1495" s="15"/>
    </row>
    <row r="1496">
      <c r="A1496" s="11"/>
      <c r="B1496" s="11"/>
      <c r="C1496" s="20"/>
      <c r="D1496" s="20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5"/>
      <c r="U1496" s="15"/>
      <c r="V1496" s="15"/>
      <c r="W1496" s="15"/>
    </row>
    <row r="1497">
      <c r="A1497" s="11"/>
      <c r="B1497" s="11"/>
      <c r="C1497" s="20"/>
      <c r="D1497" s="20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5"/>
      <c r="U1497" s="15"/>
      <c r="V1497" s="15"/>
      <c r="W1497" s="15"/>
    </row>
    <row r="1498">
      <c r="A1498" s="11"/>
      <c r="B1498" s="11"/>
      <c r="C1498" s="20"/>
      <c r="D1498" s="20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5"/>
      <c r="U1498" s="15"/>
      <c r="V1498" s="15"/>
      <c r="W1498" s="15"/>
    </row>
    <row r="1499">
      <c r="A1499" s="11"/>
      <c r="B1499" s="11"/>
      <c r="C1499" s="20"/>
      <c r="D1499" s="20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5"/>
      <c r="U1499" s="15"/>
      <c r="V1499" s="15"/>
      <c r="W1499" s="15"/>
    </row>
    <row r="1500">
      <c r="A1500" s="11"/>
      <c r="B1500" s="11"/>
      <c r="C1500" s="20"/>
      <c r="D1500" s="20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5"/>
      <c r="U1500" s="15"/>
      <c r="V1500" s="15"/>
      <c r="W1500" s="15"/>
    </row>
    <row r="1501">
      <c r="A1501" s="11"/>
      <c r="B1501" s="11"/>
      <c r="C1501" s="20"/>
      <c r="D1501" s="20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5"/>
      <c r="U1501" s="15"/>
      <c r="V1501" s="15"/>
      <c r="W1501" s="15"/>
    </row>
    <row r="1502">
      <c r="A1502" s="11"/>
      <c r="B1502" s="11"/>
      <c r="C1502" s="20"/>
      <c r="D1502" s="20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5"/>
      <c r="U1502" s="15"/>
      <c r="V1502" s="15"/>
      <c r="W1502" s="15"/>
    </row>
    <row r="1503">
      <c r="A1503" s="11"/>
      <c r="B1503" s="11"/>
      <c r="C1503" s="20"/>
      <c r="D1503" s="20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5"/>
      <c r="U1503" s="15"/>
      <c r="V1503" s="15"/>
      <c r="W1503" s="15"/>
    </row>
    <row r="1504">
      <c r="A1504" s="11"/>
      <c r="B1504" s="11"/>
      <c r="C1504" s="20"/>
      <c r="D1504" s="20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5"/>
      <c r="U1504" s="15"/>
      <c r="V1504" s="15"/>
      <c r="W1504" s="15"/>
    </row>
    <row r="1505">
      <c r="A1505" s="11"/>
      <c r="B1505" s="11"/>
      <c r="C1505" s="20"/>
      <c r="D1505" s="20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5"/>
      <c r="U1505" s="15"/>
      <c r="V1505" s="15"/>
      <c r="W1505" s="15"/>
    </row>
    <row r="1506">
      <c r="A1506" s="11"/>
      <c r="B1506" s="11"/>
      <c r="C1506" s="20"/>
      <c r="D1506" s="20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5"/>
      <c r="U1506" s="15"/>
      <c r="V1506" s="15"/>
      <c r="W1506" s="15"/>
    </row>
    <row r="1507">
      <c r="A1507" s="11"/>
      <c r="B1507" s="11"/>
      <c r="C1507" s="20"/>
      <c r="D1507" s="20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5"/>
      <c r="U1507" s="15"/>
      <c r="V1507" s="15"/>
      <c r="W1507" s="15"/>
    </row>
    <row r="1508">
      <c r="A1508" s="11"/>
      <c r="B1508" s="11"/>
      <c r="C1508" s="20"/>
      <c r="D1508" s="20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5"/>
      <c r="U1508" s="15"/>
      <c r="V1508" s="15"/>
      <c r="W1508" s="15"/>
    </row>
    <row r="1509">
      <c r="A1509" s="11"/>
      <c r="B1509" s="11"/>
      <c r="C1509" s="20"/>
      <c r="D1509" s="20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5"/>
      <c r="U1509" s="15"/>
      <c r="V1509" s="15"/>
      <c r="W1509" s="15"/>
    </row>
    <row r="1510">
      <c r="A1510" s="11"/>
      <c r="B1510" s="11"/>
      <c r="C1510" s="20"/>
      <c r="D1510" s="20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5"/>
      <c r="U1510" s="15"/>
      <c r="V1510" s="15"/>
      <c r="W1510" s="15"/>
    </row>
    <row r="1511">
      <c r="A1511" s="11"/>
      <c r="B1511" s="11"/>
      <c r="C1511" s="20"/>
      <c r="D1511" s="20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5"/>
      <c r="U1511" s="15"/>
      <c r="V1511" s="15"/>
      <c r="W1511" s="15"/>
    </row>
    <row r="1512">
      <c r="A1512" s="11"/>
      <c r="B1512" s="11"/>
      <c r="C1512" s="20"/>
      <c r="D1512" s="20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5"/>
      <c r="U1512" s="15"/>
      <c r="V1512" s="15"/>
      <c r="W1512" s="15"/>
    </row>
    <row r="1513">
      <c r="A1513" s="11"/>
      <c r="B1513" s="11"/>
      <c r="C1513" s="20"/>
      <c r="D1513" s="20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5"/>
      <c r="U1513" s="15"/>
      <c r="V1513" s="15"/>
      <c r="W1513" s="15"/>
    </row>
    <row r="1514">
      <c r="A1514" s="11"/>
      <c r="B1514" s="11"/>
      <c r="C1514" s="20"/>
      <c r="D1514" s="20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5"/>
      <c r="U1514" s="15"/>
      <c r="V1514" s="15"/>
      <c r="W1514" s="15"/>
    </row>
    <row r="1515">
      <c r="A1515" s="11"/>
      <c r="B1515" s="11"/>
      <c r="C1515" s="20"/>
      <c r="D1515" s="20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5"/>
      <c r="U1515" s="15"/>
      <c r="V1515" s="15"/>
      <c r="W1515" s="15"/>
    </row>
    <row r="1516">
      <c r="A1516" s="11"/>
      <c r="B1516" s="11"/>
      <c r="C1516" s="20"/>
      <c r="D1516" s="20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5"/>
      <c r="U1516" s="15"/>
      <c r="V1516" s="15"/>
      <c r="W1516" s="15"/>
    </row>
    <row r="1517">
      <c r="A1517" s="11"/>
      <c r="B1517" s="11"/>
      <c r="C1517" s="20"/>
      <c r="D1517" s="20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5"/>
      <c r="U1517" s="15"/>
      <c r="V1517" s="15"/>
      <c r="W1517" s="15"/>
    </row>
    <row r="1518">
      <c r="A1518" s="11"/>
      <c r="B1518" s="11"/>
      <c r="C1518" s="20"/>
      <c r="D1518" s="20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5"/>
      <c r="U1518" s="15"/>
      <c r="V1518" s="15"/>
      <c r="W1518" s="15"/>
    </row>
    <row r="1519">
      <c r="A1519" s="11"/>
      <c r="B1519" s="11"/>
      <c r="C1519" s="20"/>
      <c r="D1519" s="20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5"/>
      <c r="U1519" s="15"/>
      <c r="V1519" s="15"/>
      <c r="W1519" s="15"/>
    </row>
    <row r="1520">
      <c r="A1520" s="11"/>
      <c r="B1520" s="11"/>
      <c r="C1520" s="20"/>
      <c r="D1520" s="20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5"/>
      <c r="U1520" s="15"/>
      <c r="V1520" s="15"/>
      <c r="W1520" s="15"/>
    </row>
    <row r="1521">
      <c r="A1521" s="11"/>
      <c r="B1521" s="11"/>
      <c r="C1521" s="20"/>
      <c r="D1521" s="20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5"/>
      <c r="U1521" s="15"/>
      <c r="V1521" s="15"/>
      <c r="W1521" s="15"/>
    </row>
    <row r="1522">
      <c r="A1522" s="11"/>
      <c r="B1522" s="11"/>
      <c r="C1522" s="20"/>
      <c r="D1522" s="20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5"/>
      <c r="U1522" s="15"/>
      <c r="V1522" s="15"/>
      <c r="W1522" s="15"/>
    </row>
    <row r="1523">
      <c r="A1523" s="11"/>
      <c r="B1523" s="11"/>
      <c r="C1523" s="20"/>
      <c r="D1523" s="20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5"/>
      <c r="U1523" s="15"/>
      <c r="V1523" s="15"/>
      <c r="W1523" s="15"/>
    </row>
    <row r="1524">
      <c r="A1524" s="11"/>
      <c r="B1524" s="11"/>
      <c r="C1524" s="20"/>
      <c r="D1524" s="20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5"/>
      <c r="U1524" s="15"/>
      <c r="V1524" s="15"/>
      <c r="W1524" s="15"/>
    </row>
    <row r="1525">
      <c r="A1525" s="11"/>
      <c r="B1525" s="11"/>
      <c r="C1525" s="20"/>
      <c r="D1525" s="20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5"/>
      <c r="U1525" s="15"/>
      <c r="V1525" s="15"/>
      <c r="W1525" s="15"/>
    </row>
    <row r="1526">
      <c r="A1526" s="11"/>
      <c r="B1526" s="11"/>
      <c r="C1526" s="20"/>
      <c r="D1526" s="20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5"/>
      <c r="U1526" s="15"/>
      <c r="V1526" s="15"/>
      <c r="W1526" s="15"/>
    </row>
    <row r="1527">
      <c r="A1527" s="11"/>
      <c r="B1527" s="11"/>
      <c r="C1527" s="20"/>
      <c r="D1527" s="20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5"/>
      <c r="U1527" s="15"/>
      <c r="V1527" s="15"/>
      <c r="W1527" s="15"/>
    </row>
    <row r="1528">
      <c r="A1528" s="11"/>
      <c r="B1528" s="11"/>
      <c r="C1528" s="20"/>
      <c r="D1528" s="20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5"/>
      <c r="U1528" s="15"/>
      <c r="V1528" s="15"/>
      <c r="W1528" s="15"/>
    </row>
    <row r="1529">
      <c r="A1529" s="11"/>
      <c r="B1529" s="11"/>
      <c r="C1529" s="20"/>
      <c r="D1529" s="20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5"/>
      <c r="U1529" s="15"/>
      <c r="V1529" s="15"/>
      <c r="W1529" s="15"/>
    </row>
    <row r="1530">
      <c r="A1530" s="11"/>
      <c r="B1530" s="11"/>
      <c r="C1530" s="20"/>
      <c r="D1530" s="20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5"/>
      <c r="U1530" s="15"/>
      <c r="V1530" s="15"/>
      <c r="W1530" s="15"/>
    </row>
    <row r="1531">
      <c r="A1531" s="11"/>
      <c r="B1531" s="11"/>
      <c r="C1531" s="20"/>
      <c r="D1531" s="20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5"/>
      <c r="U1531" s="15"/>
      <c r="V1531" s="15"/>
      <c r="W1531" s="15"/>
    </row>
    <row r="1532">
      <c r="A1532" s="11"/>
      <c r="B1532" s="11"/>
      <c r="C1532" s="20"/>
      <c r="D1532" s="20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5"/>
      <c r="U1532" s="15"/>
      <c r="V1532" s="15"/>
      <c r="W1532" s="15"/>
    </row>
    <row r="1533">
      <c r="A1533" s="11"/>
      <c r="B1533" s="11"/>
      <c r="C1533" s="20"/>
      <c r="D1533" s="20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5"/>
      <c r="U1533" s="15"/>
      <c r="V1533" s="15"/>
      <c r="W1533" s="15"/>
    </row>
    <row r="1534">
      <c r="A1534" s="11"/>
      <c r="B1534" s="11"/>
      <c r="C1534" s="20"/>
      <c r="D1534" s="20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5"/>
      <c r="U1534" s="15"/>
      <c r="V1534" s="15"/>
      <c r="W1534" s="15"/>
    </row>
    <row r="1535">
      <c r="A1535" s="11"/>
      <c r="B1535" s="11"/>
      <c r="C1535" s="20"/>
      <c r="D1535" s="20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5"/>
      <c r="U1535" s="15"/>
      <c r="V1535" s="15"/>
      <c r="W1535" s="15"/>
    </row>
    <row r="1536">
      <c r="A1536" s="11"/>
      <c r="B1536" s="11"/>
      <c r="C1536" s="20"/>
      <c r="D1536" s="20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5"/>
      <c r="U1536" s="15"/>
      <c r="V1536" s="15"/>
      <c r="W1536" s="15"/>
    </row>
    <row r="1537">
      <c r="A1537" s="11"/>
      <c r="B1537" s="11"/>
      <c r="C1537" s="20"/>
      <c r="D1537" s="20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5"/>
      <c r="U1537" s="15"/>
      <c r="V1537" s="15"/>
      <c r="W1537" s="15"/>
    </row>
    <row r="1538">
      <c r="A1538" s="11"/>
      <c r="B1538" s="11"/>
      <c r="C1538" s="20"/>
      <c r="D1538" s="20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5"/>
      <c r="U1538" s="15"/>
      <c r="V1538" s="15"/>
      <c r="W1538" s="15"/>
    </row>
    <row r="1539">
      <c r="A1539" s="11"/>
      <c r="B1539" s="11"/>
      <c r="C1539" s="20"/>
      <c r="D1539" s="20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5"/>
      <c r="U1539" s="15"/>
      <c r="V1539" s="15"/>
      <c r="W1539" s="15"/>
    </row>
    <row r="1540">
      <c r="A1540" s="11"/>
      <c r="B1540" s="11"/>
      <c r="C1540" s="20"/>
      <c r="D1540" s="20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5"/>
      <c r="U1540" s="15"/>
      <c r="V1540" s="15"/>
      <c r="W1540" s="15"/>
    </row>
    <row r="1541">
      <c r="A1541" s="11"/>
      <c r="B1541" s="11"/>
      <c r="C1541" s="20"/>
      <c r="D1541" s="20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5"/>
      <c r="U1541" s="15"/>
      <c r="V1541" s="15"/>
      <c r="W1541" s="15"/>
    </row>
    <row r="1542">
      <c r="A1542" s="11"/>
      <c r="B1542" s="11"/>
      <c r="C1542" s="20"/>
      <c r="D1542" s="20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5"/>
      <c r="U1542" s="15"/>
      <c r="V1542" s="15"/>
      <c r="W1542" s="15"/>
    </row>
    <row r="1543">
      <c r="A1543" s="11"/>
      <c r="B1543" s="11"/>
      <c r="C1543" s="20"/>
      <c r="D1543" s="20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5"/>
      <c r="U1543" s="15"/>
      <c r="V1543" s="15"/>
      <c r="W1543" s="15"/>
    </row>
    <row r="1544">
      <c r="A1544" s="11"/>
      <c r="B1544" s="11"/>
      <c r="C1544" s="20"/>
      <c r="D1544" s="20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5"/>
      <c r="U1544" s="15"/>
      <c r="V1544" s="15"/>
      <c r="W1544" s="15"/>
    </row>
    <row r="1545">
      <c r="A1545" s="11"/>
      <c r="B1545" s="11"/>
      <c r="C1545" s="20"/>
      <c r="D1545" s="20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5"/>
      <c r="U1545" s="15"/>
      <c r="V1545" s="15"/>
      <c r="W1545" s="15"/>
    </row>
    <row r="1546">
      <c r="A1546" s="11"/>
      <c r="B1546" s="11"/>
      <c r="C1546" s="20"/>
      <c r="D1546" s="20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5"/>
      <c r="U1546" s="15"/>
      <c r="V1546" s="15"/>
      <c r="W1546" s="15"/>
    </row>
    <row r="1547">
      <c r="A1547" s="11"/>
      <c r="B1547" s="11"/>
      <c r="C1547" s="20"/>
      <c r="D1547" s="20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5"/>
      <c r="U1547" s="15"/>
      <c r="V1547" s="15"/>
      <c r="W1547" s="15"/>
    </row>
    <row r="1548">
      <c r="A1548" s="11"/>
      <c r="B1548" s="11"/>
      <c r="C1548" s="20"/>
      <c r="D1548" s="20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5"/>
      <c r="U1548" s="15"/>
      <c r="V1548" s="15"/>
      <c r="W1548" s="15"/>
    </row>
    <row r="1549">
      <c r="A1549" s="11"/>
      <c r="B1549" s="11"/>
      <c r="C1549" s="20"/>
      <c r="D1549" s="20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5"/>
      <c r="U1549" s="15"/>
      <c r="V1549" s="15"/>
      <c r="W1549" s="15"/>
    </row>
    <row r="1550">
      <c r="A1550" s="11"/>
      <c r="B1550" s="11"/>
      <c r="C1550" s="20"/>
      <c r="D1550" s="20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5"/>
      <c r="U1550" s="15"/>
      <c r="V1550" s="15"/>
      <c r="W1550" s="15"/>
    </row>
    <row r="1551">
      <c r="A1551" s="11"/>
      <c r="B1551" s="11"/>
      <c r="C1551" s="20"/>
      <c r="D1551" s="20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5"/>
      <c r="U1551" s="15"/>
      <c r="V1551" s="15"/>
      <c r="W1551" s="15"/>
    </row>
    <row r="1552">
      <c r="A1552" s="11"/>
      <c r="B1552" s="11"/>
      <c r="C1552" s="20"/>
      <c r="D1552" s="20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5"/>
      <c r="U1552" s="15"/>
      <c r="V1552" s="15"/>
      <c r="W1552" s="15"/>
    </row>
    <row r="1553">
      <c r="A1553" s="11"/>
      <c r="B1553" s="11"/>
      <c r="C1553" s="20"/>
      <c r="D1553" s="20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5"/>
      <c r="U1553" s="15"/>
      <c r="V1553" s="15"/>
      <c r="W1553" s="15"/>
    </row>
    <row r="1554">
      <c r="A1554" s="11"/>
      <c r="B1554" s="11"/>
      <c r="C1554" s="20"/>
      <c r="D1554" s="20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5"/>
      <c r="U1554" s="15"/>
      <c r="V1554" s="15"/>
      <c r="W1554" s="15"/>
    </row>
    <row r="1555">
      <c r="A1555" s="11"/>
      <c r="B1555" s="11"/>
      <c r="C1555" s="20"/>
      <c r="D1555" s="20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5"/>
      <c r="U1555" s="15"/>
      <c r="V1555" s="15"/>
      <c r="W1555" s="15"/>
    </row>
    <row r="1556">
      <c r="A1556" s="11"/>
      <c r="B1556" s="11"/>
      <c r="C1556" s="20"/>
      <c r="D1556" s="20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5"/>
      <c r="U1556" s="15"/>
      <c r="V1556" s="15"/>
      <c r="W1556" s="15"/>
    </row>
    <row r="1557">
      <c r="A1557" s="11"/>
      <c r="B1557" s="11"/>
      <c r="C1557" s="20"/>
      <c r="D1557" s="20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5"/>
      <c r="U1557" s="15"/>
      <c r="V1557" s="15"/>
      <c r="W1557" s="15"/>
    </row>
    <row r="1558">
      <c r="A1558" s="11"/>
      <c r="B1558" s="11"/>
      <c r="C1558" s="20"/>
      <c r="D1558" s="20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5"/>
      <c r="U1558" s="15"/>
      <c r="V1558" s="15"/>
      <c r="W1558" s="15"/>
    </row>
    <row r="1559">
      <c r="A1559" s="11"/>
      <c r="B1559" s="11"/>
      <c r="C1559" s="20"/>
      <c r="D1559" s="20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5"/>
      <c r="U1559" s="15"/>
      <c r="V1559" s="15"/>
      <c r="W1559" s="15"/>
    </row>
    <row r="1560">
      <c r="A1560" s="11"/>
      <c r="B1560" s="11"/>
      <c r="C1560" s="20"/>
      <c r="D1560" s="20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5"/>
      <c r="U1560" s="15"/>
      <c r="V1560" s="15"/>
      <c r="W1560" s="15"/>
    </row>
    <row r="1561">
      <c r="A1561" s="11"/>
      <c r="B1561" s="11"/>
      <c r="C1561" s="20"/>
      <c r="D1561" s="20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5"/>
      <c r="U1561" s="15"/>
      <c r="V1561" s="15"/>
      <c r="W1561" s="15"/>
    </row>
    <row r="1562">
      <c r="A1562" s="11"/>
      <c r="B1562" s="11"/>
      <c r="C1562" s="20"/>
      <c r="D1562" s="20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5"/>
      <c r="U1562" s="15"/>
      <c r="V1562" s="15"/>
      <c r="W1562" s="15"/>
    </row>
    <row r="1563">
      <c r="A1563" s="11"/>
      <c r="B1563" s="11"/>
      <c r="C1563" s="20"/>
      <c r="D1563" s="20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5"/>
      <c r="U1563" s="15"/>
      <c r="V1563" s="15"/>
      <c r="W1563" s="15"/>
    </row>
    <row r="1564">
      <c r="A1564" s="11"/>
      <c r="B1564" s="11"/>
      <c r="C1564" s="20"/>
      <c r="D1564" s="20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5"/>
      <c r="U1564" s="15"/>
      <c r="V1564" s="15"/>
      <c r="W1564" s="15"/>
    </row>
    <row r="1565">
      <c r="A1565" s="11"/>
      <c r="B1565" s="11"/>
      <c r="C1565" s="20"/>
      <c r="D1565" s="20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5"/>
      <c r="U1565" s="15"/>
      <c r="V1565" s="15"/>
      <c r="W1565" s="15"/>
    </row>
    <row r="1566">
      <c r="A1566" s="11"/>
      <c r="B1566" s="11"/>
      <c r="C1566" s="20"/>
      <c r="D1566" s="20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5"/>
      <c r="U1566" s="15"/>
      <c r="V1566" s="15"/>
      <c r="W1566" s="15"/>
    </row>
    <row r="1567">
      <c r="A1567" s="11"/>
      <c r="B1567" s="11"/>
      <c r="C1567" s="20"/>
      <c r="D1567" s="20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5"/>
      <c r="U1567" s="15"/>
      <c r="V1567" s="15"/>
      <c r="W1567" s="15"/>
    </row>
    <row r="1568">
      <c r="A1568" s="11"/>
      <c r="B1568" s="11"/>
      <c r="C1568" s="20"/>
      <c r="D1568" s="20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5"/>
      <c r="U1568" s="15"/>
      <c r="V1568" s="15"/>
      <c r="W1568" s="15"/>
    </row>
    <row r="1569">
      <c r="A1569" s="11"/>
      <c r="B1569" s="11"/>
      <c r="C1569" s="20"/>
      <c r="D1569" s="20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5"/>
      <c r="U1569" s="15"/>
      <c r="V1569" s="15"/>
      <c r="W1569" s="15"/>
    </row>
    <row r="1570">
      <c r="A1570" s="11"/>
      <c r="B1570" s="11"/>
      <c r="C1570" s="20"/>
      <c r="D1570" s="20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5"/>
      <c r="U1570" s="15"/>
      <c r="V1570" s="15"/>
      <c r="W1570" s="15"/>
    </row>
    <row r="1571">
      <c r="A1571" s="11"/>
      <c r="B1571" s="11"/>
      <c r="C1571" s="20"/>
      <c r="D1571" s="20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5"/>
      <c r="U1571" s="15"/>
      <c r="V1571" s="15"/>
      <c r="W1571" s="15"/>
    </row>
    <row r="1572">
      <c r="A1572" s="11"/>
      <c r="B1572" s="11"/>
      <c r="C1572" s="20"/>
      <c r="D1572" s="20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5"/>
      <c r="U1572" s="15"/>
      <c r="V1572" s="15"/>
      <c r="W1572" s="15"/>
    </row>
    <row r="1573">
      <c r="A1573" s="11"/>
      <c r="B1573" s="11"/>
      <c r="C1573" s="20"/>
      <c r="D1573" s="20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5"/>
      <c r="U1573" s="15"/>
      <c r="V1573" s="15"/>
      <c r="W1573" s="15"/>
    </row>
    <row r="1574">
      <c r="A1574" s="11"/>
      <c r="B1574" s="11"/>
      <c r="C1574" s="20"/>
      <c r="D1574" s="20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5"/>
      <c r="U1574" s="15"/>
      <c r="V1574" s="15"/>
      <c r="W1574" s="15"/>
    </row>
    <row r="1575">
      <c r="A1575" s="11"/>
      <c r="B1575" s="11"/>
      <c r="C1575" s="20"/>
      <c r="D1575" s="20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5"/>
      <c r="U1575" s="15"/>
      <c r="V1575" s="15"/>
      <c r="W1575" s="15"/>
    </row>
    <row r="1576">
      <c r="A1576" s="11"/>
      <c r="B1576" s="11"/>
      <c r="C1576" s="20"/>
      <c r="D1576" s="20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5"/>
      <c r="U1576" s="15"/>
      <c r="V1576" s="15"/>
      <c r="W1576" s="15"/>
    </row>
    <row r="1577">
      <c r="A1577" s="11"/>
      <c r="B1577" s="11"/>
      <c r="C1577" s="20"/>
      <c r="D1577" s="20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5"/>
      <c r="U1577" s="15"/>
      <c r="V1577" s="15"/>
      <c r="W1577" s="15"/>
    </row>
    <row r="1578">
      <c r="A1578" s="11"/>
      <c r="B1578" s="11"/>
      <c r="C1578" s="20"/>
      <c r="D1578" s="20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5"/>
      <c r="U1578" s="15"/>
      <c r="V1578" s="15"/>
      <c r="W1578" s="15"/>
    </row>
    <row r="1579">
      <c r="A1579" s="11"/>
      <c r="B1579" s="11"/>
      <c r="C1579" s="20"/>
      <c r="D1579" s="20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5"/>
      <c r="U1579" s="15"/>
      <c r="V1579" s="15"/>
      <c r="W1579" s="15"/>
    </row>
    <row r="1580">
      <c r="A1580" s="11"/>
      <c r="B1580" s="11"/>
      <c r="C1580" s="20"/>
      <c r="D1580" s="20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5"/>
      <c r="U1580" s="15"/>
      <c r="V1580" s="15"/>
      <c r="W1580" s="15"/>
    </row>
    <row r="1581">
      <c r="A1581" s="11"/>
      <c r="B1581" s="11"/>
      <c r="C1581" s="20"/>
      <c r="D1581" s="20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5"/>
      <c r="U1581" s="15"/>
      <c r="V1581" s="15"/>
      <c r="W1581" s="15"/>
    </row>
    <row r="1582">
      <c r="A1582" s="11"/>
      <c r="B1582" s="11"/>
      <c r="C1582" s="20"/>
      <c r="D1582" s="20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5"/>
      <c r="U1582" s="15"/>
      <c r="V1582" s="15"/>
      <c r="W1582" s="15"/>
    </row>
    <row r="1583">
      <c r="A1583" s="11"/>
      <c r="B1583" s="11"/>
      <c r="C1583" s="20"/>
      <c r="D1583" s="20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5"/>
      <c r="U1583" s="15"/>
      <c r="V1583" s="15"/>
      <c r="W1583" s="15"/>
    </row>
    <row r="1584">
      <c r="A1584" s="11"/>
      <c r="B1584" s="11"/>
      <c r="C1584" s="20"/>
      <c r="D1584" s="20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5"/>
      <c r="U1584" s="15"/>
      <c r="V1584" s="15"/>
      <c r="W1584" s="15"/>
    </row>
    <row r="1585">
      <c r="A1585" s="11"/>
      <c r="B1585" s="11"/>
      <c r="C1585" s="20"/>
      <c r="D1585" s="20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5"/>
      <c r="U1585" s="15"/>
      <c r="V1585" s="15"/>
      <c r="W1585" s="15"/>
    </row>
    <row r="1586">
      <c r="A1586" s="11"/>
      <c r="B1586" s="11"/>
      <c r="C1586" s="20"/>
      <c r="D1586" s="20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5"/>
      <c r="U1586" s="15"/>
      <c r="V1586" s="15"/>
      <c r="W1586" s="15"/>
    </row>
    <row r="1587">
      <c r="A1587" s="11"/>
      <c r="B1587" s="11"/>
      <c r="C1587" s="20"/>
      <c r="D1587" s="20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5"/>
      <c r="U1587" s="15"/>
      <c r="V1587" s="15"/>
      <c r="W1587" s="15"/>
    </row>
    <row r="1588">
      <c r="A1588" s="11"/>
      <c r="B1588" s="11"/>
      <c r="C1588" s="20"/>
      <c r="D1588" s="20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5"/>
      <c r="U1588" s="15"/>
      <c r="V1588" s="15"/>
      <c r="W1588" s="15"/>
    </row>
    <row r="1589">
      <c r="A1589" s="11"/>
      <c r="B1589" s="11"/>
      <c r="C1589" s="20"/>
      <c r="D1589" s="20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5"/>
      <c r="U1589" s="15"/>
      <c r="V1589" s="15"/>
      <c r="W1589" s="15"/>
    </row>
    <row r="1590">
      <c r="A1590" s="11"/>
      <c r="B1590" s="11"/>
      <c r="C1590" s="20"/>
      <c r="D1590" s="20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5"/>
      <c r="U1590" s="15"/>
      <c r="V1590" s="15"/>
      <c r="W1590" s="15"/>
    </row>
    <row r="1591">
      <c r="A1591" s="11"/>
      <c r="B1591" s="11"/>
      <c r="C1591" s="20"/>
      <c r="D1591" s="20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5"/>
      <c r="U1591" s="15"/>
      <c r="V1591" s="15"/>
      <c r="W1591" s="15"/>
    </row>
    <row r="1592">
      <c r="A1592" s="11"/>
      <c r="B1592" s="11"/>
      <c r="C1592" s="20"/>
      <c r="D1592" s="20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5"/>
      <c r="U1592" s="15"/>
      <c r="V1592" s="15"/>
      <c r="W1592" s="15"/>
    </row>
    <row r="1593">
      <c r="A1593" s="11"/>
      <c r="B1593" s="11"/>
      <c r="C1593" s="20"/>
      <c r="D1593" s="20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5"/>
      <c r="U1593" s="15"/>
      <c r="V1593" s="15"/>
      <c r="W1593" s="15"/>
    </row>
    <row r="1594">
      <c r="A1594" s="11"/>
      <c r="B1594" s="11"/>
      <c r="C1594" s="20"/>
      <c r="D1594" s="20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5"/>
      <c r="U1594" s="15"/>
      <c r="V1594" s="15"/>
      <c r="W1594" s="15"/>
    </row>
    <row r="1595">
      <c r="A1595" s="11"/>
      <c r="B1595" s="11"/>
      <c r="C1595" s="20"/>
      <c r="D1595" s="20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5"/>
      <c r="U1595" s="15"/>
      <c r="V1595" s="15"/>
      <c r="W1595" s="15"/>
    </row>
    <row r="1596">
      <c r="A1596" s="11"/>
      <c r="B1596" s="11"/>
      <c r="C1596" s="20"/>
      <c r="D1596" s="20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5"/>
      <c r="U1596" s="15"/>
      <c r="V1596" s="15"/>
      <c r="W1596" s="15"/>
    </row>
    <row r="1597">
      <c r="A1597" s="11"/>
      <c r="B1597" s="11"/>
      <c r="C1597" s="20"/>
      <c r="D1597" s="20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5"/>
      <c r="U1597" s="15"/>
      <c r="V1597" s="15"/>
      <c r="W1597" s="15"/>
    </row>
    <row r="1598">
      <c r="A1598" s="11"/>
      <c r="B1598" s="11"/>
      <c r="C1598" s="20"/>
      <c r="D1598" s="20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5"/>
      <c r="U1598" s="15"/>
      <c r="V1598" s="15"/>
      <c r="W1598" s="15"/>
    </row>
    <row r="1599">
      <c r="A1599" s="11"/>
      <c r="B1599" s="11"/>
      <c r="C1599" s="20"/>
      <c r="D1599" s="20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5"/>
      <c r="U1599" s="15"/>
      <c r="V1599" s="15"/>
      <c r="W1599" s="15"/>
    </row>
    <row r="1600">
      <c r="A1600" s="11"/>
      <c r="B1600" s="11"/>
      <c r="C1600" s="20"/>
      <c r="D1600" s="20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5"/>
      <c r="U1600" s="15"/>
      <c r="V1600" s="15"/>
      <c r="W1600" s="15"/>
    </row>
    <row r="1601">
      <c r="A1601" s="11"/>
      <c r="B1601" s="11"/>
      <c r="C1601" s="20"/>
      <c r="D1601" s="20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5"/>
      <c r="U1601" s="15"/>
      <c r="V1601" s="15"/>
      <c r="W1601" s="15"/>
    </row>
    <row r="1602">
      <c r="A1602" s="11"/>
      <c r="B1602" s="11"/>
      <c r="C1602" s="20"/>
      <c r="D1602" s="20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5"/>
      <c r="U1602" s="15"/>
      <c r="V1602" s="15"/>
      <c r="W1602" s="15"/>
    </row>
    <row r="1603">
      <c r="A1603" s="11"/>
      <c r="B1603" s="11"/>
      <c r="C1603" s="20"/>
      <c r="D1603" s="20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5"/>
      <c r="U1603" s="15"/>
      <c r="V1603" s="15"/>
      <c r="W1603" s="15"/>
    </row>
    <row r="1604">
      <c r="A1604" s="11"/>
      <c r="B1604" s="11"/>
      <c r="C1604" s="20"/>
      <c r="D1604" s="20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5"/>
      <c r="U1604" s="15"/>
      <c r="V1604" s="15"/>
      <c r="W1604" s="15"/>
    </row>
    <row r="1605">
      <c r="A1605" s="11"/>
      <c r="B1605" s="11"/>
      <c r="C1605" s="20"/>
      <c r="D1605" s="20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5"/>
      <c r="U1605" s="15"/>
      <c r="V1605" s="15"/>
      <c r="W1605" s="15"/>
    </row>
    <row r="1606">
      <c r="A1606" s="11"/>
      <c r="B1606" s="11"/>
      <c r="C1606" s="20"/>
      <c r="D1606" s="20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5"/>
      <c r="U1606" s="15"/>
      <c r="V1606" s="15"/>
      <c r="W1606" s="15"/>
    </row>
    <row r="1607">
      <c r="A1607" s="11"/>
      <c r="B1607" s="11"/>
      <c r="C1607" s="20"/>
      <c r="D1607" s="20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5"/>
      <c r="U1607" s="15"/>
      <c r="V1607" s="15"/>
      <c r="W1607" s="15"/>
    </row>
    <row r="1608">
      <c r="A1608" s="11"/>
      <c r="B1608" s="11"/>
      <c r="C1608" s="20"/>
      <c r="D1608" s="20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5"/>
      <c r="U1608" s="15"/>
      <c r="V1608" s="15"/>
      <c r="W1608" s="15"/>
    </row>
    <row r="1609">
      <c r="A1609" s="11"/>
      <c r="B1609" s="11"/>
      <c r="C1609" s="20"/>
      <c r="D1609" s="20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5"/>
      <c r="U1609" s="15"/>
      <c r="V1609" s="15"/>
      <c r="W1609" s="15"/>
    </row>
    <row r="1610">
      <c r="A1610" s="11"/>
      <c r="B1610" s="11"/>
      <c r="C1610" s="20"/>
      <c r="D1610" s="20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5"/>
      <c r="U1610" s="15"/>
      <c r="V1610" s="15"/>
      <c r="W1610" s="15"/>
    </row>
    <row r="1611">
      <c r="A1611" s="11"/>
      <c r="B1611" s="11"/>
      <c r="C1611" s="20"/>
      <c r="D1611" s="20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5"/>
      <c r="U1611" s="15"/>
      <c r="V1611" s="15"/>
      <c r="W1611" s="15"/>
    </row>
    <row r="1612">
      <c r="A1612" s="11"/>
      <c r="B1612" s="11"/>
      <c r="C1612" s="20"/>
      <c r="D1612" s="20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5"/>
      <c r="U1612" s="15"/>
      <c r="V1612" s="15"/>
      <c r="W1612" s="15"/>
    </row>
    <row r="1613">
      <c r="A1613" s="11"/>
      <c r="B1613" s="11"/>
      <c r="C1613" s="20"/>
      <c r="D1613" s="20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5"/>
      <c r="U1613" s="15"/>
      <c r="V1613" s="15"/>
      <c r="W1613" s="15"/>
    </row>
    <row r="1614">
      <c r="A1614" s="11"/>
      <c r="B1614" s="11"/>
      <c r="C1614" s="20"/>
      <c r="D1614" s="20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5"/>
      <c r="U1614" s="15"/>
      <c r="V1614" s="15"/>
      <c r="W1614" s="15"/>
    </row>
    <row r="1615">
      <c r="A1615" s="11"/>
      <c r="B1615" s="11"/>
      <c r="C1615" s="20"/>
      <c r="D1615" s="20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5"/>
      <c r="U1615" s="15"/>
      <c r="V1615" s="15"/>
      <c r="W1615" s="15"/>
    </row>
    <row r="1616">
      <c r="A1616" s="11"/>
      <c r="B1616" s="11"/>
      <c r="C1616" s="20"/>
      <c r="D1616" s="20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5"/>
      <c r="U1616" s="15"/>
      <c r="V1616" s="15"/>
      <c r="W1616" s="15"/>
    </row>
    <row r="1617">
      <c r="A1617" s="11"/>
      <c r="B1617" s="11"/>
      <c r="C1617" s="20"/>
      <c r="D1617" s="20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5"/>
      <c r="U1617" s="15"/>
      <c r="V1617" s="15"/>
      <c r="W1617" s="15"/>
    </row>
    <row r="1618">
      <c r="A1618" s="11"/>
      <c r="B1618" s="11"/>
      <c r="C1618" s="20"/>
      <c r="D1618" s="20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5"/>
      <c r="U1618" s="15"/>
      <c r="V1618" s="15"/>
      <c r="W1618" s="15"/>
    </row>
    <row r="1619">
      <c r="A1619" s="11"/>
      <c r="B1619" s="11"/>
      <c r="C1619" s="20"/>
      <c r="D1619" s="20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5"/>
      <c r="U1619" s="15"/>
      <c r="V1619" s="15"/>
      <c r="W1619" s="15"/>
    </row>
    <row r="1620">
      <c r="A1620" s="11"/>
      <c r="B1620" s="11"/>
      <c r="C1620" s="20"/>
      <c r="D1620" s="20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5"/>
      <c r="U1620" s="15"/>
      <c r="V1620" s="15"/>
      <c r="W1620" s="15"/>
    </row>
    <row r="1621">
      <c r="A1621" s="11"/>
      <c r="B1621" s="11"/>
      <c r="C1621" s="20"/>
      <c r="D1621" s="20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5"/>
      <c r="U1621" s="15"/>
      <c r="V1621" s="15"/>
      <c r="W1621" s="15"/>
    </row>
    <row r="1622">
      <c r="A1622" s="11"/>
      <c r="B1622" s="11"/>
      <c r="C1622" s="20"/>
      <c r="D1622" s="20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5"/>
      <c r="U1622" s="15"/>
      <c r="V1622" s="15"/>
      <c r="W1622" s="15"/>
    </row>
    <row r="1623">
      <c r="A1623" s="11"/>
      <c r="B1623" s="11"/>
      <c r="C1623" s="20"/>
      <c r="D1623" s="20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5"/>
      <c r="U1623" s="15"/>
      <c r="V1623" s="15"/>
      <c r="W1623" s="15"/>
    </row>
    <row r="1624">
      <c r="A1624" s="11"/>
      <c r="B1624" s="11"/>
      <c r="C1624" s="20"/>
      <c r="D1624" s="20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5"/>
      <c r="U1624" s="15"/>
      <c r="V1624" s="15"/>
      <c r="W1624" s="15"/>
    </row>
    <row r="1625">
      <c r="A1625" s="11"/>
      <c r="B1625" s="11"/>
      <c r="C1625" s="20"/>
      <c r="D1625" s="20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5"/>
      <c r="U1625" s="15"/>
      <c r="V1625" s="15"/>
      <c r="W1625" s="15"/>
    </row>
    <row r="1626">
      <c r="A1626" s="11"/>
      <c r="B1626" s="11"/>
      <c r="C1626" s="20"/>
      <c r="D1626" s="20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5"/>
      <c r="U1626" s="15"/>
      <c r="V1626" s="15"/>
      <c r="W1626" s="15"/>
    </row>
    <row r="1627">
      <c r="A1627" s="11"/>
      <c r="B1627" s="11"/>
      <c r="C1627" s="20"/>
      <c r="D1627" s="20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5"/>
      <c r="U1627" s="15"/>
      <c r="V1627" s="15"/>
      <c r="W1627" s="15"/>
    </row>
    <row r="1628">
      <c r="A1628" s="11"/>
      <c r="B1628" s="11"/>
      <c r="C1628" s="20"/>
      <c r="D1628" s="20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5"/>
      <c r="U1628" s="15"/>
      <c r="V1628" s="15"/>
      <c r="W1628" s="15"/>
    </row>
    <row r="1629">
      <c r="A1629" s="11"/>
      <c r="B1629" s="11"/>
      <c r="C1629" s="20"/>
      <c r="D1629" s="20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5"/>
      <c r="U1629" s="15"/>
      <c r="V1629" s="15"/>
      <c r="W1629" s="15"/>
    </row>
    <row r="1630">
      <c r="A1630" s="11"/>
      <c r="B1630" s="11"/>
      <c r="C1630" s="20"/>
      <c r="D1630" s="20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5"/>
      <c r="U1630" s="15"/>
      <c r="V1630" s="15"/>
      <c r="W1630" s="15"/>
    </row>
    <row r="1631">
      <c r="A1631" s="11"/>
      <c r="B1631" s="11"/>
      <c r="C1631" s="20"/>
      <c r="D1631" s="20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5"/>
      <c r="U1631" s="15"/>
      <c r="V1631" s="15"/>
      <c r="W1631" s="15"/>
    </row>
    <row r="1632">
      <c r="A1632" s="11"/>
      <c r="B1632" s="11"/>
      <c r="C1632" s="20"/>
      <c r="D1632" s="20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5"/>
      <c r="U1632" s="15"/>
      <c r="V1632" s="15"/>
      <c r="W1632" s="15"/>
    </row>
    <row r="1633">
      <c r="A1633" s="11"/>
      <c r="B1633" s="11"/>
      <c r="C1633" s="20"/>
      <c r="D1633" s="20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5"/>
      <c r="U1633" s="15"/>
      <c r="V1633" s="15"/>
      <c r="W1633" s="15"/>
    </row>
    <row r="1634">
      <c r="A1634" s="11"/>
      <c r="B1634" s="11"/>
      <c r="C1634" s="20"/>
      <c r="D1634" s="20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5"/>
      <c r="U1634" s="15"/>
      <c r="V1634" s="15"/>
      <c r="W1634" s="15"/>
    </row>
    <row r="1635">
      <c r="A1635" s="11"/>
      <c r="B1635" s="11"/>
      <c r="C1635" s="20"/>
      <c r="D1635" s="20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5"/>
      <c r="U1635" s="15"/>
      <c r="V1635" s="15"/>
      <c r="W1635" s="15"/>
    </row>
    <row r="1636">
      <c r="A1636" s="11"/>
      <c r="B1636" s="11"/>
      <c r="C1636" s="20"/>
      <c r="D1636" s="20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5"/>
      <c r="U1636" s="15"/>
      <c r="V1636" s="15"/>
      <c r="W1636" s="15"/>
    </row>
    <row r="1637">
      <c r="A1637" s="11"/>
      <c r="B1637" s="11"/>
      <c r="C1637" s="20"/>
      <c r="D1637" s="20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5"/>
      <c r="U1637" s="15"/>
      <c r="V1637" s="15"/>
      <c r="W1637" s="15"/>
    </row>
    <row r="1638">
      <c r="A1638" s="11"/>
      <c r="B1638" s="11"/>
      <c r="C1638" s="20"/>
      <c r="D1638" s="20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5"/>
      <c r="U1638" s="15"/>
      <c r="V1638" s="15"/>
      <c r="W1638" s="15"/>
    </row>
    <row r="1639">
      <c r="A1639" s="11"/>
      <c r="B1639" s="11"/>
      <c r="C1639" s="20"/>
      <c r="D1639" s="20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5"/>
      <c r="U1639" s="15"/>
      <c r="V1639" s="15"/>
      <c r="W1639" s="15"/>
    </row>
    <row r="1640">
      <c r="A1640" s="11"/>
      <c r="B1640" s="11"/>
      <c r="C1640" s="20"/>
      <c r="D1640" s="20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5"/>
      <c r="U1640" s="15"/>
      <c r="V1640" s="15"/>
      <c r="W1640" s="15"/>
    </row>
    <row r="1641">
      <c r="A1641" s="11"/>
      <c r="B1641" s="11"/>
      <c r="C1641" s="20"/>
      <c r="D1641" s="20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5"/>
      <c r="U1641" s="15"/>
      <c r="V1641" s="15"/>
      <c r="W1641" s="15"/>
    </row>
    <row r="1642">
      <c r="A1642" s="11"/>
      <c r="B1642" s="11"/>
      <c r="C1642" s="20"/>
      <c r="D1642" s="20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5"/>
      <c r="U1642" s="15"/>
      <c r="V1642" s="15"/>
      <c r="W1642" s="15"/>
    </row>
    <row r="1643">
      <c r="A1643" s="11"/>
      <c r="B1643" s="11"/>
      <c r="C1643" s="20"/>
      <c r="D1643" s="20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5"/>
      <c r="U1643" s="15"/>
      <c r="V1643" s="15"/>
      <c r="W1643" s="15"/>
    </row>
    <row r="1644">
      <c r="A1644" s="11"/>
      <c r="B1644" s="11"/>
      <c r="C1644" s="20"/>
      <c r="D1644" s="20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5"/>
      <c r="U1644" s="15"/>
      <c r="V1644" s="15"/>
      <c r="W1644" s="15"/>
    </row>
    <row r="1645">
      <c r="A1645" s="11"/>
      <c r="B1645" s="11"/>
      <c r="C1645" s="20"/>
      <c r="D1645" s="20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5"/>
      <c r="U1645" s="15"/>
      <c r="V1645" s="15"/>
      <c r="W1645" s="15"/>
    </row>
    <row r="1646">
      <c r="A1646" s="11"/>
      <c r="B1646" s="11"/>
      <c r="C1646" s="20"/>
      <c r="D1646" s="20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5"/>
      <c r="U1646" s="15"/>
      <c r="V1646" s="15"/>
      <c r="W1646" s="15"/>
    </row>
    <row r="1647">
      <c r="A1647" s="11"/>
      <c r="B1647" s="11"/>
      <c r="C1647" s="20"/>
      <c r="D1647" s="20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5"/>
      <c r="U1647" s="15"/>
      <c r="V1647" s="15"/>
      <c r="W1647" s="15"/>
    </row>
    <row r="1648">
      <c r="A1648" s="11"/>
      <c r="B1648" s="11"/>
      <c r="C1648" s="20"/>
      <c r="D1648" s="20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5"/>
      <c r="U1648" s="15"/>
      <c r="V1648" s="15"/>
      <c r="W1648" s="15"/>
    </row>
    <row r="1649">
      <c r="A1649" s="11"/>
      <c r="B1649" s="11"/>
      <c r="C1649" s="20"/>
      <c r="D1649" s="20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5"/>
      <c r="U1649" s="15"/>
      <c r="V1649" s="15"/>
      <c r="W1649" s="15"/>
    </row>
    <row r="1650">
      <c r="A1650" s="11"/>
      <c r="B1650" s="11"/>
      <c r="C1650" s="20"/>
      <c r="D1650" s="20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5"/>
      <c r="U1650" s="15"/>
      <c r="V1650" s="15"/>
      <c r="W1650" s="15"/>
    </row>
    <row r="1651">
      <c r="A1651" s="11"/>
      <c r="B1651" s="11"/>
      <c r="C1651" s="20"/>
      <c r="D1651" s="20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5"/>
      <c r="U1651" s="15"/>
      <c r="V1651" s="15"/>
      <c r="W1651" s="15"/>
    </row>
    <row r="1652">
      <c r="A1652" s="11"/>
      <c r="B1652" s="11"/>
      <c r="C1652" s="20"/>
      <c r="D1652" s="20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5"/>
      <c r="U1652" s="15"/>
      <c r="V1652" s="15"/>
      <c r="W1652" s="15"/>
    </row>
    <row r="1653">
      <c r="A1653" s="11"/>
      <c r="B1653" s="11"/>
      <c r="C1653" s="20"/>
      <c r="D1653" s="20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5"/>
      <c r="U1653" s="15"/>
      <c r="V1653" s="15"/>
      <c r="W1653" s="15"/>
    </row>
    <row r="1654">
      <c r="A1654" s="11"/>
      <c r="B1654" s="11"/>
      <c r="C1654" s="20"/>
      <c r="D1654" s="20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5"/>
      <c r="U1654" s="15"/>
      <c r="V1654" s="15"/>
      <c r="W1654" s="15"/>
    </row>
    <row r="1655">
      <c r="A1655" s="11"/>
      <c r="B1655" s="11"/>
      <c r="C1655" s="20"/>
      <c r="D1655" s="20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5"/>
      <c r="U1655" s="15"/>
      <c r="V1655" s="15"/>
      <c r="W1655" s="15"/>
    </row>
    <row r="1656">
      <c r="A1656" s="11"/>
      <c r="B1656" s="11"/>
      <c r="C1656" s="20"/>
      <c r="D1656" s="20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5"/>
      <c r="U1656" s="15"/>
      <c r="V1656" s="15"/>
      <c r="W1656" s="15"/>
    </row>
    <row r="1657">
      <c r="A1657" s="11"/>
      <c r="B1657" s="11"/>
      <c r="C1657" s="20"/>
      <c r="D1657" s="20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5"/>
      <c r="U1657" s="15"/>
      <c r="V1657" s="15"/>
      <c r="W1657" s="15"/>
    </row>
    <row r="1658">
      <c r="A1658" s="11"/>
      <c r="B1658" s="11"/>
      <c r="C1658" s="20"/>
      <c r="D1658" s="20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5"/>
      <c r="U1658" s="15"/>
      <c r="V1658" s="15"/>
      <c r="W1658" s="15"/>
    </row>
    <row r="1659">
      <c r="A1659" s="11"/>
      <c r="B1659" s="11"/>
      <c r="C1659" s="20"/>
      <c r="D1659" s="20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5"/>
      <c r="U1659" s="15"/>
      <c r="V1659" s="15"/>
      <c r="W1659" s="15"/>
    </row>
    <row r="1660">
      <c r="A1660" s="11"/>
      <c r="B1660" s="11"/>
      <c r="C1660" s="20"/>
      <c r="D1660" s="20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5"/>
      <c r="U1660" s="15"/>
      <c r="V1660" s="15"/>
      <c r="W1660" s="15"/>
    </row>
    <row r="1661">
      <c r="A1661" s="11"/>
      <c r="B1661" s="11"/>
      <c r="C1661" s="20"/>
      <c r="D1661" s="20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5"/>
      <c r="U1661" s="15"/>
      <c r="V1661" s="15"/>
      <c r="W1661" s="15"/>
    </row>
    <row r="1662">
      <c r="A1662" s="11"/>
      <c r="B1662" s="11"/>
      <c r="C1662" s="20"/>
      <c r="D1662" s="20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5"/>
      <c r="U1662" s="15"/>
      <c r="V1662" s="15"/>
      <c r="W1662" s="15"/>
    </row>
    <row r="1663">
      <c r="A1663" s="11"/>
      <c r="B1663" s="11"/>
      <c r="C1663" s="20"/>
      <c r="D1663" s="20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5"/>
      <c r="U1663" s="15"/>
      <c r="V1663" s="15"/>
      <c r="W1663" s="15"/>
    </row>
    <row r="1664">
      <c r="A1664" s="11"/>
      <c r="B1664" s="11"/>
      <c r="C1664" s="20"/>
      <c r="D1664" s="20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5"/>
      <c r="U1664" s="15"/>
      <c r="V1664" s="15"/>
      <c r="W1664" s="15"/>
    </row>
    <row r="1665">
      <c r="A1665" s="11"/>
      <c r="B1665" s="11"/>
      <c r="C1665" s="20"/>
      <c r="D1665" s="20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5"/>
      <c r="U1665" s="15"/>
      <c r="V1665" s="15"/>
      <c r="W1665" s="15"/>
    </row>
    <row r="1666">
      <c r="A1666" s="11"/>
      <c r="B1666" s="11"/>
      <c r="C1666" s="20"/>
      <c r="D1666" s="20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5"/>
      <c r="U1666" s="15"/>
      <c r="V1666" s="15"/>
      <c r="W1666" s="15"/>
    </row>
    <row r="1667">
      <c r="A1667" s="11"/>
      <c r="B1667" s="11"/>
      <c r="C1667" s="20"/>
      <c r="D1667" s="20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5"/>
      <c r="U1667" s="15"/>
      <c r="V1667" s="15"/>
      <c r="W1667" s="15"/>
    </row>
    <row r="1668">
      <c r="A1668" s="11"/>
      <c r="B1668" s="11"/>
      <c r="C1668" s="20"/>
      <c r="D1668" s="20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5"/>
      <c r="U1668" s="15"/>
      <c r="V1668" s="15"/>
      <c r="W1668" s="15"/>
    </row>
    <row r="1669">
      <c r="A1669" s="11"/>
      <c r="B1669" s="11"/>
      <c r="C1669" s="20"/>
      <c r="D1669" s="20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5"/>
      <c r="U1669" s="15"/>
      <c r="V1669" s="15"/>
      <c r="W1669" s="15"/>
    </row>
    <row r="1670">
      <c r="A1670" s="11"/>
      <c r="B1670" s="11"/>
      <c r="C1670" s="20"/>
      <c r="D1670" s="20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5"/>
      <c r="U1670" s="15"/>
      <c r="V1670" s="15"/>
      <c r="W1670" s="15"/>
    </row>
    <row r="1671">
      <c r="A1671" s="11"/>
      <c r="B1671" s="11"/>
      <c r="C1671" s="20"/>
      <c r="D1671" s="20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5"/>
      <c r="U1671" s="15"/>
      <c r="V1671" s="15"/>
      <c r="W1671" s="15"/>
    </row>
    <row r="1672">
      <c r="A1672" s="11"/>
      <c r="B1672" s="11"/>
      <c r="C1672" s="20"/>
      <c r="D1672" s="20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5"/>
      <c r="U1672" s="15"/>
      <c r="V1672" s="15"/>
      <c r="W1672" s="15"/>
    </row>
    <row r="1673">
      <c r="A1673" s="11"/>
      <c r="B1673" s="11"/>
      <c r="C1673" s="20"/>
      <c r="D1673" s="20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5"/>
      <c r="U1673" s="15"/>
      <c r="V1673" s="15"/>
      <c r="W1673" s="15"/>
    </row>
    <row r="1674">
      <c r="A1674" s="11"/>
      <c r="B1674" s="11"/>
      <c r="C1674" s="20"/>
      <c r="D1674" s="20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5"/>
      <c r="U1674" s="15"/>
      <c r="V1674" s="15"/>
      <c r="W1674" s="15"/>
    </row>
    <row r="1675">
      <c r="A1675" s="11"/>
      <c r="B1675" s="11"/>
      <c r="C1675" s="20"/>
      <c r="D1675" s="20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5"/>
      <c r="U1675" s="15"/>
      <c r="V1675" s="15"/>
      <c r="W1675" s="15"/>
    </row>
    <row r="1676">
      <c r="A1676" s="11"/>
      <c r="B1676" s="11"/>
      <c r="C1676" s="20"/>
      <c r="D1676" s="20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5"/>
      <c r="U1676" s="15"/>
      <c r="V1676" s="15"/>
      <c r="W1676" s="15"/>
    </row>
    <row r="1677">
      <c r="A1677" s="11"/>
      <c r="B1677" s="11"/>
      <c r="C1677" s="20"/>
      <c r="D1677" s="20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5"/>
      <c r="U1677" s="15"/>
      <c r="V1677" s="15"/>
      <c r="W1677" s="15"/>
    </row>
    <row r="1678">
      <c r="A1678" s="11"/>
      <c r="B1678" s="11"/>
      <c r="C1678" s="20"/>
      <c r="D1678" s="20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5"/>
      <c r="U1678" s="15"/>
      <c r="V1678" s="15"/>
      <c r="W1678" s="15"/>
    </row>
    <row r="1679">
      <c r="A1679" s="11"/>
      <c r="B1679" s="11"/>
      <c r="C1679" s="20"/>
      <c r="D1679" s="20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5"/>
      <c r="U1679" s="15"/>
      <c r="V1679" s="15"/>
      <c r="W1679" s="15"/>
    </row>
    <row r="1680">
      <c r="A1680" s="11"/>
      <c r="B1680" s="11"/>
      <c r="C1680" s="20"/>
      <c r="D1680" s="20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5"/>
      <c r="U1680" s="15"/>
      <c r="V1680" s="15"/>
      <c r="W1680" s="15"/>
    </row>
    <row r="1681">
      <c r="A1681" s="11"/>
      <c r="B1681" s="11"/>
      <c r="C1681" s="20"/>
      <c r="D1681" s="20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5"/>
      <c r="U1681" s="15"/>
      <c r="V1681" s="15"/>
      <c r="W1681" s="15"/>
    </row>
    <row r="1682">
      <c r="A1682" s="11"/>
      <c r="B1682" s="11"/>
      <c r="C1682" s="20"/>
      <c r="D1682" s="20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5"/>
      <c r="U1682" s="15"/>
      <c r="V1682" s="15"/>
      <c r="W1682" s="15"/>
    </row>
    <row r="1683">
      <c r="A1683" s="11"/>
      <c r="B1683" s="11"/>
      <c r="C1683" s="20"/>
      <c r="D1683" s="20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5"/>
      <c r="U1683" s="15"/>
      <c r="V1683" s="15"/>
      <c r="W1683" s="15"/>
    </row>
    <row r="1684">
      <c r="A1684" s="11"/>
      <c r="B1684" s="11"/>
      <c r="C1684" s="20"/>
      <c r="D1684" s="20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5"/>
      <c r="U1684" s="15"/>
      <c r="V1684" s="15"/>
      <c r="W1684" s="15"/>
    </row>
    <row r="1685">
      <c r="A1685" s="11"/>
      <c r="B1685" s="11"/>
      <c r="C1685" s="20"/>
      <c r="D1685" s="20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5"/>
      <c r="U1685" s="15"/>
      <c r="V1685" s="15"/>
      <c r="W1685" s="15"/>
    </row>
    <row r="1686">
      <c r="A1686" s="11"/>
      <c r="B1686" s="11"/>
      <c r="C1686" s="20"/>
      <c r="D1686" s="20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5"/>
      <c r="U1686" s="15"/>
      <c r="V1686" s="15"/>
      <c r="W1686" s="15"/>
    </row>
    <row r="1687">
      <c r="A1687" s="11"/>
      <c r="B1687" s="11"/>
      <c r="C1687" s="20"/>
      <c r="D1687" s="20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5"/>
      <c r="U1687" s="15"/>
      <c r="V1687" s="15"/>
      <c r="W1687" s="15"/>
    </row>
    <row r="1688">
      <c r="A1688" s="11"/>
      <c r="B1688" s="11"/>
      <c r="C1688" s="20"/>
      <c r="D1688" s="20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5"/>
      <c r="U1688" s="15"/>
      <c r="V1688" s="15"/>
      <c r="W1688" s="15"/>
    </row>
    <row r="1689">
      <c r="A1689" s="11"/>
      <c r="B1689" s="11"/>
      <c r="C1689" s="20"/>
      <c r="D1689" s="20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5"/>
      <c r="U1689" s="15"/>
      <c r="V1689" s="15"/>
      <c r="W1689" s="15"/>
    </row>
    <row r="1690">
      <c r="A1690" s="11"/>
      <c r="B1690" s="11"/>
      <c r="C1690" s="20"/>
      <c r="D1690" s="20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5"/>
      <c r="U1690" s="15"/>
      <c r="V1690" s="15"/>
      <c r="W1690" s="15"/>
    </row>
    <row r="1691">
      <c r="A1691" s="11"/>
      <c r="B1691" s="11"/>
      <c r="C1691" s="20"/>
      <c r="D1691" s="20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5"/>
      <c r="U1691" s="15"/>
      <c r="V1691" s="15"/>
      <c r="W1691" s="15"/>
    </row>
    <row r="1692">
      <c r="A1692" s="11"/>
      <c r="B1692" s="11"/>
      <c r="C1692" s="20"/>
      <c r="D1692" s="20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5"/>
      <c r="U1692" s="15"/>
      <c r="V1692" s="15"/>
      <c r="W1692" s="15"/>
    </row>
    <row r="1693">
      <c r="A1693" s="11"/>
      <c r="B1693" s="11"/>
      <c r="C1693" s="20"/>
      <c r="D1693" s="20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5"/>
      <c r="U1693" s="15"/>
      <c r="V1693" s="15"/>
      <c r="W1693" s="15"/>
    </row>
    <row r="1694">
      <c r="A1694" s="11"/>
      <c r="B1694" s="11"/>
      <c r="C1694" s="20"/>
      <c r="D1694" s="20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5"/>
      <c r="U1694" s="15"/>
      <c r="V1694" s="15"/>
      <c r="W1694" s="15"/>
    </row>
    <row r="1695">
      <c r="A1695" s="11"/>
      <c r="B1695" s="11"/>
      <c r="C1695" s="20"/>
      <c r="D1695" s="20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5"/>
      <c r="U1695" s="15"/>
      <c r="V1695" s="15"/>
      <c r="W1695" s="15"/>
    </row>
    <row r="1696">
      <c r="A1696" s="11"/>
      <c r="B1696" s="11"/>
      <c r="C1696" s="20"/>
      <c r="D1696" s="20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5"/>
      <c r="U1696" s="15"/>
      <c r="V1696" s="15"/>
      <c r="W1696" s="15"/>
    </row>
    <row r="1697">
      <c r="A1697" s="11"/>
      <c r="B1697" s="11"/>
      <c r="C1697" s="20"/>
      <c r="D1697" s="20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5"/>
      <c r="U1697" s="15"/>
      <c r="V1697" s="15"/>
      <c r="W1697" s="15"/>
    </row>
    <row r="1698">
      <c r="A1698" s="11"/>
      <c r="B1698" s="11"/>
      <c r="C1698" s="20"/>
      <c r="D1698" s="20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5"/>
      <c r="U1698" s="15"/>
      <c r="V1698" s="15"/>
      <c r="W1698" s="15"/>
    </row>
    <row r="1699">
      <c r="A1699" s="11"/>
      <c r="B1699" s="11"/>
      <c r="C1699" s="20"/>
      <c r="D1699" s="20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5"/>
      <c r="U1699" s="15"/>
      <c r="V1699" s="15"/>
      <c r="W1699" s="15"/>
    </row>
    <row r="1700">
      <c r="A1700" s="11"/>
      <c r="B1700" s="11"/>
      <c r="C1700" s="20"/>
      <c r="D1700" s="20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5"/>
      <c r="U1700" s="15"/>
      <c r="V1700" s="15"/>
      <c r="W1700" s="15"/>
    </row>
    <row r="1701">
      <c r="A1701" s="11"/>
      <c r="B1701" s="11"/>
      <c r="C1701" s="20"/>
      <c r="D1701" s="20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5"/>
      <c r="U1701" s="15"/>
      <c r="V1701" s="15"/>
      <c r="W1701" s="15"/>
    </row>
    <row r="1702">
      <c r="A1702" s="11"/>
      <c r="B1702" s="11"/>
      <c r="C1702" s="20"/>
      <c r="D1702" s="20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5"/>
      <c r="U1702" s="15"/>
      <c r="V1702" s="15"/>
      <c r="W1702" s="15"/>
    </row>
    <row r="1703">
      <c r="A1703" s="11"/>
      <c r="B1703" s="11"/>
      <c r="C1703" s="20"/>
      <c r="D1703" s="20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5"/>
      <c r="U1703" s="15"/>
      <c r="V1703" s="15"/>
      <c r="W1703" s="15"/>
    </row>
    <row r="1704">
      <c r="A1704" s="11"/>
      <c r="B1704" s="11"/>
      <c r="C1704" s="20"/>
      <c r="D1704" s="20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5"/>
      <c r="U1704" s="15"/>
      <c r="V1704" s="15"/>
      <c r="W1704" s="15"/>
    </row>
    <row r="1705">
      <c r="A1705" s="11"/>
      <c r="B1705" s="11"/>
      <c r="C1705" s="20"/>
      <c r="D1705" s="20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5"/>
      <c r="U1705" s="15"/>
      <c r="V1705" s="15"/>
      <c r="W1705" s="15"/>
    </row>
    <row r="1706">
      <c r="A1706" s="11"/>
      <c r="B1706" s="11"/>
      <c r="C1706" s="20"/>
      <c r="D1706" s="20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5"/>
      <c r="U1706" s="15"/>
      <c r="V1706" s="15"/>
      <c r="W1706" s="15"/>
    </row>
    <row r="1707">
      <c r="A1707" s="11"/>
      <c r="B1707" s="11"/>
      <c r="C1707" s="20"/>
      <c r="D1707" s="20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5"/>
      <c r="U1707" s="15"/>
      <c r="V1707" s="15"/>
      <c r="W1707" s="15"/>
    </row>
    <row r="1708">
      <c r="A1708" s="11"/>
      <c r="B1708" s="11"/>
      <c r="C1708" s="20"/>
      <c r="D1708" s="20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5"/>
      <c r="U1708" s="15"/>
      <c r="V1708" s="15"/>
      <c r="W1708" s="15"/>
    </row>
    <row r="1709">
      <c r="A1709" s="11"/>
      <c r="B1709" s="11"/>
      <c r="C1709" s="20"/>
      <c r="D1709" s="20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5"/>
      <c r="U1709" s="15"/>
      <c r="V1709" s="15"/>
      <c r="W1709" s="15"/>
    </row>
    <row r="1710">
      <c r="A1710" s="11"/>
      <c r="B1710" s="11"/>
      <c r="C1710" s="20"/>
      <c r="D1710" s="20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5"/>
      <c r="U1710" s="15"/>
      <c r="V1710" s="15"/>
      <c r="W1710" s="15"/>
    </row>
    <row r="1711">
      <c r="A1711" s="11"/>
      <c r="B1711" s="11"/>
      <c r="C1711" s="20"/>
      <c r="D1711" s="20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5"/>
      <c r="U1711" s="15"/>
      <c r="V1711" s="15"/>
      <c r="W1711" s="15"/>
    </row>
    <row r="1712">
      <c r="A1712" s="11"/>
      <c r="B1712" s="11"/>
      <c r="C1712" s="20"/>
      <c r="D1712" s="20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5"/>
      <c r="U1712" s="15"/>
      <c r="V1712" s="15"/>
      <c r="W1712" s="15"/>
    </row>
    <row r="1713">
      <c r="A1713" s="11"/>
      <c r="B1713" s="11"/>
      <c r="C1713" s="20"/>
      <c r="D1713" s="20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5"/>
      <c r="U1713" s="15"/>
      <c r="V1713" s="15"/>
      <c r="W1713" s="15"/>
    </row>
    <row r="1714">
      <c r="A1714" s="11"/>
      <c r="B1714" s="11"/>
      <c r="C1714" s="20"/>
      <c r="D1714" s="20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5"/>
      <c r="U1714" s="15"/>
      <c r="V1714" s="15"/>
      <c r="W1714" s="15"/>
    </row>
    <row r="1715">
      <c r="A1715" s="11"/>
      <c r="B1715" s="11"/>
      <c r="C1715" s="20"/>
      <c r="D1715" s="20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5"/>
      <c r="U1715" s="15"/>
      <c r="V1715" s="15"/>
      <c r="W1715" s="15"/>
    </row>
    <row r="1716">
      <c r="A1716" s="11"/>
      <c r="B1716" s="11"/>
      <c r="C1716" s="20"/>
      <c r="D1716" s="20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5"/>
      <c r="U1716" s="15"/>
      <c r="V1716" s="15"/>
      <c r="W1716" s="15"/>
    </row>
    <row r="1717">
      <c r="A1717" s="11"/>
      <c r="B1717" s="11"/>
      <c r="C1717" s="20"/>
      <c r="D1717" s="20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5"/>
      <c r="U1717" s="15"/>
      <c r="V1717" s="15"/>
      <c r="W1717" s="15"/>
    </row>
    <row r="1718">
      <c r="A1718" s="11"/>
      <c r="B1718" s="11"/>
      <c r="C1718" s="20"/>
      <c r="D1718" s="20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5"/>
      <c r="U1718" s="15"/>
      <c r="V1718" s="15"/>
      <c r="W1718" s="15"/>
    </row>
    <row r="1719">
      <c r="A1719" s="11"/>
      <c r="B1719" s="11"/>
      <c r="C1719" s="20"/>
      <c r="D1719" s="20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5"/>
      <c r="U1719" s="15"/>
      <c r="V1719" s="15"/>
      <c r="W1719" s="15"/>
    </row>
    <row r="1720">
      <c r="A1720" s="11"/>
      <c r="B1720" s="11"/>
      <c r="C1720" s="20"/>
      <c r="D1720" s="20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5"/>
      <c r="U1720" s="15"/>
      <c r="V1720" s="15"/>
      <c r="W1720" s="15"/>
    </row>
    <row r="1721">
      <c r="A1721" s="11"/>
      <c r="B1721" s="11"/>
      <c r="C1721" s="20"/>
      <c r="D1721" s="20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5"/>
      <c r="U1721" s="15"/>
      <c r="V1721" s="15"/>
      <c r="W1721" s="15"/>
    </row>
    <row r="1722">
      <c r="A1722" s="11"/>
      <c r="B1722" s="11"/>
      <c r="C1722" s="20"/>
      <c r="D1722" s="20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5"/>
      <c r="U1722" s="15"/>
      <c r="V1722" s="15"/>
      <c r="W1722" s="15"/>
    </row>
    <row r="1723">
      <c r="A1723" s="11"/>
      <c r="B1723" s="11"/>
      <c r="C1723" s="20"/>
      <c r="D1723" s="20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5"/>
      <c r="U1723" s="15"/>
      <c r="V1723" s="15"/>
      <c r="W1723" s="15"/>
    </row>
    <row r="1724">
      <c r="A1724" s="11"/>
      <c r="B1724" s="11"/>
      <c r="C1724" s="20"/>
      <c r="D1724" s="20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5"/>
      <c r="U1724" s="15"/>
      <c r="V1724" s="15"/>
      <c r="W1724" s="15"/>
    </row>
    <row r="1725">
      <c r="A1725" s="11"/>
      <c r="B1725" s="11"/>
      <c r="C1725" s="20"/>
      <c r="D1725" s="20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5"/>
      <c r="U1725" s="15"/>
      <c r="V1725" s="15"/>
      <c r="W1725" s="15"/>
    </row>
    <row r="1726">
      <c r="A1726" s="11"/>
      <c r="B1726" s="11"/>
      <c r="C1726" s="20"/>
      <c r="D1726" s="20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5"/>
      <c r="U1726" s="15"/>
      <c r="V1726" s="15"/>
      <c r="W1726" s="15"/>
    </row>
    <row r="1727">
      <c r="A1727" s="11"/>
      <c r="B1727" s="11"/>
      <c r="C1727" s="20"/>
      <c r="D1727" s="20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5"/>
      <c r="U1727" s="15"/>
      <c r="V1727" s="15"/>
      <c r="W1727" s="15"/>
    </row>
    <row r="1728">
      <c r="A1728" s="11"/>
      <c r="B1728" s="11"/>
      <c r="C1728" s="20"/>
      <c r="D1728" s="20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5"/>
      <c r="U1728" s="15"/>
      <c r="V1728" s="15"/>
      <c r="W1728" s="15"/>
    </row>
    <row r="1729">
      <c r="A1729" s="11"/>
      <c r="B1729" s="11"/>
      <c r="C1729" s="20"/>
      <c r="D1729" s="20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5"/>
      <c r="U1729" s="15"/>
      <c r="V1729" s="15"/>
      <c r="W1729" s="15"/>
    </row>
    <row r="1730">
      <c r="A1730" s="11"/>
      <c r="B1730" s="11"/>
      <c r="C1730" s="20"/>
      <c r="D1730" s="20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5"/>
      <c r="U1730" s="15"/>
      <c r="V1730" s="15"/>
      <c r="W1730" s="15"/>
    </row>
    <row r="1731">
      <c r="A1731" s="11"/>
      <c r="B1731" s="11"/>
      <c r="C1731" s="20"/>
      <c r="D1731" s="20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5"/>
      <c r="U1731" s="15"/>
      <c r="V1731" s="15"/>
      <c r="W1731" s="15"/>
    </row>
    <row r="1732">
      <c r="A1732" s="11"/>
      <c r="B1732" s="11"/>
      <c r="C1732" s="20"/>
      <c r="D1732" s="20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5"/>
      <c r="U1732" s="15"/>
      <c r="V1732" s="15"/>
      <c r="W1732" s="15"/>
    </row>
    <row r="1733">
      <c r="A1733" s="11"/>
      <c r="B1733" s="11"/>
      <c r="C1733" s="20"/>
      <c r="D1733" s="20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5"/>
      <c r="U1733" s="15"/>
      <c r="V1733" s="15"/>
      <c r="W1733" s="15"/>
    </row>
    <row r="1734">
      <c r="A1734" s="11"/>
      <c r="B1734" s="11"/>
      <c r="C1734" s="20"/>
      <c r="D1734" s="20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5"/>
      <c r="U1734" s="15"/>
      <c r="V1734" s="15"/>
      <c r="W1734" s="15"/>
    </row>
    <row r="1735">
      <c r="A1735" s="11"/>
      <c r="B1735" s="11"/>
      <c r="C1735" s="20"/>
      <c r="D1735" s="20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5"/>
      <c r="U1735" s="15"/>
      <c r="V1735" s="15"/>
      <c r="W1735" s="15"/>
    </row>
    <row r="1736">
      <c r="A1736" s="11"/>
      <c r="B1736" s="11"/>
      <c r="C1736" s="20"/>
      <c r="D1736" s="20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5"/>
      <c r="U1736" s="15"/>
      <c r="V1736" s="15"/>
      <c r="W1736" s="15"/>
    </row>
    <row r="1737">
      <c r="A1737" s="11"/>
      <c r="B1737" s="11"/>
      <c r="C1737" s="20"/>
      <c r="D1737" s="20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5"/>
      <c r="U1737" s="15"/>
      <c r="V1737" s="15"/>
      <c r="W1737" s="15"/>
    </row>
    <row r="1738">
      <c r="A1738" s="11"/>
      <c r="B1738" s="11"/>
      <c r="C1738" s="20"/>
      <c r="D1738" s="20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5"/>
      <c r="U1738" s="15"/>
      <c r="V1738" s="15"/>
      <c r="W1738" s="15"/>
    </row>
    <row r="1739">
      <c r="A1739" s="11"/>
      <c r="B1739" s="11"/>
      <c r="C1739" s="20"/>
      <c r="D1739" s="20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5"/>
      <c r="U1739" s="15"/>
      <c r="V1739" s="15"/>
      <c r="W1739" s="15"/>
    </row>
    <row r="1740">
      <c r="A1740" s="11"/>
      <c r="B1740" s="11"/>
      <c r="C1740" s="20"/>
      <c r="D1740" s="20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5"/>
      <c r="U1740" s="15"/>
      <c r="V1740" s="15"/>
      <c r="W1740" s="15"/>
    </row>
    <row r="1741">
      <c r="A1741" s="11"/>
      <c r="B1741" s="11"/>
      <c r="C1741" s="20"/>
      <c r="D1741" s="20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5"/>
      <c r="U1741" s="15"/>
      <c r="V1741" s="15"/>
      <c r="W1741" s="15"/>
    </row>
    <row r="1742">
      <c r="A1742" s="11"/>
      <c r="B1742" s="11"/>
      <c r="C1742" s="20"/>
      <c r="D1742" s="20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5"/>
      <c r="U1742" s="15"/>
      <c r="V1742" s="15"/>
      <c r="W1742" s="15"/>
    </row>
    <row r="1743">
      <c r="A1743" s="11"/>
      <c r="B1743" s="11"/>
      <c r="C1743" s="20"/>
      <c r="D1743" s="20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5"/>
      <c r="U1743" s="15"/>
      <c r="V1743" s="15"/>
      <c r="W1743" s="15"/>
    </row>
    <row r="1744">
      <c r="A1744" s="11"/>
      <c r="B1744" s="11"/>
      <c r="C1744" s="20"/>
      <c r="D1744" s="20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5"/>
      <c r="U1744" s="15"/>
      <c r="V1744" s="15"/>
      <c r="W1744" s="15"/>
    </row>
    <row r="1745">
      <c r="A1745" s="11"/>
      <c r="B1745" s="11"/>
      <c r="C1745" s="20"/>
      <c r="D1745" s="20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5"/>
      <c r="U1745" s="15"/>
      <c r="V1745" s="15"/>
      <c r="W1745" s="15"/>
    </row>
    <row r="1746">
      <c r="A1746" s="11"/>
      <c r="B1746" s="11"/>
      <c r="C1746" s="20"/>
      <c r="D1746" s="20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5"/>
      <c r="U1746" s="15"/>
      <c r="V1746" s="15"/>
      <c r="W1746" s="15"/>
    </row>
    <row r="1747">
      <c r="A1747" s="11"/>
      <c r="B1747" s="11"/>
      <c r="C1747" s="20"/>
      <c r="D1747" s="20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5"/>
      <c r="U1747" s="15"/>
      <c r="V1747" s="15"/>
      <c r="W1747" s="15"/>
    </row>
    <row r="1748">
      <c r="A1748" s="11"/>
      <c r="B1748" s="11"/>
      <c r="C1748" s="20"/>
      <c r="D1748" s="20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5"/>
      <c r="U1748" s="15"/>
      <c r="V1748" s="15"/>
      <c r="W1748" s="15"/>
    </row>
    <row r="1749">
      <c r="A1749" s="11"/>
      <c r="B1749" s="11"/>
      <c r="C1749" s="20"/>
      <c r="D1749" s="20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5"/>
      <c r="U1749" s="15"/>
      <c r="V1749" s="15"/>
      <c r="W1749" s="15"/>
    </row>
    <row r="1750">
      <c r="A1750" s="11"/>
      <c r="B1750" s="11"/>
      <c r="C1750" s="20"/>
      <c r="D1750" s="20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5"/>
      <c r="U1750" s="15"/>
      <c r="V1750" s="15"/>
      <c r="W1750" s="15"/>
    </row>
    <row r="1751">
      <c r="A1751" s="11"/>
      <c r="B1751" s="11"/>
      <c r="C1751" s="20"/>
      <c r="D1751" s="20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5"/>
      <c r="U1751" s="15"/>
      <c r="V1751" s="15"/>
      <c r="W1751" s="15"/>
    </row>
    <row r="1752">
      <c r="A1752" s="11"/>
      <c r="B1752" s="11"/>
      <c r="C1752" s="20"/>
      <c r="D1752" s="20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5"/>
      <c r="U1752" s="15"/>
      <c r="V1752" s="15"/>
      <c r="W1752" s="15"/>
    </row>
    <row r="1753">
      <c r="A1753" s="11"/>
      <c r="B1753" s="11"/>
      <c r="C1753" s="20"/>
      <c r="D1753" s="20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5"/>
      <c r="U1753" s="15"/>
      <c r="V1753" s="15"/>
      <c r="W1753" s="15"/>
    </row>
    <row r="1754">
      <c r="A1754" s="11"/>
      <c r="B1754" s="11"/>
      <c r="C1754" s="20"/>
      <c r="D1754" s="20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5"/>
      <c r="U1754" s="15"/>
      <c r="V1754" s="15"/>
      <c r="W1754" s="15"/>
    </row>
    <row r="1755">
      <c r="A1755" s="11"/>
      <c r="B1755" s="11"/>
      <c r="C1755" s="20"/>
      <c r="D1755" s="20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5"/>
      <c r="U1755" s="15"/>
      <c r="V1755" s="15"/>
      <c r="W1755" s="15"/>
    </row>
    <row r="1756">
      <c r="A1756" s="11"/>
      <c r="B1756" s="11"/>
      <c r="C1756" s="20"/>
      <c r="D1756" s="20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5"/>
      <c r="U1756" s="15"/>
      <c r="V1756" s="15"/>
      <c r="W1756" s="15"/>
    </row>
    <row r="1757">
      <c r="A1757" s="11"/>
      <c r="B1757" s="11"/>
      <c r="C1757" s="20"/>
      <c r="D1757" s="20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5"/>
      <c r="U1757" s="15"/>
      <c r="V1757" s="15"/>
      <c r="W1757" s="15"/>
    </row>
    <row r="1758">
      <c r="A1758" s="11"/>
      <c r="B1758" s="11"/>
      <c r="C1758" s="20"/>
      <c r="D1758" s="20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5"/>
      <c r="U1758" s="15"/>
      <c r="V1758" s="15"/>
      <c r="W1758" s="15"/>
    </row>
    <row r="1759">
      <c r="A1759" s="11"/>
      <c r="B1759" s="11"/>
      <c r="C1759" s="20"/>
      <c r="D1759" s="20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5"/>
      <c r="U1759" s="15"/>
      <c r="V1759" s="15"/>
      <c r="W1759" s="15"/>
    </row>
    <row r="1760">
      <c r="A1760" s="11"/>
      <c r="B1760" s="11"/>
      <c r="C1760" s="20"/>
      <c r="D1760" s="20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5"/>
      <c r="U1760" s="15"/>
      <c r="V1760" s="15"/>
      <c r="W1760" s="15"/>
    </row>
    <row r="1761">
      <c r="A1761" s="11"/>
      <c r="B1761" s="11"/>
      <c r="C1761" s="20"/>
      <c r="D1761" s="20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5"/>
      <c r="U1761" s="15"/>
      <c r="V1761" s="15"/>
      <c r="W1761" s="15"/>
    </row>
    <row r="1762">
      <c r="A1762" s="11"/>
      <c r="B1762" s="11"/>
      <c r="C1762" s="20"/>
      <c r="D1762" s="20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5"/>
      <c r="U1762" s="15"/>
      <c r="V1762" s="15"/>
      <c r="W1762" s="15"/>
    </row>
    <row r="1763">
      <c r="A1763" s="11"/>
      <c r="B1763" s="11"/>
      <c r="C1763" s="20"/>
      <c r="D1763" s="20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5"/>
      <c r="U1763" s="15"/>
      <c r="V1763" s="15"/>
      <c r="W1763" s="15"/>
    </row>
    <row r="1764">
      <c r="A1764" s="11"/>
      <c r="B1764" s="11"/>
      <c r="C1764" s="20"/>
      <c r="D1764" s="20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5"/>
      <c r="U1764" s="15"/>
      <c r="V1764" s="15"/>
      <c r="W1764" s="15"/>
    </row>
    <row r="1765">
      <c r="A1765" s="11"/>
      <c r="B1765" s="11"/>
      <c r="C1765" s="20"/>
      <c r="D1765" s="20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5"/>
      <c r="U1765" s="15"/>
      <c r="V1765" s="15"/>
      <c r="W1765" s="15"/>
    </row>
    <row r="1766">
      <c r="A1766" s="11"/>
      <c r="B1766" s="11"/>
      <c r="C1766" s="20"/>
      <c r="D1766" s="20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5"/>
      <c r="U1766" s="15"/>
      <c r="V1766" s="15"/>
      <c r="W1766" s="15"/>
    </row>
    <row r="1767">
      <c r="A1767" s="11"/>
      <c r="B1767" s="11"/>
      <c r="C1767" s="20"/>
      <c r="D1767" s="20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5"/>
      <c r="U1767" s="15"/>
      <c r="V1767" s="15"/>
      <c r="W1767" s="15"/>
    </row>
    <row r="1768">
      <c r="A1768" s="11"/>
      <c r="B1768" s="11"/>
      <c r="C1768" s="20"/>
      <c r="D1768" s="20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5"/>
      <c r="U1768" s="15"/>
      <c r="V1768" s="15"/>
      <c r="W1768" s="15"/>
    </row>
    <row r="1769">
      <c r="A1769" s="11"/>
      <c r="B1769" s="11"/>
      <c r="C1769" s="20"/>
      <c r="D1769" s="20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5"/>
      <c r="U1769" s="15"/>
      <c r="V1769" s="15"/>
      <c r="W1769" s="15"/>
    </row>
    <row r="1770">
      <c r="A1770" s="11"/>
      <c r="B1770" s="11"/>
      <c r="C1770" s="20"/>
      <c r="D1770" s="20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5"/>
      <c r="U1770" s="15"/>
      <c r="V1770" s="15"/>
      <c r="W1770" s="15"/>
    </row>
    <row r="1771">
      <c r="A1771" s="11"/>
      <c r="B1771" s="11"/>
      <c r="C1771" s="20"/>
      <c r="D1771" s="20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5"/>
      <c r="U1771" s="15"/>
      <c r="V1771" s="15"/>
      <c r="W1771" s="15"/>
    </row>
    <row r="1772">
      <c r="A1772" s="11"/>
      <c r="B1772" s="11"/>
      <c r="C1772" s="20"/>
      <c r="D1772" s="20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5"/>
      <c r="U1772" s="15"/>
      <c r="V1772" s="15"/>
      <c r="W1772" s="15"/>
    </row>
    <row r="1773">
      <c r="A1773" s="11"/>
      <c r="B1773" s="11"/>
      <c r="C1773" s="20"/>
      <c r="D1773" s="20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5"/>
      <c r="U1773" s="15"/>
      <c r="V1773" s="15"/>
      <c r="W1773" s="15"/>
    </row>
    <row r="1774">
      <c r="A1774" s="11"/>
      <c r="B1774" s="11"/>
      <c r="C1774" s="20"/>
      <c r="D1774" s="20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5"/>
      <c r="U1774" s="15"/>
      <c r="V1774" s="15"/>
      <c r="W1774" s="15"/>
    </row>
    <row r="1775">
      <c r="A1775" s="11"/>
      <c r="B1775" s="11"/>
      <c r="C1775" s="20"/>
      <c r="D1775" s="20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5"/>
      <c r="U1775" s="15"/>
      <c r="V1775" s="15"/>
      <c r="W1775" s="15"/>
    </row>
    <row r="1776">
      <c r="A1776" s="11"/>
      <c r="B1776" s="11"/>
      <c r="C1776" s="20"/>
      <c r="D1776" s="20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5"/>
      <c r="U1776" s="15"/>
      <c r="V1776" s="15"/>
      <c r="W1776" s="15"/>
    </row>
    <row r="1777">
      <c r="A1777" s="11"/>
      <c r="B1777" s="11"/>
      <c r="C1777" s="20"/>
      <c r="D1777" s="20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5"/>
      <c r="U1777" s="15"/>
      <c r="V1777" s="15"/>
      <c r="W1777" s="15"/>
    </row>
    <row r="1778">
      <c r="A1778" s="11"/>
      <c r="B1778" s="11"/>
      <c r="C1778" s="20"/>
      <c r="D1778" s="20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5"/>
      <c r="U1778" s="15"/>
      <c r="V1778" s="15"/>
      <c r="W1778" s="15"/>
    </row>
    <row r="1779">
      <c r="A1779" s="11"/>
      <c r="B1779" s="11"/>
      <c r="C1779" s="20"/>
      <c r="D1779" s="20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5"/>
      <c r="U1779" s="15"/>
      <c r="V1779" s="15"/>
      <c r="W1779" s="15"/>
    </row>
    <row r="1780">
      <c r="A1780" s="11"/>
      <c r="B1780" s="11"/>
      <c r="C1780" s="20"/>
      <c r="D1780" s="20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5"/>
      <c r="U1780" s="15"/>
      <c r="V1780" s="15"/>
      <c r="W1780" s="15"/>
    </row>
    <row r="1781">
      <c r="A1781" s="11"/>
      <c r="B1781" s="11"/>
      <c r="C1781" s="20"/>
      <c r="D1781" s="20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5"/>
      <c r="U1781" s="15"/>
      <c r="V1781" s="15"/>
      <c r="W1781" s="15"/>
    </row>
    <row r="1782">
      <c r="A1782" s="11"/>
      <c r="B1782" s="11"/>
      <c r="C1782" s="20"/>
      <c r="D1782" s="20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5"/>
      <c r="U1782" s="15"/>
      <c r="V1782" s="15"/>
      <c r="W1782" s="15"/>
    </row>
    <row r="1783">
      <c r="A1783" s="11"/>
      <c r="B1783" s="11"/>
      <c r="C1783" s="20"/>
      <c r="D1783" s="20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5"/>
      <c r="U1783" s="15"/>
      <c r="V1783" s="15"/>
      <c r="W1783" s="15"/>
    </row>
    <row r="1784">
      <c r="A1784" s="11"/>
      <c r="B1784" s="11"/>
      <c r="C1784" s="20"/>
      <c r="D1784" s="20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5"/>
      <c r="U1784" s="15"/>
      <c r="V1784" s="15"/>
      <c r="W1784" s="15"/>
    </row>
    <row r="1785">
      <c r="A1785" s="11"/>
      <c r="B1785" s="11"/>
      <c r="C1785" s="20"/>
      <c r="D1785" s="20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5"/>
      <c r="U1785" s="15"/>
      <c r="V1785" s="15"/>
      <c r="W1785" s="15"/>
    </row>
    <row r="1786">
      <c r="A1786" s="11"/>
      <c r="B1786" s="11"/>
      <c r="C1786" s="20"/>
      <c r="D1786" s="20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5"/>
      <c r="U1786" s="15"/>
      <c r="V1786" s="15"/>
      <c r="W1786" s="15"/>
    </row>
    <row r="1787">
      <c r="A1787" s="11"/>
      <c r="B1787" s="11"/>
      <c r="C1787" s="20"/>
      <c r="D1787" s="20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5"/>
      <c r="U1787" s="15"/>
      <c r="V1787" s="15"/>
      <c r="W1787" s="15"/>
    </row>
    <row r="1788">
      <c r="A1788" s="11"/>
      <c r="B1788" s="11"/>
      <c r="C1788" s="20"/>
      <c r="D1788" s="20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5"/>
      <c r="U1788" s="15"/>
      <c r="V1788" s="15"/>
      <c r="W1788" s="15"/>
    </row>
    <row r="1789">
      <c r="A1789" s="11"/>
      <c r="B1789" s="11"/>
      <c r="C1789" s="20"/>
      <c r="D1789" s="20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5"/>
      <c r="U1789" s="15"/>
      <c r="V1789" s="15"/>
      <c r="W1789" s="15"/>
    </row>
    <row r="1790">
      <c r="A1790" s="11"/>
      <c r="B1790" s="11"/>
      <c r="C1790" s="20"/>
      <c r="D1790" s="20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5"/>
      <c r="U1790" s="15"/>
      <c r="V1790" s="15"/>
      <c r="W1790" s="15"/>
    </row>
    <row r="1791">
      <c r="A1791" s="11"/>
      <c r="B1791" s="11"/>
      <c r="C1791" s="20"/>
      <c r="D1791" s="20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5"/>
      <c r="U1791" s="15"/>
      <c r="V1791" s="15"/>
      <c r="W1791" s="15"/>
    </row>
    <row r="1792">
      <c r="A1792" s="11"/>
      <c r="B1792" s="11"/>
      <c r="C1792" s="20"/>
      <c r="D1792" s="20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5"/>
      <c r="U1792" s="15"/>
      <c r="V1792" s="15"/>
      <c r="W1792" s="15"/>
    </row>
    <row r="1793">
      <c r="A1793" s="11"/>
      <c r="B1793" s="11"/>
      <c r="C1793" s="20"/>
      <c r="D1793" s="20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5"/>
      <c r="U1793" s="15"/>
      <c r="V1793" s="15"/>
      <c r="W1793" s="15"/>
    </row>
    <row r="1794">
      <c r="A1794" s="11"/>
      <c r="B1794" s="11"/>
      <c r="C1794" s="20"/>
      <c r="D1794" s="20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5"/>
      <c r="U1794" s="15"/>
      <c r="V1794" s="15"/>
      <c r="W1794" s="15"/>
    </row>
    <row r="1795">
      <c r="A1795" s="11"/>
      <c r="B1795" s="11"/>
      <c r="C1795" s="20"/>
      <c r="D1795" s="20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5"/>
      <c r="U1795" s="15"/>
      <c r="V1795" s="15"/>
      <c r="W1795" s="15"/>
    </row>
    <row r="1796">
      <c r="A1796" s="11"/>
      <c r="B1796" s="11"/>
      <c r="C1796" s="20"/>
      <c r="D1796" s="20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5"/>
      <c r="U1796" s="15"/>
      <c r="V1796" s="15"/>
      <c r="W1796" s="15"/>
    </row>
    <row r="1797">
      <c r="A1797" s="11"/>
      <c r="B1797" s="11"/>
      <c r="C1797" s="20"/>
      <c r="D1797" s="20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5"/>
      <c r="U1797" s="15"/>
      <c r="V1797" s="15"/>
      <c r="W1797" s="15"/>
    </row>
    <row r="1798">
      <c r="A1798" s="11"/>
      <c r="B1798" s="11"/>
      <c r="C1798" s="20"/>
      <c r="D1798" s="20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5"/>
      <c r="U1798" s="15"/>
      <c r="V1798" s="15"/>
      <c r="W1798" s="15"/>
    </row>
    <row r="1799">
      <c r="A1799" s="11"/>
      <c r="B1799" s="11"/>
      <c r="C1799" s="20"/>
      <c r="D1799" s="20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5"/>
      <c r="U1799" s="15"/>
      <c r="V1799" s="15"/>
      <c r="W1799" s="15"/>
    </row>
    <row r="1800">
      <c r="A1800" s="11"/>
      <c r="B1800" s="11"/>
      <c r="C1800" s="20"/>
      <c r="D1800" s="20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5"/>
      <c r="U1800" s="15"/>
      <c r="V1800" s="15"/>
      <c r="W1800" s="15"/>
    </row>
    <row r="1801">
      <c r="A1801" s="11"/>
      <c r="B1801" s="11"/>
      <c r="C1801" s="20"/>
      <c r="D1801" s="20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5"/>
      <c r="U1801" s="15"/>
      <c r="V1801" s="15"/>
      <c r="W1801" s="15"/>
    </row>
    <row r="1802">
      <c r="A1802" s="11"/>
      <c r="B1802" s="11"/>
      <c r="C1802" s="20"/>
      <c r="D1802" s="20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5"/>
      <c r="U1802" s="15"/>
      <c r="V1802" s="15"/>
      <c r="W1802" s="15"/>
    </row>
    <row r="1803">
      <c r="A1803" s="11"/>
      <c r="B1803" s="11"/>
      <c r="C1803" s="20"/>
      <c r="D1803" s="20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5"/>
      <c r="U1803" s="15"/>
      <c r="V1803" s="15"/>
      <c r="W1803" s="15"/>
    </row>
    <row r="1804">
      <c r="A1804" s="11"/>
      <c r="B1804" s="11"/>
      <c r="C1804" s="20"/>
      <c r="D1804" s="20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5"/>
      <c r="U1804" s="15"/>
      <c r="V1804" s="15"/>
      <c r="W1804" s="15"/>
    </row>
    <row r="1805">
      <c r="A1805" s="11"/>
      <c r="B1805" s="11"/>
      <c r="C1805" s="20"/>
      <c r="D1805" s="20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5"/>
      <c r="U1805" s="15"/>
      <c r="V1805" s="15"/>
      <c r="W1805" s="15"/>
    </row>
    <row r="1806">
      <c r="A1806" s="11"/>
      <c r="B1806" s="11"/>
      <c r="C1806" s="20"/>
      <c r="D1806" s="20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5"/>
      <c r="U1806" s="15"/>
      <c r="V1806" s="15"/>
      <c r="W1806" s="15"/>
    </row>
    <row r="1807">
      <c r="A1807" s="11"/>
      <c r="B1807" s="11"/>
      <c r="C1807" s="20"/>
      <c r="D1807" s="20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5"/>
      <c r="U1807" s="15"/>
      <c r="V1807" s="15"/>
      <c r="W1807" s="15"/>
    </row>
    <row r="1808">
      <c r="A1808" s="11"/>
      <c r="B1808" s="11"/>
      <c r="C1808" s="20"/>
      <c r="D1808" s="20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5"/>
      <c r="U1808" s="15"/>
      <c r="V1808" s="15"/>
      <c r="W1808" s="15"/>
    </row>
    <row r="1809">
      <c r="A1809" s="11"/>
      <c r="B1809" s="11"/>
      <c r="C1809" s="20"/>
      <c r="D1809" s="20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5"/>
      <c r="U1809" s="15"/>
      <c r="V1809" s="15"/>
      <c r="W1809" s="15"/>
    </row>
    <row r="1810">
      <c r="A1810" s="11"/>
      <c r="B1810" s="11"/>
      <c r="C1810" s="20"/>
      <c r="D1810" s="20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5"/>
      <c r="U1810" s="15"/>
      <c r="V1810" s="15"/>
      <c r="W1810" s="15"/>
    </row>
    <row r="1811">
      <c r="A1811" s="11"/>
      <c r="B1811" s="11"/>
      <c r="C1811" s="20"/>
      <c r="D1811" s="20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5"/>
      <c r="U1811" s="15"/>
      <c r="V1811" s="15"/>
      <c r="W1811" s="15"/>
    </row>
    <row r="1812">
      <c r="A1812" s="11"/>
      <c r="B1812" s="11"/>
      <c r="C1812" s="20"/>
      <c r="D1812" s="20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5"/>
      <c r="U1812" s="15"/>
      <c r="V1812" s="15"/>
      <c r="W1812" s="15"/>
    </row>
    <row r="1813">
      <c r="A1813" s="11"/>
      <c r="B1813" s="11"/>
      <c r="C1813" s="20"/>
      <c r="D1813" s="20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5"/>
      <c r="U1813" s="15"/>
      <c r="V1813" s="15"/>
      <c r="W1813" s="15"/>
    </row>
    <row r="1814">
      <c r="A1814" s="11"/>
      <c r="B1814" s="11"/>
      <c r="C1814" s="20"/>
      <c r="D1814" s="20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5"/>
      <c r="U1814" s="15"/>
      <c r="V1814" s="15"/>
      <c r="W1814" s="15"/>
    </row>
    <row r="1815">
      <c r="A1815" s="11"/>
      <c r="B1815" s="11"/>
      <c r="C1815" s="20"/>
      <c r="D1815" s="20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5"/>
      <c r="U1815" s="15"/>
      <c r="V1815" s="15"/>
      <c r="W1815" s="15"/>
    </row>
    <row r="1816">
      <c r="A1816" s="11"/>
      <c r="B1816" s="11"/>
      <c r="C1816" s="20"/>
      <c r="D1816" s="20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5"/>
      <c r="U1816" s="15"/>
      <c r="V1816" s="15"/>
      <c r="W1816" s="15"/>
    </row>
    <row r="1817">
      <c r="A1817" s="11"/>
      <c r="B1817" s="11"/>
      <c r="C1817" s="20"/>
      <c r="D1817" s="20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5"/>
      <c r="U1817" s="15"/>
      <c r="V1817" s="15"/>
      <c r="W1817" s="15"/>
    </row>
    <row r="1818">
      <c r="A1818" s="11"/>
      <c r="B1818" s="11"/>
      <c r="C1818" s="20"/>
      <c r="D1818" s="20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5"/>
      <c r="U1818" s="15"/>
      <c r="V1818" s="15"/>
      <c r="W1818" s="15"/>
    </row>
    <row r="1819">
      <c r="A1819" s="11"/>
      <c r="B1819" s="11"/>
      <c r="C1819" s="20"/>
      <c r="D1819" s="20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5"/>
      <c r="U1819" s="15"/>
      <c r="V1819" s="15"/>
      <c r="W1819" s="15"/>
    </row>
    <row r="1820">
      <c r="A1820" s="11"/>
      <c r="B1820" s="11"/>
      <c r="C1820" s="20"/>
      <c r="D1820" s="20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5"/>
      <c r="U1820" s="15"/>
      <c r="V1820" s="15"/>
      <c r="W1820" s="15"/>
    </row>
    <row r="1821">
      <c r="A1821" s="11"/>
      <c r="B1821" s="11"/>
      <c r="C1821" s="20"/>
      <c r="D1821" s="20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5"/>
      <c r="U1821" s="15"/>
      <c r="V1821" s="15"/>
      <c r="W1821" s="15"/>
    </row>
    <row r="1822">
      <c r="A1822" s="11"/>
      <c r="B1822" s="11"/>
      <c r="C1822" s="20"/>
      <c r="D1822" s="20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5"/>
      <c r="U1822" s="15"/>
      <c r="V1822" s="15"/>
      <c r="W1822" s="15"/>
    </row>
    <row r="1823">
      <c r="A1823" s="11"/>
      <c r="B1823" s="11"/>
      <c r="C1823" s="20"/>
      <c r="D1823" s="20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5"/>
      <c r="U1823" s="15"/>
      <c r="V1823" s="15"/>
      <c r="W1823" s="15"/>
    </row>
    <row r="1824">
      <c r="A1824" s="11"/>
      <c r="B1824" s="11"/>
      <c r="C1824" s="20"/>
      <c r="D1824" s="20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5"/>
      <c r="U1824" s="15"/>
      <c r="V1824" s="15"/>
      <c r="W1824" s="15"/>
    </row>
    <row r="1825">
      <c r="A1825" s="11"/>
      <c r="B1825" s="11"/>
      <c r="C1825" s="20"/>
      <c r="D1825" s="20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5"/>
      <c r="U1825" s="15"/>
      <c r="V1825" s="15"/>
      <c r="W1825" s="15"/>
    </row>
    <row r="1826">
      <c r="A1826" s="11"/>
      <c r="B1826" s="11"/>
      <c r="C1826" s="20"/>
      <c r="D1826" s="20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5"/>
      <c r="U1826" s="15"/>
      <c r="V1826" s="15"/>
      <c r="W1826" s="15"/>
    </row>
    <row r="1827">
      <c r="A1827" s="11"/>
      <c r="B1827" s="11"/>
      <c r="C1827" s="20"/>
      <c r="D1827" s="20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5"/>
      <c r="U1827" s="15"/>
      <c r="V1827" s="15"/>
      <c r="W1827" s="15"/>
    </row>
    <row r="1828">
      <c r="A1828" s="11"/>
      <c r="B1828" s="11"/>
      <c r="C1828" s="20"/>
      <c r="D1828" s="20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5"/>
      <c r="U1828" s="15"/>
      <c r="V1828" s="15"/>
      <c r="W1828" s="15"/>
    </row>
    <row r="1829">
      <c r="A1829" s="11"/>
      <c r="B1829" s="11"/>
      <c r="C1829" s="20"/>
      <c r="D1829" s="20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5"/>
      <c r="U1829" s="15"/>
      <c r="V1829" s="15"/>
      <c r="W1829" s="15"/>
    </row>
    <row r="1830">
      <c r="A1830" s="11"/>
      <c r="B1830" s="11"/>
      <c r="C1830" s="20"/>
      <c r="D1830" s="20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5"/>
      <c r="U1830" s="15"/>
      <c r="V1830" s="15"/>
      <c r="W1830" s="15"/>
    </row>
    <row r="1831">
      <c r="A1831" s="11"/>
      <c r="B1831" s="11"/>
      <c r="C1831" s="20"/>
      <c r="D1831" s="20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5"/>
      <c r="U1831" s="15"/>
      <c r="V1831" s="15"/>
      <c r="W1831" s="15"/>
    </row>
    <row r="1832">
      <c r="A1832" s="11"/>
      <c r="B1832" s="11"/>
      <c r="C1832" s="20"/>
      <c r="D1832" s="20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5"/>
      <c r="U1832" s="15"/>
      <c r="V1832" s="15"/>
      <c r="W1832" s="15"/>
    </row>
    <row r="1833">
      <c r="A1833" s="11"/>
      <c r="B1833" s="11"/>
      <c r="C1833" s="20"/>
      <c r="D1833" s="20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5"/>
      <c r="U1833" s="15"/>
      <c r="V1833" s="15"/>
      <c r="W1833" s="15"/>
    </row>
    <row r="1834">
      <c r="A1834" s="11"/>
      <c r="B1834" s="11"/>
      <c r="C1834" s="20"/>
      <c r="D1834" s="20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5"/>
      <c r="U1834" s="15"/>
      <c r="V1834" s="15"/>
      <c r="W1834" s="15"/>
    </row>
    <row r="1835">
      <c r="A1835" s="11"/>
      <c r="B1835" s="11"/>
      <c r="C1835" s="20"/>
      <c r="D1835" s="20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5"/>
      <c r="U1835" s="15"/>
      <c r="V1835" s="15"/>
      <c r="W1835" s="15"/>
    </row>
    <row r="1836">
      <c r="A1836" s="11"/>
      <c r="B1836" s="11"/>
      <c r="C1836" s="20"/>
      <c r="D1836" s="20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5"/>
      <c r="U1836" s="15"/>
      <c r="V1836" s="15"/>
      <c r="W1836" s="15"/>
    </row>
    <row r="1837">
      <c r="A1837" s="11"/>
      <c r="B1837" s="11"/>
      <c r="C1837" s="20"/>
      <c r="D1837" s="20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5"/>
      <c r="U1837" s="15"/>
      <c r="V1837" s="15"/>
      <c r="W1837" s="15"/>
    </row>
    <row r="1838">
      <c r="A1838" s="11"/>
      <c r="B1838" s="11"/>
      <c r="C1838" s="20"/>
      <c r="D1838" s="20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5"/>
      <c r="U1838" s="15"/>
      <c r="V1838" s="15"/>
      <c r="W1838" s="15"/>
    </row>
    <row r="1839">
      <c r="A1839" s="11"/>
      <c r="B1839" s="11"/>
      <c r="C1839" s="20"/>
      <c r="D1839" s="20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5"/>
      <c r="U1839" s="15"/>
      <c r="V1839" s="15"/>
      <c r="W1839" s="15"/>
    </row>
    <row r="1840">
      <c r="A1840" s="11"/>
      <c r="B1840" s="11"/>
      <c r="C1840" s="20"/>
      <c r="D1840" s="20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5"/>
      <c r="U1840" s="15"/>
      <c r="V1840" s="15"/>
      <c r="W1840" s="15"/>
    </row>
    <row r="1841">
      <c r="A1841" s="11"/>
      <c r="B1841" s="11"/>
      <c r="C1841" s="20"/>
      <c r="D1841" s="20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5"/>
      <c r="U1841" s="15"/>
      <c r="V1841" s="15"/>
      <c r="W1841" s="15"/>
    </row>
    <row r="1842">
      <c r="A1842" s="11"/>
      <c r="B1842" s="11"/>
      <c r="C1842" s="20"/>
      <c r="D1842" s="20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5"/>
      <c r="U1842" s="15"/>
      <c r="V1842" s="15"/>
      <c r="W1842" s="15"/>
    </row>
    <row r="1843">
      <c r="A1843" s="11"/>
      <c r="B1843" s="11"/>
      <c r="C1843" s="20"/>
      <c r="D1843" s="20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5"/>
      <c r="U1843" s="15"/>
      <c r="V1843" s="15"/>
      <c r="W1843" s="15"/>
    </row>
    <row r="1844">
      <c r="A1844" s="11"/>
      <c r="B1844" s="11"/>
      <c r="C1844" s="20"/>
      <c r="D1844" s="20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5"/>
      <c r="U1844" s="15"/>
      <c r="V1844" s="15"/>
      <c r="W1844" s="15"/>
    </row>
    <row r="1845">
      <c r="A1845" s="11"/>
      <c r="B1845" s="11"/>
      <c r="C1845" s="20"/>
      <c r="D1845" s="20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5"/>
      <c r="U1845" s="15"/>
      <c r="V1845" s="15"/>
      <c r="W1845" s="15"/>
    </row>
    <row r="1846">
      <c r="A1846" s="11"/>
      <c r="B1846" s="11"/>
      <c r="C1846" s="20"/>
      <c r="D1846" s="20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5"/>
      <c r="U1846" s="15"/>
      <c r="V1846" s="15"/>
      <c r="W1846" s="15"/>
    </row>
    <row r="1847">
      <c r="A1847" s="11"/>
      <c r="B1847" s="11"/>
      <c r="C1847" s="20"/>
      <c r="D1847" s="20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5"/>
      <c r="U1847" s="15"/>
      <c r="V1847" s="15"/>
      <c r="W1847" s="15"/>
    </row>
    <row r="1848">
      <c r="A1848" s="11"/>
      <c r="B1848" s="11"/>
      <c r="C1848" s="20"/>
      <c r="D1848" s="20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5"/>
      <c r="U1848" s="15"/>
      <c r="V1848" s="15"/>
      <c r="W1848" s="15"/>
    </row>
    <row r="1849">
      <c r="A1849" s="11"/>
      <c r="B1849" s="11"/>
      <c r="C1849" s="20"/>
      <c r="D1849" s="20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5"/>
      <c r="U1849" s="15"/>
      <c r="V1849" s="15"/>
      <c r="W1849" s="15"/>
    </row>
    <row r="1850">
      <c r="A1850" s="11"/>
      <c r="B1850" s="11"/>
      <c r="C1850" s="20"/>
      <c r="D1850" s="20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5"/>
      <c r="U1850" s="15"/>
      <c r="V1850" s="15"/>
      <c r="W1850" s="15"/>
    </row>
    <row r="1851">
      <c r="A1851" s="11"/>
      <c r="B1851" s="11"/>
      <c r="C1851" s="20"/>
      <c r="D1851" s="20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5"/>
      <c r="U1851" s="15"/>
      <c r="V1851" s="15"/>
      <c r="W1851" s="15"/>
    </row>
    <row r="1852">
      <c r="A1852" s="11"/>
      <c r="B1852" s="11"/>
      <c r="C1852" s="20"/>
      <c r="D1852" s="20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5"/>
      <c r="U1852" s="15"/>
      <c r="V1852" s="15"/>
      <c r="W1852" s="15"/>
    </row>
    <row r="1853">
      <c r="A1853" s="11"/>
      <c r="B1853" s="11"/>
      <c r="C1853" s="20"/>
      <c r="D1853" s="20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5"/>
      <c r="U1853" s="15"/>
      <c r="V1853" s="15"/>
      <c r="W1853" s="15"/>
    </row>
    <row r="1854">
      <c r="A1854" s="11"/>
      <c r="B1854" s="11"/>
      <c r="C1854" s="20"/>
      <c r="D1854" s="20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5"/>
      <c r="U1854" s="15"/>
      <c r="V1854" s="15"/>
      <c r="W1854" s="15"/>
    </row>
    <row r="1855">
      <c r="A1855" s="11"/>
      <c r="B1855" s="11"/>
      <c r="C1855" s="20"/>
      <c r="D1855" s="20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5"/>
      <c r="U1855" s="15"/>
      <c r="V1855" s="15"/>
      <c r="W1855" s="15"/>
    </row>
    <row r="1856">
      <c r="A1856" s="11"/>
      <c r="B1856" s="11"/>
      <c r="C1856" s="20"/>
      <c r="D1856" s="20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5"/>
      <c r="U1856" s="15"/>
      <c r="V1856" s="15"/>
      <c r="W1856" s="15"/>
    </row>
    <row r="1857">
      <c r="A1857" s="11"/>
      <c r="B1857" s="11"/>
      <c r="C1857" s="20"/>
      <c r="D1857" s="20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5"/>
      <c r="U1857" s="15"/>
      <c r="V1857" s="15"/>
      <c r="W1857" s="15"/>
    </row>
    <row r="1858">
      <c r="A1858" s="11"/>
      <c r="B1858" s="11"/>
      <c r="C1858" s="20"/>
      <c r="D1858" s="20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5"/>
      <c r="U1858" s="15"/>
      <c r="V1858" s="15"/>
      <c r="W1858" s="15"/>
    </row>
    <row r="1859">
      <c r="A1859" s="11"/>
      <c r="B1859" s="11"/>
      <c r="C1859" s="20"/>
      <c r="D1859" s="20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5"/>
      <c r="U1859" s="15"/>
      <c r="V1859" s="15"/>
      <c r="W1859" s="15"/>
    </row>
    <row r="1860">
      <c r="A1860" s="11"/>
      <c r="B1860" s="11"/>
      <c r="C1860" s="20"/>
      <c r="D1860" s="20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5"/>
      <c r="U1860" s="15"/>
      <c r="V1860" s="15"/>
      <c r="W1860" s="15"/>
    </row>
    <row r="1861">
      <c r="A1861" s="11"/>
      <c r="B1861" s="11"/>
      <c r="C1861" s="20"/>
      <c r="D1861" s="20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5"/>
      <c r="U1861" s="15"/>
      <c r="V1861" s="15"/>
      <c r="W1861" s="15"/>
    </row>
    <row r="1862">
      <c r="A1862" s="11"/>
      <c r="B1862" s="11"/>
      <c r="C1862" s="20"/>
      <c r="D1862" s="20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5"/>
      <c r="U1862" s="15"/>
      <c r="V1862" s="15"/>
      <c r="W1862" s="15"/>
    </row>
    <row r="1863">
      <c r="A1863" s="11"/>
      <c r="B1863" s="11"/>
      <c r="C1863" s="20"/>
      <c r="D1863" s="20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5"/>
      <c r="U1863" s="15"/>
      <c r="V1863" s="15"/>
      <c r="W1863" s="15"/>
    </row>
    <row r="1864">
      <c r="A1864" s="11"/>
      <c r="B1864" s="11"/>
      <c r="C1864" s="20"/>
      <c r="D1864" s="20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5"/>
      <c r="U1864" s="15"/>
      <c r="V1864" s="15"/>
      <c r="W1864" s="15"/>
    </row>
    <row r="1865">
      <c r="A1865" s="11"/>
      <c r="B1865" s="11"/>
      <c r="C1865" s="20"/>
      <c r="D1865" s="20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5"/>
      <c r="U1865" s="15"/>
      <c r="V1865" s="15"/>
      <c r="W1865" s="15"/>
    </row>
    <row r="1866">
      <c r="A1866" s="11"/>
      <c r="B1866" s="11"/>
      <c r="C1866" s="20"/>
      <c r="D1866" s="20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5"/>
      <c r="U1866" s="15"/>
      <c r="V1866" s="15"/>
      <c r="W1866" s="15"/>
    </row>
    <row r="1867">
      <c r="A1867" s="11"/>
      <c r="B1867" s="11"/>
      <c r="C1867" s="20"/>
      <c r="D1867" s="20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5"/>
      <c r="U1867" s="15"/>
      <c r="V1867" s="15"/>
      <c r="W1867" s="15"/>
    </row>
    <row r="1868">
      <c r="A1868" s="11"/>
      <c r="B1868" s="11"/>
      <c r="C1868" s="20"/>
      <c r="D1868" s="20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5"/>
      <c r="U1868" s="15"/>
      <c r="V1868" s="15"/>
      <c r="W1868" s="15"/>
    </row>
    <row r="1869">
      <c r="A1869" s="11"/>
      <c r="B1869" s="11"/>
      <c r="C1869" s="20"/>
      <c r="D1869" s="20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5"/>
      <c r="U1869" s="15"/>
      <c r="V1869" s="15"/>
      <c r="W1869" s="15"/>
    </row>
    <row r="1870">
      <c r="A1870" s="11"/>
      <c r="B1870" s="11"/>
      <c r="C1870" s="20"/>
      <c r="D1870" s="20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5"/>
      <c r="U1870" s="15"/>
      <c r="V1870" s="15"/>
      <c r="W1870" s="15"/>
    </row>
    <row r="1871">
      <c r="A1871" s="11"/>
      <c r="B1871" s="11"/>
      <c r="C1871" s="20"/>
      <c r="D1871" s="20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5"/>
      <c r="U1871" s="15"/>
      <c r="V1871" s="15"/>
      <c r="W1871" s="15"/>
    </row>
    <row r="1872">
      <c r="A1872" s="11"/>
      <c r="B1872" s="11"/>
      <c r="C1872" s="20"/>
      <c r="D1872" s="20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5"/>
      <c r="U1872" s="15"/>
      <c r="V1872" s="15"/>
      <c r="W1872" s="15"/>
    </row>
    <row r="1873">
      <c r="A1873" s="11"/>
      <c r="B1873" s="11"/>
      <c r="C1873" s="20"/>
      <c r="D1873" s="20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5"/>
      <c r="U1873" s="15"/>
      <c r="V1873" s="15"/>
      <c r="W1873" s="15"/>
    </row>
    <row r="1874">
      <c r="A1874" s="11"/>
      <c r="B1874" s="11"/>
      <c r="C1874" s="20"/>
      <c r="D1874" s="20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5"/>
      <c r="U1874" s="15"/>
      <c r="V1874" s="15"/>
      <c r="W1874" s="15"/>
    </row>
    <row r="1875">
      <c r="A1875" s="11"/>
      <c r="B1875" s="11"/>
      <c r="C1875" s="20"/>
      <c r="D1875" s="20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5"/>
      <c r="U1875" s="15"/>
      <c r="V1875" s="15"/>
      <c r="W1875" s="15"/>
    </row>
    <row r="1876">
      <c r="A1876" s="11"/>
      <c r="B1876" s="11"/>
      <c r="C1876" s="20"/>
      <c r="D1876" s="20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5"/>
      <c r="U1876" s="15"/>
      <c r="V1876" s="15"/>
      <c r="W1876" s="15"/>
    </row>
    <row r="1877">
      <c r="A1877" s="11"/>
      <c r="B1877" s="11"/>
      <c r="C1877" s="20"/>
      <c r="D1877" s="20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5"/>
      <c r="U1877" s="15"/>
      <c r="V1877" s="15"/>
      <c r="W1877" s="15"/>
    </row>
    <row r="1878">
      <c r="A1878" s="11"/>
      <c r="B1878" s="11"/>
      <c r="C1878" s="20"/>
      <c r="D1878" s="20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5"/>
      <c r="U1878" s="15"/>
      <c r="V1878" s="15"/>
      <c r="W1878" s="15"/>
    </row>
    <row r="1879">
      <c r="A1879" s="11"/>
      <c r="B1879" s="11"/>
      <c r="C1879" s="20"/>
      <c r="D1879" s="20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5"/>
      <c r="U1879" s="15"/>
      <c r="V1879" s="15"/>
      <c r="W1879" s="15"/>
    </row>
    <row r="1880">
      <c r="A1880" s="11"/>
      <c r="B1880" s="11"/>
      <c r="C1880" s="20"/>
      <c r="D1880" s="20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5"/>
      <c r="U1880" s="15"/>
      <c r="V1880" s="15"/>
      <c r="W1880" s="15"/>
    </row>
    <row r="1881">
      <c r="A1881" s="11"/>
      <c r="B1881" s="11"/>
      <c r="C1881" s="20"/>
      <c r="D1881" s="20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5"/>
      <c r="U1881" s="15"/>
      <c r="V1881" s="15"/>
      <c r="W1881" s="15"/>
    </row>
    <row r="1882">
      <c r="A1882" s="11"/>
      <c r="B1882" s="11"/>
      <c r="C1882" s="20"/>
      <c r="D1882" s="20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5"/>
      <c r="U1882" s="15"/>
      <c r="V1882" s="15"/>
      <c r="W1882" s="15"/>
    </row>
    <row r="1883">
      <c r="A1883" s="11"/>
      <c r="B1883" s="11"/>
      <c r="C1883" s="20"/>
      <c r="D1883" s="20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5"/>
      <c r="U1883" s="15"/>
      <c r="V1883" s="15"/>
      <c r="W1883" s="15"/>
    </row>
    <row r="1884">
      <c r="A1884" s="11"/>
      <c r="B1884" s="11"/>
      <c r="C1884" s="20"/>
      <c r="D1884" s="20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5"/>
      <c r="U1884" s="15"/>
      <c r="V1884" s="15"/>
      <c r="W1884" s="15"/>
    </row>
    <row r="1885">
      <c r="A1885" s="11"/>
      <c r="B1885" s="11"/>
      <c r="C1885" s="20"/>
      <c r="D1885" s="20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5"/>
      <c r="U1885" s="15"/>
      <c r="V1885" s="15"/>
      <c r="W1885" s="15"/>
    </row>
    <row r="1886">
      <c r="A1886" s="11"/>
      <c r="B1886" s="11"/>
      <c r="C1886" s="20"/>
      <c r="D1886" s="20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5"/>
      <c r="U1886" s="15"/>
      <c r="V1886" s="15"/>
      <c r="W1886" s="15"/>
    </row>
    <row r="1887">
      <c r="A1887" s="11"/>
      <c r="B1887" s="11"/>
      <c r="C1887" s="20"/>
      <c r="D1887" s="20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5"/>
      <c r="U1887" s="15"/>
      <c r="V1887" s="15"/>
      <c r="W1887" s="15"/>
    </row>
    <row r="1888">
      <c r="A1888" s="11"/>
      <c r="B1888" s="11"/>
      <c r="C1888" s="20"/>
      <c r="D1888" s="20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5"/>
      <c r="U1888" s="15"/>
      <c r="V1888" s="15"/>
      <c r="W1888" s="15"/>
    </row>
    <row r="1889">
      <c r="A1889" s="11"/>
      <c r="B1889" s="11"/>
      <c r="C1889" s="20"/>
      <c r="D1889" s="20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5"/>
      <c r="U1889" s="15"/>
      <c r="V1889" s="15"/>
      <c r="W1889" s="15"/>
    </row>
    <row r="1890">
      <c r="A1890" s="11"/>
      <c r="B1890" s="11"/>
      <c r="C1890" s="20"/>
      <c r="D1890" s="20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5"/>
      <c r="U1890" s="15"/>
      <c r="V1890" s="15"/>
      <c r="W1890" s="15"/>
    </row>
    <row r="1891">
      <c r="A1891" s="11"/>
      <c r="B1891" s="11"/>
      <c r="C1891" s="20"/>
      <c r="D1891" s="20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5"/>
      <c r="U1891" s="15"/>
      <c r="V1891" s="15"/>
      <c r="W1891" s="15"/>
    </row>
    <row r="1892">
      <c r="A1892" s="11"/>
      <c r="B1892" s="11"/>
      <c r="C1892" s="20"/>
      <c r="D1892" s="20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5"/>
      <c r="U1892" s="15"/>
      <c r="V1892" s="15"/>
      <c r="W1892" s="15"/>
    </row>
    <row r="1893">
      <c r="A1893" s="11"/>
      <c r="B1893" s="11"/>
      <c r="C1893" s="20"/>
      <c r="D1893" s="20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5"/>
      <c r="U1893" s="15"/>
      <c r="V1893" s="15"/>
      <c r="W1893" s="15"/>
    </row>
    <row r="1894">
      <c r="A1894" s="11"/>
      <c r="B1894" s="11"/>
      <c r="C1894" s="20"/>
      <c r="D1894" s="20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5"/>
      <c r="U1894" s="15"/>
      <c r="V1894" s="15"/>
      <c r="W1894" s="15"/>
    </row>
    <row r="1895">
      <c r="A1895" s="11"/>
      <c r="B1895" s="11"/>
      <c r="C1895" s="20"/>
      <c r="D1895" s="20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5"/>
      <c r="U1895" s="15"/>
      <c r="V1895" s="15"/>
      <c r="W1895" s="15"/>
    </row>
    <row r="1896">
      <c r="A1896" s="11"/>
      <c r="B1896" s="11"/>
      <c r="C1896" s="20"/>
      <c r="D1896" s="20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5"/>
      <c r="U1896" s="15"/>
      <c r="V1896" s="15"/>
      <c r="W1896" s="15"/>
    </row>
    <row r="1897">
      <c r="A1897" s="11"/>
      <c r="B1897" s="11"/>
      <c r="C1897" s="20"/>
      <c r="D1897" s="20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5"/>
      <c r="U1897" s="15"/>
      <c r="V1897" s="15"/>
      <c r="W1897" s="15"/>
    </row>
    <row r="1898">
      <c r="A1898" s="11"/>
      <c r="B1898" s="11"/>
      <c r="C1898" s="20"/>
      <c r="D1898" s="20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5"/>
      <c r="U1898" s="15"/>
      <c r="V1898" s="15"/>
      <c r="W1898" s="15"/>
    </row>
    <row r="1899">
      <c r="A1899" s="11"/>
      <c r="B1899" s="11"/>
      <c r="C1899" s="20"/>
      <c r="D1899" s="20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5"/>
      <c r="U1899" s="15"/>
      <c r="V1899" s="15"/>
      <c r="W1899" s="15"/>
    </row>
    <row r="1900">
      <c r="A1900" s="11"/>
      <c r="B1900" s="11"/>
      <c r="C1900" s="20"/>
      <c r="D1900" s="20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5"/>
      <c r="U1900" s="15"/>
      <c r="V1900" s="15"/>
      <c r="W1900" s="15"/>
    </row>
    <row r="1901">
      <c r="A1901" s="11"/>
      <c r="B1901" s="11"/>
      <c r="C1901" s="20"/>
      <c r="D1901" s="20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5"/>
      <c r="U1901" s="15"/>
      <c r="V1901" s="15"/>
      <c r="W1901" s="15"/>
    </row>
    <row r="1902">
      <c r="A1902" s="11"/>
      <c r="B1902" s="11"/>
      <c r="C1902" s="20"/>
      <c r="D1902" s="20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5"/>
      <c r="U1902" s="15"/>
      <c r="V1902" s="15"/>
      <c r="W1902" s="15"/>
    </row>
    <row r="1903">
      <c r="A1903" s="11"/>
      <c r="B1903" s="11"/>
      <c r="C1903" s="20"/>
      <c r="D1903" s="20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5"/>
      <c r="U1903" s="15"/>
      <c r="V1903" s="15"/>
      <c r="W1903" s="15"/>
    </row>
    <row r="1904">
      <c r="A1904" s="11"/>
      <c r="B1904" s="11"/>
      <c r="C1904" s="20"/>
      <c r="D1904" s="20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5"/>
      <c r="U1904" s="15"/>
      <c r="V1904" s="15"/>
      <c r="W1904" s="15"/>
    </row>
    <row r="1905">
      <c r="A1905" s="11"/>
      <c r="B1905" s="11"/>
      <c r="C1905" s="20"/>
      <c r="D1905" s="20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5"/>
      <c r="U1905" s="15"/>
      <c r="V1905" s="15"/>
      <c r="W1905" s="15"/>
    </row>
    <row r="1906">
      <c r="A1906" s="11"/>
      <c r="B1906" s="11"/>
      <c r="C1906" s="20"/>
      <c r="D1906" s="20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5"/>
      <c r="U1906" s="15"/>
      <c r="V1906" s="15"/>
      <c r="W1906" s="15"/>
    </row>
    <row r="1907">
      <c r="A1907" s="11"/>
      <c r="B1907" s="11"/>
      <c r="C1907" s="20"/>
      <c r="D1907" s="20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5"/>
      <c r="U1907" s="15"/>
      <c r="V1907" s="15"/>
      <c r="W1907" s="15"/>
    </row>
    <row r="1908">
      <c r="A1908" s="11"/>
      <c r="B1908" s="11"/>
      <c r="C1908" s="20"/>
      <c r="D1908" s="20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5"/>
      <c r="U1908" s="15"/>
      <c r="V1908" s="15"/>
      <c r="W1908" s="15"/>
    </row>
    <row r="1909">
      <c r="A1909" s="11"/>
      <c r="B1909" s="11"/>
      <c r="C1909" s="20"/>
      <c r="D1909" s="20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5"/>
      <c r="U1909" s="15"/>
      <c r="V1909" s="15"/>
      <c r="W1909" s="15"/>
    </row>
    <row r="1910">
      <c r="A1910" s="11"/>
      <c r="B1910" s="11"/>
      <c r="C1910" s="20"/>
      <c r="D1910" s="20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5"/>
      <c r="U1910" s="15"/>
      <c r="V1910" s="15"/>
      <c r="W1910" s="15"/>
    </row>
    <row r="1911">
      <c r="A1911" s="11"/>
      <c r="B1911" s="11"/>
      <c r="C1911" s="20"/>
      <c r="D1911" s="20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5"/>
      <c r="U1911" s="15"/>
      <c r="V1911" s="15"/>
      <c r="W1911" s="15"/>
    </row>
    <row r="1912">
      <c r="A1912" s="11"/>
      <c r="B1912" s="11"/>
      <c r="C1912" s="20"/>
      <c r="D1912" s="20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5"/>
      <c r="U1912" s="15"/>
      <c r="V1912" s="15"/>
      <c r="W1912" s="15"/>
    </row>
    <row r="1913">
      <c r="A1913" s="11"/>
      <c r="B1913" s="11"/>
      <c r="C1913" s="20"/>
      <c r="D1913" s="20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5"/>
      <c r="U1913" s="15"/>
      <c r="V1913" s="15"/>
      <c r="W1913" s="15"/>
    </row>
    <row r="1914">
      <c r="A1914" s="11"/>
      <c r="B1914" s="11"/>
      <c r="C1914" s="20"/>
      <c r="D1914" s="20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5"/>
      <c r="U1914" s="15"/>
      <c r="V1914" s="15"/>
      <c r="W1914" s="15"/>
    </row>
    <row r="1915">
      <c r="A1915" s="11"/>
      <c r="B1915" s="11"/>
      <c r="C1915" s="20"/>
      <c r="D1915" s="20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5"/>
      <c r="U1915" s="15"/>
      <c r="V1915" s="15"/>
      <c r="W1915" s="15"/>
    </row>
    <row r="1916">
      <c r="A1916" s="11"/>
      <c r="B1916" s="11"/>
      <c r="C1916" s="20"/>
      <c r="D1916" s="20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5"/>
      <c r="U1916" s="15"/>
      <c r="V1916" s="15"/>
      <c r="W1916" s="15"/>
    </row>
    <row r="1917">
      <c r="A1917" s="11"/>
      <c r="B1917" s="11"/>
      <c r="C1917" s="20"/>
      <c r="D1917" s="20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5"/>
      <c r="U1917" s="15"/>
      <c r="V1917" s="15"/>
      <c r="W1917" s="15"/>
    </row>
    <row r="1918">
      <c r="A1918" s="11"/>
      <c r="B1918" s="11"/>
      <c r="C1918" s="20"/>
      <c r="D1918" s="20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5"/>
      <c r="U1918" s="15"/>
      <c r="V1918" s="15"/>
      <c r="W1918" s="15"/>
    </row>
    <row r="1919">
      <c r="A1919" s="11"/>
      <c r="B1919" s="11"/>
      <c r="C1919" s="20"/>
      <c r="D1919" s="20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5"/>
      <c r="U1919" s="15"/>
      <c r="V1919" s="15"/>
      <c r="W1919" s="15"/>
    </row>
    <row r="1920">
      <c r="A1920" s="11"/>
      <c r="B1920" s="11"/>
      <c r="C1920" s="20"/>
      <c r="D1920" s="20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5"/>
      <c r="U1920" s="15"/>
      <c r="V1920" s="15"/>
      <c r="W1920" s="15"/>
    </row>
    <row r="1921">
      <c r="A1921" s="11"/>
      <c r="B1921" s="11"/>
      <c r="C1921" s="20"/>
      <c r="D1921" s="20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5"/>
      <c r="U1921" s="15"/>
      <c r="V1921" s="15"/>
      <c r="W1921" s="15"/>
    </row>
    <row r="1922">
      <c r="A1922" s="11"/>
      <c r="B1922" s="11"/>
      <c r="C1922" s="20"/>
      <c r="D1922" s="20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5"/>
      <c r="U1922" s="15"/>
      <c r="V1922" s="15"/>
      <c r="W1922" s="15"/>
    </row>
    <row r="1923">
      <c r="A1923" s="11"/>
      <c r="B1923" s="11"/>
      <c r="C1923" s="20"/>
      <c r="D1923" s="20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5"/>
      <c r="U1923" s="15"/>
      <c r="V1923" s="15"/>
      <c r="W1923" s="15"/>
    </row>
    <row r="1924">
      <c r="A1924" s="11"/>
      <c r="B1924" s="11"/>
      <c r="C1924" s="20"/>
      <c r="D1924" s="20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5"/>
      <c r="U1924" s="15"/>
      <c r="V1924" s="15"/>
      <c r="W1924" s="15"/>
    </row>
    <row r="1925">
      <c r="A1925" s="11"/>
      <c r="B1925" s="11"/>
      <c r="C1925" s="20"/>
      <c r="D1925" s="20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5"/>
      <c r="U1925" s="15"/>
      <c r="V1925" s="15"/>
      <c r="W1925" s="15"/>
    </row>
    <row r="1926">
      <c r="A1926" s="11"/>
      <c r="B1926" s="11"/>
      <c r="C1926" s="20"/>
      <c r="D1926" s="20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5"/>
      <c r="U1926" s="15"/>
      <c r="V1926" s="15"/>
      <c r="W1926" s="15"/>
    </row>
    <row r="1927">
      <c r="A1927" s="11"/>
      <c r="B1927" s="11"/>
      <c r="C1927" s="20"/>
      <c r="D1927" s="20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5"/>
      <c r="U1927" s="15"/>
      <c r="V1927" s="15"/>
      <c r="W1927" s="15"/>
    </row>
    <row r="1928">
      <c r="A1928" s="11"/>
      <c r="B1928" s="11"/>
      <c r="C1928" s="20"/>
      <c r="D1928" s="20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5"/>
      <c r="U1928" s="15"/>
      <c r="V1928" s="15"/>
      <c r="W1928" s="15"/>
    </row>
    <row r="1929">
      <c r="A1929" s="11"/>
      <c r="B1929" s="11"/>
      <c r="C1929" s="20"/>
      <c r="D1929" s="20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5"/>
      <c r="U1929" s="15"/>
      <c r="V1929" s="15"/>
      <c r="W1929" s="15"/>
    </row>
    <row r="1930">
      <c r="A1930" s="11"/>
      <c r="B1930" s="11"/>
      <c r="C1930" s="20"/>
      <c r="D1930" s="20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5"/>
      <c r="U1930" s="15"/>
      <c r="V1930" s="15"/>
      <c r="W1930" s="15"/>
    </row>
    <row r="1931">
      <c r="A1931" s="11"/>
      <c r="B1931" s="11"/>
      <c r="C1931" s="20"/>
      <c r="D1931" s="20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5"/>
      <c r="U1931" s="15"/>
      <c r="V1931" s="15"/>
      <c r="W1931" s="15"/>
    </row>
    <row r="1932">
      <c r="A1932" s="11"/>
      <c r="B1932" s="11"/>
      <c r="C1932" s="20"/>
      <c r="D1932" s="20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5"/>
      <c r="U1932" s="15"/>
      <c r="V1932" s="15"/>
      <c r="W1932" s="15"/>
    </row>
    <row r="1933">
      <c r="A1933" s="11"/>
      <c r="B1933" s="11"/>
      <c r="C1933" s="20"/>
      <c r="D1933" s="20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5"/>
      <c r="U1933" s="15"/>
      <c r="V1933" s="15"/>
      <c r="W1933" s="15"/>
    </row>
    <row r="1934">
      <c r="A1934" s="11"/>
      <c r="B1934" s="11"/>
      <c r="C1934" s="20"/>
      <c r="D1934" s="20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5"/>
      <c r="U1934" s="15"/>
      <c r="V1934" s="15"/>
      <c r="W1934" s="15"/>
    </row>
    <row r="1935">
      <c r="A1935" s="11"/>
      <c r="B1935" s="11"/>
      <c r="C1935" s="20"/>
      <c r="D1935" s="20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5"/>
      <c r="U1935" s="15"/>
      <c r="V1935" s="15"/>
      <c r="W1935" s="15"/>
    </row>
    <row r="1936">
      <c r="A1936" s="11"/>
      <c r="B1936" s="11"/>
      <c r="C1936" s="20"/>
      <c r="D1936" s="20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5"/>
      <c r="U1936" s="15"/>
      <c r="V1936" s="15"/>
      <c r="W1936" s="15"/>
    </row>
    <row r="1937">
      <c r="A1937" s="11"/>
      <c r="B1937" s="11"/>
      <c r="C1937" s="20"/>
      <c r="D1937" s="20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5"/>
      <c r="U1937" s="15"/>
      <c r="V1937" s="15"/>
      <c r="W1937" s="15"/>
    </row>
    <row r="1938">
      <c r="A1938" s="11"/>
      <c r="B1938" s="11"/>
      <c r="C1938" s="20"/>
      <c r="D1938" s="20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5"/>
      <c r="U1938" s="15"/>
      <c r="V1938" s="15"/>
      <c r="W1938" s="15"/>
    </row>
    <row r="1939">
      <c r="A1939" s="11"/>
      <c r="B1939" s="11"/>
      <c r="C1939" s="20"/>
      <c r="D1939" s="20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5"/>
      <c r="U1939" s="15"/>
      <c r="V1939" s="15"/>
      <c r="W1939" s="15"/>
    </row>
    <row r="1940">
      <c r="A1940" s="11"/>
      <c r="B1940" s="11"/>
      <c r="C1940" s="20"/>
      <c r="D1940" s="20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5"/>
      <c r="U1940" s="15"/>
      <c r="V1940" s="15"/>
      <c r="W1940" s="15"/>
    </row>
    <row r="1941">
      <c r="A1941" s="11"/>
      <c r="B1941" s="11"/>
      <c r="C1941" s="20"/>
      <c r="D1941" s="20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5"/>
      <c r="U1941" s="15"/>
      <c r="V1941" s="15"/>
      <c r="W1941" s="15"/>
    </row>
    <row r="1942">
      <c r="A1942" s="11"/>
      <c r="B1942" s="11"/>
      <c r="C1942" s="20"/>
      <c r="D1942" s="20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5"/>
      <c r="U1942" s="15"/>
      <c r="V1942" s="15"/>
      <c r="W1942" s="15"/>
    </row>
    <row r="1943">
      <c r="A1943" s="11"/>
      <c r="B1943" s="11"/>
      <c r="C1943" s="20"/>
      <c r="D1943" s="20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5"/>
      <c r="U1943" s="15"/>
      <c r="V1943" s="15"/>
      <c r="W1943" s="15"/>
    </row>
    <row r="1944">
      <c r="A1944" s="11"/>
      <c r="B1944" s="11"/>
      <c r="C1944" s="20"/>
      <c r="D1944" s="20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5"/>
      <c r="U1944" s="15"/>
      <c r="V1944" s="15"/>
      <c r="W1944" s="15"/>
    </row>
    <row r="1945">
      <c r="A1945" s="11"/>
      <c r="B1945" s="11"/>
      <c r="C1945" s="20"/>
      <c r="D1945" s="20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5"/>
      <c r="U1945" s="15"/>
      <c r="V1945" s="15"/>
      <c r="W1945" s="15"/>
    </row>
    <row r="1946">
      <c r="A1946" s="11"/>
      <c r="B1946" s="11"/>
      <c r="C1946" s="20"/>
      <c r="D1946" s="20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5"/>
      <c r="U1946" s="15"/>
      <c r="V1946" s="15"/>
      <c r="W1946" s="15"/>
    </row>
    <row r="1947">
      <c r="A1947" s="11"/>
      <c r="B1947" s="11"/>
      <c r="C1947" s="20"/>
      <c r="D1947" s="20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5"/>
      <c r="U1947" s="15"/>
      <c r="V1947" s="15"/>
      <c r="W1947" s="15"/>
    </row>
    <row r="1948">
      <c r="A1948" s="11"/>
      <c r="B1948" s="11"/>
      <c r="C1948" s="20"/>
      <c r="D1948" s="20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5"/>
      <c r="U1948" s="15"/>
      <c r="V1948" s="15"/>
      <c r="W1948" s="15"/>
    </row>
    <row r="1949">
      <c r="A1949" s="11"/>
      <c r="B1949" s="11"/>
      <c r="C1949" s="20"/>
      <c r="D1949" s="20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5"/>
      <c r="U1949" s="15"/>
      <c r="V1949" s="15"/>
      <c r="W1949" s="15"/>
    </row>
    <row r="1950">
      <c r="A1950" s="11"/>
      <c r="B1950" s="11"/>
      <c r="C1950" s="20"/>
      <c r="D1950" s="20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5"/>
      <c r="U1950" s="15"/>
      <c r="V1950" s="15"/>
      <c r="W1950" s="15"/>
    </row>
    <row r="1951">
      <c r="A1951" s="11"/>
      <c r="B1951" s="11"/>
      <c r="C1951" s="20"/>
      <c r="D1951" s="20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5"/>
      <c r="U1951" s="15"/>
      <c r="V1951" s="15"/>
      <c r="W1951" s="15"/>
    </row>
    <row r="1952">
      <c r="A1952" s="11"/>
      <c r="B1952" s="11"/>
      <c r="C1952" s="20"/>
      <c r="D1952" s="20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5"/>
      <c r="U1952" s="15"/>
      <c r="V1952" s="15"/>
      <c r="W1952" s="15"/>
    </row>
    <row r="1953">
      <c r="A1953" s="11"/>
      <c r="B1953" s="11"/>
      <c r="C1953" s="20"/>
      <c r="D1953" s="20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5"/>
      <c r="U1953" s="15"/>
      <c r="V1953" s="15"/>
      <c r="W1953" s="15"/>
    </row>
    <row r="1954">
      <c r="A1954" s="11"/>
      <c r="B1954" s="11"/>
      <c r="C1954" s="20"/>
      <c r="D1954" s="20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5"/>
      <c r="U1954" s="15"/>
      <c r="V1954" s="15"/>
      <c r="W1954" s="15"/>
    </row>
    <row r="1955">
      <c r="A1955" s="11"/>
      <c r="B1955" s="11"/>
      <c r="C1955" s="20"/>
      <c r="D1955" s="20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5"/>
      <c r="U1955" s="15"/>
      <c r="V1955" s="15"/>
      <c r="W1955" s="15"/>
    </row>
    <row r="1956">
      <c r="A1956" s="11"/>
      <c r="B1956" s="11"/>
      <c r="C1956" s="20"/>
      <c r="D1956" s="20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5"/>
      <c r="U1956" s="15"/>
      <c r="V1956" s="15"/>
      <c r="W1956" s="15"/>
    </row>
    <row r="1957">
      <c r="A1957" s="11"/>
      <c r="B1957" s="11"/>
      <c r="C1957" s="20"/>
      <c r="D1957" s="20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5"/>
      <c r="U1957" s="15"/>
      <c r="V1957" s="15"/>
      <c r="W1957" s="15"/>
    </row>
    <row r="1958">
      <c r="A1958" s="11"/>
      <c r="B1958" s="11"/>
      <c r="C1958" s="20"/>
      <c r="D1958" s="20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5"/>
      <c r="U1958" s="15"/>
      <c r="V1958" s="15"/>
      <c r="W1958" s="15"/>
    </row>
    <row r="1959">
      <c r="A1959" s="11"/>
      <c r="B1959" s="11"/>
      <c r="C1959" s="20"/>
      <c r="D1959" s="20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5"/>
      <c r="U1959" s="15"/>
      <c r="V1959" s="15"/>
      <c r="W1959" s="15"/>
    </row>
    <row r="1960">
      <c r="A1960" s="11"/>
      <c r="B1960" s="11"/>
      <c r="C1960" s="20"/>
      <c r="D1960" s="20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5"/>
      <c r="U1960" s="15"/>
      <c r="V1960" s="15"/>
      <c r="W1960" s="15"/>
    </row>
    <row r="1961">
      <c r="A1961" s="11"/>
      <c r="B1961" s="11"/>
      <c r="C1961" s="20"/>
      <c r="D1961" s="20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5"/>
      <c r="U1961" s="15"/>
      <c r="V1961" s="15"/>
      <c r="W1961" s="15"/>
    </row>
    <row r="1962">
      <c r="A1962" s="11"/>
      <c r="B1962" s="11"/>
      <c r="C1962" s="20"/>
      <c r="D1962" s="20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5"/>
      <c r="U1962" s="15"/>
      <c r="V1962" s="15"/>
      <c r="W1962" s="15"/>
    </row>
    <row r="1963">
      <c r="A1963" s="11"/>
      <c r="B1963" s="11"/>
      <c r="C1963" s="20"/>
      <c r="D1963" s="20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5"/>
      <c r="U1963" s="15"/>
      <c r="V1963" s="15"/>
      <c r="W1963" s="15"/>
    </row>
    <row r="1964">
      <c r="A1964" s="11"/>
      <c r="B1964" s="11"/>
      <c r="C1964" s="20"/>
      <c r="D1964" s="20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5"/>
      <c r="U1964" s="15"/>
      <c r="V1964" s="15"/>
      <c r="W1964" s="15"/>
    </row>
    <row r="1965">
      <c r="A1965" s="11"/>
      <c r="B1965" s="11"/>
      <c r="C1965" s="20"/>
      <c r="D1965" s="20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5"/>
      <c r="U1965" s="15"/>
      <c r="V1965" s="15"/>
      <c r="W1965" s="15"/>
    </row>
    <row r="1966">
      <c r="A1966" s="11"/>
      <c r="B1966" s="11"/>
      <c r="C1966" s="20"/>
      <c r="D1966" s="20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5"/>
      <c r="U1966" s="15"/>
      <c r="V1966" s="15"/>
      <c r="W1966" s="15"/>
    </row>
    <row r="1967">
      <c r="A1967" s="11"/>
      <c r="B1967" s="11"/>
      <c r="C1967" s="20"/>
      <c r="D1967" s="20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5"/>
      <c r="U1967" s="15"/>
      <c r="V1967" s="15"/>
      <c r="W1967" s="15"/>
    </row>
    <row r="1968">
      <c r="A1968" s="11"/>
      <c r="B1968" s="11"/>
      <c r="C1968" s="20"/>
      <c r="D1968" s="20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5"/>
      <c r="U1968" s="15"/>
      <c r="V1968" s="15"/>
      <c r="W1968" s="15"/>
    </row>
    <row r="1969">
      <c r="A1969" s="11"/>
      <c r="B1969" s="11"/>
      <c r="C1969" s="20"/>
      <c r="D1969" s="20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5"/>
      <c r="U1969" s="15"/>
      <c r="V1969" s="15"/>
      <c r="W1969" s="15"/>
    </row>
    <row r="1970">
      <c r="A1970" s="11"/>
      <c r="B1970" s="11"/>
      <c r="C1970" s="20"/>
      <c r="D1970" s="20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5"/>
      <c r="U1970" s="15"/>
      <c r="V1970" s="15"/>
      <c r="W1970" s="15"/>
    </row>
    <row r="1971">
      <c r="A1971" s="11"/>
      <c r="B1971" s="11"/>
      <c r="C1971" s="20"/>
      <c r="D1971" s="20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5"/>
      <c r="U1971" s="15"/>
      <c r="V1971" s="15"/>
      <c r="W1971" s="15"/>
    </row>
    <row r="1972">
      <c r="A1972" s="11"/>
      <c r="B1972" s="11"/>
      <c r="C1972" s="20"/>
      <c r="D1972" s="20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5"/>
      <c r="U1972" s="15"/>
      <c r="V1972" s="15"/>
      <c r="W1972" s="15"/>
    </row>
    <row r="1973">
      <c r="A1973" s="11"/>
      <c r="B1973" s="11"/>
      <c r="C1973" s="20"/>
      <c r="D1973" s="20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5"/>
      <c r="U1973" s="15"/>
      <c r="V1973" s="15"/>
      <c r="W1973" s="15"/>
    </row>
    <row r="1974">
      <c r="A1974" s="11"/>
      <c r="B1974" s="11"/>
      <c r="C1974" s="20"/>
      <c r="D1974" s="20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5"/>
      <c r="U1974" s="15"/>
      <c r="V1974" s="15"/>
      <c r="W1974" s="15"/>
    </row>
    <row r="1975">
      <c r="A1975" s="11"/>
      <c r="B1975" s="11"/>
      <c r="C1975" s="20"/>
      <c r="D1975" s="20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5"/>
      <c r="U1975" s="15"/>
      <c r="V1975" s="15"/>
      <c r="W1975" s="15"/>
    </row>
    <row r="1976">
      <c r="A1976" s="11"/>
      <c r="B1976" s="11"/>
      <c r="C1976" s="20"/>
      <c r="D1976" s="20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5"/>
      <c r="U1976" s="15"/>
      <c r="V1976" s="15"/>
      <c r="W1976" s="15"/>
    </row>
    <row r="1977">
      <c r="A1977" s="11"/>
      <c r="B1977" s="11"/>
      <c r="C1977" s="20"/>
      <c r="D1977" s="20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5"/>
      <c r="U1977" s="15"/>
      <c r="V1977" s="15"/>
      <c r="W1977" s="15"/>
    </row>
    <row r="1978">
      <c r="A1978" s="11"/>
      <c r="B1978" s="11"/>
      <c r="C1978" s="20"/>
      <c r="D1978" s="20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5"/>
      <c r="U1978" s="15"/>
      <c r="V1978" s="15"/>
      <c r="W1978" s="15"/>
    </row>
    <row r="1979">
      <c r="A1979" s="11"/>
      <c r="B1979" s="11"/>
      <c r="C1979" s="20"/>
      <c r="D1979" s="20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5"/>
      <c r="U1979" s="15"/>
      <c r="V1979" s="15"/>
      <c r="W1979" s="15"/>
    </row>
    <row r="1980">
      <c r="A1980" s="11"/>
      <c r="B1980" s="11"/>
      <c r="C1980" s="20"/>
      <c r="D1980" s="20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5"/>
      <c r="U1980" s="15"/>
      <c r="V1980" s="15"/>
      <c r="W1980" s="15"/>
    </row>
    <row r="1981">
      <c r="A1981" s="11"/>
      <c r="B1981" s="11"/>
      <c r="C1981" s="20"/>
      <c r="D1981" s="20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5"/>
      <c r="U1981" s="15"/>
      <c r="V1981" s="15"/>
      <c r="W1981" s="15"/>
    </row>
    <row r="1982">
      <c r="A1982" s="11"/>
      <c r="B1982" s="11"/>
      <c r="C1982" s="20"/>
      <c r="D1982" s="20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5"/>
      <c r="U1982" s="15"/>
      <c r="V1982" s="15"/>
      <c r="W1982" s="15"/>
    </row>
    <row r="1983">
      <c r="A1983" s="11"/>
      <c r="B1983" s="11"/>
      <c r="C1983" s="20"/>
      <c r="D1983" s="20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5"/>
      <c r="U1983" s="15"/>
      <c r="V1983" s="15"/>
      <c r="W1983" s="15"/>
    </row>
    <row r="1984">
      <c r="A1984" s="11"/>
      <c r="B1984" s="11"/>
      <c r="C1984" s="20"/>
      <c r="D1984" s="20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5"/>
      <c r="U1984" s="15"/>
      <c r="V1984" s="15"/>
      <c r="W1984" s="15"/>
    </row>
    <row r="1985">
      <c r="A1985" s="11"/>
      <c r="B1985" s="11"/>
      <c r="C1985" s="20"/>
      <c r="D1985" s="20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5"/>
      <c r="U1985" s="15"/>
      <c r="V1985" s="15"/>
      <c r="W1985" s="15"/>
    </row>
    <row r="1986">
      <c r="A1986" s="11"/>
      <c r="B1986" s="11"/>
      <c r="C1986" s="20"/>
      <c r="D1986" s="20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5"/>
      <c r="U1986" s="15"/>
      <c r="V1986" s="15"/>
      <c r="W1986" s="15"/>
    </row>
    <row r="1987">
      <c r="A1987" s="11"/>
      <c r="B1987" s="11"/>
      <c r="C1987" s="20"/>
      <c r="D1987" s="20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5"/>
      <c r="U1987" s="15"/>
      <c r="V1987" s="15"/>
      <c r="W1987" s="15"/>
    </row>
    <row r="1988">
      <c r="A1988" s="11"/>
      <c r="B1988" s="11"/>
      <c r="C1988" s="20"/>
      <c r="D1988" s="20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5"/>
      <c r="U1988" s="15"/>
      <c r="V1988" s="15"/>
      <c r="W1988" s="15"/>
    </row>
    <row r="1989">
      <c r="A1989" s="11"/>
      <c r="B1989" s="11"/>
      <c r="C1989" s="20"/>
      <c r="D1989" s="20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5"/>
      <c r="U1989" s="15"/>
      <c r="V1989" s="15"/>
      <c r="W1989" s="15"/>
    </row>
    <row r="1990">
      <c r="A1990" s="11"/>
      <c r="B1990" s="11"/>
      <c r="C1990" s="20"/>
      <c r="D1990" s="20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5"/>
      <c r="U1990" s="15"/>
      <c r="V1990" s="15"/>
      <c r="W1990" s="15"/>
    </row>
    <row r="1991">
      <c r="A1991" s="11"/>
      <c r="B1991" s="11"/>
      <c r="C1991" s="20"/>
      <c r="D1991" s="20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5"/>
      <c r="U1991" s="15"/>
      <c r="V1991" s="15"/>
      <c r="W1991" s="15"/>
    </row>
    <row r="1992">
      <c r="A1992" s="11"/>
      <c r="B1992" s="11"/>
      <c r="C1992" s="20"/>
      <c r="D1992" s="20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5"/>
      <c r="U1992" s="15"/>
      <c r="V1992" s="15"/>
      <c r="W1992" s="15"/>
    </row>
    <row r="1993">
      <c r="A1993" s="11"/>
      <c r="B1993" s="11"/>
      <c r="C1993" s="20"/>
      <c r="D1993" s="20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5"/>
      <c r="U1993" s="15"/>
      <c r="V1993" s="15"/>
      <c r="W1993" s="15"/>
    </row>
    <row r="1994">
      <c r="A1994" s="11"/>
      <c r="B1994" s="11"/>
      <c r="C1994" s="20"/>
      <c r="D1994" s="20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5"/>
      <c r="U1994" s="15"/>
      <c r="V1994" s="15"/>
      <c r="W1994" s="15"/>
    </row>
    <row r="1995">
      <c r="A1995" s="11"/>
      <c r="B1995" s="11"/>
      <c r="C1995" s="20"/>
      <c r="D1995" s="20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5"/>
      <c r="U1995" s="15"/>
      <c r="V1995" s="15"/>
      <c r="W1995" s="15"/>
    </row>
    <row r="1996">
      <c r="A1996" s="11"/>
      <c r="B1996" s="11"/>
      <c r="C1996" s="20"/>
      <c r="D1996" s="20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5"/>
      <c r="U1996" s="15"/>
      <c r="V1996" s="15"/>
      <c r="W1996" s="15"/>
    </row>
    <row r="1997">
      <c r="A1997" s="11"/>
      <c r="B1997" s="11"/>
      <c r="C1997" s="20"/>
      <c r="D1997" s="20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5"/>
      <c r="U1997" s="15"/>
      <c r="V1997" s="15"/>
      <c r="W1997" s="15"/>
    </row>
    <row r="1998">
      <c r="A1998" s="11"/>
      <c r="B1998" s="11"/>
      <c r="C1998" s="20"/>
      <c r="D1998" s="20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5"/>
      <c r="U1998" s="15"/>
      <c r="V1998" s="15"/>
      <c r="W1998" s="15"/>
    </row>
    <row r="1999">
      <c r="A1999" s="11"/>
      <c r="B1999" s="11"/>
      <c r="C1999" s="20"/>
      <c r="D1999" s="20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5"/>
      <c r="U1999" s="15"/>
      <c r="V1999" s="15"/>
      <c r="W1999" s="15"/>
    </row>
    <row r="2000">
      <c r="A2000" s="11"/>
      <c r="B2000" s="11"/>
      <c r="C2000" s="20"/>
      <c r="D2000" s="20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5"/>
      <c r="U2000" s="15"/>
      <c r="V2000" s="15"/>
      <c r="W2000" s="15"/>
    </row>
  </sheetData>
  <mergeCells count="2">
    <mergeCell ref="G2:I2"/>
    <mergeCell ref="J2:L2"/>
  </mergeCells>
  <conditionalFormatting sqref="G2:G2000">
    <cfRule type="cellIs" dxfId="3" priority="1" stopIfTrue="1" operator="lessThanOrEqual">
      <formula>2500</formula>
    </cfRule>
  </conditionalFormatting>
  <conditionalFormatting sqref="G2:G2000">
    <cfRule type="cellIs" dxfId="4" priority="2" stopIfTrue="1" operator="greaterThan">
      <formula>4000</formula>
    </cfRule>
  </conditionalFormatting>
  <conditionalFormatting sqref="G2:G2000">
    <cfRule type="cellIs" dxfId="5" priority="3" stopIfTrue="1" operator="between">
      <formula>2500</formula>
      <formula>4000</formula>
    </cfRule>
  </conditionalFormatting>
  <conditionalFormatting sqref="J2:J2000">
    <cfRule type="cellIs" dxfId="3" priority="4" stopIfTrue="1" operator="lessThanOrEqual">
      <formula>2500</formula>
    </cfRule>
  </conditionalFormatting>
  <conditionalFormatting sqref="J2:J2000">
    <cfRule type="cellIs" dxfId="4" priority="5" stopIfTrue="1" operator="greaterThan">
      <formula>4000</formula>
    </cfRule>
  </conditionalFormatting>
  <conditionalFormatting sqref="J2:J2000">
    <cfRule type="cellIs" dxfId="5" priority="6" stopIfTrue="1" operator="between">
      <formula>2500</formula>
      <formula>4000</formula>
    </cfRule>
  </conditionalFormatting>
  <conditionalFormatting sqref="H2:H2000">
    <cfRule type="cellIs" dxfId="3" priority="7" stopIfTrue="1" operator="lessThanOrEqual">
      <formula>120</formula>
    </cfRule>
  </conditionalFormatting>
  <conditionalFormatting sqref="H2:H2000">
    <cfRule type="cellIs" dxfId="4" priority="8" stopIfTrue="1" operator="greaterThan">
      <formula>500</formula>
    </cfRule>
  </conditionalFormatting>
  <conditionalFormatting sqref="H2:H2000">
    <cfRule type="cellIs" dxfId="5" priority="9" stopIfTrue="1" operator="between">
      <formula>120</formula>
      <formula>500</formula>
    </cfRule>
  </conditionalFormatting>
  <conditionalFormatting sqref="K2:K2000">
    <cfRule type="cellIs" dxfId="3" priority="10" stopIfTrue="1" operator="lessThanOrEqual">
      <formula>120</formula>
    </cfRule>
  </conditionalFormatting>
  <conditionalFormatting sqref="K2:K2000">
    <cfRule type="cellIs" dxfId="4" priority="11" stopIfTrue="1" operator="greaterThan">
      <formula>500</formula>
    </cfRule>
  </conditionalFormatting>
  <conditionalFormatting sqref="K2:K2000">
    <cfRule type="cellIs" dxfId="5" priority="12" stopIfTrue="1" operator="between">
      <formula>120</formula>
      <formula>500</formula>
    </cfRule>
  </conditionalFormatting>
  <conditionalFormatting sqref="I2:I2000">
    <cfRule type="cellIs" dxfId="3" priority="13" stopIfTrue="1" operator="lessThanOrEqual">
      <formula>0.12</formula>
    </cfRule>
  </conditionalFormatting>
  <conditionalFormatting sqref="I2:I2000">
    <cfRule type="cellIs" dxfId="4" priority="14" stopIfTrue="1" operator="greaterThan">
      <formula>0.25</formula>
    </cfRule>
  </conditionalFormatting>
  <conditionalFormatting sqref="I2:I2000">
    <cfRule type="cellIs" dxfId="5" priority="15" stopIfTrue="1" operator="between">
      <formula>0.12</formula>
      <formula>0.25</formula>
    </cfRule>
  </conditionalFormatting>
  <conditionalFormatting sqref="L2:L2000">
    <cfRule type="cellIs" dxfId="3" priority="16" stopIfTrue="1" operator="lessThanOrEqual">
      <formula>0.12</formula>
    </cfRule>
  </conditionalFormatting>
  <conditionalFormatting sqref="L2:L2000">
    <cfRule type="cellIs" dxfId="4" priority="17" stopIfTrue="1" operator="greaterThan">
      <formula>0.25</formula>
    </cfRule>
  </conditionalFormatting>
  <conditionalFormatting sqref="L2:L2000">
    <cfRule type="cellIs" dxfId="5" priority="18" stopIfTrue="1" operator="between">
      <formula>0.12</formula>
      <formula>0.25</formula>
    </cfRule>
  </conditionalFormatting>
  <conditionalFormatting sqref="F2:F2000">
    <cfRule type="cellIs" dxfId="4" priority="19" stopIfTrue="1" operator="lessThan">
      <formula>50</formula>
    </cfRule>
  </conditionalFormatting>
  <conditionalFormatting sqref="F2:F2000">
    <cfRule type="cellIs" dxfId="3" priority="20" stopIfTrue="1" operator="greaterThanOrEqual">
      <formula>90</formula>
    </cfRule>
  </conditionalFormatting>
  <conditionalFormatting sqref="F2:F2000">
    <cfRule type="cellIs" dxfId="5" priority="21" stopIfTrue="1" operator="between">
      <formula>50</formula>
      <formula>90</formula>
    </cfRule>
  </conditionalFormatting>
  <conditionalFormatting sqref="M2:M2000">
    <cfRule type="cellIs" dxfId="3" priority="22" stopIfTrue="1" operator="lessThanOrEqual">
      <formula>200</formula>
    </cfRule>
  </conditionalFormatting>
  <conditionalFormatting sqref="M2:M2000">
    <cfRule type="cellIs" dxfId="4" priority="23" stopIfTrue="1" operator="greaterThan">
      <formula>500</formula>
    </cfRule>
  </conditionalFormatting>
  <conditionalFormatting sqref="M2:M2000">
    <cfRule type="cellIs" dxfId="5" priority="24" stopIfTrue="1" operator="between">
      <formula>200</formula>
      <formula>500</formula>
    </cfRule>
  </conditionalFormatting>
  <conditionalFormatting sqref="N2:N2000">
    <cfRule type="cellIs" dxfId="3" priority="25" stopIfTrue="1" operator="lessThanOrEqual">
      <formula>1800</formula>
    </cfRule>
  </conditionalFormatting>
  <conditionalFormatting sqref="N2:N2000">
    <cfRule type="cellIs" dxfId="4" priority="26" stopIfTrue="1" operator="greaterThan">
      <formula>3000</formula>
    </cfRule>
  </conditionalFormatting>
  <conditionalFormatting sqref="N2:N2000">
    <cfRule type="cellIs" dxfId="5" priority="27" stopIfTrue="1" operator="between">
      <formula>1800</formula>
      <formula>3000</formula>
    </cfRule>
  </conditionalFormatting>
  <conditionalFormatting sqref="O2:O2000">
    <cfRule type="cellIs" dxfId="3" priority="28" stopIfTrue="1" operator="lessThanOrEqual">
      <formula>3400</formula>
    </cfRule>
  </conditionalFormatting>
  <conditionalFormatting sqref="O2:O2000">
    <cfRule type="cellIs" dxfId="4" priority="29" stopIfTrue="1" operator="greaterThan">
      <formula>5800</formula>
    </cfRule>
  </conditionalFormatting>
  <conditionalFormatting sqref="O2:O2000">
    <cfRule type="cellIs" dxfId="5" priority="30" stopIfTrue="1" operator="between">
      <formula>3400</formula>
      <formula>5800</formula>
    </cfRule>
  </conditionalFormatting>
  <conditionalFormatting sqref="P2:P2000">
    <cfRule type="cellIs" dxfId="3" priority="31" stopIfTrue="1" operator="lessThanOrEqual">
      <formula>3800</formula>
    </cfRule>
  </conditionalFormatting>
  <conditionalFormatting sqref="P2:P2000">
    <cfRule type="cellIs" dxfId="4" priority="32" stopIfTrue="1" operator="greaterThan">
      <formula>7300</formula>
    </cfRule>
  </conditionalFormatting>
  <conditionalFormatting sqref="P2:P2000">
    <cfRule type="cellIs" dxfId="5" priority="33" stopIfTrue="1" operator="between">
      <formula>3800</formula>
      <formula>7300</formula>
    </cfRule>
  </conditionalFormatting>
  <conditionalFormatting sqref="Q2:Q2000">
    <cfRule type="cellIs" dxfId="3" priority="34" stopIfTrue="1" operator="lessThanOrEqual">
      <formula>800</formula>
    </cfRule>
  </conditionalFormatting>
  <conditionalFormatting sqref="Q2:Q2000">
    <cfRule type="cellIs" dxfId="4" priority="35" stopIfTrue="1" operator="greaterThan">
      <formula>1800</formula>
    </cfRule>
  </conditionalFormatting>
  <conditionalFormatting sqref="Q2:Q2000">
    <cfRule type="cellIs" dxfId="5" priority="36" stopIfTrue="1" operator="between">
      <formula>800</formula>
      <formula>1800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13"/>
    <col customWidth="1" min="2" max="2" width="17.63"/>
    <col customWidth="1" min="3" max="3" width="15.13"/>
    <col customWidth="1" min="4" max="5" width="13.88"/>
    <col customWidth="1" min="6" max="8" width="15.13"/>
    <col customWidth="1" min="9" max="14" width="12.63"/>
    <col customWidth="1" min="15" max="15" width="25.13"/>
    <col customWidth="1" min="16" max="20" width="15.13"/>
  </cols>
  <sheetData>
    <row r="1" ht="24.0" customHeight="1">
      <c r="A1" s="23" t="s">
        <v>308</v>
      </c>
      <c r="M1" s="24"/>
      <c r="N1" s="24"/>
      <c r="O1" s="24"/>
    </row>
    <row r="2">
      <c r="A2" s="25" t="s">
        <v>309</v>
      </c>
    </row>
    <row r="4">
      <c r="A4" s="26" t="s">
        <v>41</v>
      </c>
      <c r="B4" s="27" t="s">
        <v>52</v>
      </c>
      <c r="C4" s="28"/>
      <c r="D4" s="26" t="s">
        <v>310</v>
      </c>
    </row>
    <row r="5">
      <c r="A5" s="26" t="s">
        <v>28</v>
      </c>
      <c r="B5" s="27" t="s">
        <v>42</v>
      </c>
      <c r="D5" s="26" t="s">
        <v>44</v>
      </c>
      <c r="E5" s="82"/>
    </row>
    <row r="6">
      <c r="A6" s="26" t="s">
        <v>46</v>
      </c>
      <c r="B6" s="27" t="s">
        <v>42</v>
      </c>
      <c r="D6" s="26" t="s">
        <v>47</v>
      </c>
      <c r="E6" s="82"/>
    </row>
    <row r="7">
      <c r="A7" s="26" t="s">
        <v>26</v>
      </c>
      <c r="B7" s="27" t="s">
        <v>42</v>
      </c>
      <c r="D7" s="28"/>
    </row>
    <row r="8">
      <c r="A8" s="26" t="s">
        <v>48</v>
      </c>
      <c r="B8" s="27" t="s">
        <v>42</v>
      </c>
      <c r="D8" s="26" t="s">
        <v>49</v>
      </c>
      <c r="E8" s="26" t="s">
        <v>50</v>
      </c>
      <c r="F8" s="26" t="s">
        <v>51</v>
      </c>
      <c r="G8" s="26" t="s">
        <v>52</v>
      </c>
    </row>
    <row r="9">
      <c r="A9" s="26" t="s">
        <v>53</v>
      </c>
      <c r="B9" s="27" t="s">
        <v>311</v>
      </c>
      <c r="D9" s="30" t="b">
        <v>0</v>
      </c>
      <c r="E9" s="30" t="b">
        <v>0</v>
      </c>
      <c r="F9" s="30" t="b">
        <v>0</v>
      </c>
      <c r="G9" s="30" t="b">
        <v>0</v>
      </c>
    </row>
    <row r="10">
      <c r="A10" s="28"/>
      <c r="B10" s="28"/>
      <c r="D10" s="25" t="s">
        <v>312</v>
      </c>
    </row>
    <row r="11" ht="29.25" customHeight="1">
      <c r="A11" s="28"/>
      <c r="B11" s="28"/>
      <c r="D11" s="31" t="s">
        <v>56</v>
      </c>
    </row>
    <row r="13">
      <c r="A13" s="28"/>
      <c r="B13" s="28"/>
      <c r="C13" s="28"/>
      <c r="D13" s="32" t="s">
        <v>57</v>
      </c>
    </row>
    <row r="14">
      <c r="A14" s="28"/>
      <c r="B14" s="28"/>
      <c r="C14" s="28"/>
    </row>
    <row r="15">
      <c r="A15" s="33" t="s">
        <v>313</v>
      </c>
    </row>
    <row r="16">
      <c r="A16" s="42" t="s">
        <v>314</v>
      </c>
    </row>
    <row r="17">
      <c r="A17" s="26" t="s">
        <v>315</v>
      </c>
      <c r="B17" s="26" t="s">
        <v>316</v>
      </c>
      <c r="C17" s="26" t="s">
        <v>317</v>
      </c>
    </row>
    <row r="18">
      <c r="A18" s="30" t="s">
        <v>140</v>
      </c>
      <c r="B18" s="30" t="s">
        <v>318</v>
      </c>
      <c r="C18" s="35" t="s">
        <v>319</v>
      </c>
    </row>
    <row r="19">
      <c r="A19" s="30" t="s">
        <v>141</v>
      </c>
      <c r="B19" s="30" t="s">
        <v>320</v>
      </c>
      <c r="C19" s="40" t="s">
        <v>321</v>
      </c>
    </row>
    <row r="20">
      <c r="A20" s="30" t="s">
        <v>142</v>
      </c>
      <c r="B20" s="30" t="s">
        <v>322</v>
      </c>
      <c r="C20" s="35" t="s">
        <v>319</v>
      </c>
    </row>
    <row r="21">
      <c r="A21" s="30" t="s">
        <v>323</v>
      </c>
      <c r="B21" s="30" t="s">
        <v>324</v>
      </c>
      <c r="C21" s="40" t="s">
        <v>321</v>
      </c>
      <c r="D21" s="28"/>
    </row>
    <row r="22">
      <c r="A22" s="28"/>
      <c r="B22" s="28"/>
      <c r="C22" s="28"/>
      <c r="D22" s="28"/>
    </row>
    <row r="23">
      <c r="A23" s="33" t="s">
        <v>325</v>
      </c>
    </row>
    <row r="24">
      <c r="A24" s="26" t="s">
        <v>59</v>
      </c>
      <c r="B24" s="26" t="s">
        <v>60</v>
      </c>
      <c r="C24" s="26" t="s">
        <v>20</v>
      </c>
      <c r="D24" s="26" t="s">
        <v>61</v>
      </c>
      <c r="E24" s="26" t="s">
        <v>62</v>
      </c>
    </row>
    <row r="25">
      <c r="A25" s="34" t="s">
        <v>63</v>
      </c>
      <c r="B25" s="30" t="s">
        <v>52</v>
      </c>
      <c r="C25" s="30" t="s">
        <v>35</v>
      </c>
      <c r="D25" s="30" t="s">
        <v>326</v>
      </c>
      <c r="E25" s="30" t="s">
        <v>73</v>
      </c>
    </row>
    <row r="26">
      <c r="A26" s="34" t="s">
        <v>63</v>
      </c>
      <c r="B26" s="30" t="s">
        <v>52</v>
      </c>
      <c r="C26" s="30" t="s">
        <v>34</v>
      </c>
      <c r="D26" s="30" t="s">
        <v>327</v>
      </c>
      <c r="E26" s="30" t="s">
        <v>65</v>
      </c>
    </row>
    <row r="27">
      <c r="A27" s="34" t="s">
        <v>63</v>
      </c>
      <c r="B27" s="30" t="s">
        <v>52</v>
      </c>
      <c r="C27" s="30" t="s">
        <v>34</v>
      </c>
      <c r="D27" s="30" t="s">
        <v>328</v>
      </c>
      <c r="E27" s="30" t="s">
        <v>73</v>
      </c>
    </row>
    <row r="28">
      <c r="A28" s="35" t="s">
        <v>76</v>
      </c>
      <c r="B28" s="30" t="s">
        <v>52</v>
      </c>
      <c r="C28" s="30" t="s">
        <v>329</v>
      </c>
      <c r="D28" s="30" t="s">
        <v>330</v>
      </c>
      <c r="E28" s="30" t="s">
        <v>331</v>
      </c>
    </row>
    <row r="29">
      <c r="A29" s="35" t="s">
        <v>76</v>
      </c>
      <c r="B29" s="30" t="s">
        <v>52</v>
      </c>
      <c r="C29" s="30" t="s">
        <v>35</v>
      </c>
      <c r="D29" s="30" t="s">
        <v>332</v>
      </c>
      <c r="E29" s="30" t="s">
        <v>84</v>
      </c>
    </row>
    <row r="30">
      <c r="A30" s="35" t="s">
        <v>76</v>
      </c>
      <c r="B30" s="30" t="s">
        <v>52</v>
      </c>
      <c r="C30" s="30" t="s">
        <v>35</v>
      </c>
      <c r="D30" s="30" t="s">
        <v>333</v>
      </c>
      <c r="E30" s="30" t="s">
        <v>331</v>
      </c>
    </row>
    <row r="31">
      <c r="A31" s="35" t="s">
        <v>76</v>
      </c>
      <c r="B31" s="30" t="s">
        <v>52</v>
      </c>
      <c r="C31" s="30" t="s">
        <v>34</v>
      </c>
      <c r="D31" s="30" t="s">
        <v>334</v>
      </c>
      <c r="E31" s="30" t="s">
        <v>331</v>
      </c>
    </row>
    <row r="32">
      <c r="A32" s="28"/>
      <c r="B32" s="28"/>
      <c r="C32" s="28"/>
    </row>
    <row r="33">
      <c r="A33" s="28"/>
      <c r="B33" s="28"/>
      <c r="C33" s="28"/>
      <c r="D33" s="28"/>
      <c r="E33" s="28"/>
      <c r="F33" s="28"/>
      <c r="T33" s="28"/>
      <c r="U33" s="28"/>
    </row>
    <row r="34">
      <c r="A34" s="28"/>
      <c r="B34" s="28"/>
      <c r="C34" s="28"/>
      <c r="D34" s="28"/>
      <c r="E34" s="28"/>
      <c r="F34" s="28"/>
      <c r="T34" s="28"/>
    </row>
    <row r="35">
      <c r="A35" s="28"/>
      <c r="B35" s="28"/>
      <c r="C35" s="28"/>
      <c r="D35" s="28"/>
      <c r="F35" s="28"/>
      <c r="Z35" s="28"/>
      <c r="AA35" s="28"/>
      <c r="AB35" s="28"/>
      <c r="AC35" s="28"/>
    </row>
    <row r="36">
      <c r="A36" s="28"/>
      <c r="B36" s="28"/>
      <c r="C36" s="28"/>
      <c r="D36" s="28"/>
      <c r="G36" s="28"/>
      <c r="H36" s="28"/>
      <c r="Z36" s="28"/>
      <c r="AA36" s="28"/>
      <c r="AB36" s="28"/>
      <c r="AC36" s="28"/>
    </row>
    <row r="37">
      <c r="A37" s="28"/>
      <c r="B37" s="38"/>
      <c r="C37" s="38"/>
      <c r="D37" s="39"/>
      <c r="G37" s="28"/>
      <c r="Z37" s="28"/>
    </row>
    <row r="38">
      <c r="A38" s="28"/>
      <c r="B38" s="38"/>
      <c r="C38" s="38"/>
      <c r="D38" s="39"/>
      <c r="Z38" s="28"/>
    </row>
    <row r="39">
      <c r="A39" s="28"/>
      <c r="B39" s="38"/>
      <c r="C39" s="38"/>
      <c r="D39" s="39"/>
      <c r="Z39" s="28"/>
    </row>
    <row r="40">
      <c r="A40" s="28"/>
      <c r="B40" s="38"/>
      <c r="C40" s="38"/>
      <c r="D40" s="39"/>
      <c r="Z40" s="28"/>
    </row>
    <row r="41">
      <c r="A41" s="28"/>
      <c r="B41" s="38"/>
      <c r="C41" s="38"/>
      <c r="D41" s="39"/>
      <c r="Z41" s="28"/>
    </row>
    <row r="42">
      <c r="A42" s="28"/>
      <c r="B42" s="28"/>
      <c r="C42" s="28"/>
      <c r="D42" s="28"/>
      <c r="Z42" s="28"/>
    </row>
    <row r="43">
      <c r="A43" s="33" t="s">
        <v>335</v>
      </c>
      <c r="D43" s="28"/>
      <c r="Z43" s="28"/>
    </row>
    <row r="44">
      <c r="A44" s="42" t="s">
        <v>138</v>
      </c>
      <c r="B44" s="42" t="s">
        <v>336</v>
      </c>
      <c r="C44" s="42" t="s">
        <v>337</v>
      </c>
      <c r="D44" s="28"/>
      <c r="Z44" s="28"/>
    </row>
    <row r="45">
      <c r="A45" s="30" t="s">
        <v>140</v>
      </c>
      <c r="B45" s="30" t="s">
        <v>318</v>
      </c>
      <c r="C45" s="35" t="s">
        <v>319</v>
      </c>
    </row>
    <row r="46">
      <c r="A46" s="30" t="s">
        <v>141</v>
      </c>
      <c r="B46" s="30" t="s">
        <v>320</v>
      </c>
      <c r="C46" s="40" t="s">
        <v>321</v>
      </c>
    </row>
    <row r="47">
      <c r="A47" s="30" t="s">
        <v>142</v>
      </c>
      <c r="B47" s="30" t="s">
        <v>322</v>
      </c>
      <c r="C47" s="35" t="s">
        <v>319</v>
      </c>
    </row>
    <row r="48">
      <c r="A48" s="30" t="s">
        <v>323</v>
      </c>
      <c r="B48" s="30" t="s">
        <v>324</v>
      </c>
      <c r="C48" s="40" t="s">
        <v>321</v>
      </c>
    </row>
    <row r="49">
      <c r="A49" s="28"/>
    </row>
    <row r="50">
      <c r="A50" s="28"/>
    </row>
    <row r="51">
      <c r="A51" s="28"/>
      <c r="B51" s="28"/>
      <c r="C51" s="28"/>
      <c r="D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</row>
    <row r="52">
      <c r="A52" s="28"/>
      <c r="B52" s="28"/>
      <c r="C52" s="28"/>
      <c r="D52" s="28"/>
      <c r="Z52" s="28"/>
    </row>
    <row r="53">
      <c r="A53" s="28"/>
      <c r="B53" s="38"/>
      <c r="C53" s="38"/>
      <c r="D53" s="39"/>
      <c r="G53" s="28"/>
      <c r="H53" s="28"/>
      <c r="I53" s="28"/>
      <c r="J53" s="28"/>
      <c r="Z53" s="28"/>
    </row>
    <row r="54">
      <c r="G54" s="28"/>
      <c r="Z54" s="28"/>
    </row>
    <row r="55">
      <c r="A55" s="28"/>
      <c r="G55" s="28"/>
      <c r="Z55" s="28"/>
    </row>
    <row r="56">
      <c r="A56" s="28"/>
      <c r="B56" s="28"/>
      <c r="C56" s="28"/>
      <c r="D56" s="28"/>
      <c r="G56" s="28"/>
      <c r="Z56" s="28"/>
    </row>
    <row r="57">
      <c r="A57" s="28"/>
      <c r="G57" s="28"/>
      <c r="Z57" s="28"/>
    </row>
    <row r="58">
      <c r="A58" s="28"/>
      <c r="G58" s="28"/>
      <c r="Z58" s="28"/>
    </row>
    <row r="59">
      <c r="A59" s="28"/>
      <c r="G59" s="28"/>
      <c r="Z59" s="28"/>
    </row>
    <row r="60">
      <c r="A60" s="28"/>
      <c r="G60" s="28"/>
    </row>
    <row r="61">
      <c r="A61" s="28"/>
      <c r="G61" s="28"/>
    </row>
    <row r="62">
      <c r="A62" s="28"/>
    </row>
    <row r="63">
      <c r="A63" s="28"/>
    </row>
    <row r="64">
      <c r="A64" s="28"/>
      <c r="B64" s="28"/>
      <c r="C64" s="28"/>
      <c r="D64" s="28"/>
      <c r="E64" s="28"/>
    </row>
    <row r="65">
      <c r="A65" s="28"/>
      <c r="B65" s="28"/>
      <c r="C65" s="28"/>
      <c r="D65" s="28"/>
      <c r="E65" s="28"/>
    </row>
    <row r="66">
      <c r="A66" s="28"/>
      <c r="B66" s="28"/>
    </row>
    <row r="67">
      <c r="A67" s="28"/>
      <c r="B67" s="28"/>
    </row>
    <row r="68">
      <c r="A68" s="28"/>
      <c r="B68" s="28"/>
    </row>
    <row r="69">
      <c r="A69" s="33" t="s">
        <v>115</v>
      </c>
      <c r="Z69" s="30" t="s">
        <v>27</v>
      </c>
      <c r="AA69" s="30" t="s">
        <v>116</v>
      </c>
      <c r="AB69" s="30" t="s">
        <v>117</v>
      </c>
      <c r="AC69" s="30" t="s">
        <v>118</v>
      </c>
    </row>
    <row r="70">
      <c r="A70" s="42" t="s">
        <v>119</v>
      </c>
      <c r="B70" s="42" t="s">
        <v>140</v>
      </c>
      <c r="C70" s="42" t="s">
        <v>141</v>
      </c>
      <c r="D70" s="42" t="s">
        <v>142</v>
      </c>
      <c r="Z70" s="30" t="s">
        <v>19</v>
      </c>
      <c r="AA70" s="41">
        <v>0.0</v>
      </c>
      <c r="AB70" s="41">
        <v>0.0</v>
      </c>
      <c r="AC70" s="41">
        <v>0.0</v>
      </c>
    </row>
    <row r="71">
      <c r="A71" s="30" t="s">
        <v>14</v>
      </c>
      <c r="B71" s="36">
        <v>90.0</v>
      </c>
      <c r="C71" s="36">
        <v>90.0</v>
      </c>
      <c r="D71" s="37">
        <v>90.0</v>
      </c>
      <c r="E71" s="28"/>
      <c r="T71" s="28"/>
      <c r="U71" s="28"/>
      <c r="Z71" s="30" t="s">
        <v>133</v>
      </c>
      <c r="AA71" s="41">
        <v>0.0</v>
      </c>
      <c r="AB71" s="41">
        <v>0.0</v>
      </c>
      <c r="AC71" s="41">
        <v>0.0</v>
      </c>
    </row>
    <row r="72">
      <c r="A72" s="30" t="s">
        <v>132</v>
      </c>
      <c r="B72" s="36">
        <v>5807.0</v>
      </c>
      <c r="C72" s="36">
        <v>927.0</v>
      </c>
      <c r="D72" s="37">
        <v>0.01</v>
      </c>
      <c r="E72" s="28"/>
      <c r="T72" s="28"/>
      <c r="U72" s="28"/>
      <c r="Z72" s="30" t="s">
        <v>122</v>
      </c>
      <c r="AA72" s="41">
        <v>0.0</v>
      </c>
      <c r="AB72" s="41">
        <v>0.0</v>
      </c>
      <c r="AC72" s="41">
        <v>0.0</v>
      </c>
    </row>
    <row r="73">
      <c r="A73" s="30" t="s">
        <v>103</v>
      </c>
      <c r="B73" s="36">
        <v>3192.0</v>
      </c>
      <c r="C73" s="36">
        <v>197.0</v>
      </c>
      <c r="D73" s="37">
        <v>2.722</v>
      </c>
      <c r="E73" s="28"/>
      <c r="F73" s="28"/>
      <c r="G73" s="28"/>
      <c r="H73" s="28"/>
      <c r="I73" s="28"/>
      <c r="T73" s="28"/>
      <c r="Z73" s="30" t="s">
        <v>129</v>
      </c>
      <c r="AA73" s="41">
        <v>0.0</v>
      </c>
      <c r="AB73" s="41">
        <v>0.0</v>
      </c>
      <c r="AC73" s="41">
        <v>0.0</v>
      </c>
    </row>
    <row r="74">
      <c r="A74" s="28"/>
      <c r="B74" s="28"/>
      <c r="C74" s="28"/>
      <c r="D74" s="28"/>
      <c r="T74" s="28"/>
      <c r="Z74" s="30" t="s">
        <v>131</v>
      </c>
      <c r="AA74" s="41">
        <v>0.0</v>
      </c>
      <c r="AB74" s="41">
        <v>0.0</v>
      </c>
      <c r="AC74" s="41">
        <v>0.0</v>
      </c>
    </row>
    <row r="75">
      <c r="A75" s="43" t="s">
        <v>136</v>
      </c>
      <c r="B75" s="44"/>
      <c r="C75" s="44"/>
      <c r="D75" s="44"/>
      <c r="T75" s="28"/>
      <c r="Z75" s="30" t="s">
        <v>126</v>
      </c>
      <c r="AA75" s="41">
        <v>0.0</v>
      </c>
      <c r="AB75" s="41">
        <v>0.0</v>
      </c>
      <c r="AC75" s="41">
        <v>0.0</v>
      </c>
    </row>
    <row r="76">
      <c r="A76" s="42" t="s">
        <v>19</v>
      </c>
      <c r="B76" s="42" t="s">
        <v>116</v>
      </c>
      <c r="C76" s="42" t="s">
        <v>117</v>
      </c>
      <c r="D76" s="42" t="s">
        <v>118</v>
      </c>
      <c r="G76" s="28"/>
      <c r="H76" s="28"/>
      <c r="T76" s="28"/>
      <c r="Z76" s="30" t="s">
        <v>124</v>
      </c>
      <c r="AA76" s="41">
        <v>0.0</v>
      </c>
      <c r="AB76" s="41">
        <v>0.0</v>
      </c>
      <c r="AC76" s="41">
        <v>0.0</v>
      </c>
    </row>
    <row r="77">
      <c r="A77" s="30" t="s">
        <v>19</v>
      </c>
      <c r="B77" s="30">
        <v>0.0</v>
      </c>
      <c r="C77" s="30">
        <v>0.0</v>
      </c>
      <c r="D77" s="30">
        <v>0.0</v>
      </c>
      <c r="G77" s="28"/>
      <c r="T77" s="28"/>
      <c r="Z77" s="30" t="s">
        <v>133</v>
      </c>
      <c r="AA77" s="41">
        <v>0.0</v>
      </c>
      <c r="AB77" s="41">
        <v>0.0</v>
      </c>
      <c r="AC77" s="41">
        <v>0.0</v>
      </c>
    </row>
    <row r="78">
      <c r="A78" s="30" t="s">
        <v>133</v>
      </c>
      <c r="B78" s="30">
        <v>0.0</v>
      </c>
      <c r="C78" s="30">
        <v>0.0</v>
      </c>
      <c r="D78" s="30">
        <v>0.0</v>
      </c>
      <c r="G78" s="28"/>
      <c r="T78" s="28"/>
    </row>
    <row r="79">
      <c r="A79" s="30" t="s">
        <v>122</v>
      </c>
      <c r="B79" s="30">
        <v>0.0</v>
      </c>
      <c r="C79" s="30">
        <v>0.0</v>
      </c>
      <c r="D79" s="30">
        <v>0.0</v>
      </c>
      <c r="G79" s="28"/>
      <c r="T79" s="28"/>
    </row>
    <row r="80">
      <c r="A80" s="30" t="s">
        <v>129</v>
      </c>
      <c r="B80" s="30">
        <v>0.0</v>
      </c>
      <c r="C80" s="30">
        <v>0.0</v>
      </c>
      <c r="D80" s="30">
        <v>0.0</v>
      </c>
      <c r="G80" s="28"/>
      <c r="T80" s="28"/>
    </row>
    <row r="81">
      <c r="A81" s="30" t="s">
        <v>131</v>
      </c>
      <c r="B81" s="30">
        <v>0.0</v>
      </c>
      <c r="C81" s="30">
        <v>0.0</v>
      </c>
      <c r="D81" s="30">
        <v>0.0</v>
      </c>
      <c r="G81" s="28"/>
      <c r="T81" s="28"/>
    </row>
    <row r="82">
      <c r="A82" s="30" t="s">
        <v>126</v>
      </c>
      <c r="B82" s="30">
        <v>0.0</v>
      </c>
      <c r="C82" s="30">
        <v>0.0</v>
      </c>
      <c r="D82" s="30">
        <v>0.0</v>
      </c>
      <c r="G82" s="28"/>
      <c r="T82" s="28"/>
    </row>
    <row r="83">
      <c r="A83" s="30" t="s">
        <v>124</v>
      </c>
      <c r="B83" s="30">
        <v>0.0</v>
      </c>
      <c r="C83" s="30">
        <v>0.0</v>
      </c>
      <c r="D83" s="30">
        <v>0.0</v>
      </c>
      <c r="E83" s="28"/>
      <c r="G83" s="28"/>
      <c r="I83" s="28"/>
    </row>
    <row r="84">
      <c r="A84" s="30" t="s">
        <v>133</v>
      </c>
      <c r="B84" s="30">
        <v>0.0</v>
      </c>
      <c r="C84" s="30">
        <v>0.0</v>
      </c>
      <c r="D84" s="30">
        <v>0.0</v>
      </c>
      <c r="E84" s="28"/>
      <c r="G84" s="28"/>
    </row>
    <row r="85">
      <c r="A85" s="28"/>
      <c r="B85" s="28"/>
      <c r="C85" s="28"/>
      <c r="D85" s="28"/>
      <c r="E85" s="28"/>
      <c r="G85" s="28"/>
    </row>
    <row r="86">
      <c r="A86" s="28"/>
      <c r="B86" s="28"/>
      <c r="C86" s="28"/>
      <c r="D86" s="28"/>
      <c r="E86" s="28"/>
      <c r="G86" s="28"/>
    </row>
    <row r="87">
      <c r="A87" s="28"/>
      <c r="B87" s="28"/>
      <c r="C87" s="28"/>
      <c r="D87" s="28"/>
      <c r="E87" s="28"/>
      <c r="T87" s="28"/>
      <c r="U87" s="28"/>
    </row>
    <row r="88">
      <c r="A88" s="28"/>
      <c r="B88" s="28"/>
      <c r="C88" s="28"/>
      <c r="D88" s="28"/>
      <c r="E88" s="28"/>
      <c r="T88" s="28"/>
    </row>
    <row r="89">
      <c r="A89" s="28"/>
      <c r="B89" s="28"/>
      <c r="C89" s="28"/>
      <c r="D89" s="28"/>
      <c r="T89" s="28"/>
      <c r="U89" s="28"/>
      <c r="V89" s="28"/>
      <c r="W89" s="28"/>
    </row>
    <row r="90">
      <c r="A90" s="28"/>
      <c r="B90" s="28"/>
      <c r="C90" s="28"/>
      <c r="D90" s="28"/>
      <c r="T90" s="28"/>
      <c r="U90" s="28"/>
      <c r="V90" s="28"/>
      <c r="W90" s="28"/>
    </row>
    <row r="91">
      <c r="A91" s="28"/>
      <c r="B91" s="28"/>
      <c r="C91" s="28"/>
      <c r="D91" s="28"/>
      <c r="E91" s="28"/>
      <c r="F91" s="28"/>
      <c r="G91" s="28"/>
      <c r="H91" s="28"/>
      <c r="T91" s="28"/>
    </row>
    <row r="92">
      <c r="A92" s="28"/>
      <c r="B92" s="28"/>
      <c r="G92" s="28"/>
      <c r="H92" s="28"/>
      <c r="I92" s="28"/>
      <c r="J92" s="28"/>
      <c r="T92" s="28"/>
    </row>
    <row r="93">
      <c r="A93" s="28"/>
      <c r="B93" s="28"/>
      <c r="G93" s="28"/>
      <c r="H93" s="28"/>
      <c r="T93" s="28"/>
    </row>
    <row r="94">
      <c r="A94" s="28"/>
      <c r="B94" s="28"/>
      <c r="G94" s="28"/>
      <c r="H94" s="28"/>
      <c r="T94" s="28"/>
    </row>
    <row r="95">
      <c r="A95" s="28"/>
      <c r="B95" s="28"/>
      <c r="T95" s="28"/>
    </row>
    <row r="96">
      <c r="A96" s="28"/>
      <c r="B96" s="28"/>
      <c r="C96" s="28"/>
      <c r="T96" s="28"/>
    </row>
    <row r="97">
      <c r="A97" s="28"/>
      <c r="B97" s="28"/>
      <c r="T97" s="28"/>
    </row>
    <row r="98">
      <c r="A98" s="28"/>
      <c r="B98" s="28"/>
    </row>
    <row r="99">
      <c r="A99" s="28"/>
      <c r="B99" s="28"/>
    </row>
    <row r="101">
      <c r="A101" s="28"/>
      <c r="B101" s="28"/>
      <c r="C101" s="28"/>
      <c r="D101" s="28"/>
      <c r="E101" s="28"/>
    </row>
    <row r="102">
      <c r="A102" s="28"/>
      <c r="B102" s="28"/>
      <c r="C102" s="28"/>
      <c r="D102" s="28"/>
      <c r="E102" s="28"/>
    </row>
    <row r="103">
      <c r="A103" s="28"/>
      <c r="B103" s="28"/>
      <c r="C103" s="28"/>
      <c r="D103" s="28"/>
      <c r="E103" s="28"/>
    </row>
    <row r="104">
      <c r="A104" s="28"/>
      <c r="B104" s="28"/>
      <c r="C104" s="28"/>
      <c r="D104" s="28"/>
      <c r="E104" s="28"/>
    </row>
    <row r="105">
      <c r="A105" s="33" t="s">
        <v>338</v>
      </c>
      <c r="T105" s="28"/>
      <c r="U105" s="28"/>
      <c r="V105" s="28"/>
      <c r="W105" s="28"/>
    </row>
    <row r="106">
      <c r="A106" s="26" t="s">
        <v>138</v>
      </c>
      <c r="B106" s="26" t="s">
        <v>60</v>
      </c>
      <c r="C106" s="26" t="s">
        <v>19</v>
      </c>
      <c r="D106" s="26" t="s">
        <v>20</v>
      </c>
      <c r="E106" s="26" t="s">
        <v>139</v>
      </c>
      <c r="F106" s="26" t="s">
        <v>140</v>
      </c>
      <c r="G106" s="26" t="s">
        <v>141</v>
      </c>
      <c r="H106" s="26" t="s">
        <v>142</v>
      </c>
      <c r="I106" s="26" t="s">
        <v>13</v>
      </c>
      <c r="T106" s="28"/>
    </row>
    <row r="107">
      <c r="A107" s="30" t="s">
        <v>139</v>
      </c>
      <c r="B107" s="30" t="s">
        <v>52</v>
      </c>
      <c r="C107" s="30" t="s">
        <v>129</v>
      </c>
      <c r="D107" s="30" t="s">
        <v>35</v>
      </c>
      <c r="E107" s="35">
        <v>39.0</v>
      </c>
      <c r="F107" s="45">
        <v>17536.0</v>
      </c>
      <c r="G107" s="45">
        <v>2846.0</v>
      </c>
      <c r="H107" s="46">
        <v>0.007</v>
      </c>
      <c r="I107" s="46">
        <v>269.0</v>
      </c>
      <c r="T107" s="28"/>
    </row>
    <row r="108">
      <c r="A108" s="30" t="s">
        <v>139</v>
      </c>
      <c r="B108" s="30" t="s">
        <v>52</v>
      </c>
      <c r="C108" s="30" t="s">
        <v>126</v>
      </c>
      <c r="D108" s="30" t="s">
        <v>35</v>
      </c>
      <c r="E108" s="35">
        <v>43.0</v>
      </c>
      <c r="F108" s="45">
        <v>8283.0</v>
      </c>
      <c r="G108" s="45">
        <v>1590.0</v>
      </c>
      <c r="H108" s="46">
        <v>0.009</v>
      </c>
      <c r="I108" s="46">
        <v>308.0</v>
      </c>
    </row>
    <row r="109">
      <c r="A109" s="30" t="s">
        <v>139</v>
      </c>
      <c r="B109" s="30" t="s">
        <v>52</v>
      </c>
      <c r="C109" s="30" t="s">
        <v>133</v>
      </c>
      <c r="D109" s="30" t="s">
        <v>35</v>
      </c>
      <c r="E109" s="35">
        <v>48.0</v>
      </c>
      <c r="F109" s="45">
        <v>8543.0</v>
      </c>
      <c r="G109" s="45">
        <v>1724.0</v>
      </c>
      <c r="H109" s="46">
        <v>0.008</v>
      </c>
      <c r="I109" s="46">
        <v>288.0</v>
      </c>
    </row>
    <row r="110">
      <c r="A110" s="30" t="s">
        <v>5</v>
      </c>
      <c r="B110" s="30" t="s">
        <v>52</v>
      </c>
      <c r="C110" s="30" t="s">
        <v>129</v>
      </c>
      <c r="D110" s="30" t="s">
        <v>35</v>
      </c>
      <c r="E110" s="35">
        <v>39.0</v>
      </c>
      <c r="F110" s="45">
        <v>17536.0</v>
      </c>
      <c r="G110" s="45">
        <v>2846.0</v>
      </c>
      <c r="H110" s="46">
        <v>0.007</v>
      </c>
      <c r="I110" s="46">
        <v>269.0</v>
      </c>
    </row>
    <row r="111">
      <c r="A111" s="30" t="s">
        <v>5</v>
      </c>
      <c r="B111" s="30" t="s">
        <v>52</v>
      </c>
      <c r="C111" s="30" t="s">
        <v>131</v>
      </c>
      <c r="D111" s="30" t="s">
        <v>35</v>
      </c>
      <c r="E111" s="40">
        <v>52.0</v>
      </c>
      <c r="F111" s="45">
        <v>9834.0</v>
      </c>
      <c r="G111" s="45">
        <v>762.0</v>
      </c>
      <c r="H111" s="46">
        <v>0.009</v>
      </c>
      <c r="I111" s="46">
        <v>269.0</v>
      </c>
    </row>
    <row r="112">
      <c r="A112" s="30" t="s">
        <v>5</v>
      </c>
      <c r="B112" s="30" t="s">
        <v>52</v>
      </c>
      <c r="C112" s="30" t="s">
        <v>133</v>
      </c>
      <c r="D112" s="30" t="s">
        <v>35</v>
      </c>
      <c r="E112" s="35">
        <v>48.0</v>
      </c>
      <c r="F112" s="45">
        <v>8543.0</v>
      </c>
      <c r="G112" s="45">
        <v>1724.0</v>
      </c>
      <c r="H112" s="46">
        <v>0.008</v>
      </c>
      <c r="I112" s="46">
        <v>288.0</v>
      </c>
    </row>
    <row r="113">
      <c r="A113" s="30" t="s">
        <v>7</v>
      </c>
      <c r="B113" s="30" t="s">
        <v>52</v>
      </c>
      <c r="C113" s="30" t="s">
        <v>129</v>
      </c>
      <c r="D113" s="30" t="s">
        <v>35</v>
      </c>
      <c r="E113" s="35">
        <v>39.0</v>
      </c>
      <c r="F113" s="45">
        <v>17536.0</v>
      </c>
      <c r="G113" s="45">
        <v>2846.0</v>
      </c>
      <c r="H113" s="46">
        <v>0.007</v>
      </c>
      <c r="I113" s="46">
        <v>269.0</v>
      </c>
    </row>
    <row r="114">
      <c r="A114" s="30" t="s">
        <v>7</v>
      </c>
      <c r="B114" s="30" t="s">
        <v>52</v>
      </c>
      <c r="C114" s="30" t="s">
        <v>133</v>
      </c>
      <c r="D114" s="30" t="s">
        <v>35</v>
      </c>
      <c r="E114" s="35">
        <v>48.0</v>
      </c>
      <c r="F114" s="45">
        <v>8543.0</v>
      </c>
      <c r="G114" s="45">
        <v>1724.0</v>
      </c>
      <c r="H114" s="46">
        <v>0.008</v>
      </c>
      <c r="I114" s="46">
        <v>288.0</v>
      </c>
    </row>
    <row r="115">
      <c r="A115" s="30" t="s">
        <v>7</v>
      </c>
      <c r="B115" s="30" t="s">
        <v>52</v>
      </c>
      <c r="C115" s="30" t="s">
        <v>126</v>
      </c>
      <c r="D115" s="30" t="s">
        <v>35</v>
      </c>
      <c r="E115" s="35">
        <v>43.0</v>
      </c>
      <c r="F115" s="45">
        <v>8283.0</v>
      </c>
      <c r="G115" s="45">
        <v>1590.0</v>
      </c>
      <c r="H115" s="46">
        <v>0.009</v>
      </c>
      <c r="I115" s="46">
        <v>308.0</v>
      </c>
    </row>
    <row r="116">
      <c r="A116" s="30" t="s">
        <v>8</v>
      </c>
      <c r="B116" s="30" t="s">
        <v>52</v>
      </c>
      <c r="C116" s="30" t="s">
        <v>19</v>
      </c>
      <c r="D116" s="30" t="s">
        <v>20</v>
      </c>
      <c r="E116" s="83" t="s">
        <v>103</v>
      </c>
      <c r="F116" s="46">
        <v>90.0</v>
      </c>
      <c r="G116" s="46">
        <v>90.0</v>
      </c>
      <c r="H116" s="45">
        <v>90.0</v>
      </c>
      <c r="I116" s="83" t="s">
        <v>103</v>
      </c>
    </row>
    <row r="117">
      <c r="A117" s="30" t="s">
        <v>8</v>
      </c>
      <c r="B117" s="30" t="s">
        <v>52</v>
      </c>
      <c r="C117" s="30" t="s">
        <v>133</v>
      </c>
      <c r="D117" s="30" t="s">
        <v>34</v>
      </c>
      <c r="E117" s="83" t="s">
        <v>103</v>
      </c>
      <c r="F117" s="46">
        <v>2305.0</v>
      </c>
      <c r="G117" s="46">
        <v>88.0</v>
      </c>
      <c r="H117" s="45">
        <v>6.0</v>
      </c>
      <c r="I117" s="48">
        <v>1248.0</v>
      </c>
    </row>
    <row r="118">
      <c r="A118" s="30" t="s">
        <v>8</v>
      </c>
      <c r="B118" s="30" t="s">
        <v>52</v>
      </c>
      <c r="C118" s="30" t="s">
        <v>145</v>
      </c>
      <c r="D118" s="30" t="s">
        <v>34</v>
      </c>
      <c r="E118" s="83" t="s">
        <v>103</v>
      </c>
      <c r="F118" s="48">
        <v>2986.0</v>
      </c>
      <c r="G118" s="46">
        <v>79.0</v>
      </c>
      <c r="H118" s="45">
        <v>4.0</v>
      </c>
      <c r="I118" s="45">
        <v>1877.0</v>
      </c>
    </row>
    <row r="119">
      <c r="A119" s="30" t="s">
        <v>13</v>
      </c>
      <c r="B119" s="30" t="s">
        <v>52</v>
      </c>
      <c r="C119" s="30" t="s">
        <v>145</v>
      </c>
      <c r="D119" s="30" t="s">
        <v>35</v>
      </c>
      <c r="E119" s="83" t="s">
        <v>103</v>
      </c>
      <c r="F119" s="48">
        <v>3525.0</v>
      </c>
      <c r="G119" s="48">
        <v>315.0</v>
      </c>
      <c r="H119" s="45">
        <v>1.0</v>
      </c>
      <c r="I119" s="45">
        <v>2225.0</v>
      </c>
    </row>
    <row r="120">
      <c r="A120" s="30" t="s">
        <v>13</v>
      </c>
      <c r="B120" s="30" t="s">
        <v>52</v>
      </c>
      <c r="C120" s="30" t="s">
        <v>122</v>
      </c>
      <c r="D120" s="30" t="s">
        <v>35</v>
      </c>
      <c r="E120" s="83" t="s">
        <v>103</v>
      </c>
      <c r="F120" s="48">
        <v>3525.0</v>
      </c>
      <c r="G120" s="48">
        <v>315.0</v>
      </c>
      <c r="H120" s="45">
        <v>1.0</v>
      </c>
      <c r="I120" s="45">
        <v>2225.0</v>
      </c>
    </row>
    <row r="121">
      <c r="A121" s="30" t="s">
        <v>13</v>
      </c>
      <c r="B121" s="30" t="s">
        <v>52</v>
      </c>
      <c r="C121" s="30" t="s">
        <v>129</v>
      </c>
      <c r="D121" s="30" t="s">
        <v>35</v>
      </c>
      <c r="E121" s="83" t="s">
        <v>103</v>
      </c>
      <c r="F121" s="48">
        <v>3525.0</v>
      </c>
      <c r="G121" s="48">
        <v>315.0</v>
      </c>
      <c r="H121" s="45">
        <v>1.0</v>
      </c>
      <c r="I121" s="45">
        <v>2225.0</v>
      </c>
    </row>
    <row r="122">
      <c r="A122" s="28"/>
      <c r="B122" s="28"/>
      <c r="C122" s="28"/>
      <c r="D122" s="28"/>
      <c r="E122" s="28"/>
      <c r="F122" s="28"/>
      <c r="G122" s="28"/>
    </row>
    <row r="123">
      <c r="A123" s="33" t="s">
        <v>339</v>
      </c>
      <c r="E123" s="28"/>
      <c r="F123" s="28"/>
      <c r="G123" s="28"/>
      <c r="T123" s="30" t="s">
        <v>28</v>
      </c>
      <c r="U123" s="30" t="s">
        <v>140</v>
      </c>
      <c r="V123" s="30" t="s">
        <v>141</v>
      </c>
      <c r="W123" s="30" t="s">
        <v>142</v>
      </c>
    </row>
    <row r="124">
      <c r="A124" s="26" t="s">
        <v>20</v>
      </c>
      <c r="B124" s="26" t="s">
        <v>340</v>
      </c>
      <c r="C124" s="26" t="s">
        <v>341</v>
      </c>
      <c r="D124" s="26" t="s">
        <v>140</v>
      </c>
      <c r="E124" s="26" t="s">
        <v>141</v>
      </c>
      <c r="F124" s="26" t="s">
        <v>142</v>
      </c>
      <c r="G124" s="26" t="s">
        <v>13</v>
      </c>
      <c r="H124" s="26" t="s">
        <v>342</v>
      </c>
      <c r="T124" s="30" t="s">
        <v>329</v>
      </c>
      <c r="U124" s="41">
        <v>90.0</v>
      </c>
      <c r="V124" s="41">
        <v>90.0</v>
      </c>
      <c r="W124" s="41">
        <v>90.0</v>
      </c>
    </row>
    <row r="125">
      <c r="A125" s="30" t="s">
        <v>329</v>
      </c>
      <c r="B125" s="30" t="s">
        <v>52</v>
      </c>
      <c r="C125" s="30">
        <v>1.0</v>
      </c>
      <c r="D125" s="47">
        <v>90.0</v>
      </c>
      <c r="E125" s="47">
        <v>90.0</v>
      </c>
      <c r="F125" s="45">
        <v>90.0</v>
      </c>
      <c r="G125" s="46">
        <v>0.0</v>
      </c>
      <c r="H125" s="30" t="s">
        <v>343</v>
      </c>
      <c r="T125" s="30" t="s">
        <v>35</v>
      </c>
      <c r="U125" s="41">
        <v>5894.0</v>
      </c>
      <c r="V125" s="41">
        <v>782.0</v>
      </c>
      <c r="W125" s="41">
        <v>0.737</v>
      </c>
    </row>
    <row r="126">
      <c r="A126" s="30" t="s">
        <v>35</v>
      </c>
      <c r="B126" s="30" t="s">
        <v>52</v>
      </c>
      <c r="C126" s="30">
        <v>9.0</v>
      </c>
      <c r="D126" s="35">
        <v>5894.0</v>
      </c>
      <c r="E126" s="35">
        <v>782.0</v>
      </c>
      <c r="F126" s="45">
        <v>0.737</v>
      </c>
      <c r="G126" s="48">
        <v>1448.0</v>
      </c>
      <c r="H126" s="30" t="s">
        <v>344</v>
      </c>
      <c r="T126" s="30" t="s">
        <v>34</v>
      </c>
      <c r="U126" s="41">
        <v>2582.0</v>
      </c>
      <c r="V126" s="41">
        <v>197.0</v>
      </c>
      <c r="W126" s="41">
        <v>2.538</v>
      </c>
    </row>
    <row r="127">
      <c r="A127" s="30" t="s">
        <v>34</v>
      </c>
      <c r="B127" s="30" t="s">
        <v>52</v>
      </c>
      <c r="C127" s="30">
        <v>9.0</v>
      </c>
      <c r="D127" s="40">
        <v>2582.0</v>
      </c>
      <c r="E127" s="40">
        <v>197.0</v>
      </c>
      <c r="F127" s="45">
        <v>2.538</v>
      </c>
      <c r="G127" s="48">
        <v>1226.0</v>
      </c>
      <c r="H127" s="30" t="s">
        <v>344</v>
      </c>
    </row>
    <row r="128">
      <c r="A128" s="28"/>
      <c r="B128" s="28"/>
      <c r="C128" s="28"/>
      <c r="D128" s="28"/>
      <c r="E128" s="28"/>
    </row>
    <row r="129">
      <c r="A129" s="28"/>
      <c r="B129" s="28"/>
      <c r="C129" s="28"/>
      <c r="D129" s="28"/>
      <c r="E129" s="28"/>
    </row>
    <row r="130">
      <c r="A130" s="28"/>
      <c r="B130" s="28"/>
      <c r="C130" s="28"/>
      <c r="D130" s="28"/>
      <c r="E130" s="28"/>
    </row>
    <row r="131">
      <c r="A131" s="28"/>
      <c r="B131" s="28"/>
      <c r="C131" s="28"/>
      <c r="D131" s="28"/>
      <c r="E131" s="28"/>
    </row>
    <row r="132">
      <c r="A132" s="28"/>
      <c r="B132" s="28"/>
      <c r="C132" s="28"/>
      <c r="D132" s="28"/>
      <c r="E132" s="28"/>
    </row>
    <row r="133">
      <c r="A133" s="28"/>
      <c r="B133" s="28"/>
      <c r="C133" s="28"/>
      <c r="D133" s="28"/>
      <c r="E133" s="28"/>
    </row>
    <row r="134">
      <c r="A134" s="28"/>
      <c r="B134" s="28"/>
      <c r="C134" s="28"/>
      <c r="D134" s="28"/>
      <c r="E134" s="28"/>
    </row>
    <row r="135">
      <c r="A135" s="28"/>
      <c r="B135" s="28"/>
      <c r="C135" s="28"/>
      <c r="D135" s="28"/>
      <c r="E135" s="28"/>
    </row>
    <row r="136">
      <c r="A136" s="28"/>
      <c r="B136" s="28"/>
      <c r="C136" s="28"/>
      <c r="D136" s="28"/>
      <c r="E136" s="28"/>
    </row>
    <row r="137">
      <c r="A137" s="28"/>
      <c r="B137" s="28"/>
      <c r="C137" s="28"/>
      <c r="D137" s="28"/>
      <c r="E137" s="28"/>
    </row>
    <row r="138">
      <c r="A138" s="28"/>
      <c r="B138" s="28"/>
      <c r="C138" s="28"/>
      <c r="D138" s="28"/>
      <c r="E138" s="28"/>
    </row>
    <row r="139">
      <c r="A139" s="28"/>
      <c r="B139" s="28"/>
      <c r="C139" s="28"/>
      <c r="D139" s="28"/>
      <c r="E139" s="28"/>
    </row>
    <row r="140">
      <c r="A140" s="28"/>
      <c r="B140" s="28"/>
      <c r="C140" s="28"/>
      <c r="D140" s="28"/>
      <c r="E140" s="28"/>
    </row>
    <row r="141">
      <c r="A141" s="33" t="s">
        <v>345</v>
      </c>
      <c r="D141" s="28"/>
      <c r="E141" s="28"/>
    </row>
    <row r="142">
      <c r="A142" s="26" t="s">
        <v>346</v>
      </c>
      <c r="B142" s="26" t="s">
        <v>62</v>
      </c>
      <c r="C142" s="28"/>
      <c r="D142" s="28"/>
      <c r="E142" s="28"/>
    </row>
    <row r="143">
      <c r="A143" s="30" t="s">
        <v>347</v>
      </c>
      <c r="B143" s="30" t="s">
        <v>348</v>
      </c>
      <c r="C143" s="28"/>
      <c r="D143" s="28"/>
      <c r="E143" s="28"/>
    </row>
    <row r="144">
      <c r="A144" s="30" t="s">
        <v>349</v>
      </c>
      <c r="B144" s="30" t="s">
        <v>350</v>
      </c>
      <c r="C144" s="28"/>
      <c r="D144" s="28"/>
      <c r="E144" s="28"/>
    </row>
    <row r="145">
      <c r="A145" s="28"/>
      <c r="B145" s="28"/>
      <c r="C145" s="28"/>
      <c r="D145" s="28"/>
      <c r="E145" s="28"/>
    </row>
    <row r="146">
      <c r="A146" s="28"/>
      <c r="B146" s="28"/>
      <c r="C146" s="28"/>
      <c r="D146" s="28"/>
      <c r="E146" s="28"/>
    </row>
    <row r="147">
      <c r="A147" s="28"/>
      <c r="B147" s="28"/>
      <c r="C147" s="28"/>
      <c r="D147" s="28"/>
      <c r="E147" s="28"/>
      <c r="F147" s="28"/>
      <c r="G147" s="28"/>
    </row>
    <row r="148">
      <c r="A148" s="28"/>
      <c r="B148" s="28"/>
      <c r="C148" s="28"/>
      <c r="D148" s="28"/>
      <c r="E148" s="28"/>
      <c r="F148" s="28"/>
      <c r="G148" s="28"/>
    </row>
    <row r="149">
      <c r="A149" s="28"/>
      <c r="B149" s="28"/>
      <c r="C149" s="28"/>
      <c r="D149" s="28"/>
      <c r="E149" s="28"/>
      <c r="F149" s="28"/>
      <c r="G149" s="28"/>
    </row>
    <row r="150">
      <c r="A150" s="28"/>
      <c r="B150" s="28"/>
      <c r="C150" s="28"/>
      <c r="D150" s="28"/>
      <c r="E150" s="28"/>
      <c r="F150" s="28"/>
      <c r="G150" s="28"/>
    </row>
    <row r="151">
      <c r="A151" s="28"/>
      <c r="B151" s="28"/>
      <c r="C151" s="28"/>
      <c r="D151" s="28"/>
      <c r="E151" s="28"/>
      <c r="F151" s="28"/>
      <c r="G151" s="28"/>
    </row>
    <row r="152">
      <c r="A152" s="28"/>
      <c r="B152" s="28"/>
      <c r="C152" s="28"/>
      <c r="D152" s="28"/>
      <c r="E152" s="28"/>
    </row>
    <row r="153">
      <c r="A153" s="33" t="s">
        <v>351</v>
      </c>
    </row>
    <row r="154">
      <c r="A154" s="26" t="s">
        <v>19</v>
      </c>
      <c r="B154" s="26" t="s">
        <v>20</v>
      </c>
      <c r="C154" s="26" t="s">
        <v>60</v>
      </c>
      <c r="D154" s="26" t="s">
        <v>5</v>
      </c>
      <c r="E154" s="26" t="s">
        <v>97</v>
      </c>
      <c r="F154" s="26" t="s">
        <v>7</v>
      </c>
      <c r="G154" s="26" t="s">
        <v>8</v>
      </c>
      <c r="H154" s="26" t="s">
        <v>337</v>
      </c>
      <c r="I154" s="26" t="s">
        <v>62</v>
      </c>
    </row>
    <row r="155">
      <c r="A155" s="30" t="s">
        <v>19</v>
      </c>
      <c r="B155" s="30" t="s">
        <v>20</v>
      </c>
      <c r="C155" s="30" t="s">
        <v>52</v>
      </c>
      <c r="D155" s="47" t="s">
        <v>352</v>
      </c>
      <c r="E155" s="30" t="s">
        <v>103</v>
      </c>
      <c r="F155" s="30" t="s">
        <v>352</v>
      </c>
      <c r="G155" s="30" t="s">
        <v>353</v>
      </c>
      <c r="H155" s="35" t="s">
        <v>354</v>
      </c>
      <c r="I155" s="30" t="s">
        <v>355</v>
      </c>
    </row>
    <row r="156">
      <c r="A156" s="30" t="s">
        <v>133</v>
      </c>
      <c r="B156" s="30" t="s">
        <v>35</v>
      </c>
      <c r="C156" s="30" t="s">
        <v>52</v>
      </c>
      <c r="D156" s="35" t="s">
        <v>356</v>
      </c>
      <c r="E156" s="30" t="s">
        <v>357</v>
      </c>
      <c r="F156" s="30" t="s">
        <v>358</v>
      </c>
      <c r="G156" s="30" t="s">
        <v>359</v>
      </c>
      <c r="H156" s="35" t="s">
        <v>354</v>
      </c>
      <c r="I156" s="30" t="s">
        <v>360</v>
      </c>
    </row>
    <row r="157">
      <c r="A157" s="30" t="s">
        <v>122</v>
      </c>
      <c r="B157" s="30" t="s">
        <v>35</v>
      </c>
      <c r="C157" s="30" t="s">
        <v>52</v>
      </c>
      <c r="D157" s="35" t="s">
        <v>361</v>
      </c>
      <c r="E157" s="30" t="s">
        <v>362</v>
      </c>
      <c r="F157" s="30" t="s">
        <v>363</v>
      </c>
      <c r="G157" s="30" t="s">
        <v>364</v>
      </c>
      <c r="H157" s="35" t="s">
        <v>354</v>
      </c>
      <c r="I157" s="30" t="s">
        <v>365</v>
      </c>
    </row>
    <row r="158">
      <c r="A158" s="30" t="s">
        <v>129</v>
      </c>
      <c r="B158" s="30" t="s">
        <v>35</v>
      </c>
      <c r="C158" s="30" t="s">
        <v>52</v>
      </c>
      <c r="D158" s="35" t="s">
        <v>366</v>
      </c>
      <c r="E158" s="30" t="s">
        <v>367</v>
      </c>
      <c r="F158" s="30" t="s">
        <v>368</v>
      </c>
      <c r="G158" s="30" t="s">
        <v>364</v>
      </c>
      <c r="H158" s="35" t="s">
        <v>354</v>
      </c>
      <c r="I158" s="30" t="s">
        <v>369</v>
      </c>
    </row>
    <row r="159">
      <c r="A159" s="30" t="s">
        <v>131</v>
      </c>
      <c r="B159" s="30" t="s">
        <v>35</v>
      </c>
      <c r="C159" s="30" t="s">
        <v>52</v>
      </c>
      <c r="D159" s="35" t="s">
        <v>370</v>
      </c>
      <c r="E159" s="30" t="s">
        <v>371</v>
      </c>
      <c r="F159" s="30" t="s">
        <v>372</v>
      </c>
      <c r="G159" s="30" t="s">
        <v>373</v>
      </c>
      <c r="H159" s="35" t="s">
        <v>354</v>
      </c>
      <c r="I159" s="30" t="s">
        <v>374</v>
      </c>
    </row>
    <row r="160">
      <c r="A160" s="30" t="s">
        <v>126</v>
      </c>
      <c r="B160" s="30" t="s">
        <v>35</v>
      </c>
      <c r="C160" s="30" t="s">
        <v>52</v>
      </c>
      <c r="D160" s="35" t="s">
        <v>375</v>
      </c>
      <c r="E160" s="30" t="s">
        <v>376</v>
      </c>
      <c r="F160" s="30" t="s">
        <v>377</v>
      </c>
      <c r="G160" s="30" t="s">
        <v>373</v>
      </c>
      <c r="H160" s="35" t="s">
        <v>354</v>
      </c>
      <c r="I160" s="30" t="s">
        <v>378</v>
      </c>
    </row>
    <row r="161">
      <c r="A161" s="30" t="s">
        <v>124</v>
      </c>
      <c r="B161" s="30" t="s">
        <v>35</v>
      </c>
      <c r="C161" s="30" t="s">
        <v>52</v>
      </c>
      <c r="D161" s="35" t="s">
        <v>379</v>
      </c>
      <c r="E161" s="30" t="s">
        <v>380</v>
      </c>
      <c r="F161" s="30" t="s">
        <v>381</v>
      </c>
      <c r="G161" s="30" t="s">
        <v>373</v>
      </c>
      <c r="H161" s="35" t="s">
        <v>354</v>
      </c>
      <c r="I161" s="30" t="s">
        <v>382</v>
      </c>
    </row>
    <row r="162">
      <c r="A162" s="30" t="s">
        <v>133</v>
      </c>
      <c r="B162" s="30" t="s">
        <v>34</v>
      </c>
      <c r="C162" s="30" t="s">
        <v>52</v>
      </c>
      <c r="D162" s="40" t="s">
        <v>383</v>
      </c>
      <c r="E162" s="30" t="s">
        <v>384</v>
      </c>
      <c r="F162" s="30" t="s">
        <v>385</v>
      </c>
      <c r="G162" s="30" t="s">
        <v>386</v>
      </c>
      <c r="H162" s="35" t="s">
        <v>354</v>
      </c>
      <c r="I162" s="30" t="s">
        <v>387</v>
      </c>
    </row>
    <row r="163">
      <c r="A163" s="30" t="s">
        <v>122</v>
      </c>
      <c r="B163" s="30" t="s">
        <v>34</v>
      </c>
      <c r="C163" s="30" t="s">
        <v>52</v>
      </c>
      <c r="D163" s="47" t="s">
        <v>388</v>
      </c>
      <c r="E163" s="84" t="s">
        <v>389</v>
      </c>
      <c r="F163" s="30" t="s">
        <v>390</v>
      </c>
      <c r="G163" s="30" t="s">
        <v>391</v>
      </c>
      <c r="H163" s="35" t="s">
        <v>354</v>
      </c>
      <c r="I163" s="30" t="s">
        <v>392</v>
      </c>
    </row>
    <row r="164">
      <c r="A164" s="30" t="s">
        <v>129</v>
      </c>
      <c r="B164" s="30" t="s">
        <v>34</v>
      </c>
      <c r="C164" s="30" t="s">
        <v>52</v>
      </c>
      <c r="D164" s="40" t="s">
        <v>393</v>
      </c>
      <c r="E164" s="84" t="s">
        <v>394</v>
      </c>
      <c r="F164" s="30" t="s">
        <v>395</v>
      </c>
      <c r="G164" s="30" t="s">
        <v>391</v>
      </c>
      <c r="H164" s="35" t="s">
        <v>354</v>
      </c>
      <c r="I164" s="30" t="s">
        <v>396</v>
      </c>
    </row>
    <row r="165">
      <c r="A165" s="30" t="s">
        <v>131</v>
      </c>
      <c r="B165" s="30" t="s">
        <v>34</v>
      </c>
      <c r="C165" s="30" t="s">
        <v>52</v>
      </c>
      <c r="D165" s="47" t="s">
        <v>397</v>
      </c>
      <c r="E165" s="84" t="s">
        <v>398</v>
      </c>
      <c r="F165" s="30" t="s">
        <v>399</v>
      </c>
      <c r="G165" s="30" t="s">
        <v>391</v>
      </c>
      <c r="H165" s="35" t="s">
        <v>354</v>
      </c>
      <c r="I165" s="30" t="s">
        <v>400</v>
      </c>
    </row>
    <row r="166">
      <c r="A166" s="30" t="s">
        <v>126</v>
      </c>
      <c r="B166" s="30" t="s">
        <v>34</v>
      </c>
      <c r="C166" s="30" t="s">
        <v>52</v>
      </c>
      <c r="D166" s="40" t="s">
        <v>401</v>
      </c>
      <c r="E166" s="84" t="s">
        <v>402</v>
      </c>
      <c r="F166" s="30" t="s">
        <v>403</v>
      </c>
      <c r="G166" s="30" t="s">
        <v>391</v>
      </c>
      <c r="H166" s="35" t="s">
        <v>354</v>
      </c>
      <c r="I166" s="30" t="s">
        <v>404</v>
      </c>
    </row>
    <row r="167">
      <c r="A167" s="30" t="s">
        <v>124</v>
      </c>
      <c r="B167" s="30" t="s">
        <v>34</v>
      </c>
      <c r="C167" s="30" t="s">
        <v>52</v>
      </c>
      <c r="D167" s="47" t="s">
        <v>405</v>
      </c>
      <c r="E167" s="84" t="s">
        <v>406</v>
      </c>
      <c r="F167" s="30" t="s">
        <v>407</v>
      </c>
      <c r="G167" s="30" t="s">
        <v>391</v>
      </c>
      <c r="H167" s="35" t="s">
        <v>354</v>
      </c>
      <c r="I167" s="30" t="s">
        <v>408</v>
      </c>
    </row>
    <row r="168">
      <c r="A168" s="30" t="s">
        <v>145</v>
      </c>
      <c r="B168" s="30" t="s">
        <v>34</v>
      </c>
      <c r="C168" s="30" t="s">
        <v>52</v>
      </c>
      <c r="D168" s="40" t="s">
        <v>409</v>
      </c>
      <c r="E168" s="30" t="s">
        <v>103</v>
      </c>
      <c r="F168" s="30" t="s">
        <v>410</v>
      </c>
      <c r="G168" s="30" t="s">
        <v>411</v>
      </c>
      <c r="H168" s="35" t="s">
        <v>354</v>
      </c>
      <c r="I168" s="30" t="s">
        <v>412</v>
      </c>
    </row>
    <row r="169">
      <c r="A169" s="30" t="s">
        <v>144</v>
      </c>
      <c r="B169" s="30" t="s">
        <v>34</v>
      </c>
      <c r="C169" s="30" t="s">
        <v>52</v>
      </c>
      <c r="D169" s="40" t="s">
        <v>409</v>
      </c>
      <c r="E169" s="30" t="s">
        <v>103</v>
      </c>
      <c r="F169" s="30" t="s">
        <v>410</v>
      </c>
      <c r="G169" s="30" t="s">
        <v>411</v>
      </c>
      <c r="H169" s="35" t="s">
        <v>354</v>
      </c>
      <c r="I169" s="30" t="s">
        <v>412</v>
      </c>
    </row>
    <row r="170">
      <c r="A170" s="30" t="s">
        <v>143</v>
      </c>
      <c r="B170" s="30" t="s">
        <v>34</v>
      </c>
      <c r="C170" s="30" t="s">
        <v>52</v>
      </c>
      <c r="D170" s="40" t="s">
        <v>409</v>
      </c>
      <c r="E170" s="30" t="s">
        <v>103</v>
      </c>
      <c r="F170" s="30" t="s">
        <v>410</v>
      </c>
      <c r="G170" s="30" t="s">
        <v>411</v>
      </c>
      <c r="H170" s="35" t="s">
        <v>354</v>
      </c>
      <c r="I170" s="30" t="s">
        <v>412</v>
      </c>
    </row>
    <row r="171">
      <c r="A171" s="30" t="s">
        <v>145</v>
      </c>
      <c r="B171" s="30" t="s">
        <v>35</v>
      </c>
      <c r="C171" s="30" t="s">
        <v>52</v>
      </c>
      <c r="D171" s="40" t="s">
        <v>413</v>
      </c>
      <c r="E171" s="30" t="s">
        <v>103</v>
      </c>
      <c r="F171" s="30" t="s">
        <v>414</v>
      </c>
      <c r="G171" s="30" t="s">
        <v>415</v>
      </c>
      <c r="H171" s="35" t="s">
        <v>354</v>
      </c>
      <c r="I171" s="30" t="s">
        <v>416</v>
      </c>
    </row>
    <row r="172">
      <c r="A172" s="30" t="s">
        <v>144</v>
      </c>
      <c r="B172" s="30" t="s">
        <v>35</v>
      </c>
      <c r="C172" s="30" t="s">
        <v>52</v>
      </c>
      <c r="D172" s="40" t="s">
        <v>413</v>
      </c>
      <c r="E172" s="30" t="s">
        <v>103</v>
      </c>
      <c r="F172" s="30" t="s">
        <v>414</v>
      </c>
      <c r="G172" s="30" t="s">
        <v>415</v>
      </c>
      <c r="H172" s="35" t="s">
        <v>354</v>
      </c>
      <c r="I172" s="30" t="s">
        <v>416</v>
      </c>
    </row>
    <row r="173">
      <c r="A173" s="30" t="s">
        <v>143</v>
      </c>
      <c r="B173" s="30" t="s">
        <v>35</v>
      </c>
      <c r="C173" s="30" t="s">
        <v>52</v>
      </c>
      <c r="D173" s="40" t="s">
        <v>413</v>
      </c>
      <c r="E173" s="30" t="s">
        <v>103</v>
      </c>
      <c r="F173" s="30" t="s">
        <v>414</v>
      </c>
      <c r="G173" s="30" t="s">
        <v>415</v>
      </c>
      <c r="H173" s="35" t="s">
        <v>354</v>
      </c>
      <c r="I173" s="30" t="s">
        <v>416</v>
      </c>
    </row>
    <row r="174">
      <c r="A174" s="28"/>
      <c r="B174" s="28"/>
      <c r="C174" s="28"/>
      <c r="D174" s="28"/>
      <c r="E174" s="28"/>
    </row>
    <row r="175">
      <c r="A175" s="28"/>
      <c r="B175" s="28"/>
      <c r="C175" s="28"/>
      <c r="D175" s="28"/>
      <c r="E175" s="28"/>
    </row>
    <row r="176">
      <c r="A176" s="28"/>
      <c r="B176" s="28"/>
      <c r="C176" s="28"/>
      <c r="D176" s="28"/>
      <c r="E176" s="28"/>
    </row>
    <row r="177">
      <c r="A177" s="28"/>
      <c r="B177" s="28"/>
      <c r="C177" s="28"/>
      <c r="D177" s="28"/>
      <c r="E177" s="28"/>
    </row>
    <row r="178">
      <c r="A178" s="28"/>
      <c r="B178" s="28"/>
      <c r="C178" s="28"/>
      <c r="D178" s="28"/>
      <c r="E178" s="28"/>
    </row>
    <row r="179">
      <c r="A179" s="28"/>
      <c r="B179" s="28"/>
      <c r="C179" s="28"/>
      <c r="D179" s="28"/>
      <c r="E179" s="28"/>
    </row>
    <row r="180">
      <c r="A180" s="28"/>
      <c r="B180" s="28"/>
      <c r="C180" s="28"/>
      <c r="D180" s="28"/>
      <c r="E180" s="28"/>
    </row>
    <row r="181">
      <c r="A181" s="28"/>
      <c r="B181" s="28"/>
      <c r="C181" s="28"/>
      <c r="D181" s="28"/>
      <c r="E181" s="28"/>
    </row>
    <row r="182">
      <c r="A182" s="28"/>
      <c r="B182" s="28"/>
      <c r="C182" s="28"/>
      <c r="D182" s="28"/>
      <c r="E182" s="28"/>
    </row>
    <row r="183">
      <c r="A183" s="28"/>
      <c r="B183" s="28"/>
      <c r="C183" s="28"/>
      <c r="D183" s="28"/>
      <c r="E183" s="28"/>
    </row>
    <row r="184">
      <c r="A184" s="28"/>
      <c r="B184" s="28"/>
      <c r="C184" s="28"/>
      <c r="D184" s="28"/>
      <c r="E184" s="28"/>
    </row>
    <row r="185">
      <c r="A185" s="28"/>
      <c r="B185" s="28"/>
      <c r="C185" s="28"/>
      <c r="D185" s="28"/>
      <c r="E185" s="28"/>
    </row>
    <row r="186">
      <c r="A186" s="28"/>
      <c r="B186" s="28"/>
      <c r="C186" s="28"/>
      <c r="D186" s="28"/>
      <c r="E186" s="28"/>
    </row>
    <row r="187">
      <c r="A187" s="28"/>
      <c r="B187" s="28"/>
      <c r="C187" s="28"/>
      <c r="D187" s="28"/>
      <c r="E187" s="28"/>
    </row>
    <row r="188">
      <c r="A188" s="28"/>
      <c r="B188" s="28"/>
      <c r="C188" s="28"/>
      <c r="D188" s="28"/>
      <c r="E188" s="28"/>
    </row>
    <row r="189">
      <c r="A189" s="28"/>
      <c r="B189" s="28"/>
      <c r="C189" s="28"/>
      <c r="D189" s="28"/>
      <c r="E189" s="28"/>
    </row>
    <row r="190">
      <c r="A190" s="28"/>
      <c r="B190" s="28"/>
      <c r="C190" s="28"/>
      <c r="D190" s="28"/>
      <c r="E190" s="28"/>
    </row>
    <row r="191">
      <c r="A191" s="28"/>
      <c r="B191" s="28"/>
      <c r="C191" s="28"/>
      <c r="D191" s="28"/>
      <c r="E191" s="28"/>
    </row>
    <row r="192">
      <c r="A192" s="28"/>
      <c r="B192" s="28"/>
      <c r="C192" s="28"/>
      <c r="D192" s="28"/>
      <c r="E192" s="28"/>
    </row>
    <row r="193">
      <c r="A193" s="28"/>
      <c r="B193" s="28"/>
      <c r="C193" s="28"/>
      <c r="D193" s="28"/>
      <c r="E193" s="28"/>
      <c r="F193" s="28"/>
      <c r="G193" s="28"/>
    </row>
    <row r="194">
      <c r="A194" s="28"/>
      <c r="B194" s="28"/>
      <c r="C194" s="28"/>
      <c r="D194" s="28"/>
      <c r="E194" s="28"/>
      <c r="F194" s="28"/>
      <c r="G194" s="28"/>
    </row>
    <row r="195">
      <c r="A195" s="28"/>
      <c r="B195" s="28"/>
      <c r="C195" s="28"/>
      <c r="D195" s="28"/>
      <c r="E195" s="28"/>
      <c r="F195" s="28"/>
      <c r="G195" s="28"/>
    </row>
    <row r="196">
      <c r="A196" s="28"/>
      <c r="B196" s="28"/>
      <c r="C196" s="28"/>
      <c r="D196" s="28"/>
      <c r="E196" s="28"/>
      <c r="F196" s="28"/>
      <c r="G196" s="28"/>
    </row>
    <row r="197">
      <c r="A197" s="28"/>
      <c r="B197" s="28"/>
      <c r="C197" s="28"/>
      <c r="D197" s="28"/>
      <c r="E197" s="28"/>
      <c r="F197" s="28"/>
      <c r="G197" s="28"/>
    </row>
  </sheetData>
  <mergeCells count="15">
    <mergeCell ref="A16:D16"/>
    <mergeCell ref="A23:E23"/>
    <mergeCell ref="A43:C43"/>
    <mergeCell ref="A69:F69"/>
    <mergeCell ref="A105:E105"/>
    <mergeCell ref="A123:D123"/>
    <mergeCell ref="A141:C141"/>
    <mergeCell ref="A153:I153"/>
    <mergeCell ref="A1:H1"/>
    <mergeCell ref="A2:H2"/>
    <mergeCell ref="D4:G4"/>
    <mergeCell ref="D10:G10"/>
    <mergeCell ref="D11:G12"/>
    <mergeCell ref="D13:H14"/>
    <mergeCell ref="A15:D15"/>
  </mergeCells>
  <dataValidations>
    <dataValidation type="list" allowBlank="1" sqref="B6">
      <formula1>"ALL"</formula1>
    </dataValidation>
    <dataValidation type="list" allowBlank="1" sqref="B8">
      <formula1>"ALL,saturation_vrs_dev,saturation_vrs_prod,stage_vrs,tag,test_vrs"</formula1>
    </dataValidation>
    <dataValidation type="list" allowBlank="1" sqref="B4">
      <formula1>"PROD,STAGE,TEST,DEV,ALL"</formula1>
    </dataValidation>
    <dataValidation type="list" allowBlank="1" sqref="B9">
      <formula1>"Environment View,Sprint View,Route Cross-Env,Experiment"</formula1>
    </dataValidation>
    <dataValidation type="list" allowBlank="1" sqref="B5">
      <formula1>"ALL,mobile,desktop"</formula1>
    </dataValidation>
    <dataValidation type="list" allowBlank="1" sqref="B7">
      <formula1>"ALL,Sprint"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0.75"/>
    <col customWidth="1" min="3" max="3" width="18.25"/>
    <col customWidth="1" min="4" max="4" width="11.38"/>
    <col customWidth="1" min="5" max="5" width="6.38"/>
    <col customWidth="1" min="6" max="6" width="7.63"/>
    <col customWidth="1" min="7" max="8" width="7.0"/>
    <col customWidth="1" min="9" max="9" width="7.63"/>
    <col customWidth="1" min="10" max="11" width="7.0"/>
    <col customWidth="1" min="12" max="13" width="7.63"/>
    <col customWidth="1" min="14" max="14" width="10.75"/>
    <col customWidth="1" min="15" max="16" width="8.88"/>
    <col customWidth="1" min="17" max="17" width="14.5"/>
    <col customWidth="1" min="18" max="18" width="18.25"/>
    <col customWidth="1" min="19" max="20" width="17.63"/>
  </cols>
  <sheetData>
    <row r="1" ht="21.0" hidden="1" customHeight="1">
      <c r="A1" s="49" t="s">
        <v>0</v>
      </c>
      <c r="B1" s="49" t="s">
        <v>146</v>
      </c>
      <c r="C1" s="1" t="s">
        <v>2</v>
      </c>
      <c r="D1" s="49" t="s">
        <v>3</v>
      </c>
      <c r="E1" s="49" t="s">
        <v>4</v>
      </c>
      <c r="F1" s="49" t="s">
        <v>139</v>
      </c>
      <c r="G1" s="49" t="s">
        <v>5</v>
      </c>
      <c r="H1" s="49" t="s">
        <v>7</v>
      </c>
      <c r="I1" s="49" t="s">
        <v>8</v>
      </c>
      <c r="J1" s="49" t="s">
        <v>147</v>
      </c>
      <c r="K1" s="49" t="s">
        <v>148</v>
      </c>
      <c r="L1" s="49" t="s">
        <v>149</v>
      </c>
      <c r="M1" s="49" t="s">
        <v>150</v>
      </c>
      <c r="N1" s="49" t="s">
        <v>6</v>
      </c>
      <c r="O1" s="49" t="s">
        <v>151</v>
      </c>
      <c r="P1" s="49" t="s">
        <v>152</v>
      </c>
      <c r="Q1" s="49" t="s">
        <v>13</v>
      </c>
      <c r="R1" s="49" t="s">
        <v>14</v>
      </c>
      <c r="S1" s="49" t="s">
        <v>15</v>
      </c>
    </row>
    <row r="2">
      <c r="A2" s="50"/>
      <c r="B2" s="50"/>
      <c r="C2" s="3" t="s">
        <v>18</v>
      </c>
      <c r="D2" s="50"/>
      <c r="E2" s="50"/>
      <c r="F2" s="51" t="s">
        <v>156</v>
      </c>
      <c r="G2" s="51" t="s">
        <v>157</v>
      </c>
      <c r="J2" s="51" t="s">
        <v>158</v>
      </c>
      <c r="M2" s="51" t="s">
        <v>159</v>
      </c>
      <c r="N2" s="51" t="s">
        <v>160</v>
      </c>
      <c r="O2" s="51" t="s">
        <v>161</v>
      </c>
      <c r="P2" s="51" t="s">
        <v>162</v>
      </c>
      <c r="Q2" s="51" t="s">
        <v>23</v>
      </c>
      <c r="R2" s="50"/>
      <c r="S2" s="50"/>
      <c r="T2" s="15"/>
    </row>
    <row r="3">
      <c r="A3" s="51" t="s">
        <v>16</v>
      </c>
      <c r="B3" s="51" t="s">
        <v>257</v>
      </c>
      <c r="C3" s="3" t="s">
        <v>26</v>
      </c>
      <c r="D3" s="51" t="s">
        <v>19</v>
      </c>
      <c r="E3" s="51" t="s">
        <v>20</v>
      </c>
      <c r="F3" s="51" t="s">
        <v>164</v>
      </c>
      <c r="G3" s="52" t="s">
        <v>5</v>
      </c>
      <c r="H3" s="52" t="s">
        <v>7</v>
      </c>
      <c r="I3" s="52" t="s">
        <v>8</v>
      </c>
      <c r="J3" s="53" t="s">
        <v>140</v>
      </c>
      <c r="K3" s="53" t="s">
        <v>141</v>
      </c>
      <c r="L3" s="53" t="s">
        <v>142</v>
      </c>
      <c r="M3" s="51" t="s">
        <v>150</v>
      </c>
      <c r="N3" s="51" t="s">
        <v>6</v>
      </c>
      <c r="O3" s="51" t="s">
        <v>165</v>
      </c>
      <c r="P3" s="51" t="s">
        <v>152</v>
      </c>
      <c r="Q3" s="51" t="s">
        <v>13</v>
      </c>
      <c r="R3" s="51" t="s">
        <v>14</v>
      </c>
      <c r="S3" s="51" t="s">
        <v>15</v>
      </c>
      <c r="T3" s="15"/>
    </row>
    <row r="4">
      <c r="A4" s="54">
        <v>46101.0</v>
      </c>
      <c r="B4" s="85" t="s">
        <v>225</v>
      </c>
      <c r="C4" s="21"/>
      <c r="D4" s="86" t="str">
        <f>HYPERLINK("https://www.vrsmash.com/", "main")</f>
        <v>main</v>
      </c>
      <c r="E4" s="85" t="s">
        <v>35</v>
      </c>
      <c r="F4" s="85">
        <v>48.0</v>
      </c>
      <c r="G4" s="85">
        <v>6830.0</v>
      </c>
      <c r="H4" s="85">
        <v>1652.0</v>
      </c>
      <c r="I4" s="85">
        <v>0.008</v>
      </c>
      <c r="J4" s="85">
        <v>8543.0</v>
      </c>
      <c r="K4" s="85">
        <v>1724.0</v>
      </c>
      <c r="L4" s="85">
        <v>0.0082</v>
      </c>
      <c r="M4" s="85">
        <v>2624.0</v>
      </c>
      <c r="N4" s="85">
        <v>3451.0</v>
      </c>
      <c r="O4" s="85">
        <v>4844.0</v>
      </c>
      <c r="P4" s="85">
        <v>10562.0</v>
      </c>
      <c r="Q4" s="85">
        <v>288.0</v>
      </c>
      <c r="R4" s="85" t="s">
        <v>132</v>
      </c>
      <c r="S4" s="85" t="s">
        <v>417</v>
      </c>
      <c r="T4" s="15"/>
    </row>
    <row r="5">
      <c r="A5" s="54">
        <v>46101.0</v>
      </c>
      <c r="B5" s="87" t="s">
        <v>225</v>
      </c>
      <c r="C5" s="21"/>
      <c r="D5" s="88" t="str">
        <f>HYPERLINK("https://www.vrsmash.com/pornstars/?sort=latest", "models")</f>
        <v>models</v>
      </c>
      <c r="E5" s="87" t="s">
        <v>35</v>
      </c>
      <c r="F5" s="87">
        <v>60.0</v>
      </c>
      <c r="G5" s="87">
        <v>6756.0</v>
      </c>
      <c r="H5" s="87">
        <v>1132.0</v>
      </c>
      <c r="I5" s="87">
        <v>0.007</v>
      </c>
      <c r="J5" s="87">
        <v>8369.0</v>
      </c>
      <c r="K5" s="87">
        <v>1150.0</v>
      </c>
      <c r="L5" s="87">
        <v>0.0072</v>
      </c>
      <c r="M5" s="87">
        <v>2016.0</v>
      </c>
      <c r="N5" s="87">
        <v>2506.0</v>
      </c>
      <c r="O5" s="87">
        <v>4671.0</v>
      </c>
      <c r="P5" s="87">
        <v>9926.0</v>
      </c>
      <c r="Q5" s="87">
        <v>251.0</v>
      </c>
      <c r="R5" s="87" t="s">
        <v>132</v>
      </c>
      <c r="S5" s="87" t="s">
        <v>417</v>
      </c>
      <c r="T5" s="15"/>
    </row>
    <row r="6">
      <c r="A6" s="54">
        <v>46101.0</v>
      </c>
      <c r="B6" s="85" t="s">
        <v>225</v>
      </c>
      <c r="C6" s="21"/>
      <c r="D6" s="86" t="str">
        <f>HYPERLINK("https://www.vrsmash.com/pornstars/samy-sun/", "s_model")</f>
        <v>s_model</v>
      </c>
      <c r="E6" s="85" t="s">
        <v>35</v>
      </c>
      <c r="F6" s="85">
        <v>39.0</v>
      </c>
      <c r="G6" s="85">
        <v>16485.0</v>
      </c>
      <c r="H6" s="85">
        <v>2500.0</v>
      </c>
      <c r="I6" s="85">
        <v>0.0069</v>
      </c>
      <c r="J6" s="85">
        <v>17536.0</v>
      </c>
      <c r="K6" s="85">
        <v>2846.0</v>
      </c>
      <c r="L6" s="85">
        <v>0.007</v>
      </c>
      <c r="M6" s="85">
        <v>7064.0</v>
      </c>
      <c r="N6" s="85">
        <v>2566.0</v>
      </c>
      <c r="O6" s="85">
        <v>5313.0</v>
      </c>
      <c r="P6" s="85">
        <v>16506.0</v>
      </c>
      <c r="Q6" s="85">
        <v>269.0</v>
      </c>
      <c r="R6" s="85" t="s">
        <v>132</v>
      </c>
      <c r="S6" s="85" t="s">
        <v>417</v>
      </c>
      <c r="T6" s="15"/>
    </row>
    <row r="7">
      <c r="A7" s="54">
        <v>46101.0</v>
      </c>
      <c r="B7" s="87" t="s">
        <v>225</v>
      </c>
      <c r="C7" s="21"/>
      <c r="D7" s="88" t="str">
        <f>HYPERLINK("https://www.vrsmash.com/categories/", "categories")</f>
        <v>categories</v>
      </c>
      <c r="E7" s="87" t="s">
        <v>35</v>
      </c>
      <c r="F7" s="87">
        <v>52.0</v>
      </c>
      <c r="G7" s="87">
        <v>8142.0</v>
      </c>
      <c r="H7" s="87">
        <v>679.0</v>
      </c>
      <c r="I7" s="87">
        <v>0.0085</v>
      </c>
      <c r="J7" s="87">
        <v>9834.0</v>
      </c>
      <c r="K7" s="87">
        <v>762.0</v>
      </c>
      <c r="L7" s="87">
        <v>0.0085</v>
      </c>
      <c r="M7" s="87">
        <v>1395.0</v>
      </c>
      <c r="N7" s="87">
        <v>2232.0</v>
      </c>
      <c r="O7" s="87">
        <v>4826.0</v>
      </c>
      <c r="P7" s="87">
        <v>10641.0</v>
      </c>
      <c r="Q7" s="87">
        <v>269.0</v>
      </c>
      <c r="R7" s="87" t="s">
        <v>132</v>
      </c>
      <c r="S7" s="87" t="s">
        <v>417</v>
      </c>
      <c r="T7" s="15"/>
    </row>
    <row r="8">
      <c r="A8" s="54">
        <v>46101.0</v>
      </c>
      <c r="B8" s="85" t="s">
        <v>225</v>
      </c>
      <c r="C8" s="21"/>
      <c r="D8" s="86" t="str">
        <f>HYPERLINK("https://www.vrsmash.com/tag/anal/", "s_category")</f>
        <v>s_category</v>
      </c>
      <c r="E8" s="85" t="s">
        <v>35</v>
      </c>
      <c r="F8" s="85">
        <v>43.0</v>
      </c>
      <c r="G8" s="85">
        <v>8201.0</v>
      </c>
      <c r="H8" s="85">
        <v>1491.0</v>
      </c>
      <c r="I8" s="85">
        <v>0.0091</v>
      </c>
      <c r="J8" s="85">
        <v>8283.0</v>
      </c>
      <c r="K8" s="85">
        <v>1590.0</v>
      </c>
      <c r="L8" s="85">
        <v>0.0092</v>
      </c>
      <c r="M8" s="85">
        <v>2598.0</v>
      </c>
      <c r="N8" s="85">
        <v>3308.0</v>
      </c>
      <c r="O8" s="85">
        <v>4835.0</v>
      </c>
      <c r="P8" s="85">
        <v>10639.0</v>
      </c>
      <c r="Q8" s="85">
        <v>308.0</v>
      </c>
      <c r="R8" s="85" t="s">
        <v>132</v>
      </c>
      <c r="S8" s="85" t="s">
        <v>417</v>
      </c>
      <c r="T8" s="15"/>
    </row>
    <row r="9">
      <c r="A9" s="54">
        <v>46101.0</v>
      </c>
      <c r="B9" s="87" t="s">
        <v>225</v>
      </c>
      <c r="C9" s="21"/>
      <c r="D9" s="88" t="str">
        <f>HYPERLINK("https://www.vrsmash.com/camgirls/", "dreams")</f>
        <v>dreams</v>
      </c>
      <c r="E9" s="87" t="s">
        <v>35</v>
      </c>
      <c r="F9" s="87">
        <v>56.0</v>
      </c>
      <c r="G9" s="87">
        <v>4492.0</v>
      </c>
      <c r="H9" s="87">
        <v>789.0</v>
      </c>
      <c r="I9" s="87">
        <v>0.0091</v>
      </c>
      <c r="J9" s="87">
        <v>4576.0</v>
      </c>
      <c r="K9" s="87">
        <v>819.0</v>
      </c>
      <c r="L9" s="87">
        <v>0.0091</v>
      </c>
      <c r="M9" s="87">
        <v>1274.0</v>
      </c>
      <c r="N9" s="87">
        <v>2150.0</v>
      </c>
      <c r="O9" s="87">
        <v>5986.0</v>
      </c>
      <c r="P9" s="87">
        <v>16481.0</v>
      </c>
      <c r="Q9" s="87">
        <v>770.0</v>
      </c>
      <c r="R9" s="87" t="s">
        <v>132</v>
      </c>
      <c r="S9" s="87" t="s">
        <v>417</v>
      </c>
      <c r="T9" s="15"/>
    </row>
    <row r="10">
      <c r="A10" s="54">
        <v>46101.0</v>
      </c>
      <c r="B10" s="85" t="s">
        <v>225</v>
      </c>
      <c r="C10" s="21"/>
      <c r="D10" s="86" t="str">
        <f>HYPERLINK("https://www.vrsmash.com/", "main")</f>
        <v>main</v>
      </c>
      <c r="E10" s="85" t="s">
        <v>34</v>
      </c>
      <c r="F10" s="85">
        <v>64.0</v>
      </c>
      <c r="G10" s="85">
        <v>3424.0</v>
      </c>
      <c r="H10" s="85">
        <v>421.0</v>
      </c>
      <c r="I10" s="85">
        <v>0.0275</v>
      </c>
      <c r="J10" s="85">
        <v>3592.0</v>
      </c>
      <c r="K10" s="85">
        <v>440.0</v>
      </c>
      <c r="L10" s="85">
        <v>0.034</v>
      </c>
      <c r="M10" s="85">
        <v>418.0</v>
      </c>
      <c r="N10" s="85">
        <v>1754.0</v>
      </c>
      <c r="O10" s="85">
        <v>2605.0</v>
      </c>
      <c r="P10" s="85">
        <v>4298.0</v>
      </c>
      <c r="Q10" s="85">
        <v>265.0</v>
      </c>
      <c r="R10" s="85" t="s">
        <v>132</v>
      </c>
      <c r="S10" s="85" t="s">
        <v>417</v>
      </c>
      <c r="T10" s="15"/>
    </row>
    <row r="11">
      <c r="A11" s="54">
        <v>46101.0</v>
      </c>
      <c r="B11" s="87" t="s">
        <v>225</v>
      </c>
      <c r="C11" s="21"/>
      <c r="D11" s="88" t="str">
        <f>HYPERLINK("https://www.vrsmash.com/pornstars/?sort=latest", "models")</f>
        <v>models</v>
      </c>
      <c r="E11" s="87" t="s">
        <v>34</v>
      </c>
      <c r="F11" s="87">
        <v>78.0</v>
      </c>
      <c r="G11" s="87">
        <v>1792.0</v>
      </c>
      <c r="H11" s="87">
        <v>268.0</v>
      </c>
      <c r="I11" s="87">
        <v>0.0071</v>
      </c>
      <c r="J11" s="87">
        <v>1819.0</v>
      </c>
      <c r="K11" s="87">
        <v>276.0</v>
      </c>
      <c r="L11" s="87">
        <v>0.0071</v>
      </c>
      <c r="M11" s="87">
        <v>308.0</v>
      </c>
      <c r="N11" s="87">
        <v>1620.0</v>
      </c>
      <c r="O11" s="87">
        <v>2392.0</v>
      </c>
      <c r="P11" s="87">
        <v>3439.0</v>
      </c>
      <c r="Q11" s="87">
        <v>253.0</v>
      </c>
      <c r="R11" s="87" t="s">
        <v>132</v>
      </c>
      <c r="S11" s="87" t="s">
        <v>417</v>
      </c>
      <c r="T11" s="15"/>
    </row>
    <row r="12">
      <c r="A12" s="54">
        <v>46101.0</v>
      </c>
      <c r="B12" s="85" t="s">
        <v>225</v>
      </c>
      <c r="C12" s="21"/>
      <c r="D12" s="86" t="str">
        <f>HYPERLINK("https://www.vrsmash.com/pornstars/samy-sun/", "s_model")</f>
        <v>s_model</v>
      </c>
      <c r="E12" s="85" t="s">
        <v>34</v>
      </c>
      <c r="F12" s="85">
        <v>63.0</v>
      </c>
      <c r="G12" s="85">
        <v>1810.0</v>
      </c>
      <c r="H12" s="85">
        <v>734.0</v>
      </c>
      <c r="I12" s="85">
        <v>0.0071</v>
      </c>
      <c r="J12" s="85">
        <v>2155.0</v>
      </c>
      <c r="K12" s="85">
        <v>752.0</v>
      </c>
      <c r="L12" s="85">
        <v>0.0071</v>
      </c>
      <c r="M12" s="85">
        <v>1808.0</v>
      </c>
      <c r="N12" s="85">
        <v>1636.0</v>
      </c>
      <c r="O12" s="85">
        <v>2886.0</v>
      </c>
      <c r="P12" s="85">
        <v>3967.0</v>
      </c>
      <c r="Q12" s="85">
        <v>269.0</v>
      </c>
      <c r="R12" s="85" t="s">
        <v>132</v>
      </c>
      <c r="S12" s="85" t="s">
        <v>417</v>
      </c>
      <c r="T12" s="15"/>
    </row>
    <row r="13">
      <c r="A13" s="54">
        <v>46101.0</v>
      </c>
      <c r="B13" s="87" t="s">
        <v>225</v>
      </c>
      <c r="C13" s="21"/>
      <c r="D13" s="88" t="str">
        <f>HYPERLINK("https://www.vrsmash.com/categories/", "categories")</f>
        <v>categories</v>
      </c>
      <c r="E13" s="87" t="s">
        <v>34</v>
      </c>
      <c r="F13" s="87">
        <v>89.0</v>
      </c>
      <c r="G13" s="87">
        <v>1560.0</v>
      </c>
      <c r="H13" s="87">
        <v>155.0</v>
      </c>
      <c r="I13" s="87">
        <v>0.0073</v>
      </c>
      <c r="J13" s="87">
        <v>1593.0</v>
      </c>
      <c r="K13" s="87">
        <v>160.0</v>
      </c>
      <c r="L13" s="87">
        <v>0.0073</v>
      </c>
      <c r="M13" s="87">
        <v>178.0</v>
      </c>
      <c r="N13" s="87">
        <v>876.0</v>
      </c>
      <c r="O13" s="87">
        <v>2065.0</v>
      </c>
      <c r="P13" s="87">
        <v>2834.0</v>
      </c>
      <c r="Q13" s="87">
        <v>281.0</v>
      </c>
      <c r="R13" s="87" t="s">
        <v>132</v>
      </c>
      <c r="S13" s="87" t="s">
        <v>417</v>
      </c>
      <c r="T13" s="15"/>
    </row>
    <row r="14">
      <c r="A14" s="54">
        <v>46101.0</v>
      </c>
      <c r="B14" s="85" t="s">
        <v>225</v>
      </c>
      <c r="C14" s="21"/>
      <c r="D14" s="86" t="str">
        <f>HYPERLINK("https://www.vrsmash.com/tag/anal/", "s_category")</f>
        <v>s_category</v>
      </c>
      <c r="E14" s="85" t="s">
        <v>34</v>
      </c>
      <c r="F14" s="85">
        <v>75.0</v>
      </c>
      <c r="G14" s="85">
        <v>2084.0</v>
      </c>
      <c r="H14" s="85">
        <v>374.0</v>
      </c>
      <c r="I14" s="85">
        <v>0.0075</v>
      </c>
      <c r="J14" s="85">
        <v>2136.0</v>
      </c>
      <c r="K14" s="85">
        <v>390.0</v>
      </c>
      <c r="L14" s="85">
        <v>0.0075</v>
      </c>
      <c r="M14" s="85">
        <v>400.0</v>
      </c>
      <c r="N14" s="85">
        <v>1732.0</v>
      </c>
      <c r="O14" s="85">
        <v>2526.0</v>
      </c>
      <c r="P14" s="85">
        <v>3682.0</v>
      </c>
      <c r="Q14" s="85">
        <v>306.0</v>
      </c>
      <c r="R14" s="85" t="s">
        <v>132</v>
      </c>
      <c r="S14" s="85" t="s">
        <v>417</v>
      </c>
      <c r="T14" s="15"/>
    </row>
    <row r="15">
      <c r="A15" s="54">
        <v>46101.0</v>
      </c>
      <c r="B15" s="87" t="s">
        <v>225</v>
      </c>
      <c r="C15" s="21"/>
      <c r="D15" s="88" t="str">
        <f>HYPERLINK("https://www.vrsmash.com/camgirls/", "dreams")</f>
        <v>dreams</v>
      </c>
      <c r="E15" s="87" t="s">
        <v>34</v>
      </c>
      <c r="F15" s="87">
        <v>89.0</v>
      </c>
      <c r="G15" s="87">
        <v>1212.0</v>
      </c>
      <c r="H15" s="87">
        <v>205.0</v>
      </c>
      <c r="I15" s="87">
        <v>0.0069</v>
      </c>
      <c r="J15" s="87">
        <v>1248.0</v>
      </c>
      <c r="K15" s="87">
        <v>211.0</v>
      </c>
      <c r="L15" s="87">
        <v>0.007</v>
      </c>
      <c r="M15" s="87">
        <v>196.0</v>
      </c>
      <c r="N15" s="87">
        <v>854.0</v>
      </c>
      <c r="O15" s="87">
        <v>1959.0</v>
      </c>
      <c r="P15" s="87">
        <v>3874.0</v>
      </c>
      <c r="Q15" s="87">
        <v>754.0</v>
      </c>
      <c r="R15" s="87" t="s">
        <v>132</v>
      </c>
      <c r="S15" s="87" t="s">
        <v>417</v>
      </c>
      <c r="T15" s="15"/>
    </row>
    <row r="16">
      <c r="A16" s="54"/>
      <c r="B16" s="85"/>
      <c r="C16" s="21"/>
      <c r="D16" s="89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15"/>
    </row>
    <row r="17">
      <c r="A17" s="54"/>
      <c r="B17" s="11"/>
      <c r="C17" s="21"/>
      <c r="D17" s="2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5"/>
    </row>
    <row r="18">
      <c r="A18" s="54"/>
      <c r="B18" s="11"/>
      <c r="C18" s="21"/>
      <c r="D18" s="2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5"/>
    </row>
    <row r="19">
      <c r="A19" s="54"/>
      <c r="B19" s="11"/>
      <c r="C19" s="21"/>
      <c r="D19" s="2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5"/>
    </row>
    <row r="20">
      <c r="A20" s="54"/>
      <c r="B20" s="11"/>
      <c r="C20" s="21"/>
      <c r="D20" s="2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5"/>
    </row>
    <row r="21">
      <c r="A21" s="54"/>
      <c r="B21" s="11"/>
      <c r="C21" s="21"/>
      <c r="D21" s="2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5"/>
    </row>
    <row r="22">
      <c r="A22" s="54"/>
      <c r="B22" s="11"/>
      <c r="C22" s="21"/>
      <c r="D22" s="2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5"/>
    </row>
    <row r="23">
      <c r="A23" s="54"/>
      <c r="B23" s="11"/>
      <c r="C23" s="21"/>
      <c r="D23" s="2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5"/>
    </row>
    <row r="24">
      <c r="A24" s="54"/>
      <c r="B24" s="11"/>
      <c r="C24" s="21"/>
      <c r="D24" s="2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5"/>
    </row>
    <row r="25">
      <c r="A25" s="54"/>
      <c r="B25" s="11"/>
      <c r="C25" s="21"/>
      <c r="D25" s="2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5"/>
    </row>
    <row r="26">
      <c r="A26" s="54"/>
      <c r="B26" s="11"/>
      <c r="C26" s="21"/>
      <c r="D26" s="2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5"/>
    </row>
    <row r="27">
      <c r="A27" s="54"/>
      <c r="B27" s="11"/>
      <c r="C27" s="21"/>
      <c r="D27" s="20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5"/>
    </row>
    <row r="28">
      <c r="A28" s="54"/>
      <c r="B28" s="11"/>
      <c r="C28" s="21"/>
      <c r="D28" s="2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5"/>
    </row>
    <row r="29">
      <c r="A29" s="54"/>
      <c r="B29" s="11"/>
      <c r="C29" s="21"/>
      <c r="D29" s="2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5"/>
    </row>
    <row r="30">
      <c r="A30" s="54"/>
      <c r="B30" s="11"/>
      <c r="C30" s="21"/>
      <c r="D30" s="2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5"/>
    </row>
    <row r="31">
      <c r="A31" s="22"/>
      <c r="B31" s="11"/>
      <c r="C31" s="21"/>
      <c r="D31" s="2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5"/>
    </row>
    <row r="32">
      <c r="A32" s="22"/>
      <c r="B32" s="11"/>
      <c r="C32" s="21"/>
      <c r="D32" s="2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5"/>
    </row>
    <row r="33">
      <c r="A33" s="22"/>
      <c r="B33" s="11"/>
      <c r="C33" s="21"/>
      <c r="D33" s="2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5"/>
    </row>
    <row r="34">
      <c r="A34" s="22"/>
      <c r="B34" s="11"/>
      <c r="C34" s="21"/>
      <c r="D34" s="2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5"/>
    </row>
    <row r="35">
      <c r="A35" s="22"/>
      <c r="B35" s="11"/>
      <c r="C35" s="21"/>
      <c r="D35" s="20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5"/>
    </row>
    <row r="36">
      <c r="A36" s="22"/>
      <c r="B36" s="11"/>
      <c r="C36" s="21"/>
      <c r="D36" s="20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5"/>
    </row>
    <row r="37">
      <c r="A37" s="22"/>
      <c r="B37" s="11"/>
      <c r="C37" s="21"/>
      <c r="D37" s="20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5"/>
    </row>
    <row r="38">
      <c r="A38" s="22"/>
      <c r="B38" s="11"/>
      <c r="C38" s="21"/>
      <c r="D38" s="20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5"/>
    </row>
    <row r="39">
      <c r="A39" s="22"/>
      <c r="B39" s="11"/>
      <c r="C39" s="21"/>
      <c r="D39" s="2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5"/>
    </row>
    <row r="40">
      <c r="A40" s="22"/>
      <c r="B40" s="11"/>
      <c r="C40" s="21"/>
      <c r="D40" s="20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5"/>
    </row>
    <row r="41">
      <c r="A41" s="22"/>
      <c r="B41" s="11"/>
      <c r="C41" s="21"/>
      <c r="D41" s="20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5"/>
    </row>
    <row r="42">
      <c r="A42" s="22"/>
      <c r="B42" s="11"/>
      <c r="C42" s="21"/>
      <c r="D42" s="20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5"/>
    </row>
    <row r="43">
      <c r="A43" s="22"/>
      <c r="B43" s="11"/>
      <c r="C43" s="21"/>
      <c r="D43" s="20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5"/>
    </row>
    <row r="44">
      <c r="A44" s="22"/>
      <c r="B44" s="11"/>
      <c r="C44" s="21"/>
      <c r="D44" s="2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5"/>
    </row>
    <row r="45">
      <c r="A45" s="22"/>
      <c r="B45" s="11"/>
      <c r="C45" s="21"/>
      <c r="D45" s="2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5"/>
    </row>
    <row r="46">
      <c r="A46" s="22"/>
      <c r="B46" s="11"/>
      <c r="C46" s="21"/>
      <c r="D46" s="2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5"/>
    </row>
    <row r="47">
      <c r="A47" s="22"/>
      <c r="B47" s="11"/>
      <c r="C47" s="21"/>
      <c r="D47" s="2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5"/>
    </row>
    <row r="48">
      <c r="A48" s="22"/>
      <c r="B48" s="11"/>
      <c r="C48" s="21"/>
      <c r="D48" s="20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5"/>
    </row>
    <row r="49">
      <c r="A49" s="22"/>
      <c r="B49" s="11"/>
      <c r="C49" s="21"/>
      <c r="D49" s="20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5"/>
    </row>
    <row r="50">
      <c r="A50" s="54"/>
      <c r="B50" s="11"/>
      <c r="C50" s="21"/>
      <c r="D50" s="20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5"/>
    </row>
    <row r="51">
      <c r="A51" s="54"/>
      <c r="B51" s="11"/>
      <c r="C51" s="21"/>
      <c r="D51" s="20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5"/>
    </row>
    <row r="52">
      <c r="A52" s="54"/>
      <c r="B52" s="11"/>
      <c r="C52" s="21"/>
      <c r="D52" s="20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5"/>
    </row>
    <row r="53">
      <c r="A53" s="54"/>
      <c r="B53" s="11"/>
      <c r="C53" s="21"/>
      <c r="D53" s="20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5"/>
    </row>
    <row r="54">
      <c r="A54" s="54"/>
      <c r="B54" s="11"/>
      <c r="C54" s="21"/>
      <c r="D54" s="2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5"/>
    </row>
    <row r="55">
      <c r="A55" s="54"/>
      <c r="B55" s="11"/>
      <c r="C55" s="21"/>
      <c r="D55" s="20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5"/>
    </row>
    <row r="56">
      <c r="A56" s="54"/>
      <c r="B56" s="11"/>
      <c r="C56" s="21"/>
      <c r="D56" s="2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5"/>
    </row>
    <row r="57">
      <c r="A57" s="54"/>
      <c r="B57" s="11"/>
      <c r="C57" s="21"/>
      <c r="D57" s="2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5"/>
    </row>
    <row r="58">
      <c r="A58" s="54"/>
      <c r="B58" s="11"/>
      <c r="C58" s="21"/>
      <c r="D58" s="20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5"/>
    </row>
    <row r="59">
      <c r="A59" s="54"/>
      <c r="B59" s="11"/>
      <c r="C59" s="21"/>
      <c r="D59" s="2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5"/>
    </row>
    <row r="60">
      <c r="A60" s="54"/>
      <c r="B60" s="11"/>
      <c r="C60" s="21"/>
      <c r="D60" s="20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5"/>
    </row>
    <row r="61">
      <c r="A61" s="54"/>
      <c r="B61" s="11"/>
      <c r="C61" s="21"/>
      <c r="D61" s="20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5"/>
    </row>
    <row r="62">
      <c r="A62" s="54"/>
      <c r="B62" s="11"/>
      <c r="C62" s="21"/>
      <c r="D62" s="20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5"/>
    </row>
    <row r="63">
      <c r="A63" s="54"/>
      <c r="B63" s="11"/>
      <c r="C63" s="21"/>
      <c r="D63" s="20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5"/>
    </row>
    <row r="64">
      <c r="A64" s="54"/>
      <c r="B64" s="11"/>
      <c r="C64" s="21"/>
      <c r="D64" s="20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5"/>
    </row>
    <row r="65">
      <c r="A65" s="54"/>
      <c r="B65" s="11"/>
      <c r="C65" s="21"/>
      <c r="D65" s="20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5"/>
    </row>
    <row r="66">
      <c r="A66" s="54"/>
      <c r="B66" s="11"/>
      <c r="C66" s="21"/>
      <c r="D66" s="20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5"/>
    </row>
    <row r="67">
      <c r="A67" s="54"/>
      <c r="B67" s="11"/>
      <c r="C67" s="21"/>
      <c r="D67" s="20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5"/>
    </row>
    <row r="68">
      <c r="A68" s="22"/>
      <c r="B68" s="11"/>
      <c r="C68" s="21"/>
      <c r="D68" s="2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5"/>
    </row>
    <row r="69">
      <c r="A69" s="22"/>
      <c r="B69" s="11"/>
      <c r="C69" s="21"/>
      <c r="D69" s="2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5"/>
    </row>
    <row r="70">
      <c r="A70" s="22"/>
      <c r="B70" s="11"/>
      <c r="C70" s="21"/>
      <c r="D70" s="2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5"/>
    </row>
    <row r="71">
      <c r="A71" s="22"/>
      <c r="B71" s="11"/>
      <c r="C71" s="21"/>
      <c r="D71" s="2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5"/>
    </row>
    <row r="72">
      <c r="A72" s="22"/>
      <c r="B72" s="11"/>
      <c r="C72" s="21"/>
      <c r="D72" s="2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5"/>
    </row>
    <row r="73">
      <c r="A73" s="22"/>
      <c r="B73" s="11"/>
      <c r="C73" s="21"/>
      <c r="D73" s="2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5"/>
    </row>
    <row r="74">
      <c r="A74" s="22"/>
      <c r="B74" s="11"/>
      <c r="C74" s="21"/>
      <c r="D74" s="2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5"/>
    </row>
    <row r="75">
      <c r="A75" s="22"/>
      <c r="B75" s="11"/>
      <c r="C75" s="21"/>
      <c r="D75" s="2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5"/>
    </row>
    <row r="76">
      <c r="A76" s="22"/>
      <c r="B76" s="11"/>
      <c r="C76" s="21"/>
      <c r="D76" s="2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5"/>
    </row>
    <row r="77">
      <c r="A77" s="22"/>
      <c r="B77" s="11"/>
      <c r="C77" s="21"/>
      <c r="D77" s="2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5"/>
    </row>
    <row r="78">
      <c r="A78" s="22"/>
      <c r="B78" s="11"/>
      <c r="C78" s="21"/>
      <c r="D78" s="2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5"/>
    </row>
    <row r="79">
      <c r="A79" s="22"/>
      <c r="B79" s="11"/>
      <c r="C79" s="21"/>
      <c r="D79" s="2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5"/>
    </row>
    <row r="80">
      <c r="A80" s="22"/>
      <c r="B80" s="11"/>
      <c r="C80" s="21"/>
      <c r="D80" s="2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5"/>
    </row>
    <row r="81">
      <c r="A81" s="22"/>
      <c r="B81" s="11"/>
      <c r="C81" s="21"/>
      <c r="D81" s="2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5"/>
    </row>
    <row r="82">
      <c r="A82" s="22"/>
      <c r="B82" s="11"/>
      <c r="C82" s="21"/>
      <c r="D82" s="2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5"/>
    </row>
    <row r="83">
      <c r="A83" s="22"/>
      <c r="B83" s="11"/>
      <c r="C83" s="21"/>
      <c r="D83" s="2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5"/>
    </row>
    <row r="84">
      <c r="A84" s="22"/>
      <c r="B84" s="11"/>
      <c r="C84" s="21"/>
      <c r="D84" s="2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5"/>
    </row>
    <row r="85">
      <c r="A85" s="22"/>
      <c r="B85" s="11"/>
      <c r="C85" s="21"/>
      <c r="D85" s="2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5"/>
    </row>
    <row r="86">
      <c r="A86" s="22"/>
      <c r="B86" s="11"/>
      <c r="C86" s="21"/>
      <c r="D86" s="2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5"/>
    </row>
    <row r="87">
      <c r="A87" s="54"/>
      <c r="B87" s="11"/>
      <c r="C87" s="21"/>
      <c r="D87" s="20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5"/>
    </row>
    <row r="88">
      <c r="A88" s="54"/>
      <c r="B88" s="11"/>
      <c r="C88" s="21"/>
      <c r="D88" s="2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5"/>
    </row>
    <row r="89">
      <c r="A89" s="54"/>
      <c r="B89" s="11"/>
      <c r="C89" s="21"/>
      <c r="D89" s="2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5"/>
    </row>
    <row r="90">
      <c r="A90" s="54"/>
      <c r="B90" s="11"/>
      <c r="C90" s="21"/>
      <c r="D90" s="2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5"/>
    </row>
    <row r="91">
      <c r="A91" s="54"/>
      <c r="B91" s="11"/>
      <c r="C91" s="21"/>
      <c r="D91" s="2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5"/>
    </row>
    <row r="92">
      <c r="A92" s="54"/>
      <c r="B92" s="11"/>
      <c r="C92" s="21"/>
      <c r="D92" s="2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5"/>
    </row>
    <row r="93">
      <c r="A93" s="54"/>
      <c r="B93" s="11"/>
      <c r="C93" s="21"/>
      <c r="D93" s="2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5"/>
    </row>
    <row r="94">
      <c r="A94" s="54"/>
      <c r="B94" s="11"/>
      <c r="C94" s="21"/>
      <c r="D94" s="2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5"/>
    </row>
    <row r="95">
      <c r="A95" s="54"/>
      <c r="B95" s="11"/>
      <c r="C95" s="21"/>
      <c r="D95" s="2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5"/>
    </row>
    <row r="96">
      <c r="A96" s="54"/>
      <c r="B96" s="11"/>
      <c r="C96" s="21"/>
      <c r="D96" s="2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5"/>
    </row>
    <row r="97">
      <c r="A97" s="54"/>
      <c r="B97" s="11"/>
      <c r="C97" s="21"/>
      <c r="D97" s="2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5"/>
    </row>
    <row r="98">
      <c r="A98" s="54"/>
      <c r="B98" s="11"/>
      <c r="C98" s="21"/>
      <c r="D98" s="2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5"/>
    </row>
    <row r="99">
      <c r="A99" s="54"/>
      <c r="B99" s="11"/>
      <c r="C99" s="21"/>
      <c r="D99" s="2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5"/>
    </row>
    <row r="100">
      <c r="A100" s="54"/>
      <c r="B100" s="11"/>
      <c r="C100" s="21"/>
      <c r="D100" s="2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5"/>
    </row>
    <row r="101">
      <c r="A101" s="54"/>
      <c r="B101" s="11"/>
      <c r="C101" s="21"/>
      <c r="D101" s="2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5"/>
    </row>
    <row r="102">
      <c r="A102" s="54"/>
      <c r="B102" s="11"/>
      <c r="C102" s="21"/>
      <c r="D102" s="2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5"/>
    </row>
    <row r="103">
      <c r="A103" s="54"/>
      <c r="B103" s="11"/>
      <c r="C103" s="21"/>
      <c r="D103" s="2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5"/>
    </row>
    <row r="104">
      <c r="A104" s="54"/>
      <c r="B104" s="11"/>
      <c r="C104" s="21"/>
      <c r="D104" s="2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5"/>
    </row>
    <row r="105">
      <c r="A105" s="54"/>
      <c r="B105" s="11"/>
      <c r="C105" s="21"/>
      <c r="D105" s="2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5"/>
    </row>
    <row r="106">
      <c r="A106" s="54"/>
      <c r="B106" s="11"/>
      <c r="C106" s="21"/>
      <c r="D106" s="2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5"/>
    </row>
    <row r="107">
      <c r="A107" s="54"/>
      <c r="B107" s="11"/>
      <c r="C107" s="21"/>
      <c r="D107" s="2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5"/>
    </row>
    <row r="108">
      <c r="A108" s="54"/>
      <c r="B108" s="11"/>
      <c r="C108" s="21"/>
      <c r="D108" s="2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5"/>
    </row>
    <row r="109">
      <c r="A109" s="54"/>
      <c r="B109" s="11"/>
      <c r="C109" s="21"/>
      <c r="D109" s="2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5"/>
    </row>
    <row r="110">
      <c r="A110" s="54"/>
      <c r="B110" s="11"/>
      <c r="C110" s="21"/>
      <c r="D110" s="2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5"/>
    </row>
    <row r="111">
      <c r="A111" s="54"/>
      <c r="B111" s="11"/>
      <c r="C111" s="21"/>
      <c r="D111" s="2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5"/>
    </row>
    <row r="112">
      <c r="A112" s="54"/>
      <c r="B112" s="11"/>
      <c r="C112" s="21"/>
      <c r="D112" s="2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5"/>
    </row>
    <row r="113">
      <c r="A113" s="54"/>
      <c r="B113" s="11"/>
      <c r="C113" s="21"/>
      <c r="D113" s="2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5"/>
    </row>
    <row r="114">
      <c r="A114" s="22"/>
      <c r="B114" s="11"/>
      <c r="C114" s="21"/>
      <c r="D114" s="2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5"/>
    </row>
    <row r="115">
      <c r="A115" s="22"/>
      <c r="B115" s="11"/>
      <c r="C115" s="21"/>
      <c r="D115" s="2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5"/>
    </row>
    <row r="116">
      <c r="A116" s="22"/>
      <c r="B116" s="11"/>
      <c r="C116" s="21"/>
      <c r="D116" s="2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5"/>
    </row>
    <row r="117">
      <c r="A117" s="22"/>
      <c r="B117" s="11"/>
      <c r="C117" s="21"/>
      <c r="D117" s="2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5"/>
    </row>
    <row r="118">
      <c r="A118" s="22"/>
      <c r="B118" s="11"/>
      <c r="C118" s="21"/>
      <c r="D118" s="2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5"/>
    </row>
    <row r="119">
      <c r="A119" s="22"/>
      <c r="B119" s="11"/>
      <c r="C119" s="21"/>
      <c r="D119" s="2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5"/>
    </row>
    <row r="120">
      <c r="A120" s="22"/>
      <c r="B120" s="11"/>
      <c r="C120" s="21"/>
      <c r="D120" s="2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5"/>
    </row>
    <row r="121">
      <c r="A121" s="22"/>
      <c r="B121" s="11"/>
      <c r="C121" s="20"/>
      <c r="D121" s="2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5"/>
    </row>
    <row r="122">
      <c r="A122" s="22"/>
      <c r="B122" s="11"/>
      <c r="C122" s="20"/>
      <c r="D122" s="2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5"/>
    </row>
    <row r="123">
      <c r="A123" s="22"/>
      <c r="B123" s="11"/>
      <c r="C123" s="20"/>
      <c r="D123" s="2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5"/>
    </row>
    <row r="124">
      <c r="A124" s="22"/>
      <c r="B124" s="11"/>
      <c r="C124" s="20"/>
      <c r="D124" s="2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5"/>
    </row>
    <row r="125">
      <c r="A125" s="22"/>
      <c r="B125" s="11"/>
      <c r="C125" s="20"/>
      <c r="D125" s="2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5"/>
    </row>
    <row r="126">
      <c r="A126" s="22"/>
      <c r="B126" s="11"/>
      <c r="C126" s="20"/>
      <c r="D126" s="2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5"/>
    </row>
    <row r="127">
      <c r="A127" s="22"/>
      <c r="B127" s="11"/>
      <c r="C127" s="20"/>
      <c r="D127" s="2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5"/>
    </row>
    <row r="128">
      <c r="A128" s="22"/>
      <c r="B128" s="11"/>
      <c r="C128" s="20"/>
      <c r="D128" s="2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5"/>
    </row>
    <row r="129">
      <c r="A129" s="22"/>
      <c r="B129" s="11"/>
      <c r="C129" s="20"/>
      <c r="D129" s="2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5"/>
    </row>
    <row r="130">
      <c r="A130" s="22"/>
      <c r="B130" s="11"/>
      <c r="C130" s="20"/>
      <c r="D130" s="2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5"/>
    </row>
    <row r="131">
      <c r="A131" s="22"/>
      <c r="B131" s="11"/>
      <c r="C131" s="20"/>
      <c r="D131" s="2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5"/>
    </row>
    <row r="132">
      <c r="A132" s="22"/>
      <c r="B132" s="11"/>
      <c r="C132" s="20"/>
      <c r="D132" s="2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5"/>
    </row>
    <row r="133">
      <c r="A133" s="54"/>
      <c r="B133" s="11"/>
      <c r="C133" s="20"/>
      <c r="D133" s="2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5"/>
    </row>
    <row r="134">
      <c r="A134" s="54"/>
      <c r="B134" s="11"/>
      <c r="C134" s="20"/>
      <c r="D134" s="2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5"/>
    </row>
    <row r="135">
      <c r="A135" s="54"/>
      <c r="B135" s="11"/>
      <c r="C135" s="20"/>
      <c r="D135" s="2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5"/>
    </row>
    <row r="136">
      <c r="A136" s="54"/>
      <c r="B136" s="11"/>
      <c r="C136" s="20"/>
      <c r="D136" s="2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5"/>
    </row>
    <row r="137">
      <c r="A137" s="54"/>
      <c r="B137" s="11"/>
      <c r="C137" s="20"/>
      <c r="D137" s="2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5"/>
    </row>
    <row r="138">
      <c r="A138" s="54"/>
      <c r="B138" s="11"/>
      <c r="C138" s="20"/>
      <c r="D138" s="2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5"/>
    </row>
    <row r="139">
      <c r="A139" s="54"/>
      <c r="B139" s="11"/>
      <c r="C139" s="20"/>
      <c r="D139" s="2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5"/>
    </row>
    <row r="140">
      <c r="A140" s="54"/>
      <c r="B140" s="11"/>
      <c r="C140" s="20"/>
      <c r="D140" s="2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5"/>
    </row>
    <row r="141">
      <c r="A141" s="54"/>
      <c r="B141" s="11"/>
      <c r="C141" s="20"/>
      <c r="D141" s="2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5"/>
    </row>
    <row r="142">
      <c r="A142" s="54"/>
      <c r="B142" s="11"/>
      <c r="C142" s="20"/>
      <c r="D142" s="2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5"/>
    </row>
    <row r="143">
      <c r="A143" s="54"/>
      <c r="B143" s="11"/>
      <c r="C143" s="20"/>
      <c r="D143" s="2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5"/>
    </row>
    <row r="144">
      <c r="A144" s="54"/>
      <c r="B144" s="11"/>
      <c r="C144" s="20"/>
      <c r="D144" s="2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5"/>
    </row>
    <row r="145">
      <c r="A145" s="54"/>
      <c r="B145" s="11"/>
      <c r="C145" s="20"/>
      <c r="D145" s="2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5"/>
    </row>
    <row r="146">
      <c r="A146" s="54"/>
      <c r="B146" s="11"/>
      <c r="C146" s="20"/>
      <c r="D146" s="2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5"/>
    </row>
    <row r="147">
      <c r="A147" s="54"/>
      <c r="B147" s="11"/>
      <c r="C147" s="20"/>
      <c r="D147" s="2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5"/>
    </row>
    <row r="148">
      <c r="A148" s="54"/>
      <c r="B148" s="11"/>
      <c r="C148" s="20"/>
      <c r="D148" s="2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5"/>
    </row>
    <row r="149">
      <c r="A149" s="54"/>
      <c r="B149" s="11"/>
      <c r="C149" s="20"/>
      <c r="D149" s="2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5"/>
    </row>
    <row r="150">
      <c r="A150" s="54"/>
      <c r="B150" s="11"/>
      <c r="C150" s="20"/>
      <c r="D150" s="2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5"/>
    </row>
    <row r="151">
      <c r="A151" s="22"/>
      <c r="B151" s="11"/>
      <c r="C151" s="20"/>
      <c r="D151" s="2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5"/>
    </row>
    <row r="152">
      <c r="A152" s="22"/>
      <c r="B152" s="11"/>
      <c r="C152" s="20"/>
      <c r="D152" s="2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5"/>
    </row>
    <row r="153">
      <c r="A153" s="22"/>
      <c r="B153" s="11"/>
      <c r="C153" s="20"/>
      <c r="D153" s="2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5"/>
    </row>
    <row r="154">
      <c r="A154" s="22"/>
      <c r="B154" s="11"/>
      <c r="C154" s="20"/>
      <c r="D154" s="2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5"/>
    </row>
    <row r="155">
      <c r="A155" s="22"/>
      <c r="B155" s="11"/>
      <c r="C155" s="20"/>
      <c r="D155" s="2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5"/>
    </row>
    <row r="156">
      <c r="A156" s="22"/>
      <c r="B156" s="11"/>
      <c r="C156" s="20"/>
      <c r="D156" s="2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5"/>
    </row>
    <row r="157">
      <c r="A157" s="22"/>
      <c r="B157" s="11"/>
      <c r="C157" s="20"/>
      <c r="D157" s="2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5"/>
    </row>
    <row r="158">
      <c r="A158" s="22"/>
      <c r="B158" s="11"/>
      <c r="C158" s="20"/>
      <c r="D158" s="2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5"/>
    </row>
    <row r="159">
      <c r="A159" s="22"/>
      <c r="B159" s="11"/>
      <c r="C159" s="20"/>
      <c r="D159" s="2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5"/>
    </row>
    <row r="160">
      <c r="A160" s="22"/>
      <c r="B160" s="11"/>
      <c r="C160" s="20"/>
      <c r="D160" s="2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5"/>
    </row>
    <row r="161">
      <c r="A161" s="22"/>
      <c r="B161" s="11"/>
      <c r="C161" s="20"/>
      <c r="D161" s="2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5"/>
    </row>
    <row r="162">
      <c r="A162" s="22"/>
      <c r="B162" s="11"/>
      <c r="C162" s="20"/>
      <c r="D162" s="2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5"/>
    </row>
    <row r="163">
      <c r="A163" s="22"/>
      <c r="B163" s="11"/>
      <c r="C163" s="20"/>
      <c r="D163" s="2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5"/>
    </row>
    <row r="164">
      <c r="A164" s="22"/>
      <c r="B164" s="11"/>
      <c r="C164" s="20"/>
      <c r="D164" s="2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5"/>
    </row>
    <row r="165">
      <c r="A165" s="22"/>
      <c r="B165" s="11"/>
      <c r="C165" s="20"/>
      <c r="D165" s="2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5"/>
    </row>
    <row r="166">
      <c r="A166" s="22"/>
      <c r="B166" s="11"/>
      <c r="C166" s="20"/>
      <c r="D166" s="2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5"/>
    </row>
    <row r="167">
      <c r="A167" s="22"/>
      <c r="B167" s="11"/>
      <c r="C167" s="20"/>
      <c r="D167" s="2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5"/>
    </row>
    <row r="168">
      <c r="A168" s="22"/>
      <c r="B168" s="11"/>
      <c r="C168" s="20"/>
      <c r="D168" s="2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5"/>
    </row>
    <row r="169">
      <c r="A169" s="22"/>
      <c r="B169" s="11"/>
      <c r="C169" s="20"/>
      <c r="D169" s="2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5"/>
    </row>
    <row r="170">
      <c r="A170" s="54"/>
      <c r="B170" s="11"/>
      <c r="C170" s="20"/>
      <c r="D170" s="2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5"/>
    </row>
    <row r="171">
      <c r="A171" s="54"/>
      <c r="B171" s="11"/>
      <c r="C171" s="20"/>
      <c r="D171" s="2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5"/>
    </row>
    <row r="172">
      <c r="A172" s="54"/>
      <c r="B172" s="11"/>
      <c r="C172" s="20"/>
      <c r="D172" s="2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5"/>
    </row>
    <row r="173">
      <c r="A173" s="54"/>
      <c r="B173" s="11"/>
      <c r="C173" s="20"/>
      <c r="D173" s="2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5"/>
    </row>
    <row r="174">
      <c r="A174" s="54"/>
      <c r="B174" s="11"/>
      <c r="C174" s="20"/>
      <c r="D174" s="2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5"/>
    </row>
    <row r="175">
      <c r="A175" s="54"/>
      <c r="B175" s="11"/>
      <c r="C175" s="20"/>
      <c r="D175" s="2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5"/>
    </row>
    <row r="176">
      <c r="A176" s="54"/>
      <c r="B176" s="11"/>
      <c r="C176" s="20"/>
      <c r="D176" s="2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5"/>
    </row>
    <row r="177">
      <c r="A177" s="54"/>
      <c r="B177" s="11"/>
      <c r="C177" s="20"/>
      <c r="D177" s="2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5"/>
    </row>
    <row r="178">
      <c r="A178" s="54"/>
      <c r="B178" s="11"/>
      <c r="C178" s="20"/>
      <c r="D178" s="2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5"/>
    </row>
    <row r="179">
      <c r="A179" s="54"/>
      <c r="B179" s="11"/>
      <c r="C179" s="20"/>
      <c r="D179" s="2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5"/>
    </row>
    <row r="180">
      <c r="A180" s="54"/>
      <c r="B180" s="11"/>
      <c r="C180" s="20"/>
      <c r="D180" s="2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5"/>
    </row>
    <row r="181">
      <c r="A181" s="54"/>
      <c r="B181" s="11"/>
      <c r="C181" s="20"/>
      <c r="D181" s="2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5"/>
    </row>
    <row r="182">
      <c r="A182" s="54"/>
      <c r="B182" s="11"/>
      <c r="C182" s="20"/>
      <c r="D182" s="2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5"/>
    </row>
    <row r="183">
      <c r="A183" s="54"/>
      <c r="B183" s="11"/>
      <c r="C183" s="20"/>
      <c r="D183" s="2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5"/>
    </row>
    <row r="184">
      <c r="A184" s="54"/>
      <c r="B184" s="11"/>
      <c r="C184" s="20"/>
      <c r="D184" s="2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5"/>
    </row>
    <row r="185">
      <c r="A185" s="54"/>
      <c r="B185" s="11"/>
      <c r="C185" s="20"/>
      <c r="D185" s="2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5"/>
    </row>
    <row r="186">
      <c r="A186" s="54"/>
      <c r="B186" s="11"/>
      <c r="C186" s="20"/>
      <c r="D186" s="2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5"/>
    </row>
    <row r="187">
      <c r="A187" s="54"/>
      <c r="B187" s="11"/>
      <c r="C187" s="20"/>
      <c r="D187" s="2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5"/>
    </row>
    <row r="188">
      <c r="A188" s="54"/>
      <c r="B188" s="11"/>
      <c r="C188" s="20"/>
      <c r="D188" s="2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5"/>
    </row>
    <row r="189">
      <c r="A189" s="54"/>
      <c r="B189" s="11"/>
      <c r="C189" s="20"/>
      <c r="D189" s="2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5"/>
    </row>
    <row r="190">
      <c r="A190" s="54"/>
      <c r="B190" s="11"/>
      <c r="C190" s="20"/>
      <c r="D190" s="2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5"/>
    </row>
    <row r="191">
      <c r="A191" s="54"/>
      <c r="B191" s="11"/>
      <c r="C191" s="20"/>
      <c r="D191" s="2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5"/>
    </row>
    <row r="192">
      <c r="A192" s="54"/>
      <c r="B192" s="11"/>
      <c r="C192" s="20"/>
      <c r="D192" s="2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5"/>
    </row>
    <row r="193">
      <c r="A193" s="54"/>
      <c r="B193" s="11"/>
      <c r="C193" s="20"/>
      <c r="D193" s="2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5"/>
    </row>
    <row r="194">
      <c r="A194" s="54"/>
      <c r="B194" s="11"/>
      <c r="C194" s="20"/>
      <c r="D194" s="2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5"/>
    </row>
    <row r="195">
      <c r="A195" s="54"/>
      <c r="B195" s="11"/>
      <c r="C195" s="20"/>
      <c r="D195" s="2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5"/>
    </row>
    <row r="196">
      <c r="A196" s="54"/>
      <c r="B196" s="11"/>
      <c r="C196" s="20"/>
      <c r="D196" s="2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5"/>
    </row>
    <row r="197">
      <c r="A197" s="22"/>
      <c r="B197" s="11"/>
      <c r="C197" s="20"/>
      <c r="D197" s="2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5"/>
    </row>
    <row r="198">
      <c r="A198" s="22"/>
      <c r="B198" s="11"/>
      <c r="C198" s="20"/>
      <c r="D198" s="2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5"/>
    </row>
    <row r="199">
      <c r="A199" s="22"/>
      <c r="B199" s="11"/>
      <c r="C199" s="20"/>
      <c r="D199" s="2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5"/>
    </row>
    <row r="200">
      <c r="A200" s="22"/>
      <c r="B200" s="11"/>
      <c r="C200" s="20"/>
      <c r="D200" s="2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5"/>
    </row>
    <row r="201">
      <c r="A201" s="22"/>
      <c r="B201" s="11"/>
      <c r="C201" s="20"/>
      <c r="D201" s="2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5"/>
    </row>
    <row r="202">
      <c r="A202" s="22"/>
      <c r="B202" s="11"/>
      <c r="C202" s="20"/>
      <c r="D202" s="2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5"/>
    </row>
    <row r="203">
      <c r="A203" s="22"/>
      <c r="B203" s="11"/>
      <c r="C203" s="20"/>
      <c r="D203" s="2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5"/>
    </row>
    <row r="204">
      <c r="A204" s="22"/>
      <c r="B204" s="11"/>
      <c r="C204" s="20"/>
      <c r="D204" s="2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5"/>
    </row>
    <row r="205">
      <c r="A205" s="22"/>
      <c r="B205" s="11"/>
      <c r="C205" s="20"/>
      <c r="D205" s="2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5"/>
    </row>
    <row r="206">
      <c r="A206" s="22"/>
      <c r="B206" s="11"/>
      <c r="C206" s="20"/>
      <c r="D206" s="2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5"/>
    </row>
    <row r="207">
      <c r="A207" s="22"/>
      <c r="B207" s="11"/>
      <c r="C207" s="20"/>
      <c r="D207" s="2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5"/>
    </row>
    <row r="208">
      <c r="A208" s="22"/>
      <c r="B208" s="11"/>
      <c r="C208" s="20"/>
      <c r="D208" s="2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5"/>
    </row>
    <row r="209">
      <c r="A209" s="22"/>
      <c r="B209" s="11"/>
      <c r="C209" s="20"/>
      <c r="D209" s="2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5"/>
    </row>
    <row r="210">
      <c r="A210" s="22"/>
      <c r="B210" s="11"/>
      <c r="C210" s="20"/>
      <c r="D210" s="2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5"/>
    </row>
    <row r="211">
      <c r="A211" s="22"/>
      <c r="B211" s="11"/>
      <c r="C211" s="20"/>
      <c r="D211" s="2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5"/>
    </row>
    <row r="212">
      <c r="A212" s="22"/>
      <c r="B212" s="11"/>
      <c r="C212" s="20"/>
      <c r="D212" s="2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5"/>
    </row>
    <row r="213">
      <c r="A213" s="22"/>
      <c r="B213" s="11"/>
      <c r="C213" s="20"/>
      <c r="D213" s="2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5"/>
    </row>
    <row r="214">
      <c r="A214" s="22"/>
      <c r="B214" s="11"/>
      <c r="C214" s="20"/>
      <c r="D214" s="2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5"/>
    </row>
    <row r="215">
      <c r="A215" s="22"/>
      <c r="B215" s="11"/>
      <c r="C215" s="20"/>
      <c r="D215" s="2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5"/>
    </row>
    <row r="216">
      <c r="A216" s="54"/>
      <c r="B216" s="11"/>
      <c r="C216" s="20"/>
      <c r="D216" s="2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5"/>
    </row>
    <row r="217">
      <c r="A217" s="54"/>
      <c r="B217" s="11"/>
      <c r="C217" s="20"/>
      <c r="D217" s="2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5"/>
    </row>
    <row r="218">
      <c r="A218" s="54"/>
      <c r="B218" s="11"/>
      <c r="C218" s="20"/>
      <c r="D218" s="2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5"/>
    </row>
    <row r="219">
      <c r="A219" s="54"/>
      <c r="B219" s="11"/>
      <c r="C219" s="20"/>
      <c r="D219" s="2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5"/>
    </row>
    <row r="220">
      <c r="A220" s="54"/>
      <c r="B220" s="11"/>
      <c r="C220" s="20"/>
      <c r="D220" s="2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5"/>
    </row>
    <row r="221">
      <c r="A221" s="54"/>
      <c r="B221" s="11"/>
      <c r="C221" s="20"/>
      <c r="D221" s="2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5"/>
    </row>
    <row r="222">
      <c r="A222" s="54"/>
      <c r="B222" s="11"/>
      <c r="C222" s="20"/>
      <c r="D222" s="2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5"/>
    </row>
    <row r="223">
      <c r="A223" s="54"/>
      <c r="B223" s="11"/>
      <c r="C223" s="20"/>
      <c r="D223" s="2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5"/>
    </row>
    <row r="224">
      <c r="A224" s="54"/>
      <c r="B224" s="11"/>
      <c r="C224" s="20"/>
      <c r="D224" s="2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5"/>
    </row>
    <row r="225">
      <c r="A225" s="54"/>
      <c r="B225" s="11"/>
      <c r="C225" s="20"/>
      <c r="D225" s="2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5"/>
    </row>
    <row r="226">
      <c r="A226" s="54"/>
      <c r="B226" s="11"/>
      <c r="C226" s="20"/>
      <c r="D226" s="2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5"/>
    </row>
    <row r="227">
      <c r="A227" s="54"/>
      <c r="B227" s="11"/>
      <c r="C227" s="20"/>
      <c r="D227" s="2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5"/>
    </row>
    <row r="228">
      <c r="A228" s="54"/>
      <c r="B228" s="11"/>
      <c r="C228" s="20"/>
      <c r="D228" s="2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5"/>
    </row>
    <row r="229">
      <c r="A229" s="54"/>
      <c r="B229" s="11"/>
      <c r="C229" s="20"/>
      <c r="D229" s="2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5"/>
    </row>
    <row r="230">
      <c r="A230" s="54"/>
      <c r="B230" s="11"/>
      <c r="C230" s="20"/>
      <c r="D230" s="2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5"/>
    </row>
    <row r="231">
      <c r="A231" s="54"/>
      <c r="B231" s="11"/>
      <c r="C231" s="20"/>
      <c r="D231" s="2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5"/>
    </row>
    <row r="232">
      <c r="A232" s="54"/>
      <c r="B232" s="11"/>
      <c r="C232" s="20"/>
      <c r="D232" s="2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5"/>
    </row>
    <row r="233">
      <c r="A233" s="54"/>
      <c r="B233" s="11"/>
      <c r="C233" s="20"/>
      <c r="D233" s="2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5"/>
    </row>
    <row r="234">
      <c r="A234" s="22"/>
      <c r="B234" s="11"/>
      <c r="C234" s="20"/>
      <c r="D234" s="2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5"/>
    </row>
    <row r="235">
      <c r="A235" s="22"/>
      <c r="B235" s="11"/>
      <c r="C235" s="20"/>
      <c r="D235" s="2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5"/>
    </row>
    <row r="236">
      <c r="A236" s="22"/>
      <c r="B236" s="11"/>
      <c r="C236" s="20"/>
      <c r="D236" s="2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5"/>
    </row>
    <row r="237">
      <c r="A237" s="22"/>
      <c r="B237" s="11"/>
      <c r="C237" s="20"/>
      <c r="D237" s="2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5"/>
    </row>
    <row r="238">
      <c r="A238" s="22"/>
      <c r="B238" s="11"/>
      <c r="C238" s="20"/>
      <c r="D238" s="2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5"/>
    </row>
    <row r="239">
      <c r="A239" s="22"/>
      <c r="B239" s="11"/>
      <c r="C239" s="20"/>
      <c r="D239" s="2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5"/>
    </row>
    <row r="240">
      <c r="A240" s="22"/>
      <c r="B240" s="11"/>
      <c r="C240" s="20"/>
      <c r="D240" s="2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5"/>
    </row>
    <row r="241">
      <c r="A241" s="22"/>
      <c r="B241" s="11"/>
      <c r="C241" s="20"/>
      <c r="D241" s="2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5"/>
    </row>
    <row r="242">
      <c r="A242" s="22"/>
      <c r="B242" s="11"/>
      <c r="C242" s="20"/>
      <c r="D242" s="2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5"/>
    </row>
    <row r="243">
      <c r="A243" s="22"/>
      <c r="B243" s="11"/>
      <c r="C243" s="20"/>
      <c r="D243" s="2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5"/>
    </row>
    <row r="244">
      <c r="A244" s="22"/>
      <c r="B244" s="11"/>
      <c r="C244" s="20"/>
      <c r="D244" s="2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5"/>
    </row>
    <row r="245">
      <c r="A245" s="22"/>
      <c r="B245" s="11"/>
      <c r="C245" s="20"/>
      <c r="D245" s="2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5"/>
    </row>
    <row r="246">
      <c r="A246" s="22"/>
      <c r="B246" s="11"/>
      <c r="C246" s="20"/>
      <c r="D246" s="2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5"/>
    </row>
    <row r="247">
      <c r="A247" s="22"/>
      <c r="B247" s="11"/>
      <c r="C247" s="20"/>
      <c r="D247" s="2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5"/>
    </row>
    <row r="248">
      <c r="A248" s="22"/>
      <c r="B248" s="11"/>
      <c r="C248" s="20"/>
      <c r="D248" s="2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5"/>
    </row>
    <row r="249">
      <c r="A249" s="22"/>
      <c r="B249" s="11"/>
      <c r="C249" s="20"/>
      <c r="D249" s="2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5"/>
    </row>
    <row r="250">
      <c r="A250" s="22"/>
      <c r="B250" s="11"/>
      <c r="C250" s="20"/>
      <c r="D250" s="2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5"/>
    </row>
    <row r="251">
      <c r="A251" s="22"/>
      <c r="B251" s="11"/>
      <c r="C251" s="20"/>
      <c r="D251" s="2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5"/>
    </row>
    <row r="252">
      <c r="A252" s="22"/>
      <c r="B252" s="11"/>
      <c r="C252" s="20"/>
      <c r="D252" s="2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5"/>
    </row>
    <row r="253">
      <c r="A253" s="54"/>
      <c r="B253" s="11"/>
      <c r="C253" s="20"/>
      <c r="D253" s="2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5"/>
    </row>
    <row r="254">
      <c r="A254" s="54"/>
      <c r="B254" s="11"/>
      <c r="C254" s="20"/>
      <c r="D254" s="2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5"/>
    </row>
    <row r="255">
      <c r="A255" s="54"/>
      <c r="B255" s="11"/>
      <c r="C255" s="20"/>
      <c r="D255" s="2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5"/>
    </row>
    <row r="256">
      <c r="A256" s="54"/>
      <c r="B256" s="11"/>
      <c r="C256" s="20"/>
      <c r="D256" s="2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5"/>
    </row>
    <row r="257">
      <c r="A257" s="54"/>
      <c r="B257" s="11"/>
      <c r="C257" s="20"/>
      <c r="D257" s="2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5"/>
    </row>
    <row r="258">
      <c r="A258" s="54"/>
      <c r="B258" s="11"/>
      <c r="C258" s="20"/>
      <c r="D258" s="2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5"/>
    </row>
    <row r="259">
      <c r="A259" s="54"/>
      <c r="B259" s="11"/>
      <c r="C259" s="20"/>
      <c r="D259" s="2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5"/>
    </row>
    <row r="260">
      <c r="A260" s="54"/>
      <c r="B260" s="11"/>
      <c r="C260" s="20"/>
      <c r="D260" s="2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5"/>
    </row>
    <row r="261">
      <c r="A261" s="54"/>
      <c r="B261" s="11"/>
      <c r="C261" s="20"/>
      <c r="D261" s="2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5"/>
    </row>
    <row r="262">
      <c r="A262" s="54"/>
      <c r="B262" s="11"/>
      <c r="C262" s="20"/>
      <c r="D262" s="2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5"/>
    </row>
    <row r="263">
      <c r="A263" s="54"/>
      <c r="B263" s="11"/>
      <c r="C263" s="20"/>
      <c r="D263" s="2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5"/>
    </row>
    <row r="264">
      <c r="A264" s="54"/>
      <c r="B264" s="11"/>
      <c r="C264" s="20"/>
      <c r="D264" s="20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5"/>
    </row>
    <row r="265">
      <c r="A265" s="54"/>
      <c r="B265" s="11"/>
      <c r="C265" s="20"/>
      <c r="D265" s="20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5"/>
    </row>
    <row r="266">
      <c r="A266" s="54"/>
      <c r="B266" s="11"/>
      <c r="C266" s="20"/>
      <c r="D266" s="20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5"/>
    </row>
    <row r="267">
      <c r="A267" s="54"/>
      <c r="B267" s="11"/>
      <c r="C267" s="20"/>
      <c r="D267" s="20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5"/>
    </row>
    <row r="268">
      <c r="A268" s="54"/>
      <c r="B268" s="11"/>
      <c r="C268" s="20"/>
      <c r="D268" s="20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5"/>
    </row>
    <row r="269">
      <c r="A269" s="54"/>
      <c r="B269" s="11"/>
      <c r="C269" s="20"/>
      <c r="D269" s="20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5"/>
    </row>
    <row r="270">
      <c r="A270" s="54"/>
      <c r="B270" s="11"/>
      <c r="C270" s="20"/>
      <c r="D270" s="20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5"/>
    </row>
    <row r="271">
      <c r="A271" s="54"/>
      <c r="B271" s="11"/>
      <c r="C271" s="20"/>
      <c r="D271" s="20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5"/>
    </row>
    <row r="272">
      <c r="A272" s="54"/>
      <c r="B272" s="11"/>
      <c r="C272" s="20"/>
      <c r="D272" s="20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5"/>
    </row>
    <row r="273">
      <c r="A273" s="54"/>
      <c r="B273" s="11"/>
      <c r="C273" s="20"/>
      <c r="D273" s="20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5"/>
    </row>
    <row r="274">
      <c r="A274" s="54"/>
      <c r="B274" s="11"/>
      <c r="C274" s="20"/>
      <c r="D274" s="2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5"/>
    </row>
    <row r="275">
      <c r="A275" s="54"/>
      <c r="B275" s="11"/>
      <c r="C275" s="20"/>
      <c r="D275" s="20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5"/>
    </row>
    <row r="276">
      <c r="A276" s="54"/>
      <c r="B276" s="11"/>
      <c r="C276" s="20"/>
      <c r="D276" s="20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5"/>
    </row>
    <row r="277">
      <c r="A277" s="54"/>
      <c r="B277" s="11"/>
      <c r="C277" s="20"/>
      <c r="D277" s="20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5"/>
    </row>
    <row r="278">
      <c r="A278" s="54"/>
      <c r="B278" s="11"/>
      <c r="C278" s="20"/>
      <c r="D278" s="20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5"/>
    </row>
    <row r="279">
      <c r="A279" s="54"/>
      <c r="B279" s="11"/>
      <c r="C279" s="20"/>
      <c r="D279" s="20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5"/>
    </row>
    <row r="280">
      <c r="A280" s="22"/>
      <c r="B280" s="11"/>
      <c r="C280" s="20"/>
      <c r="D280" s="2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5"/>
    </row>
    <row r="281">
      <c r="A281" s="22"/>
      <c r="B281" s="11"/>
      <c r="C281" s="20"/>
      <c r="D281" s="20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5"/>
    </row>
    <row r="282">
      <c r="A282" s="22"/>
      <c r="B282" s="11"/>
      <c r="C282" s="20"/>
      <c r="D282" s="20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5"/>
    </row>
    <row r="283">
      <c r="A283" s="22"/>
      <c r="B283" s="11"/>
      <c r="C283" s="20"/>
      <c r="D283" s="20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5"/>
    </row>
    <row r="284">
      <c r="A284" s="22"/>
      <c r="B284" s="11"/>
      <c r="C284" s="20"/>
      <c r="D284" s="20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5"/>
    </row>
    <row r="285">
      <c r="A285" s="22"/>
      <c r="B285" s="11"/>
      <c r="C285" s="20"/>
      <c r="D285" s="20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5"/>
    </row>
    <row r="286">
      <c r="A286" s="22"/>
      <c r="B286" s="11"/>
      <c r="C286" s="20"/>
      <c r="D286" s="20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5"/>
    </row>
    <row r="287">
      <c r="A287" s="22"/>
      <c r="B287" s="11"/>
      <c r="C287" s="20"/>
      <c r="D287" s="20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5"/>
    </row>
    <row r="288">
      <c r="A288" s="22"/>
      <c r="B288" s="11"/>
      <c r="C288" s="20"/>
      <c r="D288" s="20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5"/>
    </row>
    <row r="289">
      <c r="A289" s="22"/>
      <c r="B289" s="11"/>
      <c r="C289" s="20"/>
      <c r="D289" s="20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5"/>
    </row>
    <row r="290">
      <c r="A290" s="22"/>
      <c r="B290" s="11"/>
      <c r="C290" s="20"/>
      <c r="D290" s="20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5"/>
    </row>
    <row r="291">
      <c r="A291" s="22"/>
      <c r="B291" s="11"/>
      <c r="C291" s="20"/>
      <c r="D291" s="20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5"/>
    </row>
    <row r="292">
      <c r="A292" s="22"/>
      <c r="B292" s="11"/>
      <c r="C292" s="20"/>
      <c r="D292" s="20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5"/>
    </row>
    <row r="293">
      <c r="A293" s="22"/>
      <c r="B293" s="11"/>
      <c r="C293" s="20"/>
      <c r="D293" s="20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5"/>
    </row>
    <row r="294">
      <c r="A294" s="22"/>
      <c r="B294" s="11"/>
      <c r="C294" s="20"/>
      <c r="D294" s="20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5"/>
    </row>
    <row r="295">
      <c r="A295" s="22"/>
      <c r="B295" s="11"/>
      <c r="C295" s="20"/>
      <c r="D295" s="20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5"/>
    </row>
    <row r="296">
      <c r="A296" s="22"/>
      <c r="B296" s="11"/>
      <c r="C296" s="20"/>
      <c r="D296" s="20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5"/>
    </row>
    <row r="297">
      <c r="A297" s="22"/>
      <c r="B297" s="11"/>
      <c r="C297" s="20"/>
      <c r="D297" s="20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5"/>
    </row>
    <row r="298">
      <c r="A298" s="22"/>
      <c r="B298" s="11"/>
      <c r="C298" s="20"/>
      <c r="D298" s="20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5"/>
    </row>
    <row r="299">
      <c r="A299" s="54"/>
      <c r="B299" s="11"/>
      <c r="C299" s="20"/>
      <c r="D299" s="20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5"/>
    </row>
    <row r="300">
      <c r="A300" s="54"/>
      <c r="B300" s="11"/>
      <c r="C300" s="20"/>
      <c r="D300" s="20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5"/>
    </row>
    <row r="301">
      <c r="A301" s="54"/>
      <c r="B301" s="11"/>
      <c r="C301" s="20"/>
      <c r="D301" s="20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5"/>
    </row>
    <row r="302">
      <c r="A302" s="54"/>
      <c r="B302" s="11"/>
      <c r="C302" s="20"/>
      <c r="D302" s="20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5"/>
    </row>
    <row r="303">
      <c r="A303" s="54"/>
      <c r="B303" s="11"/>
      <c r="C303" s="20"/>
      <c r="D303" s="20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5"/>
    </row>
    <row r="304">
      <c r="A304" s="54"/>
      <c r="B304" s="11"/>
      <c r="C304" s="20"/>
      <c r="D304" s="20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5"/>
    </row>
    <row r="305">
      <c r="A305" s="54"/>
      <c r="B305" s="11"/>
      <c r="C305" s="20"/>
      <c r="D305" s="20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5"/>
    </row>
    <row r="306">
      <c r="A306" s="54"/>
      <c r="B306" s="11"/>
      <c r="C306" s="20"/>
      <c r="D306" s="20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5"/>
    </row>
    <row r="307">
      <c r="A307" s="54"/>
      <c r="B307" s="11"/>
      <c r="C307" s="20"/>
      <c r="D307" s="20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5"/>
    </row>
    <row r="308">
      <c r="A308" s="54"/>
      <c r="B308" s="11"/>
      <c r="C308" s="20"/>
      <c r="D308" s="20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5"/>
    </row>
    <row r="309">
      <c r="A309" s="54"/>
      <c r="B309" s="11"/>
      <c r="C309" s="20"/>
      <c r="D309" s="20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5"/>
    </row>
    <row r="310">
      <c r="A310" s="54"/>
      <c r="B310" s="11"/>
      <c r="C310" s="20"/>
      <c r="D310" s="20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5"/>
    </row>
    <row r="311">
      <c r="A311" s="54"/>
      <c r="B311" s="11"/>
      <c r="C311" s="20"/>
      <c r="D311" s="2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5"/>
    </row>
    <row r="312">
      <c r="A312" s="54"/>
      <c r="B312" s="11"/>
      <c r="C312" s="20"/>
      <c r="D312" s="20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5"/>
    </row>
    <row r="313">
      <c r="A313" s="54"/>
      <c r="B313" s="11"/>
      <c r="C313" s="20"/>
      <c r="D313" s="20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5"/>
    </row>
    <row r="314">
      <c r="A314" s="54"/>
      <c r="B314" s="11"/>
      <c r="C314" s="20"/>
      <c r="D314" s="20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5"/>
    </row>
    <row r="315">
      <c r="A315" s="54"/>
      <c r="B315" s="11"/>
      <c r="C315" s="20"/>
      <c r="D315" s="20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5"/>
    </row>
    <row r="316">
      <c r="A316" s="54"/>
      <c r="B316" s="11"/>
      <c r="C316" s="20"/>
      <c r="D316" s="20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5"/>
    </row>
    <row r="317">
      <c r="A317" s="22"/>
      <c r="B317" s="11"/>
      <c r="C317" s="20"/>
      <c r="D317" s="20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5"/>
    </row>
    <row r="318">
      <c r="A318" s="22"/>
      <c r="B318" s="11"/>
      <c r="C318" s="20"/>
      <c r="D318" s="20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5"/>
    </row>
    <row r="319">
      <c r="A319" s="22"/>
      <c r="B319" s="11"/>
      <c r="C319" s="20"/>
      <c r="D319" s="20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5"/>
    </row>
    <row r="320">
      <c r="A320" s="22"/>
      <c r="B320" s="11"/>
      <c r="C320" s="20"/>
      <c r="D320" s="20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5"/>
    </row>
    <row r="321">
      <c r="A321" s="22"/>
      <c r="B321" s="11"/>
      <c r="C321" s="20"/>
      <c r="D321" s="20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5"/>
    </row>
    <row r="322">
      <c r="A322" s="22"/>
      <c r="B322" s="11"/>
      <c r="C322" s="20"/>
      <c r="D322" s="2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5"/>
    </row>
    <row r="323">
      <c r="A323" s="22"/>
      <c r="B323" s="11"/>
      <c r="C323" s="20"/>
      <c r="D323" s="20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5"/>
    </row>
    <row r="324">
      <c r="A324" s="22"/>
      <c r="B324" s="11"/>
      <c r="C324" s="20"/>
      <c r="D324" s="20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5"/>
    </row>
    <row r="325">
      <c r="A325" s="22"/>
      <c r="B325" s="11"/>
      <c r="C325" s="20"/>
      <c r="D325" s="20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5"/>
    </row>
    <row r="326">
      <c r="A326" s="22"/>
      <c r="B326" s="11"/>
      <c r="C326" s="20"/>
      <c r="D326" s="20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5"/>
    </row>
    <row r="327">
      <c r="A327" s="22"/>
      <c r="B327" s="11"/>
      <c r="C327" s="20"/>
      <c r="D327" s="20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5"/>
    </row>
    <row r="328">
      <c r="A328" s="22"/>
      <c r="B328" s="11"/>
      <c r="C328" s="20"/>
      <c r="D328" s="2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5"/>
    </row>
    <row r="329">
      <c r="A329" s="22"/>
      <c r="B329" s="11"/>
      <c r="C329" s="20"/>
      <c r="D329" s="20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5"/>
    </row>
    <row r="330">
      <c r="A330" s="22"/>
      <c r="B330" s="11"/>
      <c r="C330" s="20"/>
      <c r="D330" s="2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5"/>
    </row>
    <row r="331">
      <c r="A331" s="22"/>
      <c r="B331" s="11"/>
      <c r="C331" s="20"/>
      <c r="D331" s="20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5"/>
    </row>
    <row r="332">
      <c r="A332" s="22"/>
      <c r="B332" s="11"/>
      <c r="C332" s="20"/>
      <c r="D332" s="20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5"/>
    </row>
    <row r="333">
      <c r="A333" s="22"/>
      <c r="B333" s="11"/>
      <c r="C333" s="20"/>
      <c r="D333" s="20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5"/>
    </row>
    <row r="334">
      <c r="A334" s="22"/>
      <c r="B334" s="11"/>
      <c r="C334" s="20"/>
      <c r="D334" s="20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5"/>
    </row>
    <row r="335">
      <c r="A335" s="22"/>
      <c r="B335" s="11"/>
      <c r="C335" s="20"/>
      <c r="D335" s="20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5"/>
    </row>
    <row r="336">
      <c r="A336" s="54"/>
      <c r="B336" s="11"/>
      <c r="C336" s="20"/>
      <c r="D336" s="2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5"/>
    </row>
    <row r="337">
      <c r="A337" s="54"/>
      <c r="B337" s="11"/>
      <c r="C337" s="20"/>
      <c r="D337" s="20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5"/>
    </row>
    <row r="338">
      <c r="A338" s="54"/>
      <c r="B338" s="11"/>
      <c r="C338" s="20"/>
      <c r="D338" s="20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5"/>
    </row>
    <row r="339">
      <c r="A339" s="54"/>
      <c r="B339" s="11"/>
      <c r="C339" s="20"/>
      <c r="D339" s="20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5"/>
    </row>
    <row r="340">
      <c r="A340" s="54"/>
      <c r="B340" s="11"/>
      <c r="C340" s="20"/>
      <c r="D340" s="20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5"/>
    </row>
    <row r="341">
      <c r="A341" s="54"/>
      <c r="B341" s="11"/>
      <c r="C341" s="20"/>
      <c r="D341" s="20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5"/>
    </row>
    <row r="342">
      <c r="A342" s="54"/>
      <c r="B342" s="11"/>
      <c r="C342" s="20"/>
      <c r="D342" s="20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5"/>
    </row>
    <row r="343">
      <c r="A343" s="54"/>
      <c r="B343" s="11"/>
      <c r="C343" s="20"/>
      <c r="D343" s="20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5"/>
    </row>
    <row r="344">
      <c r="A344" s="54"/>
      <c r="B344" s="11"/>
      <c r="C344" s="20"/>
      <c r="D344" s="20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5"/>
    </row>
    <row r="345">
      <c r="A345" s="54"/>
      <c r="B345" s="11"/>
      <c r="C345" s="20"/>
      <c r="D345" s="20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5"/>
    </row>
    <row r="346">
      <c r="A346" s="54"/>
      <c r="B346" s="11"/>
      <c r="C346" s="20"/>
      <c r="D346" s="20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5"/>
    </row>
    <row r="347">
      <c r="A347" s="54"/>
      <c r="B347" s="11"/>
      <c r="C347" s="20"/>
      <c r="D347" s="20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5"/>
    </row>
    <row r="348">
      <c r="A348" s="54"/>
      <c r="B348" s="11"/>
      <c r="C348" s="20"/>
      <c r="D348" s="20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5"/>
    </row>
    <row r="349">
      <c r="A349" s="54"/>
      <c r="B349" s="11"/>
      <c r="C349" s="20"/>
      <c r="D349" s="20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5"/>
    </row>
    <row r="350">
      <c r="A350" s="54"/>
      <c r="B350" s="11"/>
      <c r="C350" s="20"/>
      <c r="D350" s="20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5"/>
    </row>
    <row r="351">
      <c r="A351" s="54"/>
      <c r="B351" s="11"/>
      <c r="C351" s="20"/>
      <c r="D351" s="20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5"/>
    </row>
    <row r="352">
      <c r="A352" s="54"/>
      <c r="B352" s="11"/>
      <c r="C352" s="20"/>
      <c r="D352" s="20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5"/>
    </row>
    <row r="353">
      <c r="A353" s="54"/>
      <c r="B353" s="11"/>
      <c r="C353" s="20"/>
      <c r="D353" s="20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5"/>
    </row>
    <row r="354">
      <c r="A354" s="54"/>
      <c r="B354" s="11"/>
      <c r="C354" s="20"/>
      <c r="D354" s="20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5"/>
    </row>
    <row r="355">
      <c r="A355" s="54"/>
      <c r="B355" s="11"/>
      <c r="C355" s="20"/>
      <c r="D355" s="20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5"/>
    </row>
    <row r="356">
      <c r="A356" s="54"/>
      <c r="B356" s="11"/>
      <c r="C356" s="20"/>
      <c r="D356" s="20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5"/>
    </row>
    <row r="357">
      <c r="A357" s="54"/>
      <c r="B357" s="11"/>
      <c r="C357" s="20"/>
      <c r="D357" s="20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5"/>
    </row>
    <row r="358">
      <c r="A358" s="54"/>
      <c r="B358" s="11"/>
      <c r="C358" s="20"/>
      <c r="D358" s="20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5"/>
    </row>
    <row r="359">
      <c r="A359" s="54"/>
      <c r="B359" s="11"/>
      <c r="C359" s="20"/>
      <c r="D359" s="20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5"/>
    </row>
    <row r="360">
      <c r="A360" s="54"/>
      <c r="B360" s="11"/>
      <c r="C360" s="20"/>
      <c r="D360" s="20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5"/>
    </row>
    <row r="361">
      <c r="A361" s="54"/>
      <c r="B361" s="11"/>
      <c r="C361" s="20"/>
      <c r="D361" s="2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5"/>
    </row>
    <row r="362">
      <c r="A362" s="54"/>
      <c r="B362" s="11"/>
      <c r="C362" s="20"/>
      <c r="D362" s="20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5"/>
    </row>
    <row r="363">
      <c r="A363" s="22"/>
      <c r="B363" s="11"/>
      <c r="C363" s="20"/>
      <c r="D363" s="20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5"/>
    </row>
    <row r="364">
      <c r="A364" s="22"/>
      <c r="B364" s="11"/>
      <c r="C364" s="20"/>
      <c r="D364" s="20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5"/>
    </row>
    <row r="365">
      <c r="A365" s="22"/>
      <c r="B365" s="11"/>
      <c r="C365" s="20"/>
      <c r="D365" s="20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5"/>
    </row>
    <row r="366">
      <c r="A366" s="22"/>
      <c r="B366" s="11"/>
      <c r="C366" s="20"/>
      <c r="D366" s="2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5"/>
    </row>
    <row r="367">
      <c r="A367" s="22"/>
      <c r="B367" s="11"/>
      <c r="C367" s="20"/>
      <c r="D367" s="20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5"/>
    </row>
    <row r="368">
      <c r="A368" s="22"/>
      <c r="B368" s="11"/>
      <c r="C368" s="20"/>
      <c r="D368" s="20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5"/>
    </row>
    <row r="369">
      <c r="A369" s="22"/>
      <c r="B369" s="11"/>
      <c r="C369" s="20"/>
      <c r="D369" s="20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5"/>
    </row>
    <row r="370">
      <c r="A370" s="22"/>
      <c r="B370" s="11"/>
      <c r="C370" s="20"/>
      <c r="D370" s="20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5"/>
    </row>
    <row r="371">
      <c r="A371" s="22"/>
      <c r="B371" s="11"/>
      <c r="C371" s="20"/>
      <c r="D371" s="20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5"/>
    </row>
    <row r="372">
      <c r="A372" s="22"/>
      <c r="B372" s="11"/>
      <c r="C372" s="20"/>
      <c r="D372" s="20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5"/>
    </row>
    <row r="373">
      <c r="A373" s="22"/>
      <c r="B373" s="11"/>
      <c r="C373" s="20"/>
      <c r="D373" s="20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5"/>
    </row>
    <row r="374">
      <c r="A374" s="22"/>
      <c r="B374" s="11"/>
      <c r="C374" s="20"/>
      <c r="D374" s="20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5"/>
    </row>
    <row r="375">
      <c r="A375" s="22"/>
      <c r="B375" s="11"/>
      <c r="C375" s="20"/>
      <c r="D375" s="20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5"/>
    </row>
    <row r="376">
      <c r="A376" s="22"/>
      <c r="B376" s="11"/>
      <c r="C376" s="20"/>
      <c r="D376" s="20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5"/>
    </row>
    <row r="377">
      <c r="A377" s="22"/>
      <c r="B377" s="11"/>
      <c r="C377" s="20"/>
      <c r="D377" s="20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5"/>
    </row>
    <row r="378">
      <c r="A378" s="22"/>
      <c r="B378" s="11"/>
      <c r="C378" s="20"/>
      <c r="D378" s="20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5"/>
    </row>
    <row r="379">
      <c r="A379" s="22"/>
      <c r="B379" s="11"/>
      <c r="C379" s="20"/>
      <c r="D379" s="20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5"/>
    </row>
    <row r="380">
      <c r="A380" s="22"/>
      <c r="B380" s="11"/>
      <c r="C380" s="20"/>
      <c r="D380" s="20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5"/>
    </row>
    <row r="381">
      <c r="A381" s="22"/>
      <c r="B381" s="11"/>
      <c r="C381" s="20"/>
      <c r="D381" s="20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5"/>
    </row>
    <row r="382">
      <c r="A382" s="54"/>
      <c r="B382" s="11"/>
      <c r="C382" s="20"/>
      <c r="D382" s="20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5"/>
    </row>
    <row r="383">
      <c r="A383" s="54"/>
      <c r="B383" s="11"/>
      <c r="C383" s="20"/>
      <c r="D383" s="20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5"/>
    </row>
    <row r="384">
      <c r="A384" s="54"/>
      <c r="B384" s="11"/>
      <c r="C384" s="20"/>
      <c r="D384" s="20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5"/>
    </row>
    <row r="385">
      <c r="A385" s="54"/>
      <c r="B385" s="11"/>
      <c r="C385" s="20"/>
      <c r="D385" s="20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5"/>
    </row>
    <row r="386">
      <c r="A386" s="54"/>
      <c r="B386" s="11"/>
      <c r="C386" s="20"/>
      <c r="D386" s="2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5"/>
    </row>
    <row r="387">
      <c r="A387" s="54"/>
      <c r="B387" s="11"/>
      <c r="C387" s="20"/>
      <c r="D387" s="20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5"/>
    </row>
    <row r="388">
      <c r="A388" s="54"/>
      <c r="B388" s="11"/>
      <c r="C388" s="20"/>
      <c r="D388" s="20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5"/>
    </row>
    <row r="389">
      <c r="A389" s="54"/>
      <c r="B389" s="11"/>
      <c r="C389" s="20"/>
      <c r="D389" s="20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5"/>
    </row>
    <row r="390">
      <c r="A390" s="54"/>
      <c r="B390" s="11"/>
      <c r="C390" s="20"/>
      <c r="D390" s="20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5"/>
    </row>
    <row r="391">
      <c r="A391" s="54"/>
      <c r="B391" s="11"/>
      <c r="C391" s="20"/>
      <c r="D391" s="20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5"/>
    </row>
    <row r="392">
      <c r="A392" s="54"/>
      <c r="B392" s="11"/>
      <c r="C392" s="20"/>
      <c r="D392" s="20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5"/>
    </row>
    <row r="393">
      <c r="A393" s="54"/>
      <c r="B393" s="11"/>
      <c r="C393" s="20"/>
      <c r="D393" s="20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5"/>
    </row>
    <row r="394">
      <c r="A394" s="54"/>
      <c r="B394" s="11"/>
      <c r="C394" s="20"/>
      <c r="D394" s="20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5"/>
    </row>
    <row r="395">
      <c r="A395" s="54"/>
      <c r="B395" s="11"/>
      <c r="C395" s="20"/>
      <c r="D395" s="20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5"/>
    </row>
    <row r="396">
      <c r="A396" s="54"/>
      <c r="B396" s="11"/>
      <c r="C396" s="20"/>
      <c r="D396" s="2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5"/>
    </row>
    <row r="397">
      <c r="A397" s="54"/>
      <c r="B397" s="11"/>
      <c r="C397" s="20"/>
      <c r="D397" s="20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5"/>
    </row>
    <row r="398">
      <c r="A398" s="54"/>
      <c r="B398" s="11"/>
      <c r="C398" s="20"/>
      <c r="D398" s="2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5"/>
    </row>
    <row r="399">
      <c r="A399" s="54"/>
      <c r="B399" s="11"/>
      <c r="C399" s="20"/>
      <c r="D399" s="20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5"/>
    </row>
    <row r="400">
      <c r="A400" s="22"/>
      <c r="B400" s="11"/>
      <c r="C400" s="20"/>
      <c r="D400" s="20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5"/>
    </row>
    <row r="401">
      <c r="A401" s="22"/>
      <c r="B401" s="11"/>
      <c r="C401" s="20"/>
      <c r="D401" s="20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5"/>
    </row>
    <row r="402">
      <c r="A402" s="22"/>
      <c r="B402" s="11"/>
      <c r="C402" s="20"/>
      <c r="D402" s="20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5"/>
    </row>
    <row r="403">
      <c r="A403" s="22"/>
      <c r="B403" s="11"/>
      <c r="C403" s="20"/>
      <c r="D403" s="20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5"/>
    </row>
    <row r="404">
      <c r="A404" s="22"/>
      <c r="B404" s="11"/>
      <c r="C404" s="20"/>
      <c r="D404" s="20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5"/>
    </row>
    <row r="405">
      <c r="A405" s="22"/>
      <c r="B405" s="11"/>
      <c r="C405" s="20"/>
      <c r="D405" s="20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5"/>
    </row>
    <row r="406">
      <c r="A406" s="22"/>
      <c r="B406" s="11"/>
      <c r="C406" s="20"/>
      <c r="D406" s="20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5"/>
    </row>
    <row r="407">
      <c r="A407" s="22"/>
      <c r="B407" s="11"/>
      <c r="C407" s="20"/>
      <c r="D407" s="20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5"/>
    </row>
    <row r="408">
      <c r="A408" s="22"/>
      <c r="B408" s="11"/>
      <c r="C408" s="20"/>
      <c r="D408" s="20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5"/>
    </row>
    <row r="409">
      <c r="A409" s="22"/>
      <c r="B409" s="11"/>
      <c r="C409" s="20"/>
      <c r="D409" s="20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5"/>
    </row>
    <row r="410">
      <c r="A410" s="22"/>
      <c r="B410" s="11"/>
      <c r="C410" s="20"/>
      <c r="D410" s="20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5"/>
    </row>
    <row r="411">
      <c r="A411" s="22"/>
      <c r="B411" s="11"/>
      <c r="C411" s="20"/>
      <c r="D411" s="2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5"/>
    </row>
    <row r="412">
      <c r="A412" s="22"/>
      <c r="B412" s="11"/>
      <c r="C412" s="20"/>
      <c r="D412" s="20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5"/>
    </row>
    <row r="413">
      <c r="A413" s="22"/>
      <c r="B413" s="11"/>
      <c r="C413" s="20"/>
      <c r="D413" s="20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5"/>
    </row>
    <row r="414">
      <c r="A414" s="22"/>
      <c r="B414" s="11"/>
      <c r="C414" s="20"/>
      <c r="D414" s="20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5"/>
    </row>
    <row r="415">
      <c r="A415" s="22"/>
      <c r="B415" s="11"/>
      <c r="C415" s="20"/>
      <c r="D415" s="20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5"/>
    </row>
    <row r="416">
      <c r="A416" s="22"/>
      <c r="B416" s="11"/>
      <c r="C416" s="20"/>
      <c r="D416" s="20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5"/>
    </row>
    <row r="417">
      <c r="A417" s="22"/>
      <c r="B417" s="11"/>
      <c r="C417" s="20"/>
      <c r="D417" s="20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5"/>
    </row>
    <row r="418">
      <c r="A418" s="22"/>
      <c r="B418" s="11"/>
      <c r="C418" s="20"/>
      <c r="D418" s="20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5"/>
    </row>
    <row r="419">
      <c r="A419" s="54"/>
      <c r="B419" s="11"/>
      <c r="C419" s="20"/>
      <c r="D419" s="20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5"/>
    </row>
    <row r="420">
      <c r="A420" s="54"/>
      <c r="B420" s="11"/>
      <c r="C420" s="20"/>
      <c r="D420" s="20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5"/>
    </row>
    <row r="421">
      <c r="A421" s="54"/>
      <c r="B421" s="11"/>
      <c r="C421" s="20"/>
      <c r="D421" s="20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5"/>
    </row>
    <row r="422">
      <c r="A422" s="54"/>
      <c r="B422" s="11"/>
      <c r="C422" s="20"/>
      <c r="D422" s="2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5"/>
    </row>
    <row r="423">
      <c r="A423" s="54"/>
      <c r="B423" s="11"/>
      <c r="C423" s="20"/>
      <c r="D423" s="20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5"/>
    </row>
    <row r="424">
      <c r="A424" s="54"/>
      <c r="B424" s="11"/>
      <c r="C424" s="20"/>
      <c r="D424" s="20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5"/>
    </row>
    <row r="425">
      <c r="A425" s="54"/>
      <c r="B425" s="11"/>
      <c r="C425" s="20"/>
      <c r="D425" s="20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5"/>
    </row>
    <row r="426">
      <c r="A426" s="54"/>
      <c r="B426" s="11"/>
      <c r="C426" s="20"/>
      <c r="D426" s="20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5"/>
    </row>
    <row r="427">
      <c r="A427" s="54"/>
      <c r="B427" s="11"/>
      <c r="C427" s="20"/>
      <c r="D427" s="20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5"/>
    </row>
    <row r="428">
      <c r="A428" s="54"/>
      <c r="B428" s="11"/>
      <c r="C428" s="20"/>
      <c r="D428" s="20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5"/>
    </row>
    <row r="429">
      <c r="A429" s="54"/>
      <c r="B429" s="11"/>
      <c r="C429" s="20"/>
      <c r="D429" s="20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5"/>
    </row>
    <row r="430">
      <c r="A430" s="54"/>
      <c r="B430" s="11"/>
      <c r="C430" s="20"/>
      <c r="D430" s="20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5"/>
    </row>
    <row r="431">
      <c r="A431" s="54"/>
      <c r="B431" s="11"/>
      <c r="C431" s="20"/>
      <c r="D431" s="20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5"/>
    </row>
    <row r="432">
      <c r="A432" s="54"/>
      <c r="B432" s="11"/>
      <c r="C432" s="20"/>
      <c r="D432" s="20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5"/>
    </row>
    <row r="433">
      <c r="A433" s="54"/>
      <c r="B433" s="11"/>
      <c r="C433" s="20"/>
      <c r="D433" s="20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5"/>
    </row>
    <row r="434">
      <c r="A434" s="54"/>
      <c r="B434" s="11"/>
      <c r="C434" s="20"/>
      <c r="D434" s="20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5"/>
    </row>
    <row r="435">
      <c r="A435" s="54"/>
      <c r="B435" s="11"/>
      <c r="C435" s="20"/>
      <c r="D435" s="20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5"/>
    </row>
    <row r="436">
      <c r="A436" s="54"/>
      <c r="B436" s="11"/>
      <c r="C436" s="20"/>
      <c r="D436" s="2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5"/>
    </row>
    <row r="437">
      <c r="A437" s="54"/>
      <c r="B437" s="11"/>
      <c r="C437" s="20"/>
      <c r="D437" s="20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5"/>
    </row>
    <row r="438">
      <c r="A438" s="54"/>
      <c r="B438" s="11"/>
      <c r="C438" s="20"/>
      <c r="D438" s="20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5"/>
    </row>
    <row r="439">
      <c r="A439" s="54"/>
      <c r="B439" s="11"/>
      <c r="C439" s="20"/>
      <c r="D439" s="20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5"/>
    </row>
    <row r="440">
      <c r="A440" s="54"/>
      <c r="B440" s="11"/>
      <c r="C440" s="20"/>
      <c r="D440" s="20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5"/>
    </row>
    <row r="441">
      <c r="A441" s="54"/>
      <c r="B441" s="11"/>
      <c r="C441" s="20"/>
      <c r="D441" s="20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5"/>
    </row>
    <row r="442">
      <c r="A442" s="54"/>
      <c r="B442" s="11"/>
      <c r="C442" s="20"/>
      <c r="D442" s="20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5"/>
    </row>
    <row r="443">
      <c r="A443" s="54"/>
      <c r="B443" s="11"/>
      <c r="C443" s="20"/>
      <c r="D443" s="20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5"/>
    </row>
    <row r="444">
      <c r="A444" s="54"/>
      <c r="B444" s="11"/>
      <c r="C444" s="20"/>
      <c r="D444" s="20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5"/>
    </row>
    <row r="445">
      <c r="A445" s="54"/>
      <c r="B445" s="11"/>
      <c r="C445" s="20"/>
      <c r="D445" s="20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5"/>
    </row>
    <row r="446">
      <c r="A446" s="22"/>
      <c r="B446" s="11"/>
      <c r="C446" s="20"/>
      <c r="D446" s="20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5"/>
    </row>
    <row r="447">
      <c r="A447" s="22"/>
      <c r="B447" s="11"/>
      <c r="C447" s="20"/>
      <c r="D447" s="20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5"/>
    </row>
    <row r="448">
      <c r="A448" s="22"/>
      <c r="B448" s="11"/>
      <c r="C448" s="20"/>
      <c r="D448" s="20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5"/>
    </row>
    <row r="449">
      <c r="A449" s="22"/>
      <c r="B449" s="11"/>
      <c r="C449" s="20"/>
      <c r="D449" s="20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5"/>
    </row>
    <row r="450">
      <c r="A450" s="22"/>
      <c r="B450" s="11"/>
      <c r="C450" s="20"/>
      <c r="D450" s="20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5"/>
    </row>
    <row r="451">
      <c r="A451" s="22"/>
      <c r="B451" s="11"/>
      <c r="C451" s="20"/>
      <c r="D451" s="20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5"/>
    </row>
    <row r="452">
      <c r="A452" s="22"/>
      <c r="B452" s="11"/>
      <c r="C452" s="20"/>
      <c r="D452" s="20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5"/>
    </row>
    <row r="453">
      <c r="A453" s="22"/>
      <c r="B453" s="11"/>
      <c r="C453" s="20"/>
      <c r="D453" s="20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5"/>
    </row>
    <row r="454">
      <c r="A454" s="22"/>
      <c r="B454" s="11"/>
      <c r="C454" s="20"/>
      <c r="D454" s="20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5"/>
    </row>
    <row r="455">
      <c r="A455" s="22"/>
      <c r="B455" s="11"/>
      <c r="C455" s="20"/>
      <c r="D455" s="20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5"/>
    </row>
    <row r="456">
      <c r="A456" s="22"/>
      <c r="B456" s="11"/>
      <c r="C456" s="20"/>
      <c r="D456" s="20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5"/>
    </row>
    <row r="457">
      <c r="A457" s="22"/>
      <c r="B457" s="11"/>
      <c r="C457" s="20"/>
      <c r="D457" s="20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5"/>
    </row>
    <row r="458">
      <c r="A458" s="22"/>
      <c r="B458" s="11"/>
      <c r="C458" s="20"/>
      <c r="D458" s="20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5"/>
    </row>
    <row r="459">
      <c r="A459" s="22"/>
      <c r="B459" s="11"/>
      <c r="C459" s="20"/>
      <c r="D459" s="20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5"/>
    </row>
    <row r="460">
      <c r="A460" s="22"/>
      <c r="B460" s="11"/>
      <c r="C460" s="20"/>
      <c r="D460" s="20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5"/>
    </row>
    <row r="461">
      <c r="A461" s="22"/>
      <c r="B461" s="11"/>
      <c r="C461" s="20"/>
      <c r="D461" s="2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5"/>
    </row>
    <row r="462">
      <c r="A462" s="22"/>
      <c r="B462" s="11"/>
      <c r="C462" s="20"/>
      <c r="D462" s="20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5"/>
    </row>
    <row r="463">
      <c r="A463" s="22"/>
      <c r="B463" s="11"/>
      <c r="C463" s="20"/>
      <c r="D463" s="20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5"/>
    </row>
    <row r="464">
      <c r="A464" s="22"/>
      <c r="B464" s="11"/>
      <c r="C464" s="20"/>
      <c r="D464" s="20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5"/>
    </row>
    <row r="465">
      <c r="A465" s="54"/>
      <c r="B465" s="11"/>
      <c r="C465" s="20"/>
      <c r="D465" s="20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5"/>
    </row>
    <row r="466">
      <c r="A466" s="54"/>
      <c r="B466" s="11"/>
      <c r="C466" s="20"/>
      <c r="D466" s="20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5"/>
    </row>
    <row r="467">
      <c r="A467" s="54"/>
      <c r="B467" s="11"/>
      <c r="C467" s="20"/>
      <c r="D467" s="20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5"/>
    </row>
    <row r="468">
      <c r="A468" s="54"/>
      <c r="B468" s="11"/>
      <c r="C468" s="20"/>
      <c r="D468" s="20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5"/>
    </row>
    <row r="469">
      <c r="A469" s="54"/>
      <c r="B469" s="11"/>
      <c r="C469" s="20"/>
      <c r="D469" s="20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5"/>
    </row>
    <row r="470">
      <c r="A470" s="54"/>
      <c r="B470" s="11"/>
      <c r="C470" s="20"/>
      <c r="D470" s="20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5"/>
    </row>
    <row r="471">
      <c r="A471" s="54"/>
      <c r="B471" s="11"/>
      <c r="C471" s="20"/>
      <c r="D471" s="20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5"/>
    </row>
    <row r="472">
      <c r="A472" s="54"/>
      <c r="B472" s="11"/>
      <c r="C472" s="20"/>
      <c r="D472" s="20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5"/>
    </row>
    <row r="473">
      <c r="A473" s="54"/>
      <c r="B473" s="11"/>
      <c r="C473" s="20"/>
      <c r="D473" s="20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5"/>
    </row>
    <row r="474">
      <c r="A474" s="54"/>
      <c r="B474" s="11"/>
      <c r="C474" s="20"/>
      <c r="D474" s="20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5"/>
    </row>
    <row r="475">
      <c r="A475" s="54"/>
      <c r="B475" s="11"/>
      <c r="C475" s="20"/>
      <c r="D475" s="20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5"/>
    </row>
    <row r="476">
      <c r="A476" s="54"/>
      <c r="B476" s="11"/>
      <c r="C476" s="20"/>
      <c r="D476" s="20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5"/>
    </row>
    <row r="477">
      <c r="A477" s="54"/>
      <c r="B477" s="11"/>
      <c r="C477" s="20"/>
      <c r="D477" s="20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5"/>
    </row>
    <row r="478">
      <c r="A478" s="54"/>
      <c r="B478" s="11"/>
      <c r="C478" s="20"/>
      <c r="D478" s="20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5"/>
    </row>
    <row r="479">
      <c r="A479" s="54"/>
      <c r="B479" s="11"/>
      <c r="C479" s="20"/>
      <c r="D479" s="20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5"/>
    </row>
    <row r="480">
      <c r="A480" s="54"/>
      <c r="B480" s="11"/>
      <c r="C480" s="20"/>
      <c r="D480" s="20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5"/>
    </row>
    <row r="481">
      <c r="A481" s="54"/>
      <c r="B481" s="11"/>
      <c r="C481" s="20"/>
      <c r="D481" s="20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5"/>
    </row>
    <row r="482">
      <c r="A482" s="54"/>
      <c r="B482" s="11"/>
      <c r="C482" s="20"/>
      <c r="D482" s="20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5"/>
    </row>
    <row r="483">
      <c r="A483" s="22"/>
      <c r="B483" s="11"/>
      <c r="C483" s="20"/>
      <c r="D483" s="20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5"/>
    </row>
    <row r="484">
      <c r="A484" s="22"/>
      <c r="B484" s="11"/>
      <c r="C484" s="20"/>
      <c r="D484" s="20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5"/>
    </row>
    <row r="485">
      <c r="A485" s="22"/>
      <c r="B485" s="11"/>
      <c r="C485" s="20"/>
      <c r="D485" s="20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5"/>
    </row>
    <row r="486">
      <c r="A486" s="22"/>
      <c r="B486" s="11"/>
      <c r="C486" s="20"/>
      <c r="D486" s="2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5"/>
    </row>
    <row r="487">
      <c r="A487" s="22"/>
      <c r="B487" s="11"/>
      <c r="C487" s="20"/>
      <c r="D487" s="2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5"/>
    </row>
    <row r="488">
      <c r="A488" s="22"/>
      <c r="B488" s="11"/>
      <c r="C488" s="20"/>
      <c r="D488" s="20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5"/>
    </row>
    <row r="489">
      <c r="A489" s="22"/>
      <c r="B489" s="11"/>
      <c r="C489" s="20"/>
      <c r="D489" s="20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5"/>
    </row>
    <row r="490">
      <c r="A490" s="22"/>
      <c r="B490" s="11"/>
      <c r="C490" s="20"/>
      <c r="D490" s="20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5"/>
    </row>
    <row r="491">
      <c r="A491" s="22"/>
      <c r="B491" s="11"/>
      <c r="C491" s="20"/>
      <c r="D491" s="20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5"/>
    </row>
    <row r="492">
      <c r="A492" s="22"/>
      <c r="B492" s="11"/>
      <c r="C492" s="20"/>
      <c r="D492" s="20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5"/>
    </row>
    <row r="493">
      <c r="A493" s="22"/>
      <c r="B493" s="11"/>
      <c r="C493" s="20"/>
      <c r="D493" s="20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5"/>
    </row>
    <row r="494">
      <c r="A494" s="22"/>
      <c r="B494" s="11"/>
      <c r="C494" s="20"/>
      <c r="D494" s="20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5"/>
    </row>
    <row r="495">
      <c r="A495" s="22"/>
      <c r="B495" s="11"/>
      <c r="C495" s="20"/>
      <c r="D495" s="20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5"/>
    </row>
    <row r="496">
      <c r="A496" s="22"/>
      <c r="B496" s="11"/>
      <c r="C496" s="20"/>
      <c r="D496" s="20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5"/>
    </row>
    <row r="497">
      <c r="A497" s="22"/>
      <c r="B497" s="11"/>
      <c r="C497" s="20"/>
      <c r="D497" s="20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5"/>
    </row>
    <row r="498">
      <c r="A498" s="22"/>
      <c r="B498" s="11"/>
      <c r="C498" s="20"/>
      <c r="D498" s="20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5"/>
    </row>
    <row r="499">
      <c r="A499" s="22"/>
      <c r="B499" s="11"/>
      <c r="C499" s="20"/>
      <c r="D499" s="20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5"/>
    </row>
    <row r="500">
      <c r="A500" s="22"/>
      <c r="B500" s="11"/>
      <c r="C500" s="20"/>
      <c r="D500" s="20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5"/>
    </row>
    <row r="501">
      <c r="A501" s="22"/>
      <c r="B501" s="11"/>
      <c r="C501" s="20"/>
      <c r="D501" s="20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5"/>
    </row>
    <row r="502">
      <c r="A502" s="54"/>
      <c r="B502" s="11"/>
      <c r="C502" s="20"/>
      <c r="D502" s="20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5"/>
    </row>
    <row r="503">
      <c r="A503" s="54"/>
      <c r="B503" s="11"/>
      <c r="C503" s="20"/>
      <c r="D503" s="20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5"/>
    </row>
    <row r="504">
      <c r="A504" s="54"/>
      <c r="B504" s="11"/>
      <c r="C504" s="20"/>
      <c r="D504" s="20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5"/>
    </row>
    <row r="505">
      <c r="A505" s="54"/>
      <c r="B505" s="11"/>
      <c r="C505" s="20"/>
      <c r="D505" s="20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5"/>
    </row>
    <row r="506">
      <c r="A506" s="54"/>
      <c r="B506" s="11"/>
      <c r="C506" s="20"/>
      <c r="D506" s="20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5"/>
    </row>
    <row r="507">
      <c r="A507" s="54"/>
      <c r="B507" s="11"/>
      <c r="C507" s="20"/>
      <c r="D507" s="20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5"/>
    </row>
    <row r="508">
      <c r="A508" s="54"/>
      <c r="B508" s="11"/>
      <c r="C508" s="20"/>
      <c r="D508" s="20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5"/>
    </row>
    <row r="509">
      <c r="A509" s="54"/>
      <c r="B509" s="11"/>
      <c r="C509" s="20"/>
      <c r="D509" s="20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5"/>
    </row>
    <row r="510">
      <c r="A510" s="54"/>
      <c r="B510" s="11"/>
      <c r="C510" s="20"/>
      <c r="D510" s="20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5"/>
    </row>
    <row r="511">
      <c r="A511" s="54"/>
      <c r="B511" s="11"/>
      <c r="C511" s="20"/>
      <c r="D511" s="20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5"/>
    </row>
    <row r="512">
      <c r="A512" s="54"/>
      <c r="B512" s="11"/>
      <c r="C512" s="20"/>
      <c r="D512" s="20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5"/>
    </row>
    <row r="513">
      <c r="A513" s="54"/>
      <c r="B513" s="11"/>
      <c r="C513" s="20"/>
      <c r="D513" s="20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5"/>
    </row>
    <row r="514">
      <c r="A514" s="54"/>
      <c r="B514" s="11"/>
      <c r="C514" s="20"/>
      <c r="D514" s="20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5"/>
    </row>
    <row r="515">
      <c r="A515" s="54"/>
      <c r="B515" s="11"/>
      <c r="C515" s="20"/>
      <c r="D515" s="20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5"/>
    </row>
    <row r="516">
      <c r="A516" s="54"/>
      <c r="B516" s="11"/>
      <c r="C516" s="20"/>
      <c r="D516" s="20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5"/>
    </row>
    <row r="517">
      <c r="A517" s="54"/>
      <c r="B517" s="11"/>
      <c r="C517" s="20"/>
      <c r="D517" s="20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5"/>
    </row>
    <row r="518">
      <c r="A518" s="54"/>
      <c r="B518" s="11"/>
      <c r="C518" s="20"/>
      <c r="D518" s="20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5"/>
    </row>
    <row r="519">
      <c r="A519" s="54"/>
      <c r="B519" s="11"/>
      <c r="C519" s="20"/>
      <c r="D519" s="20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5"/>
    </row>
    <row r="520">
      <c r="A520" s="54"/>
      <c r="B520" s="11"/>
      <c r="C520" s="20"/>
      <c r="D520" s="20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5"/>
    </row>
    <row r="521">
      <c r="A521" s="54"/>
      <c r="B521" s="11"/>
      <c r="C521" s="20"/>
      <c r="D521" s="20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5"/>
    </row>
    <row r="522">
      <c r="A522" s="54"/>
      <c r="B522" s="11"/>
      <c r="C522" s="20"/>
      <c r="D522" s="20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5"/>
    </row>
    <row r="523">
      <c r="A523" s="54"/>
      <c r="B523" s="11"/>
      <c r="C523" s="20"/>
      <c r="D523" s="20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5"/>
    </row>
    <row r="524">
      <c r="A524" s="54"/>
      <c r="B524" s="11"/>
      <c r="C524" s="20"/>
      <c r="D524" s="20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5"/>
    </row>
    <row r="525">
      <c r="A525" s="54"/>
      <c r="B525" s="11"/>
      <c r="C525" s="20"/>
      <c r="D525" s="20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5"/>
    </row>
    <row r="526">
      <c r="A526" s="54"/>
      <c r="B526" s="11"/>
      <c r="C526" s="20"/>
      <c r="D526" s="20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5"/>
    </row>
    <row r="527">
      <c r="A527" s="54"/>
      <c r="B527" s="11"/>
      <c r="C527" s="20"/>
      <c r="D527" s="20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5"/>
    </row>
    <row r="528">
      <c r="A528" s="54"/>
      <c r="B528" s="11"/>
      <c r="C528" s="20"/>
      <c r="D528" s="20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5"/>
    </row>
    <row r="529">
      <c r="A529" s="22"/>
      <c r="B529" s="11"/>
      <c r="C529" s="20"/>
      <c r="D529" s="20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5"/>
    </row>
    <row r="530">
      <c r="A530" s="22"/>
      <c r="B530" s="11"/>
      <c r="C530" s="20"/>
      <c r="D530" s="20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5"/>
    </row>
    <row r="531">
      <c r="A531" s="22"/>
      <c r="B531" s="11"/>
      <c r="C531" s="20"/>
      <c r="D531" s="20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5"/>
    </row>
    <row r="532">
      <c r="A532" s="22"/>
      <c r="B532" s="11"/>
      <c r="C532" s="20"/>
      <c r="D532" s="20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5"/>
    </row>
    <row r="533">
      <c r="A533" s="22"/>
      <c r="B533" s="11"/>
      <c r="C533" s="20"/>
      <c r="D533" s="20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5"/>
    </row>
    <row r="534">
      <c r="A534" s="22"/>
      <c r="B534" s="11"/>
      <c r="C534" s="20"/>
      <c r="D534" s="20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5"/>
    </row>
    <row r="535">
      <c r="A535" s="22"/>
      <c r="B535" s="11"/>
      <c r="C535" s="20"/>
      <c r="D535" s="20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5"/>
    </row>
    <row r="536">
      <c r="A536" s="22"/>
      <c r="B536" s="11"/>
      <c r="C536" s="20"/>
      <c r="D536" s="20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5"/>
    </row>
    <row r="537">
      <c r="A537" s="22"/>
      <c r="B537" s="11"/>
      <c r="C537" s="20"/>
      <c r="D537" s="20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5"/>
    </row>
    <row r="538">
      <c r="A538" s="22"/>
      <c r="B538" s="11"/>
      <c r="C538" s="20"/>
      <c r="D538" s="20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5"/>
    </row>
    <row r="539">
      <c r="A539" s="22"/>
      <c r="B539" s="11"/>
      <c r="C539" s="20"/>
      <c r="D539" s="20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5"/>
    </row>
    <row r="540">
      <c r="A540" s="22"/>
      <c r="B540" s="11"/>
      <c r="C540" s="20"/>
      <c r="D540" s="20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5"/>
    </row>
    <row r="541">
      <c r="A541" s="22"/>
      <c r="B541" s="11"/>
      <c r="C541" s="20"/>
      <c r="D541" s="20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5"/>
    </row>
    <row r="542">
      <c r="A542" s="22"/>
      <c r="B542" s="11"/>
      <c r="C542" s="20"/>
      <c r="D542" s="20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5"/>
    </row>
    <row r="543">
      <c r="A543" s="22"/>
      <c r="B543" s="11"/>
      <c r="C543" s="20"/>
      <c r="D543" s="20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5"/>
    </row>
    <row r="544">
      <c r="A544" s="22"/>
      <c r="B544" s="11"/>
      <c r="C544" s="20"/>
      <c r="D544" s="20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5"/>
    </row>
    <row r="545">
      <c r="A545" s="22"/>
      <c r="B545" s="11"/>
      <c r="C545" s="20"/>
      <c r="D545" s="20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5"/>
    </row>
    <row r="546">
      <c r="A546" s="22"/>
      <c r="B546" s="11"/>
      <c r="C546" s="20"/>
      <c r="D546" s="20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5"/>
    </row>
    <row r="547">
      <c r="A547" s="22"/>
      <c r="B547" s="11"/>
      <c r="C547" s="20"/>
      <c r="D547" s="20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5"/>
    </row>
    <row r="548">
      <c r="A548" s="54"/>
      <c r="B548" s="11"/>
      <c r="C548" s="20"/>
      <c r="D548" s="20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5"/>
    </row>
    <row r="549">
      <c r="A549" s="54"/>
      <c r="B549" s="11"/>
      <c r="C549" s="20"/>
      <c r="D549" s="20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5"/>
    </row>
    <row r="550">
      <c r="A550" s="54"/>
      <c r="B550" s="11"/>
      <c r="C550" s="20"/>
      <c r="D550" s="20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5"/>
    </row>
    <row r="551">
      <c r="A551" s="54"/>
      <c r="B551" s="11"/>
      <c r="C551" s="20"/>
      <c r="D551" s="20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5"/>
    </row>
    <row r="552">
      <c r="A552" s="54"/>
      <c r="B552" s="11"/>
      <c r="C552" s="20"/>
      <c r="D552" s="20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5"/>
    </row>
    <row r="553">
      <c r="A553" s="54"/>
      <c r="B553" s="11"/>
      <c r="C553" s="20"/>
      <c r="D553" s="20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5"/>
    </row>
    <row r="554">
      <c r="A554" s="54"/>
      <c r="B554" s="11"/>
      <c r="C554" s="20"/>
      <c r="D554" s="20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5"/>
    </row>
    <row r="555">
      <c r="A555" s="54"/>
      <c r="B555" s="11"/>
      <c r="C555" s="20"/>
      <c r="D555" s="20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5"/>
    </row>
    <row r="556">
      <c r="A556" s="54"/>
      <c r="B556" s="11"/>
      <c r="C556" s="20"/>
      <c r="D556" s="20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5"/>
    </row>
    <row r="557">
      <c r="A557" s="54"/>
      <c r="B557" s="11"/>
      <c r="C557" s="20"/>
      <c r="D557" s="20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5"/>
    </row>
    <row r="558">
      <c r="A558" s="54"/>
      <c r="B558" s="11"/>
      <c r="C558" s="20"/>
      <c r="D558" s="20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5"/>
    </row>
    <row r="559">
      <c r="A559" s="54"/>
      <c r="B559" s="11"/>
      <c r="C559" s="20"/>
      <c r="D559" s="20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5"/>
    </row>
    <row r="560">
      <c r="A560" s="54"/>
      <c r="B560" s="11"/>
      <c r="C560" s="20"/>
      <c r="D560" s="20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5"/>
    </row>
    <row r="561">
      <c r="A561" s="54"/>
      <c r="B561" s="11"/>
      <c r="C561" s="20"/>
      <c r="D561" s="20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5"/>
    </row>
    <row r="562">
      <c r="A562" s="54"/>
      <c r="B562" s="11"/>
      <c r="C562" s="20"/>
      <c r="D562" s="20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5"/>
    </row>
    <row r="563">
      <c r="A563" s="54"/>
      <c r="B563" s="11"/>
      <c r="C563" s="20"/>
      <c r="D563" s="20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5"/>
    </row>
    <row r="564">
      <c r="A564" s="54"/>
      <c r="B564" s="11"/>
      <c r="C564" s="20"/>
      <c r="D564" s="20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5"/>
    </row>
    <row r="565">
      <c r="A565" s="54"/>
      <c r="B565" s="11"/>
      <c r="C565" s="20"/>
      <c r="D565" s="20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5"/>
    </row>
    <row r="566">
      <c r="A566" s="22"/>
      <c r="B566" s="11"/>
      <c r="C566" s="20"/>
      <c r="D566" s="20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5"/>
    </row>
    <row r="567">
      <c r="A567" s="22"/>
      <c r="B567" s="11"/>
      <c r="C567" s="20"/>
      <c r="D567" s="20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5"/>
    </row>
    <row r="568">
      <c r="A568" s="22"/>
      <c r="B568" s="11"/>
      <c r="C568" s="20"/>
      <c r="D568" s="20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5"/>
    </row>
    <row r="569">
      <c r="A569" s="22"/>
      <c r="B569" s="11"/>
      <c r="C569" s="20"/>
      <c r="D569" s="20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5"/>
    </row>
    <row r="570">
      <c r="A570" s="22"/>
      <c r="B570" s="11"/>
      <c r="C570" s="20"/>
      <c r="D570" s="20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5"/>
    </row>
    <row r="571">
      <c r="A571" s="22"/>
      <c r="B571" s="11"/>
      <c r="C571" s="20"/>
      <c r="D571" s="20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5"/>
    </row>
    <row r="572">
      <c r="A572" s="22"/>
      <c r="B572" s="11"/>
      <c r="C572" s="20"/>
      <c r="D572" s="20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5"/>
    </row>
    <row r="573">
      <c r="A573" s="22"/>
      <c r="B573" s="11"/>
      <c r="C573" s="20"/>
      <c r="D573" s="20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5"/>
    </row>
    <row r="574">
      <c r="A574" s="22"/>
      <c r="B574" s="11"/>
      <c r="C574" s="20"/>
      <c r="D574" s="20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5"/>
    </row>
    <row r="575">
      <c r="A575" s="22"/>
      <c r="B575" s="11"/>
      <c r="C575" s="20"/>
      <c r="D575" s="20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5"/>
    </row>
    <row r="576">
      <c r="A576" s="22"/>
      <c r="B576" s="11"/>
      <c r="C576" s="20"/>
      <c r="D576" s="20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5"/>
    </row>
    <row r="577">
      <c r="A577" s="22"/>
      <c r="B577" s="11"/>
      <c r="C577" s="20"/>
      <c r="D577" s="20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5"/>
    </row>
    <row r="578">
      <c r="A578" s="22"/>
      <c r="B578" s="11"/>
      <c r="C578" s="20"/>
      <c r="D578" s="20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5"/>
    </row>
    <row r="579">
      <c r="A579" s="22"/>
      <c r="B579" s="11"/>
      <c r="C579" s="20"/>
      <c r="D579" s="20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5"/>
    </row>
    <row r="580">
      <c r="A580" s="22"/>
      <c r="B580" s="11"/>
      <c r="C580" s="20"/>
      <c r="D580" s="20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5"/>
    </row>
    <row r="581">
      <c r="A581" s="22"/>
      <c r="B581" s="11"/>
      <c r="C581" s="20"/>
      <c r="D581" s="20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5"/>
    </row>
    <row r="582">
      <c r="A582" s="22"/>
      <c r="B582" s="11"/>
      <c r="C582" s="20"/>
      <c r="D582" s="20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5"/>
    </row>
    <row r="583">
      <c r="A583" s="22"/>
      <c r="B583" s="11"/>
      <c r="C583" s="20"/>
      <c r="D583" s="20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5"/>
    </row>
    <row r="584">
      <c r="A584" s="22"/>
      <c r="B584" s="11"/>
      <c r="C584" s="20"/>
      <c r="D584" s="20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5"/>
    </row>
    <row r="585">
      <c r="A585" s="54"/>
      <c r="B585" s="11"/>
      <c r="C585" s="20"/>
      <c r="D585" s="20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5"/>
    </row>
    <row r="586">
      <c r="A586" s="54"/>
      <c r="B586" s="11"/>
      <c r="C586" s="20"/>
      <c r="D586" s="20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5"/>
    </row>
    <row r="587">
      <c r="A587" s="54"/>
      <c r="B587" s="11"/>
      <c r="C587" s="20"/>
      <c r="D587" s="20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5"/>
    </row>
    <row r="588">
      <c r="A588" s="54"/>
      <c r="B588" s="11"/>
      <c r="C588" s="20"/>
      <c r="D588" s="20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5"/>
    </row>
    <row r="589">
      <c r="A589" s="54"/>
      <c r="B589" s="11"/>
      <c r="C589" s="20"/>
      <c r="D589" s="20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5"/>
    </row>
    <row r="590">
      <c r="A590" s="54"/>
      <c r="B590" s="11"/>
      <c r="C590" s="20"/>
      <c r="D590" s="20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5"/>
    </row>
    <row r="591">
      <c r="A591" s="54"/>
      <c r="B591" s="11"/>
      <c r="C591" s="20"/>
      <c r="D591" s="20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5"/>
    </row>
    <row r="592">
      <c r="A592" s="54"/>
      <c r="B592" s="11"/>
      <c r="C592" s="20"/>
      <c r="D592" s="20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5"/>
    </row>
    <row r="593">
      <c r="A593" s="54"/>
      <c r="B593" s="11"/>
      <c r="C593" s="20"/>
      <c r="D593" s="20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5"/>
    </row>
    <row r="594">
      <c r="A594" s="54"/>
      <c r="B594" s="11"/>
      <c r="C594" s="20"/>
      <c r="D594" s="20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5"/>
    </row>
    <row r="595">
      <c r="A595" s="54"/>
      <c r="B595" s="11"/>
      <c r="C595" s="20"/>
      <c r="D595" s="20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5"/>
    </row>
    <row r="596">
      <c r="A596" s="54"/>
      <c r="B596" s="11"/>
      <c r="C596" s="20"/>
      <c r="D596" s="20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5"/>
    </row>
    <row r="597">
      <c r="A597" s="54"/>
      <c r="B597" s="11"/>
      <c r="C597" s="20"/>
      <c r="D597" s="20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5"/>
    </row>
    <row r="598">
      <c r="A598" s="54"/>
      <c r="B598" s="11"/>
      <c r="C598" s="20"/>
      <c r="D598" s="20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5"/>
    </row>
    <row r="599">
      <c r="A599" s="54"/>
      <c r="B599" s="11"/>
      <c r="C599" s="20"/>
      <c r="D599" s="20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5"/>
    </row>
    <row r="600">
      <c r="A600" s="54"/>
      <c r="B600" s="11"/>
      <c r="C600" s="20"/>
      <c r="D600" s="20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5"/>
    </row>
    <row r="601">
      <c r="A601" s="54"/>
      <c r="B601" s="11"/>
      <c r="C601" s="20"/>
      <c r="D601" s="20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5"/>
    </row>
    <row r="602">
      <c r="A602" s="54"/>
      <c r="B602" s="11"/>
      <c r="C602" s="20"/>
      <c r="D602" s="20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5"/>
    </row>
    <row r="603">
      <c r="A603" s="54"/>
      <c r="B603" s="11"/>
      <c r="C603" s="20"/>
      <c r="D603" s="20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5"/>
    </row>
    <row r="604">
      <c r="A604" s="54"/>
      <c r="B604" s="11"/>
      <c r="C604" s="20"/>
      <c r="D604" s="20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5"/>
    </row>
    <row r="605">
      <c r="A605" s="54"/>
      <c r="B605" s="11"/>
      <c r="C605" s="20"/>
      <c r="D605" s="20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5"/>
    </row>
    <row r="606">
      <c r="A606" s="54"/>
      <c r="B606" s="11"/>
      <c r="C606" s="20"/>
      <c r="D606" s="20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5"/>
    </row>
    <row r="607">
      <c r="A607" s="54"/>
      <c r="B607" s="11"/>
      <c r="C607" s="20"/>
      <c r="D607" s="20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5"/>
    </row>
    <row r="608">
      <c r="A608" s="54"/>
      <c r="B608" s="11"/>
      <c r="C608" s="20"/>
      <c r="D608" s="20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5"/>
    </row>
    <row r="609">
      <c r="A609" s="54"/>
      <c r="B609" s="11"/>
      <c r="C609" s="20"/>
      <c r="D609" s="20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5"/>
    </row>
    <row r="610">
      <c r="A610" s="54"/>
      <c r="B610" s="11"/>
      <c r="C610" s="20"/>
      <c r="D610" s="20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5"/>
    </row>
    <row r="611">
      <c r="A611" s="54"/>
      <c r="B611" s="11"/>
      <c r="C611" s="20"/>
      <c r="D611" s="20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5"/>
    </row>
    <row r="612">
      <c r="A612" s="22"/>
      <c r="B612" s="11"/>
      <c r="C612" s="20"/>
      <c r="D612" s="20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5"/>
    </row>
    <row r="613">
      <c r="A613" s="22"/>
      <c r="B613" s="11"/>
      <c r="C613" s="20"/>
      <c r="D613" s="20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5"/>
    </row>
    <row r="614">
      <c r="A614" s="22"/>
      <c r="B614" s="11"/>
      <c r="C614" s="20"/>
      <c r="D614" s="20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5"/>
    </row>
    <row r="615">
      <c r="A615" s="22"/>
      <c r="B615" s="11"/>
      <c r="C615" s="20"/>
      <c r="D615" s="20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5"/>
    </row>
    <row r="616">
      <c r="A616" s="22"/>
      <c r="B616" s="11"/>
      <c r="C616" s="20"/>
      <c r="D616" s="20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5"/>
    </row>
    <row r="617">
      <c r="A617" s="22"/>
      <c r="B617" s="11"/>
      <c r="C617" s="20"/>
      <c r="D617" s="20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5"/>
    </row>
    <row r="618">
      <c r="A618" s="22"/>
      <c r="B618" s="11"/>
      <c r="C618" s="20"/>
      <c r="D618" s="20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5"/>
    </row>
    <row r="619">
      <c r="A619" s="22"/>
      <c r="B619" s="11"/>
      <c r="C619" s="20"/>
      <c r="D619" s="20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5"/>
    </row>
    <row r="620">
      <c r="A620" s="22"/>
      <c r="B620" s="11"/>
      <c r="C620" s="20"/>
      <c r="D620" s="20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5"/>
    </row>
    <row r="621">
      <c r="A621" s="22"/>
      <c r="B621" s="11"/>
      <c r="C621" s="20"/>
      <c r="D621" s="20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5"/>
    </row>
    <row r="622">
      <c r="A622" s="22"/>
      <c r="B622" s="11"/>
      <c r="C622" s="20"/>
      <c r="D622" s="20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5"/>
    </row>
    <row r="623">
      <c r="A623" s="22"/>
      <c r="B623" s="11"/>
      <c r="C623" s="20"/>
      <c r="D623" s="20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5"/>
    </row>
    <row r="624">
      <c r="A624" s="22"/>
      <c r="B624" s="11"/>
      <c r="C624" s="20"/>
      <c r="D624" s="20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5"/>
    </row>
    <row r="625">
      <c r="A625" s="22"/>
      <c r="B625" s="11"/>
      <c r="C625" s="20"/>
      <c r="D625" s="20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5"/>
    </row>
    <row r="626">
      <c r="A626" s="22"/>
      <c r="B626" s="11"/>
      <c r="C626" s="20"/>
      <c r="D626" s="20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5"/>
    </row>
    <row r="627">
      <c r="A627" s="22"/>
      <c r="B627" s="11"/>
      <c r="C627" s="20"/>
      <c r="D627" s="20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5"/>
    </row>
    <row r="628">
      <c r="A628" s="22"/>
      <c r="B628" s="11"/>
      <c r="C628" s="20"/>
      <c r="D628" s="20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5"/>
    </row>
    <row r="629">
      <c r="A629" s="22"/>
      <c r="B629" s="11"/>
      <c r="C629" s="20"/>
      <c r="D629" s="20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5"/>
    </row>
    <row r="630">
      <c r="A630" s="22"/>
      <c r="B630" s="11"/>
      <c r="C630" s="20"/>
      <c r="D630" s="20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5"/>
    </row>
    <row r="631">
      <c r="A631" s="54"/>
      <c r="B631" s="11"/>
      <c r="C631" s="20"/>
      <c r="D631" s="20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5"/>
    </row>
    <row r="632">
      <c r="A632" s="54"/>
      <c r="B632" s="11"/>
      <c r="C632" s="20"/>
      <c r="D632" s="20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5"/>
    </row>
    <row r="633">
      <c r="A633" s="54"/>
      <c r="B633" s="11"/>
      <c r="C633" s="20"/>
      <c r="D633" s="20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5"/>
    </row>
    <row r="634">
      <c r="A634" s="54"/>
      <c r="B634" s="11"/>
      <c r="C634" s="20"/>
      <c r="D634" s="20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5"/>
    </row>
    <row r="635">
      <c r="A635" s="54"/>
      <c r="B635" s="11"/>
      <c r="C635" s="20"/>
      <c r="D635" s="20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5"/>
    </row>
    <row r="636">
      <c r="A636" s="54"/>
      <c r="B636" s="11"/>
      <c r="C636" s="20"/>
      <c r="D636" s="20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5"/>
    </row>
    <row r="637">
      <c r="A637" s="54"/>
      <c r="B637" s="11"/>
      <c r="C637" s="20"/>
      <c r="D637" s="20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5"/>
    </row>
    <row r="638">
      <c r="A638" s="54"/>
      <c r="B638" s="11"/>
      <c r="C638" s="20"/>
      <c r="D638" s="20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5"/>
    </row>
    <row r="639">
      <c r="A639" s="54"/>
      <c r="B639" s="11"/>
      <c r="C639" s="20"/>
      <c r="D639" s="20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5"/>
    </row>
    <row r="640">
      <c r="A640" s="54"/>
      <c r="B640" s="11"/>
      <c r="C640" s="20"/>
      <c r="D640" s="20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5"/>
    </row>
    <row r="641">
      <c r="A641" s="54"/>
      <c r="B641" s="11"/>
      <c r="C641" s="20"/>
      <c r="D641" s="20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5"/>
    </row>
    <row r="642">
      <c r="A642" s="54"/>
      <c r="B642" s="11"/>
      <c r="C642" s="20"/>
      <c r="D642" s="20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5"/>
    </row>
    <row r="643">
      <c r="A643" s="54"/>
      <c r="B643" s="11"/>
      <c r="C643" s="20"/>
      <c r="D643" s="20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5"/>
    </row>
    <row r="644">
      <c r="A644" s="54"/>
      <c r="B644" s="11"/>
      <c r="C644" s="20"/>
      <c r="D644" s="20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5"/>
    </row>
    <row r="645">
      <c r="A645" s="54"/>
      <c r="B645" s="11"/>
      <c r="C645" s="20"/>
      <c r="D645" s="20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5"/>
    </row>
    <row r="646">
      <c r="A646" s="54"/>
      <c r="B646" s="11"/>
      <c r="C646" s="20"/>
      <c r="D646" s="20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5"/>
    </row>
    <row r="647">
      <c r="A647" s="54"/>
      <c r="B647" s="11"/>
      <c r="C647" s="20"/>
      <c r="D647" s="20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5"/>
    </row>
    <row r="648">
      <c r="A648" s="54"/>
      <c r="B648" s="11"/>
      <c r="C648" s="20"/>
      <c r="D648" s="20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5"/>
    </row>
    <row r="649">
      <c r="A649" s="22"/>
      <c r="B649" s="11"/>
      <c r="C649" s="20"/>
      <c r="D649" s="20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5"/>
    </row>
    <row r="650">
      <c r="A650" s="22"/>
      <c r="B650" s="11"/>
      <c r="C650" s="20"/>
      <c r="D650" s="20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5"/>
    </row>
    <row r="651">
      <c r="A651" s="22"/>
      <c r="B651" s="11"/>
      <c r="C651" s="20"/>
      <c r="D651" s="20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5"/>
    </row>
    <row r="652">
      <c r="A652" s="22"/>
      <c r="B652" s="11"/>
      <c r="C652" s="20"/>
      <c r="D652" s="20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5"/>
    </row>
    <row r="653">
      <c r="A653" s="22"/>
      <c r="B653" s="11"/>
      <c r="C653" s="20"/>
      <c r="D653" s="20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5"/>
    </row>
    <row r="654">
      <c r="A654" s="22"/>
      <c r="B654" s="11"/>
      <c r="C654" s="20"/>
      <c r="D654" s="20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5"/>
    </row>
    <row r="655">
      <c r="A655" s="22"/>
      <c r="B655" s="11"/>
      <c r="C655" s="20"/>
      <c r="D655" s="20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5"/>
    </row>
    <row r="656">
      <c r="A656" s="22"/>
      <c r="B656" s="11"/>
      <c r="C656" s="20"/>
      <c r="D656" s="20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5"/>
    </row>
    <row r="657">
      <c r="A657" s="22"/>
      <c r="B657" s="11"/>
      <c r="C657" s="20"/>
      <c r="D657" s="20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5"/>
    </row>
    <row r="658">
      <c r="A658" s="22"/>
      <c r="B658" s="11"/>
      <c r="C658" s="20"/>
      <c r="D658" s="20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5"/>
    </row>
    <row r="659">
      <c r="A659" s="22"/>
      <c r="B659" s="11"/>
      <c r="C659" s="20"/>
      <c r="D659" s="20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5"/>
    </row>
    <row r="660">
      <c r="A660" s="22"/>
      <c r="B660" s="11"/>
      <c r="C660" s="20"/>
      <c r="D660" s="20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5"/>
    </row>
    <row r="661">
      <c r="A661" s="22"/>
      <c r="B661" s="11"/>
      <c r="C661" s="20"/>
      <c r="D661" s="20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5"/>
    </row>
    <row r="662">
      <c r="A662" s="22"/>
      <c r="B662" s="11"/>
      <c r="C662" s="20"/>
      <c r="D662" s="20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5"/>
    </row>
    <row r="663">
      <c r="A663" s="22"/>
      <c r="B663" s="11"/>
      <c r="C663" s="20"/>
      <c r="D663" s="20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5"/>
    </row>
    <row r="664">
      <c r="A664" s="22"/>
      <c r="B664" s="11"/>
      <c r="C664" s="20"/>
      <c r="D664" s="20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5"/>
    </row>
    <row r="665">
      <c r="A665" s="22"/>
      <c r="B665" s="11"/>
      <c r="C665" s="20"/>
      <c r="D665" s="20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5"/>
    </row>
    <row r="666">
      <c r="A666" s="22"/>
      <c r="B666" s="11"/>
      <c r="C666" s="20"/>
      <c r="D666" s="20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5"/>
    </row>
    <row r="667">
      <c r="A667" s="22"/>
      <c r="B667" s="11"/>
      <c r="C667" s="20"/>
      <c r="D667" s="20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5"/>
    </row>
    <row r="668">
      <c r="A668" s="54"/>
      <c r="B668" s="11"/>
      <c r="C668" s="20"/>
      <c r="D668" s="20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5"/>
    </row>
    <row r="669">
      <c r="A669" s="54"/>
      <c r="B669" s="11"/>
      <c r="C669" s="20"/>
      <c r="D669" s="20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5"/>
    </row>
    <row r="670">
      <c r="A670" s="54"/>
      <c r="B670" s="11"/>
      <c r="C670" s="20"/>
      <c r="D670" s="20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5"/>
    </row>
    <row r="671">
      <c r="A671" s="54"/>
      <c r="B671" s="11"/>
      <c r="C671" s="20"/>
      <c r="D671" s="20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5"/>
    </row>
    <row r="672">
      <c r="A672" s="54"/>
      <c r="B672" s="11"/>
      <c r="C672" s="20"/>
      <c r="D672" s="20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5"/>
    </row>
    <row r="673">
      <c r="A673" s="54"/>
      <c r="B673" s="11"/>
      <c r="C673" s="20"/>
      <c r="D673" s="20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5"/>
    </row>
    <row r="674">
      <c r="A674" s="54"/>
      <c r="B674" s="11"/>
      <c r="C674" s="20"/>
      <c r="D674" s="20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5"/>
    </row>
    <row r="675">
      <c r="A675" s="54"/>
      <c r="B675" s="11"/>
      <c r="C675" s="20"/>
      <c r="D675" s="20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5"/>
    </row>
    <row r="676">
      <c r="A676" s="54"/>
      <c r="B676" s="11"/>
      <c r="C676" s="20"/>
      <c r="D676" s="20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5"/>
    </row>
    <row r="677">
      <c r="A677" s="54"/>
      <c r="B677" s="11"/>
      <c r="C677" s="20"/>
      <c r="D677" s="20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5"/>
    </row>
    <row r="678">
      <c r="A678" s="54"/>
      <c r="B678" s="11"/>
      <c r="C678" s="20"/>
      <c r="D678" s="20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5"/>
    </row>
    <row r="679">
      <c r="A679" s="54"/>
      <c r="B679" s="11"/>
      <c r="C679" s="20"/>
      <c r="D679" s="20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5"/>
    </row>
    <row r="680">
      <c r="A680" s="54"/>
      <c r="B680" s="11"/>
      <c r="C680" s="20"/>
      <c r="D680" s="20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5"/>
    </row>
    <row r="681">
      <c r="A681" s="54"/>
      <c r="B681" s="11"/>
      <c r="C681" s="20"/>
      <c r="D681" s="20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5"/>
    </row>
    <row r="682">
      <c r="A682" s="54"/>
      <c r="B682" s="11"/>
      <c r="C682" s="20"/>
      <c r="D682" s="20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5"/>
    </row>
    <row r="683">
      <c r="A683" s="54"/>
      <c r="B683" s="11"/>
      <c r="C683" s="20"/>
      <c r="D683" s="20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5"/>
    </row>
    <row r="684">
      <c r="A684" s="54"/>
      <c r="B684" s="11"/>
      <c r="C684" s="20"/>
      <c r="D684" s="20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5"/>
    </row>
    <row r="685">
      <c r="A685" s="54"/>
      <c r="B685" s="11"/>
      <c r="C685" s="20"/>
      <c r="D685" s="20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5"/>
    </row>
    <row r="686">
      <c r="A686" s="54"/>
      <c r="B686" s="11"/>
      <c r="C686" s="20"/>
      <c r="D686" s="20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5"/>
    </row>
    <row r="687">
      <c r="A687" s="54"/>
      <c r="B687" s="11"/>
      <c r="C687" s="20"/>
      <c r="D687" s="20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5"/>
    </row>
    <row r="688">
      <c r="A688" s="54"/>
      <c r="B688" s="11"/>
      <c r="C688" s="20"/>
      <c r="D688" s="20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5"/>
    </row>
    <row r="689">
      <c r="A689" s="54"/>
      <c r="B689" s="11"/>
      <c r="C689" s="20"/>
      <c r="D689" s="20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5"/>
    </row>
    <row r="690">
      <c r="A690" s="54"/>
      <c r="B690" s="11"/>
      <c r="C690" s="20"/>
      <c r="D690" s="20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5"/>
    </row>
    <row r="691">
      <c r="A691" s="54"/>
      <c r="B691" s="11"/>
      <c r="C691" s="20"/>
      <c r="D691" s="20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5"/>
    </row>
    <row r="692">
      <c r="A692" s="54"/>
      <c r="B692" s="11"/>
      <c r="C692" s="20"/>
      <c r="D692" s="20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5"/>
    </row>
    <row r="693">
      <c r="A693" s="54"/>
      <c r="B693" s="11"/>
      <c r="C693" s="20"/>
      <c r="D693" s="20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5"/>
    </row>
    <row r="694">
      <c r="A694" s="54"/>
      <c r="B694" s="11"/>
      <c r="C694" s="20"/>
      <c r="D694" s="20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5"/>
    </row>
    <row r="695">
      <c r="A695" s="22"/>
      <c r="B695" s="11"/>
      <c r="C695" s="20"/>
      <c r="D695" s="20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5"/>
    </row>
    <row r="696">
      <c r="A696" s="22"/>
      <c r="B696" s="11"/>
      <c r="C696" s="20"/>
      <c r="D696" s="20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5"/>
    </row>
    <row r="697">
      <c r="A697" s="22"/>
      <c r="B697" s="11"/>
      <c r="C697" s="20"/>
      <c r="D697" s="20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5"/>
    </row>
    <row r="698">
      <c r="A698" s="22"/>
      <c r="B698" s="11"/>
      <c r="C698" s="20"/>
      <c r="D698" s="20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5"/>
    </row>
    <row r="699">
      <c r="A699" s="22"/>
      <c r="B699" s="11"/>
      <c r="C699" s="20"/>
      <c r="D699" s="20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5"/>
    </row>
    <row r="700">
      <c r="A700" s="22"/>
      <c r="B700" s="11"/>
      <c r="C700" s="20"/>
      <c r="D700" s="20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5"/>
    </row>
    <row r="701">
      <c r="A701" s="22"/>
      <c r="B701" s="11"/>
      <c r="C701" s="20"/>
      <c r="D701" s="20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5"/>
    </row>
    <row r="702">
      <c r="A702" s="22"/>
      <c r="B702" s="11"/>
      <c r="C702" s="20"/>
      <c r="D702" s="20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5"/>
    </row>
    <row r="703">
      <c r="A703" s="22"/>
      <c r="B703" s="11"/>
      <c r="C703" s="20"/>
      <c r="D703" s="20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5"/>
    </row>
    <row r="704">
      <c r="A704" s="22"/>
      <c r="B704" s="11"/>
      <c r="C704" s="20"/>
      <c r="D704" s="20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5"/>
    </row>
    <row r="705">
      <c r="A705" s="22"/>
      <c r="B705" s="11"/>
      <c r="C705" s="20"/>
      <c r="D705" s="20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5"/>
    </row>
    <row r="706">
      <c r="A706" s="22"/>
      <c r="B706" s="11"/>
      <c r="C706" s="20"/>
      <c r="D706" s="20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5"/>
    </row>
    <row r="707">
      <c r="A707" s="22"/>
      <c r="B707" s="11"/>
      <c r="C707" s="20"/>
      <c r="D707" s="20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5"/>
    </row>
    <row r="708">
      <c r="A708" s="22"/>
      <c r="B708" s="11"/>
      <c r="C708" s="20"/>
      <c r="D708" s="20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5"/>
    </row>
    <row r="709">
      <c r="A709" s="22"/>
      <c r="B709" s="11"/>
      <c r="C709" s="20"/>
      <c r="D709" s="20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5"/>
    </row>
    <row r="710">
      <c r="A710" s="22"/>
      <c r="B710" s="11"/>
      <c r="C710" s="20"/>
      <c r="D710" s="20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5"/>
    </row>
    <row r="711">
      <c r="A711" s="22"/>
      <c r="B711" s="11"/>
      <c r="C711" s="20"/>
      <c r="D711" s="20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5"/>
    </row>
    <row r="712">
      <c r="A712" s="22"/>
      <c r="B712" s="11"/>
      <c r="C712" s="20"/>
      <c r="D712" s="20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5"/>
    </row>
    <row r="713">
      <c r="A713" s="22"/>
      <c r="B713" s="11"/>
      <c r="C713" s="20"/>
      <c r="D713" s="20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5"/>
    </row>
    <row r="714">
      <c r="A714" s="54"/>
      <c r="B714" s="11"/>
      <c r="C714" s="20"/>
      <c r="D714" s="20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5"/>
    </row>
    <row r="715">
      <c r="A715" s="54"/>
      <c r="B715" s="11"/>
      <c r="C715" s="20"/>
      <c r="D715" s="20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5"/>
    </row>
    <row r="716">
      <c r="A716" s="54"/>
      <c r="B716" s="11"/>
      <c r="C716" s="20"/>
      <c r="D716" s="20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5"/>
    </row>
    <row r="717">
      <c r="A717" s="54"/>
      <c r="B717" s="11"/>
      <c r="C717" s="20"/>
      <c r="D717" s="20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5"/>
    </row>
    <row r="718">
      <c r="A718" s="54"/>
      <c r="B718" s="11"/>
      <c r="C718" s="20"/>
      <c r="D718" s="20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5"/>
    </row>
    <row r="719">
      <c r="A719" s="54"/>
      <c r="B719" s="11"/>
      <c r="C719" s="20"/>
      <c r="D719" s="20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5"/>
    </row>
    <row r="720">
      <c r="A720" s="54"/>
      <c r="B720" s="11"/>
      <c r="C720" s="20"/>
      <c r="D720" s="20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5"/>
    </row>
    <row r="721">
      <c r="A721" s="54"/>
      <c r="B721" s="11"/>
      <c r="C721" s="20"/>
      <c r="D721" s="20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5"/>
    </row>
    <row r="722">
      <c r="A722" s="54"/>
      <c r="B722" s="11"/>
      <c r="C722" s="20"/>
      <c r="D722" s="20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5"/>
    </row>
    <row r="723">
      <c r="A723" s="54"/>
      <c r="B723" s="11"/>
      <c r="C723" s="20"/>
      <c r="D723" s="20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5"/>
    </row>
    <row r="724">
      <c r="A724" s="54"/>
      <c r="B724" s="11"/>
      <c r="C724" s="20"/>
      <c r="D724" s="20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5"/>
    </row>
    <row r="725">
      <c r="A725" s="54"/>
      <c r="B725" s="11"/>
      <c r="C725" s="20"/>
      <c r="D725" s="20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5"/>
    </row>
    <row r="726">
      <c r="A726" s="54"/>
      <c r="B726" s="11"/>
      <c r="C726" s="20"/>
      <c r="D726" s="20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5"/>
    </row>
    <row r="727">
      <c r="A727" s="54"/>
      <c r="B727" s="11"/>
      <c r="C727" s="20"/>
      <c r="D727" s="20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5"/>
    </row>
    <row r="728">
      <c r="A728" s="54"/>
      <c r="B728" s="11"/>
      <c r="C728" s="20"/>
      <c r="D728" s="20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5"/>
    </row>
    <row r="729">
      <c r="A729" s="54"/>
      <c r="B729" s="11"/>
      <c r="C729" s="20"/>
      <c r="D729" s="20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5"/>
    </row>
    <row r="730">
      <c r="A730" s="54"/>
      <c r="B730" s="11"/>
      <c r="C730" s="20"/>
      <c r="D730" s="20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5"/>
    </row>
    <row r="731">
      <c r="A731" s="54"/>
      <c r="B731" s="11"/>
      <c r="C731" s="20"/>
      <c r="D731" s="20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5"/>
    </row>
    <row r="732">
      <c r="A732" s="22"/>
      <c r="B732" s="11"/>
      <c r="C732" s="20"/>
      <c r="D732" s="20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5"/>
    </row>
    <row r="733">
      <c r="A733" s="22"/>
      <c r="B733" s="11"/>
      <c r="C733" s="20"/>
      <c r="D733" s="20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5"/>
    </row>
    <row r="734">
      <c r="A734" s="22"/>
      <c r="B734" s="11"/>
      <c r="C734" s="20"/>
      <c r="D734" s="20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5"/>
    </row>
    <row r="735">
      <c r="A735" s="22"/>
      <c r="B735" s="11"/>
      <c r="C735" s="20"/>
      <c r="D735" s="20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5"/>
    </row>
    <row r="736">
      <c r="A736" s="22"/>
      <c r="B736" s="11"/>
      <c r="C736" s="20"/>
      <c r="D736" s="20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5"/>
    </row>
    <row r="737">
      <c r="A737" s="22"/>
      <c r="B737" s="11"/>
      <c r="C737" s="20"/>
      <c r="D737" s="20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5"/>
    </row>
    <row r="738">
      <c r="A738" s="22"/>
      <c r="B738" s="11"/>
      <c r="C738" s="20"/>
      <c r="D738" s="20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5"/>
    </row>
    <row r="739">
      <c r="A739" s="22"/>
      <c r="B739" s="11"/>
      <c r="C739" s="20"/>
      <c r="D739" s="20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5"/>
    </row>
    <row r="740">
      <c r="A740" s="22"/>
      <c r="B740" s="11"/>
      <c r="C740" s="20"/>
      <c r="D740" s="20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5"/>
    </row>
    <row r="741">
      <c r="A741" s="22"/>
      <c r="B741" s="11"/>
      <c r="C741" s="20"/>
      <c r="D741" s="20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5"/>
    </row>
    <row r="742">
      <c r="A742" s="22"/>
      <c r="B742" s="11"/>
      <c r="C742" s="20"/>
      <c r="D742" s="20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5"/>
    </row>
    <row r="743">
      <c r="A743" s="22"/>
      <c r="B743" s="11"/>
      <c r="C743" s="20"/>
      <c r="D743" s="20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5"/>
    </row>
    <row r="744">
      <c r="A744" s="22"/>
      <c r="B744" s="11"/>
      <c r="C744" s="20"/>
      <c r="D744" s="20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5"/>
    </row>
    <row r="745">
      <c r="A745" s="22"/>
      <c r="B745" s="11"/>
      <c r="C745" s="20"/>
      <c r="D745" s="20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5"/>
    </row>
    <row r="746">
      <c r="A746" s="22"/>
      <c r="B746" s="11"/>
      <c r="C746" s="20"/>
      <c r="D746" s="20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5"/>
    </row>
    <row r="747">
      <c r="A747" s="22"/>
      <c r="B747" s="11"/>
      <c r="C747" s="20"/>
      <c r="D747" s="20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5"/>
    </row>
    <row r="748">
      <c r="A748" s="22"/>
      <c r="B748" s="11"/>
      <c r="C748" s="20"/>
      <c r="D748" s="20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5"/>
    </row>
    <row r="749">
      <c r="A749" s="22"/>
      <c r="B749" s="11"/>
      <c r="C749" s="20"/>
      <c r="D749" s="20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5"/>
    </row>
    <row r="750">
      <c r="A750" s="22"/>
      <c r="B750" s="11"/>
      <c r="C750" s="20"/>
      <c r="D750" s="20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5"/>
    </row>
    <row r="751">
      <c r="A751" s="54"/>
      <c r="B751" s="11"/>
      <c r="C751" s="20"/>
      <c r="D751" s="20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5"/>
    </row>
    <row r="752">
      <c r="A752" s="54"/>
      <c r="B752" s="11"/>
      <c r="C752" s="20"/>
      <c r="D752" s="20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5"/>
    </row>
    <row r="753">
      <c r="A753" s="54"/>
      <c r="B753" s="11"/>
      <c r="C753" s="20"/>
      <c r="D753" s="20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5"/>
    </row>
    <row r="754">
      <c r="A754" s="54"/>
      <c r="B754" s="11"/>
      <c r="C754" s="20"/>
      <c r="D754" s="20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5"/>
    </row>
    <row r="755">
      <c r="A755" s="54"/>
      <c r="B755" s="11"/>
      <c r="C755" s="20"/>
      <c r="D755" s="20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5"/>
    </row>
    <row r="756">
      <c r="A756" s="54"/>
      <c r="B756" s="11"/>
      <c r="C756" s="20"/>
      <c r="D756" s="20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5"/>
    </row>
    <row r="757">
      <c r="A757" s="54"/>
      <c r="B757" s="11"/>
      <c r="C757" s="20"/>
      <c r="D757" s="20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5"/>
    </row>
    <row r="758">
      <c r="A758" s="54"/>
      <c r="B758" s="11"/>
      <c r="C758" s="20"/>
      <c r="D758" s="20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5"/>
    </row>
    <row r="759">
      <c r="A759" s="54"/>
      <c r="B759" s="11"/>
      <c r="C759" s="20"/>
      <c r="D759" s="20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5"/>
    </row>
    <row r="760">
      <c r="A760" s="54"/>
      <c r="B760" s="11"/>
      <c r="C760" s="20"/>
      <c r="D760" s="20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5"/>
    </row>
    <row r="761">
      <c r="A761" s="54"/>
      <c r="B761" s="11"/>
      <c r="C761" s="20"/>
      <c r="D761" s="20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5"/>
    </row>
    <row r="762">
      <c r="A762" s="54"/>
      <c r="B762" s="11"/>
      <c r="C762" s="20"/>
      <c r="D762" s="20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5"/>
    </row>
    <row r="763">
      <c r="A763" s="54"/>
      <c r="B763" s="11"/>
      <c r="C763" s="20"/>
      <c r="D763" s="20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5"/>
    </row>
    <row r="764">
      <c r="A764" s="54"/>
      <c r="B764" s="11"/>
      <c r="C764" s="20"/>
      <c r="D764" s="20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5"/>
    </row>
    <row r="765">
      <c r="A765" s="54"/>
      <c r="B765" s="11"/>
      <c r="C765" s="20"/>
      <c r="D765" s="20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5"/>
    </row>
    <row r="766">
      <c r="A766" s="54"/>
      <c r="B766" s="11"/>
      <c r="C766" s="20"/>
      <c r="D766" s="20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5"/>
    </row>
    <row r="767">
      <c r="A767" s="54"/>
      <c r="B767" s="11"/>
      <c r="C767" s="20"/>
      <c r="D767" s="20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5"/>
    </row>
    <row r="768">
      <c r="A768" s="54"/>
      <c r="B768" s="11"/>
      <c r="C768" s="20"/>
      <c r="D768" s="20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5"/>
    </row>
    <row r="769">
      <c r="A769" s="54"/>
      <c r="B769" s="11"/>
      <c r="C769" s="20"/>
      <c r="D769" s="20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5"/>
    </row>
    <row r="770">
      <c r="A770" s="54"/>
      <c r="B770" s="11"/>
      <c r="C770" s="20"/>
      <c r="D770" s="20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5"/>
    </row>
    <row r="771">
      <c r="A771" s="54"/>
      <c r="B771" s="11"/>
      <c r="C771" s="20"/>
      <c r="D771" s="20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5"/>
    </row>
    <row r="772">
      <c r="A772" s="54"/>
      <c r="B772" s="11"/>
      <c r="C772" s="20"/>
      <c r="D772" s="20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5"/>
    </row>
    <row r="773">
      <c r="A773" s="54"/>
      <c r="B773" s="11"/>
      <c r="C773" s="20"/>
      <c r="D773" s="20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5"/>
    </row>
    <row r="774">
      <c r="A774" s="54"/>
      <c r="B774" s="11"/>
      <c r="C774" s="20"/>
      <c r="D774" s="20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5"/>
    </row>
    <row r="775">
      <c r="A775" s="54"/>
      <c r="B775" s="11"/>
      <c r="C775" s="20"/>
      <c r="D775" s="20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5"/>
    </row>
    <row r="776">
      <c r="A776" s="54"/>
      <c r="B776" s="11"/>
      <c r="C776" s="20"/>
      <c r="D776" s="20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5"/>
    </row>
    <row r="777">
      <c r="A777" s="54"/>
      <c r="B777" s="11"/>
      <c r="C777" s="20"/>
      <c r="D777" s="20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5"/>
    </row>
    <row r="778">
      <c r="A778" s="22"/>
      <c r="B778" s="11"/>
      <c r="C778" s="20"/>
      <c r="D778" s="20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5"/>
    </row>
    <row r="779">
      <c r="A779" s="22"/>
      <c r="B779" s="11"/>
      <c r="C779" s="20"/>
      <c r="D779" s="20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5"/>
    </row>
    <row r="780">
      <c r="A780" s="22"/>
      <c r="B780" s="11"/>
      <c r="C780" s="20"/>
      <c r="D780" s="20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5"/>
    </row>
    <row r="781">
      <c r="A781" s="22"/>
      <c r="B781" s="11"/>
      <c r="C781" s="20"/>
      <c r="D781" s="20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5"/>
    </row>
    <row r="782">
      <c r="A782" s="22"/>
      <c r="B782" s="11"/>
      <c r="C782" s="20"/>
      <c r="D782" s="20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5"/>
    </row>
    <row r="783">
      <c r="A783" s="22"/>
      <c r="B783" s="11"/>
      <c r="C783" s="20"/>
      <c r="D783" s="20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5"/>
    </row>
    <row r="784">
      <c r="A784" s="22"/>
      <c r="B784" s="11"/>
      <c r="C784" s="20"/>
      <c r="D784" s="20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5"/>
    </row>
    <row r="785">
      <c r="A785" s="22"/>
      <c r="B785" s="11"/>
      <c r="C785" s="20"/>
      <c r="D785" s="20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5"/>
    </row>
    <row r="786">
      <c r="A786" s="22"/>
      <c r="B786" s="11"/>
      <c r="C786" s="20"/>
      <c r="D786" s="20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5"/>
    </row>
    <row r="787">
      <c r="A787" s="22"/>
      <c r="B787" s="11"/>
      <c r="C787" s="20"/>
      <c r="D787" s="20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5"/>
    </row>
    <row r="788">
      <c r="A788" s="22"/>
      <c r="B788" s="11"/>
      <c r="C788" s="20"/>
      <c r="D788" s="20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5"/>
    </row>
    <row r="789">
      <c r="A789" s="22"/>
      <c r="B789" s="11"/>
      <c r="C789" s="20"/>
      <c r="D789" s="20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5"/>
    </row>
    <row r="790">
      <c r="A790" s="22"/>
      <c r="B790" s="11"/>
      <c r="C790" s="20"/>
      <c r="D790" s="20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5"/>
    </row>
    <row r="791">
      <c r="A791" s="22"/>
      <c r="B791" s="11"/>
      <c r="C791" s="20"/>
      <c r="D791" s="20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5"/>
    </row>
    <row r="792">
      <c r="A792" s="22"/>
      <c r="B792" s="11"/>
      <c r="C792" s="20"/>
      <c r="D792" s="20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5"/>
    </row>
    <row r="793">
      <c r="A793" s="22"/>
      <c r="B793" s="11"/>
      <c r="C793" s="20"/>
      <c r="D793" s="20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5"/>
    </row>
    <row r="794">
      <c r="A794" s="22"/>
      <c r="B794" s="11"/>
      <c r="C794" s="20"/>
      <c r="D794" s="20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5"/>
    </row>
    <row r="795">
      <c r="A795" s="22"/>
      <c r="B795" s="11"/>
      <c r="C795" s="20"/>
      <c r="D795" s="20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5"/>
    </row>
    <row r="796">
      <c r="A796" s="22"/>
      <c r="B796" s="11"/>
      <c r="C796" s="20"/>
      <c r="D796" s="20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5"/>
    </row>
    <row r="797">
      <c r="A797" s="54"/>
      <c r="B797" s="11"/>
      <c r="C797" s="20"/>
      <c r="D797" s="20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5"/>
    </row>
    <row r="798">
      <c r="A798" s="54"/>
      <c r="B798" s="11"/>
      <c r="C798" s="20"/>
      <c r="D798" s="20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5"/>
    </row>
    <row r="799">
      <c r="A799" s="54"/>
      <c r="B799" s="11"/>
      <c r="C799" s="20"/>
      <c r="D799" s="20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5"/>
    </row>
    <row r="800">
      <c r="A800" s="54"/>
      <c r="B800" s="11"/>
      <c r="C800" s="20"/>
      <c r="D800" s="20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5"/>
    </row>
    <row r="801">
      <c r="A801" s="54"/>
      <c r="B801" s="11"/>
      <c r="C801" s="20"/>
      <c r="D801" s="20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5"/>
    </row>
    <row r="802">
      <c r="A802" s="54"/>
      <c r="B802" s="11"/>
      <c r="C802" s="20"/>
      <c r="D802" s="20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5"/>
    </row>
    <row r="803">
      <c r="A803" s="54"/>
      <c r="B803" s="11"/>
      <c r="C803" s="20"/>
      <c r="D803" s="20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5"/>
    </row>
    <row r="804">
      <c r="A804" s="54"/>
      <c r="B804" s="11"/>
      <c r="C804" s="20"/>
      <c r="D804" s="20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5"/>
    </row>
    <row r="805">
      <c r="A805" s="54"/>
      <c r="B805" s="11"/>
      <c r="C805" s="20"/>
      <c r="D805" s="20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5"/>
    </row>
    <row r="806">
      <c r="A806" s="54"/>
      <c r="B806" s="11"/>
      <c r="C806" s="20"/>
      <c r="D806" s="20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5"/>
    </row>
    <row r="807">
      <c r="A807" s="54"/>
      <c r="B807" s="11"/>
      <c r="C807" s="20"/>
      <c r="D807" s="20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5"/>
    </row>
    <row r="808">
      <c r="A808" s="54"/>
      <c r="B808" s="11"/>
      <c r="C808" s="20"/>
      <c r="D808" s="20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5"/>
    </row>
    <row r="809">
      <c r="A809" s="54"/>
      <c r="B809" s="11"/>
      <c r="C809" s="20"/>
      <c r="D809" s="20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5"/>
    </row>
    <row r="810">
      <c r="A810" s="54"/>
      <c r="B810" s="11"/>
      <c r="C810" s="20"/>
      <c r="D810" s="20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5"/>
    </row>
    <row r="811">
      <c r="A811" s="54"/>
      <c r="B811" s="11"/>
      <c r="C811" s="20"/>
      <c r="D811" s="20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5"/>
    </row>
    <row r="812">
      <c r="A812" s="54"/>
      <c r="B812" s="11"/>
      <c r="C812" s="20"/>
      <c r="D812" s="20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5"/>
    </row>
    <row r="813">
      <c r="A813" s="54"/>
      <c r="B813" s="11"/>
      <c r="C813" s="20"/>
      <c r="D813" s="20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5"/>
    </row>
    <row r="814">
      <c r="A814" s="54"/>
      <c r="B814" s="11"/>
      <c r="C814" s="20"/>
      <c r="D814" s="20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5"/>
    </row>
    <row r="815">
      <c r="A815" s="22"/>
      <c r="B815" s="11"/>
      <c r="C815" s="20"/>
      <c r="D815" s="20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5"/>
    </row>
    <row r="816">
      <c r="A816" s="22"/>
      <c r="B816" s="11"/>
      <c r="C816" s="20"/>
      <c r="D816" s="20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5"/>
    </row>
    <row r="817">
      <c r="A817" s="22"/>
      <c r="B817" s="11"/>
      <c r="C817" s="20"/>
      <c r="D817" s="20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5"/>
    </row>
    <row r="818">
      <c r="A818" s="22"/>
      <c r="B818" s="11"/>
      <c r="C818" s="20"/>
      <c r="D818" s="20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5"/>
    </row>
    <row r="819">
      <c r="A819" s="22"/>
      <c r="B819" s="11"/>
      <c r="C819" s="20"/>
      <c r="D819" s="20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5"/>
    </row>
    <row r="820">
      <c r="A820" s="22"/>
      <c r="B820" s="11"/>
      <c r="C820" s="20"/>
      <c r="D820" s="20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5"/>
    </row>
    <row r="821">
      <c r="A821" s="22"/>
      <c r="B821" s="11"/>
      <c r="C821" s="20"/>
      <c r="D821" s="20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5"/>
    </row>
    <row r="822">
      <c r="A822" s="22"/>
      <c r="B822" s="11"/>
      <c r="C822" s="20"/>
      <c r="D822" s="20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5"/>
    </row>
    <row r="823">
      <c r="A823" s="22"/>
      <c r="B823" s="11"/>
      <c r="C823" s="20"/>
      <c r="D823" s="20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5"/>
    </row>
    <row r="824">
      <c r="A824" s="22"/>
      <c r="B824" s="11"/>
      <c r="C824" s="20"/>
      <c r="D824" s="20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5"/>
    </row>
    <row r="825">
      <c r="A825" s="22"/>
      <c r="B825" s="11"/>
      <c r="C825" s="20"/>
      <c r="D825" s="20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5"/>
    </row>
    <row r="826">
      <c r="A826" s="22"/>
      <c r="B826" s="11"/>
      <c r="C826" s="20"/>
      <c r="D826" s="20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5"/>
    </row>
    <row r="827">
      <c r="A827" s="22"/>
      <c r="B827" s="11"/>
      <c r="C827" s="20"/>
      <c r="D827" s="20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5"/>
    </row>
    <row r="828">
      <c r="A828" s="22"/>
      <c r="B828" s="11"/>
      <c r="C828" s="20"/>
      <c r="D828" s="20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5"/>
    </row>
    <row r="829">
      <c r="A829" s="22"/>
      <c r="B829" s="11"/>
      <c r="C829" s="20"/>
      <c r="D829" s="20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5"/>
    </row>
    <row r="830">
      <c r="A830" s="22"/>
      <c r="B830" s="11"/>
      <c r="C830" s="20"/>
      <c r="D830" s="20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5"/>
    </row>
    <row r="831">
      <c r="A831" s="22"/>
      <c r="B831" s="11"/>
      <c r="C831" s="20"/>
      <c r="D831" s="20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5"/>
    </row>
    <row r="832">
      <c r="A832" s="22"/>
      <c r="B832" s="11"/>
      <c r="C832" s="20"/>
      <c r="D832" s="20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5"/>
    </row>
    <row r="833">
      <c r="A833" s="22"/>
      <c r="B833" s="11"/>
      <c r="C833" s="20"/>
      <c r="D833" s="20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5"/>
    </row>
    <row r="834">
      <c r="A834" s="54"/>
      <c r="B834" s="11"/>
      <c r="C834" s="20"/>
      <c r="D834" s="20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5"/>
    </row>
    <row r="835">
      <c r="A835" s="54"/>
      <c r="B835" s="11"/>
      <c r="C835" s="20"/>
      <c r="D835" s="20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5"/>
    </row>
    <row r="836">
      <c r="A836" s="54"/>
      <c r="B836" s="11"/>
      <c r="C836" s="20"/>
      <c r="D836" s="20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5"/>
    </row>
    <row r="837">
      <c r="A837" s="54"/>
      <c r="B837" s="11"/>
      <c r="C837" s="20"/>
      <c r="D837" s="20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5"/>
    </row>
    <row r="838">
      <c r="A838" s="54"/>
      <c r="B838" s="11"/>
      <c r="C838" s="20"/>
      <c r="D838" s="20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5"/>
    </row>
    <row r="839">
      <c r="A839" s="54"/>
      <c r="B839" s="11"/>
      <c r="C839" s="20"/>
      <c r="D839" s="20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5"/>
    </row>
    <row r="840">
      <c r="A840" s="54"/>
      <c r="B840" s="11"/>
      <c r="C840" s="20"/>
      <c r="D840" s="20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5"/>
    </row>
    <row r="841">
      <c r="A841" s="54"/>
      <c r="B841" s="11"/>
      <c r="C841" s="20"/>
      <c r="D841" s="20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5"/>
    </row>
    <row r="842">
      <c r="A842" s="54"/>
      <c r="B842" s="11"/>
      <c r="C842" s="20"/>
      <c r="D842" s="20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5"/>
    </row>
    <row r="843">
      <c r="A843" s="54"/>
      <c r="B843" s="11"/>
      <c r="C843" s="20"/>
      <c r="D843" s="20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5"/>
    </row>
    <row r="844">
      <c r="A844" s="54"/>
      <c r="B844" s="11"/>
      <c r="C844" s="20"/>
      <c r="D844" s="20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5"/>
    </row>
    <row r="845">
      <c r="A845" s="54"/>
      <c r="B845" s="11"/>
      <c r="C845" s="20"/>
      <c r="D845" s="20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5"/>
    </row>
    <row r="846">
      <c r="A846" s="54"/>
      <c r="B846" s="11"/>
      <c r="C846" s="20"/>
      <c r="D846" s="20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5"/>
    </row>
    <row r="847">
      <c r="A847" s="54"/>
      <c r="B847" s="11"/>
      <c r="C847" s="20"/>
      <c r="D847" s="20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5"/>
    </row>
    <row r="848">
      <c r="A848" s="54"/>
      <c r="B848" s="11"/>
      <c r="C848" s="20"/>
      <c r="D848" s="20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5"/>
    </row>
    <row r="849">
      <c r="A849" s="54"/>
      <c r="B849" s="11"/>
      <c r="C849" s="20"/>
      <c r="D849" s="20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5"/>
    </row>
    <row r="850">
      <c r="A850" s="54"/>
      <c r="B850" s="11"/>
      <c r="C850" s="20"/>
      <c r="D850" s="20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5"/>
    </row>
    <row r="851">
      <c r="A851" s="54"/>
      <c r="B851" s="11"/>
      <c r="C851" s="20"/>
      <c r="D851" s="20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5"/>
    </row>
    <row r="852">
      <c r="A852" s="54"/>
      <c r="B852" s="11"/>
      <c r="C852" s="20"/>
      <c r="D852" s="20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5"/>
    </row>
    <row r="853">
      <c r="A853" s="54"/>
      <c r="B853" s="11"/>
      <c r="C853" s="20"/>
      <c r="D853" s="20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5"/>
    </row>
    <row r="854">
      <c r="A854" s="54"/>
      <c r="B854" s="11"/>
      <c r="C854" s="20"/>
      <c r="D854" s="20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5"/>
    </row>
    <row r="855">
      <c r="A855" s="54"/>
      <c r="B855" s="11"/>
      <c r="C855" s="20"/>
      <c r="D855" s="20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5"/>
    </row>
    <row r="856">
      <c r="A856" s="54"/>
      <c r="B856" s="11"/>
      <c r="C856" s="20"/>
      <c r="D856" s="20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5"/>
    </row>
    <row r="857">
      <c r="A857" s="54"/>
      <c r="B857" s="11"/>
      <c r="C857" s="20"/>
      <c r="D857" s="20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5"/>
    </row>
    <row r="858">
      <c r="A858" s="54"/>
      <c r="B858" s="11"/>
      <c r="C858" s="20"/>
      <c r="D858" s="20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5"/>
    </row>
    <row r="859">
      <c r="A859" s="54"/>
      <c r="B859" s="11"/>
      <c r="C859" s="20"/>
      <c r="D859" s="20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5"/>
    </row>
    <row r="860">
      <c r="A860" s="54"/>
      <c r="B860" s="11"/>
      <c r="C860" s="20"/>
      <c r="D860" s="20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5"/>
    </row>
    <row r="861">
      <c r="A861" s="22"/>
      <c r="B861" s="11"/>
      <c r="C861" s="20"/>
      <c r="D861" s="20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5"/>
    </row>
    <row r="862">
      <c r="A862" s="22"/>
      <c r="B862" s="11"/>
      <c r="C862" s="20"/>
      <c r="D862" s="20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5"/>
    </row>
    <row r="863">
      <c r="A863" s="22"/>
      <c r="B863" s="11"/>
      <c r="C863" s="20"/>
      <c r="D863" s="20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5"/>
    </row>
    <row r="864">
      <c r="A864" s="22"/>
      <c r="B864" s="11"/>
      <c r="C864" s="20"/>
      <c r="D864" s="20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5"/>
    </row>
    <row r="865">
      <c r="A865" s="22"/>
      <c r="B865" s="11"/>
      <c r="C865" s="20"/>
      <c r="D865" s="20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5"/>
    </row>
    <row r="866">
      <c r="A866" s="22"/>
      <c r="B866" s="11"/>
      <c r="C866" s="20"/>
      <c r="D866" s="20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5"/>
    </row>
    <row r="867">
      <c r="A867" s="22"/>
      <c r="B867" s="11"/>
      <c r="C867" s="20"/>
      <c r="D867" s="20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5"/>
    </row>
    <row r="868">
      <c r="A868" s="22"/>
      <c r="B868" s="11"/>
      <c r="C868" s="20"/>
      <c r="D868" s="20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5"/>
    </row>
    <row r="869">
      <c r="A869" s="22"/>
      <c r="B869" s="11"/>
      <c r="C869" s="20"/>
      <c r="D869" s="20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5"/>
    </row>
    <row r="870">
      <c r="A870" s="22"/>
      <c r="B870" s="11"/>
      <c r="C870" s="20"/>
      <c r="D870" s="20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5"/>
    </row>
    <row r="871">
      <c r="A871" s="22"/>
      <c r="B871" s="11"/>
      <c r="C871" s="20"/>
      <c r="D871" s="20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5"/>
    </row>
    <row r="872">
      <c r="A872" s="22"/>
      <c r="B872" s="11"/>
      <c r="C872" s="20"/>
      <c r="D872" s="20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5"/>
    </row>
    <row r="873">
      <c r="A873" s="22"/>
      <c r="B873" s="11"/>
      <c r="C873" s="20"/>
      <c r="D873" s="20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5"/>
    </row>
    <row r="874">
      <c r="A874" s="22"/>
      <c r="B874" s="11"/>
      <c r="C874" s="20"/>
      <c r="D874" s="20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5"/>
    </row>
    <row r="875">
      <c r="A875" s="22"/>
      <c r="B875" s="11"/>
      <c r="C875" s="20"/>
      <c r="D875" s="20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5"/>
    </row>
    <row r="876">
      <c r="A876" s="22"/>
      <c r="B876" s="11"/>
      <c r="C876" s="20"/>
      <c r="D876" s="20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5"/>
    </row>
    <row r="877">
      <c r="A877" s="22"/>
      <c r="B877" s="11"/>
      <c r="C877" s="20"/>
      <c r="D877" s="20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5"/>
    </row>
    <row r="878">
      <c r="A878" s="22"/>
      <c r="B878" s="11"/>
      <c r="C878" s="20"/>
      <c r="D878" s="20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5"/>
    </row>
    <row r="879">
      <c r="A879" s="22"/>
      <c r="B879" s="11"/>
      <c r="C879" s="20"/>
      <c r="D879" s="20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5"/>
    </row>
    <row r="880">
      <c r="A880" s="54"/>
      <c r="B880" s="11"/>
      <c r="C880" s="20"/>
      <c r="D880" s="20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5"/>
    </row>
    <row r="881">
      <c r="A881" s="54"/>
      <c r="B881" s="11"/>
      <c r="C881" s="20"/>
      <c r="D881" s="20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5"/>
    </row>
    <row r="882">
      <c r="A882" s="54"/>
      <c r="B882" s="11"/>
      <c r="C882" s="20"/>
      <c r="D882" s="20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5"/>
    </row>
    <row r="883">
      <c r="A883" s="54"/>
      <c r="B883" s="11"/>
      <c r="C883" s="20"/>
      <c r="D883" s="20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5"/>
    </row>
    <row r="884">
      <c r="A884" s="54"/>
      <c r="B884" s="11"/>
      <c r="C884" s="20"/>
      <c r="D884" s="20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5"/>
    </row>
    <row r="885">
      <c r="A885" s="54"/>
      <c r="B885" s="11"/>
      <c r="C885" s="20"/>
      <c r="D885" s="20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5"/>
    </row>
    <row r="886">
      <c r="A886" s="54"/>
      <c r="B886" s="11"/>
      <c r="C886" s="20"/>
      <c r="D886" s="20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5"/>
    </row>
    <row r="887">
      <c r="A887" s="54"/>
      <c r="B887" s="11"/>
      <c r="C887" s="20"/>
      <c r="D887" s="20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5"/>
    </row>
    <row r="888">
      <c r="A888" s="54"/>
      <c r="B888" s="11"/>
      <c r="C888" s="20"/>
      <c r="D888" s="20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5"/>
    </row>
    <row r="889">
      <c r="A889" s="54"/>
      <c r="B889" s="11"/>
      <c r="C889" s="20"/>
      <c r="D889" s="20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5"/>
    </row>
    <row r="890">
      <c r="A890" s="54"/>
      <c r="B890" s="11"/>
      <c r="C890" s="20"/>
      <c r="D890" s="20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5"/>
    </row>
    <row r="891">
      <c r="A891" s="54"/>
      <c r="B891" s="11"/>
      <c r="C891" s="20"/>
      <c r="D891" s="20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5"/>
    </row>
    <row r="892">
      <c r="A892" s="54"/>
      <c r="B892" s="11"/>
      <c r="C892" s="20"/>
      <c r="D892" s="20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5"/>
    </row>
    <row r="893">
      <c r="A893" s="54"/>
      <c r="B893" s="11"/>
      <c r="C893" s="20"/>
      <c r="D893" s="20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5"/>
    </row>
    <row r="894">
      <c r="A894" s="54"/>
      <c r="B894" s="11"/>
      <c r="C894" s="20"/>
      <c r="D894" s="20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5"/>
    </row>
    <row r="895">
      <c r="A895" s="54"/>
      <c r="B895" s="11"/>
      <c r="C895" s="20"/>
      <c r="D895" s="20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5"/>
    </row>
    <row r="896">
      <c r="A896" s="54"/>
      <c r="B896" s="11"/>
      <c r="C896" s="20"/>
      <c r="D896" s="20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5"/>
    </row>
    <row r="897">
      <c r="A897" s="54"/>
      <c r="B897" s="11"/>
      <c r="C897" s="20"/>
      <c r="D897" s="20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5"/>
    </row>
    <row r="898">
      <c r="A898" s="22"/>
      <c r="B898" s="11"/>
      <c r="C898" s="20"/>
      <c r="D898" s="20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5"/>
    </row>
    <row r="899">
      <c r="A899" s="22"/>
      <c r="B899" s="11"/>
      <c r="C899" s="20"/>
      <c r="D899" s="20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5"/>
    </row>
    <row r="900">
      <c r="A900" s="22"/>
      <c r="B900" s="11"/>
      <c r="C900" s="20"/>
      <c r="D900" s="20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5"/>
    </row>
    <row r="901">
      <c r="A901" s="22"/>
      <c r="B901" s="11"/>
      <c r="C901" s="20"/>
      <c r="D901" s="20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5"/>
    </row>
    <row r="902">
      <c r="A902" s="22"/>
      <c r="B902" s="11"/>
      <c r="C902" s="20"/>
      <c r="D902" s="20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5"/>
    </row>
    <row r="903">
      <c r="A903" s="22"/>
      <c r="B903" s="11"/>
      <c r="C903" s="20"/>
      <c r="D903" s="20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5"/>
    </row>
    <row r="904">
      <c r="A904" s="22"/>
      <c r="B904" s="11"/>
      <c r="C904" s="20"/>
      <c r="D904" s="20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5"/>
    </row>
    <row r="905">
      <c r="A905" s="22"/>
      <c r="B905" s="11"/>
      <c r="C905" s="20"/>
      <c r="D905" s="20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5"/>
    </row>
    <row r="906">
      <c r="A906" s="22"/>
      <c r="B906" s="11"/>
      <c r="C906" s="20"/>
      <c r="D906" s="20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5"/>
    </row>
    <row r="907">
      <c r="A907" s="22"/>
      <c r="B907" s="11"/>
      <c r="C907" s="20"/>
      <c r="D907" s="20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5"/>
    </row>
    <row r="908">
      <c r="A908" s="22"/>
      <c r="B908" s="11"/>
      <c r="C908" s="20"/>
      <c r="D908" s="20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5"/>
    </row>
    <row r="909">
      <c r="A909" s="22"/>
      <c r="B909" s="11"/>
      <c r="C909" s="20"/>
      <c r="D909" s="20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5"/>
    </row>
    <row r="910">
      <c r="A910" s="22"/>
      <c r="B910" s="11"/>
      <c r="C910" s="20"/>
      <c r="D910" s="20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5"/>
    </row>
    <row r="911">
      <c r="A911" s="22"/>
      <c r="B911" s="11"/>
      <c r="C911" s="20"/>
      <c r="D911" s="20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5"/>
    </row>
    <row r="912">
      <c r="A912" s="22"/>
      <c r="B912" s="11"/>
      <c r="C912" s="20"/>
      <c r="D912" s="20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5"/>
    </row>
    <row r="913">
      <c r="A913" s="22"/>
      <c r="B913" s="11"/>
      <c r="C913" s="20"/>
      <c r="D913" s="20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5"/>
    </row>
    <row r="914">
      <c r="A914" s="22"/>
      <c r="B914" s="11"/>
      <c r="C914" s="20"/>
      <c r="D914" s="20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5"/>
    </row>
    <row r="915">
      <c r="A915" s="22"/>
      <c r="B915" s="11"/>
      <c r="C915" s="20"/>
      <c r="D915" s="20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5"/>
    </row>
    <row r="916">
      <c r="A916" s="22"/>
      <c r="B916" s="11"/>
      <c r="C916" s="20"/>
      <c r="D916" s="20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5"/>
    </row>
    <row r="917">
      <c r="A917" s="54"/>
      <c r="B917" s="11"/>
      <c r="C917" s="20"/>
      <c r="D917" s="20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5"/>
    </row>
    <row r="918">
      <c r="A918" s="54"/>
      <c r="B918" s="11"/>
      <c r="C918" s="20"/>
      <c r="D918" s="20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5"/>
    </row>
    <row r="919">
      <c r="A919" s="54"/>
      <c r="B919" s="11"/>
      <c r="C919" s="20"/>
      <c r="D919" s="20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5"/>
    </row>
    <row r="920">
      <c r="A920" s="54"/>
      <c r="B920" s="11"/>
      <c r="C920" s="20"/>
      <c r="D920" s="20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5"/>
    </row>
    <row r="921">
      <c r="A921" s="54"/>
      <c r="B921" s="11"/>
      <c r="C921" s="20"/>
      <c r="D921" s="20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5"/>
    </row>
    <row r="922">
      <c r="A922" s="54"/>
      <c r="B922" s="11"/>
      <c r="C922" s="20"/>
      <c r="D922" s="20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5"/>
    </row>
    <row r="923">
      <c r="A923" s="54"/>
      <c r="B923" s="11"/>
      <c r="C923" s="20"/>
      <c r="D923" s="20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5"/>
    </row>
    <row r="924">
      <c r="A924" s="54"/>
      <c r="B924" s="11"/>
      <c r="C924" s="20"/>
      <c r="D924" s="20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5"/>
    </row>
    <row r="925">
      <c r="A925" s="54"/>
      <c r="B925" s="11"/>
      <c r="C925" s="20"/>
      <c r="D925" s="20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5"/>
    </row>
    <row r="926">
      <c r="A926" s="54"/>
      <c r="B926" s="11"/>
      <c r="C926" s="20"/>
      <c r="D926" s="20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5"/>
    </row>
    <row r="927">
      <c r="A927" s="54"/>
      <c r="B927" s="11"/>
      <c r="C927" s="20"/>
      <c r="D927" s="20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5"/>
    </row>
    <row r="928">
      <c r="A928" s="54"/>
      <c r="B928" s="11"/>
      <c r="C928" s="20"/>
      <c r="D928" s="20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5"/>
    </row>
    <row r="929">
      <c r="A929" s="54"/>
      <c r="B929" s="11"/>
      <c r="C929" s="20"/>
      <c r="D929" s="20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5"/>
    </row>
    <row r="930">
      <c r="A930" s="54"/>
      <c r="B930" s="11"/>
      <c r="C930" s="20"/>
      <c r="D930" s="20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5"/>
    </row>
    <row r="931">
      <c r="A931" s="54"/>
      <c r="B931" s="11"/>
      <c r="C931" s="20"/>
      <c r="D931" s="20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5"/>
    </row>
    <row r="932">
      <c r="A932" s="54"/>
      <c r="B932" s="11"/>
      <c r="C932" s="20"/>
      <c r="D932" s="20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5"/>
    </row>
    <row r="933">
      <c r="A933" s="54"/>
      <c r="B933" s="11"/>
      <c r="C933" s="20"/>
      <c r="D933" s="20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5"/>
    </row>
    <row r="934">
      <c r="A934" s="54"/>
      <c r="B934" s="11"/>
      <c r="C934" s="20"/>
      <c r="D934" s="20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5"/>
    </row>
    <row r="935">
      <c r="A935" s="54"/>
      <c r="B935" s="11"/>
      <c r="C935" s="20"/>
      <c r="D935" s="20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5"/>
    </row>
    <row r="936">
      <c r="A936" s="54"/>
      <c r="B936" s="11"/>
      <c r="C936" s="20"/>
      <c r="D936" s="20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5"/>
    </row>
    <row r="937">
      <c r="A937" s="54"/>
      <c r="B937" s="11"/>
      <c r="C937" s="20"/>
      <c r="D937" s="20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5"/>
    </row>
    <row r="938">
      <c r="A938" s="54"/>
      <c r="B938" s="11"/>
      <c r="C938" s="20"/>
      <c r="D938" s="20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5"/>
    </row>
    <row r="939">
      <c r="A939" s="54"/>
      <c r="B939" s="11"/>
      <c r="C939" s="20"/>
      <c r="D939" s="20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5"/>
    </row>
    <row r="940">
      <c r="A940" s="54"/>
      <c r="B940" s="11"/>
      <c r="C940" s="20"/>
      <c r="D940" s="20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5"/>
    </row>
    <row r="941">
      <c r="A941" s="54"/>
      <c r="B941" s="11"/>
      <c r="C941" s="20"/>
      <c r="D941" s="20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5"/>
    </row>
    <row r="942">
      <c r="A942" s="54"/>
      <c r="B942" s="11"/>
      <c r="C942" s="20"/>
      <c r="D942" s="20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5"/>
    </row>
    <row r="943">
      <c r="A943" s="54"/>
      <c r="B943" s="11"/>
      <c r="C943" s="20"/>
      <c r="D943" s="20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5"/>
    </row>
    <row r="944">
      <c r="A944" s="22"/>
      <c r="B944" s="11"/>
      <c r="C944" s="20"/>
      <c r="D944" s="20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5"/>
    </row>
    <row r="945">
      <c r="A945" s="22"/>
      <c r="B945" s="11"/>
      <c r="C945" s="20"/>
      <c r="D945" s="20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5"/>
    </row>
    <row r="946">
      <c r="A946" s="22"/>
      <c r="B946" s="11"/>
      <c r="C946" s="20"/>
      <c r="D946" s="20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5"/>
    </row>
    <row r="947">
      <c r="A947" s="22"/>
      <c r="B947" s="11"/>
      <c r="C947" s="20"/>
      <c r="D947" s="20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5"/>
    </row>
    <row r="948">
      <c r="A948" s="22"/>
      <c r="B948" s="11"/>
      <c r="C948" s="20"/>
      <c r="D948" s="20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5"/>
    </row>
    <row r="949">
      <c r="A949" s="22"/>
      <c r="B949" s="11"/>
      <c r="C949" s="20"/>
      <c r="D949" s="20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5"/>
    </row>
    <row r="950">
      <c r="A950" s="22"/>
      <c r="B950" s="11"/>
      <c r="C950" s="20"/>
      <c r="D950" s="20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5"/>
    </row>
    <row r="951">
      <c r="A951" s="22"/>
      <c r="B951" s="11"/>
      <c r="C951" s="20"/>
      <c r="D951" s="20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5"/>
    </row>
    <row r="952">
      <c r="A952" s="22"/>
      <c r="B952" s="11"/>
      <c r="C952" s="20"/>
      <c r="D952" s="20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5"/>
    </row>
    <row r="953">
      <c r="A953" s="22"/>
      <c r="B953" s="11"/>
      <c r="C953" s="20"/>
      <c r="D953" s="20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5"/>
    </row>
    <row r="954">
      <c r="A954" s="22"/>
      <c r="B954" s="11"/>
      <c r="C954" s="20"/>
      <c r="D954" s="20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5"/>
    </row>
    <row r="955">
      <c r="A955" s="22"/>
      <c r="B955" s="11"/>
      <c r="C955" s="20"/>
      <c r="D955" s="20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5"/>
    </row>
    <row r="956">
      <c r="A956" s="22"/>
      <c r="B956" s="11"/>
      <c r="C956" s="20"/>
      <c r="D956" s="20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5"/>
    </row>
    <row r="957">
      <c r="A957" s="22"/>
      <c r="B957" s="11"/>
      <c r="C957" s="20"/>
      <c r="D957" s="20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5"/>
    </row>
    <row r="958">
      <c r="A958" s="22"/>
      <c r="B958" s="11"/>
      <c r="C958" s="20"/>
      <c r="D958" s="20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5"/>
    </row>
    <row r="959">
      <c r="A959" s="22"/>
      <c r="B959" s="11"/>
      <c r="C959" s="20"/>
      <c r="D959" s="20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5"/>
    </row>
    <row r="960">
      <c r="A960" s="22"/>
      <c r="B960" s="11"/>
      <c r="C960" s="20"/>
      <c r="D960" s="20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5"/>
    </row>
    <row r="961">
      <c r="A961" s="22"/>
      <c r="B961" s="11"/>
      <c r="C961" s="20"/>
      <c r="D961" s="20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5"/>
    </row>
    <row r="962">
      <c r="A962" s="22"/>
      <c r="B962" s="11"/>
      <c r="C962" s="20"/>
      <c r="D962" s="20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5"/>
    </row>
    <row r="963">
      <c r="A963" s="54"/>
      <c r="B963" s="11"/>
      <c r="C963" s="20"/>
      <c r="D963" s="20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5"/>
    </row>
    <row r="964">
      <c r="A964" s="54"/>
      <c r="B964" s="11"/>
      <c r="C964" s="20"/>
      <c r="D964" s="20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5"/>
    </row>
    <row r="965">
      <c r="A965" s="54"/>
      <c r="B965" s="11"/>
      <c r="C965" s="20"/>
      <c r="D965" s="20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5"/>
    </row>
    <row r="966">
      <c r="A966" s="54"/>
      <c r="B966" s="11"/>
      <c r="C966" s="20"/>
      <c r="D966" s="20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5"/>
    </row>
    <row r="967">
      <c r="A967" s="54"/>
      <c r="B967" s="11"/>
      <c r="C967" s="20"/>
      <c r="D967" s="20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5"/>
    </row>
    <row r="968">
      <c r="A968" s="54"/>
      <c r="B968" s="11"/>
      <c r="C968" s="20"/>
      <c r="D968" s="20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5"/>
    </row>
    <row r="969">
      <c r="A969" s="54"/>
      <c r="B969" s="11"/>
      <c r="C969" s="20"/>
      <c r="D969" s="20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5"/>
    </row>
    <row r="970">
      <c r="A970" s="54"/>
      <c r="B970" s="11"/>
      <c r="C970" s="20"/>
      <c r="D970" s="20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5"/>
    </row>
    <row r="971">
      <c r="A971" s="54"/>
      <c r="B971" s="11"/>
      <c r="C971" s="20"/>
      <c r="D971" s="20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5"/>
    </row>
    <row r="972">
      <c r="A972" s="54"/>
      <c r="B972" s="11"/>
      <c r="C972" s="20"/>
      <c r="D972" s="20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5"/>
    </row>
    <row r="973">
      <c r="A973" s="54"/>
      <c r="B973" s="11"/>
      <c r="C973" s="20"/>
      <c r="D973" s="20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5"/>
    </row>
    <row r="974">
      <c r="A974" s="54"/>
      <c r="B974" s="11"/>
      <c r="C974" s="20"/>
      <c r="D974" s="20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5"/>
    </row>
    <row r="975">
      <c r="A975" s="54"/>
      <c r="B975" s="11"/>
      <c r="C975" s="20"/>
      <c r="D975" s="20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5"/>
    </row>
    <row r="976">
      <c r="A976" s="54"/>
      <c r="B976" s="11"/>
      <c r="C976" s="20"/>
      <c r="D976" s="20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5"/>
    </row>
    <row r="977">
      <c r="A977" s="54"/>
      <c r="B977" s="11"/>
      <c r="C977" s="20"/>
      <c r="D977" s="20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5"/>
    </row>
    <row r="978">
      <c r="A978" s="54"/>
      <c r="B978" s="11"/>
      <c r="C978" s="20"/>
      <c r="D978" s="20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5"/>
    </row>
    <row r="979">
      <c r="A979" s="54"/>
      <c r="B979" s="11"/>
      <c r="C979" s="20"/>
      <c r="D979" s="20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5"/>
    </row>
    <row r="980">
      <c r="A980" s="54"/>
      <c r="B980" s="11"/>
      <c r="C980" s="20"/>
      <c r="D980" s="20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5"/>
    </row>
    <row r="981">
      <c r="A981" s="22"/>
      <c r="B981" s="11"/>
      <c r="C981" s="20"/>
      <c r="D981" s="20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5"/>
    </row>
    <row r="982">
      <c r="A982" s="22"/>
      <c r="B982" s="11"/>
      <c r="C982" s="20"/>
      <c r="D982" s="20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5"/>
    </row>
    <row r="983">
      <c r="A983" s="22"/>
      <c r="B983" s="11"/>
      <c r="C983" s="20"/>
      <c r="D983" s="20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5"/>
    </row>
    <row r="984">
      <c r="A984" s="22"/>
      <c r="B984" s="11"/>
      <c r="C984" s="20"/>
      <c r="D984" s="20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5"/>
    </row>
    <row r="985">
      <c r="A985" s="22"/>
      <c r="B985" s="11"/>
      <c r="C985" s="20"/>
      <c r="D985" s="20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5"/>
    </row>
    <row r="986">
      <c r="A986" s="22"/>
      <c r="B986" s="11"/>
      <c r="C986" s="20"/>
      <c r="D986" s="20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5"/>
    </row>
    <row r="987">
      <c r="A987" s="22"/>
      <c r="B987" s="11"/>
      <c r="C987" s="20"/>
      <c r="D987" s="20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5"/>
    </row>
    <row r="988">
      <c r="A988" s="22"/>
      <c r="B988" s="11"/>
      <c r="C988" s="20"/>
      <c r="D988" s="20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5"/>
    </row>
    <row r="989">
      <c r="A989" s="22"/>
      <c r="B989" s="11"/>
      <c r="C989" s="20"/>
      <c r="D989" s="20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5"/>
    </row>
    <row r="990">
      <c r="A990" s="22"/>
      <c r="B990" s="11"/>
      <c r="C990" s="20"/>
      <c r="D990" s="20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5"/>
    </row>
    <row r="991">
      <c r="A991" s="22"/>
      <c r="B991" s="11"/>
      <c r="C991" s="20"/>
      <c r="D991" s="20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5"/>
    </row>
    <row r="992">
      <c r="A992" s="22"/>
      <c r="B992" s="11"/>
      <c r="C992" s="20"/>
      <c r="D992" s="20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5"/>
    </row>
    <row r="993">
      <c r="A993" s="22"/>
      <c r="B993" s="11"/>
      <c r="C993" s="20"/>
      <c r="D993" s="20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5"/>
    </row>
    <row r="994">
      <c r="A994" s="22"/>
      <c r="B994" s="11"/>
      <c r="C994" s="20"/>
      <c r="D994" s="20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5"/>
    </row>
    <row r="995">
      <c r="A995" s="22"/>
      <c r="B995" s="11"/>
      <c r="C995" s="20"/>
      <c r="D995" s="20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5"/>
    </row>
    <row r="996">
      <c r="A996" s="22"/>
      <c r="B996" s="11"/>
      <c r="C996" s="20"/>
      <c r="D996" s="20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5"/>
    </row>
    <row r="997">
      <c r="A997" s="22"/>
      <c r="B997" s="11"/>
      <c r="C997" s="20"/>
      <c r="D997" s="20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5"/>
    </row>
    <row r="998">
      <c r="A998" s="22"/>
      <c r="B998" s="11"/>
      <c r="C998" s="20"/>
      <c r="D998" s="20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5"/>
    </row>
    <row r="999">
      <c r="A999" s="22"/>
      <c r="B999" s="11"/>
      <c r="C999" s="20"/>
      <c r="D999" s="20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5"/>
    </row>
    <row r="1000">
      <c r="A1000" s="11"/>
      <c r="B1000" s="11"/>
      <c r="C1000" s="20"/>
      <c r="D1000" s="20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5"/>
    </row>
    <row r="1001">
      <c r="A1001" s="11"/>
      <c r="B1001" s="11"/>
      <c r="C1001" s="20"/>
      <c r="D1001" s="20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5"/>
    </row>
    <row r="1002">
      <c r="A1002" s="11"/>
      <c r="B1002" s="11"/>
      <c r="C1002" s="20"/>
      <c r="D1002" s="20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5"/>
    </row>
    <row r="1003">
      <c r="A1003" s="11"/>
      <c r="B1003" s="11"/>
      <c r="C1003" s="20"/>
      <c r="D1003" s="20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5"/>
    </row>
    <row r="1004">
      <c r="A1004" s="11"/>
      <c r="B1004" s="11"/>
      <c r="C1004" s="20"/>
      <c r="D1004" s="20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5"/>
    </row>
    <row r="1005">
      <c r="A1005" s="11"/>
      <c r="B1005" s="11"/>
      <c r="C1005" s="20"/>
      <c r="D1005" s="20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5"/>
    </row>
    <row r="1006">
      <c r="A1006" s="11"/>
      <c r="B1006" s="11"/>
      <c r="C1006" s="20"/>
      <c r="D1006" s="20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5"/>
    </row>
    <row r="1007">
      <c r="A1007" s="11"/>
      <c r="B1007" s="11"/>
      <c r="C1007" s="20"/>
      <c r="D1007" s="20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5"/>
    </row>
    <row r="1008">
      <c r="A1008" s="11"/>
      <c r="B1008" s="11"/>
      <c r="C1008" s="20"/>
      <c r="D1008" s="20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5"/>
    </row>
    <row r="1009">
      <c r="A1009" s="11"/>
      <c r="B1009" s="11"/>
      <c r="C1009" s="20"/>
      <c r="D1009" s="20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5"/>
    </row>
    <row r="1010">
      <c r="A1010" s="11"/>
      <c r="B1010" s="11"/>
      <c r="C1010" s="20"/>
      <c r="D1010" s="20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5"/>
    </row>
    <row r="1011">
      <c r="A1011" s="11"/>
      <c r="B1011" s="11"/>
      <c r="C1011" s="20"/>
      <c r="D1011" s="20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5"/>
    </row>
    <row r="1012">
      <c r="A1012" s="11"/>
      <c r="B1012" s="11"/>
      <c r="C1012" s="20"/>
      <c r="D1012" s="20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5"/>
    </row>
    <row r="1013">
      <c r="A1013" s="11"/>
      <c r="B1013" s="11"/>
      <c r="C1013" s="20"/>
      <c r="D1013" s="20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5"/>
    </row>
    <row r="1014">
      <c r="A1014" s="11"/>
      <c r="B1014" s="11"/>
      <c r="C1014" s="20"/>
      <c r="D1014" s="20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5"/>
    </row>
    <row r="1015">
      <c r="A1015" s="11"/>
      <c r="B1015" s="11"/>
      <c r="C1015" s="20"/>
      <c r="D1015" s="20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5"/>
    </row>
    <row r="1016">
      <c r="A1016" s="11"/>
      <c r="B1016" s="11"/>
      <c r="C1016" s="20"/>
      <c r="D1016" s="20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5"/>
    </row>
    <row r="1017">
      <c r="A1017" s="11"/>
      <c r="B1017" s="11"/>
      <c r="C1017" s="20"/>
      <c r="D1017" s="20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5"/>
    </row>
    <row r="1018">
      <c r="A1018" s="11"/>
      <c r="B1018" s="11"/>
      <c r="C1018" s="20"/>
      <c r="D1018" s="20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5"/>
    </row>
    <row r="1019">
      <c r="A1019" s="11"/>
      <c r="B1019" s="11"/>
      <c r="C1019" s="20"/>
      <c r="D1019" s="20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5"/>
    </row>
    <row r="1020">
      <c r="A1020" s="11"/>
      <c r="B1020" s="11"/>
      <c r="C1020" s="20"/>
      <c r="D1020" s="20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5"/>
    </row>
    <row r="1021">
      <c r="A1021" s="11"/>
      <c r="B1021" s="11"/>
      <c r="C1021" s="20"/>
      <c r="D1021" s="20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5"/>
    </row>
    <row r="1022">
      <c r="A1022" s="11"/>
      <c r="B1022" s="11"/>
      <c r="C1022" s="20"/>
      <c r="D1022" s="20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5"/>
    </row>
    <row r="1023">
      <c r="A1023" s="11"/>
      <c r="B1023" s="11"/>
      <c r="C1023" s="20"/>
      <c r="D1023" s="20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5"/>
    </row>
    <row r="1024">
      <c r="A1024" s="11"/>
      <c r="B1024" s="11"/>
      <c r="C1024" s="20"/>
      <c r="D1024" s="20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5"/>
    </row>
    <row r="1025">
      <c r="A1025" s="11"/>
      <c r="B1025" s="11"/>
      <c r="C1025" s="20"/>
      <c r="D1025" s="20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5"/>
    </row>
    <row r="1026">
      <c r="A1026" s="11"/>
      <c r="B1026" s="11"/>
      <c r="C1026" s="20"/>
      <c r="D1026" s="20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5"/>
    </row>
    <row r="1027">
      <c r="A1027" s="11"/>
      <c r="B1027" s="11"/>
      <c r="C1027" s="20"/>
      <c r="D1027" s="20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5"/>
    </row>
    <row r="1028">
      <c r="A1028" s="11"/>
      <c r="B1028" s="11"/>
      <c r="C1028" s="20"/>
      <c r="D1028" s="20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5"/>
    </row>
    <row r="1029">
      <c r="A1029" s="11"/>
      <c r="B1029" s="11"/>
      <c r="C1029" s="20"/>
      <c r="D1029" s="20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5"/>
    </row>
    <row r="1030">
      <c r="A1030" s="11"/>
      <c r="B1030" s="11"/>
      <c r="C1030" s="20"/>
      <c r="D1030" s="20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5"/>
    </row>
    <row r="1031">
      <c r="A1031" s="11"/>
      <c r="B1031" s="11"/>
      <c r="C1031" s="20"/>
      <c r="D1031" s="20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5"/>
    </row>
    <row r="1032">
      <c r="A1032" s="11"/>
      <c r="B1032" s="11"/>
      <c r="C1032" s="20"/>
      <c r="D1032" s="20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5"/>
    </row>
    <row r="1033">
      <c r="A1033" s="11"/>
      <c r="B1033" s="11"/>
      <c r="C1033" s="20"/>
      <c r="D1033" s="20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5"/>
    </row>
    <row r="1034">
      <c r="A1034" s="11"/>
      <c r="B1034" s="11"/>
      <c r="C1034" s="20"/>
      <c r="D1034" s="20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5"/>
    </row>
    <row r="1035">
      <c r="A1035" s="11"/>
      <c r="B1035" s="11"/>
      <c r="C1035" s="20"/>
      <c r="D1035" s="20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5"/>
    </row>
    <row r="1036">
      <c r="A1036" s="11"/>
      <c r="B1036" s="11"/>
      <c r="C1036" s="20"/>
      <c r="D1036" s="20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5"/>
    </row>
    <row r="1037">
      <c r="A1037" s="11"/>
      <c r="B1037" s="11"/>
      <c r="C1037" s="20"/>
      <c r="D1037" s="20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5"/>
    </row>
    <row r="1038">
      <c r="A1038" s="11"/>
      <c r="B1038" s="11"/>
      <c r="C1038" s="20"/>
      <c r="D1038" s="20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5"/>
    </row>
    <row r="1039">
      <c r="A1039" s="11"/>
      <c r="B1039" s="11"/>
      <c r="C1039" s="20"/>
      <c r="D1039" s="20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5"/>
    </row>
    <row r="1040">
      <c r="A1040" s="11"/>
      <c r="B1040" s="11"/>
      <c r="C1040" s="20"/>
      <c r="D1040" s="20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5"/>
    </row>
    <row r="1041">
      <c r="A1041" s="11"/>
      <c r="B1041" s="11"/>
      <c r="C1041" s="20"/>
      <c r="D1041" s="20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5"/>
    </row>
    <row r="1042">
      <c r="A1042" s="11"/>
      <c r="B1042" s="11"/>
      <c r="C1042" s="20"/>
      <c r="D1042" s="20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5"/>
    </row>
    <row r="1043">
      <c r="A1043" s="11"/>
      <c r="B1043" s="11"/>
      <c r="C1043" s="20"/>
      <c r="D1043" s="20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5"/>
    </row>
    <row r="1044">
      <c r="A1044" s="11"/>
      <c r="B1044" s="11"/>
      <c r="C1044" s="20"/>
      <c r="D1044" s="20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5"/>
    </row>
    <row r="1045">
      <c r="A1045" s="11"/>
      <c r="B1045" s="11"/>
      <c r="C1045" s="20"/>
      <c r="D1045" s="20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5"/>
    </row>
    <row r="1046">
      <c r="A1046" s="11"/>
      <c r="B1046" s="11"/>
      <c r="C1046" s="20"/>
      <c r="D1046" s="20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5"/>
    </row>
    <row r="1047">
      <c r="A1047" s="11"/>
      <c r="B1047" s="11"/>
      <c r="C1047" s="20"/>
      <c r="D1047" s="20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5"/>
    </row>
    <row r="1048">
      <c r="A1048" s="11"/>
      <c r="B1048" s="11"/>
      <c r="C1048" s="20"/>
      <c r="D1048" s="20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5"/>
    </row>
    <row r="1049">
      <c r="A1049" s="11"/>
      <c r="B1049" s="11"/>
      <c r="C1049" s="20"/>
      <c r="D1049" s="20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5"/>
    </row>
    <row r="1050">
      <c r="A1050" s="11"/>
      <c r="B1050" s="11"/>
      <c r="C1050" s="20"/>
      <c r="D1050" s="20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5"/>
    </row>
    <row r="1051">
      <c r="A1051" s="11"/>
      <c r="B1051" s="11"/>
      <c r="C1051" s="20"/>
      <c r="D1051" s="20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5"/>
    </row>
    <row r="1052">
      <c r="A1052" s="11"/>
      <c r="B1052" s="11"/>
      <c r="C1052" s="20"/>
      <c r="D1052" s="20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5"/>
    </row>
    <row r="1053">
      <c r="A1053" s="11"/>
      <c r="B1053" s="11"/>
      <c r="C1053" s="20"/>
      <c r="D1053" s="20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5"/>
    </row>
    <row r="1054">
      <c r="A1054" s="11"/>
      <c r="B1054" s="11"/>
      <c r="C1054" s="20"/>
      <c r="D1054" s="20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5"/>
    </row>
    <row r="1055">
      <c r="A1055" s="11"/>
      <c r="B1055" s="11"/>
      <c r="C1055" s="20"/>
      <c r="D1055" s="20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5"/>
    </row>
    <row r="1056">
      <c r="A1056" s="11"/>
      <c r="B1056" s="11"/>
      <c r="C1056" s="20"/>
      <c r="D1056" s="20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5"/>
    </row>
    <row r="1057">
      <c r="A1057" s="11"/>
      <c r="B1057" s="11"/>
      <c r="C1057" s="20"/>
      <c r="D1057" s="20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5"/>
    </row>
    <row r="1058">
      <c r="A1058" s="11"/>
      <c r="B1058" s="11"/>
      <c r="C1058" s="20"/>
      <c r="D1058" s="20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5"/>
    </row>
    <row r="1059">
      <c r="A1059" s="11"/>
      <c r="B1059" s="11"/>
      <c r="C1059" s="20"/>
      <c r="D1059" s="20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5"/>
    </row>
    <row r="1060">
      <c r="A1060" s="11"/>
      <c r="B1060" s="11"/>
      <c r="C1060" s="20"/>
      <c r="D1060" s="20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5"/>
    </row>
    <row r="1061">
      <c r="A1061" s="11"/>
      <c r="B1061" s="11"/>
      <c r="C1061" s="20"/>
      <c r="D1061" s="20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5"/>
    </row>
    <row r="1062">
      <c r="A1062" s="11"/>
      <c r="B1062" s="11"/>
      <c r="C1062" s="20"/>
      <c r="D1062" s="20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5"/>
    </row>
    <row r="1063">
      <c r="A1063" s="11"/>
      <c r="B1063" s="11"/>
      <c r="C1063" s="20"/>
      <c r="D1063" s="20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5"/>
    </row>
    <row r="1064">
      <c r="A1064" s="11"/>
      <c r="B1064" s="11"/>
      <c r="C1064" s="20"/>
      <c r="D1064" s="20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5"/>
    </row>
    <row r="1065">
      <c r="A1065" s="11"/>
      <c r="B1065" s="11"/>
      <c r="C1065" s="20"/>
      <c r="D1065" s="20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5"/>
    </row>
    <row r="1066">
      <c r="A1066" s="11"/>
      <c r="B1066" s="11"/>
      <c r="C1066" s="20"/>
      <c r="D1066" s="20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5"/>
    </row>
    <row r="1067">
      <c r="A1067" s="11"/>
      <c r="B1067" s="11"/>
      <c r="C1067" s="20"/>
      <c r="D1067" s="20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5"/>
    </row>
    <row r="1068">
      <c r="A1068" s="11"/>
      <c r="B1068" s="11"/>
      <c r="C1068" s="20"/>
      <c r="D1068" s="20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5"/>
    </row>
    <row r="1069">
      <c r="A1069" s="11"/>
      <c r="B1069" s="11"/>
      <c r="C1069" s="20"/>
      <c r="D1069" s="20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5"/>
    </row>
    <row r="1070">
      <c r="A1070" s="11"/>
      <c r="B1070" s="11"/>
      <c r="C1070" s="20"/>
      <c r="D1070" s="20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5"/>
    </row>
    <row r="1071">
      <c r="A1071" s="11"/>
      <c r="B1071" s="11"/>
      <c r="C1071" s="20"/>
      <c r="D1071" s="20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5"/>
    </row>
    <row r="1072">
      <c r="A1072" s="11"/>
      <c r="B1072" s="11"/>
      <c r="C1072" s="20"/>
      <c r="D1072" s="20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5"/>
    </row>
    <row r="1073">
      <c r="A1073" s="11"/>
      <c r="B1073" s="11"/>
      <c r="C1073" s="20"/>
      <c r="D1073" s="20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5"/>
    </row>
    <row r="1074">
      <c r="A1074" s="11"/>
      <c r="B1074" s="11"/>
      <c r="C1074" s="20"/>
      <c r="D1074" s="20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5"/>
    </row>
    <row r="1075">
      <c r="A1075" s="11"/>
      <c r="B1075" s="11"/>
      <c r="C1075" s="20"/>
      <c r="D1075" s="20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5"/>
    </row>
    <row r="1076">
      <c r="A1076" s="11"/>
      <c r="B1076" s="11"/>
      <c r="C1076" s="20"/>
      <c r="D1076" s="20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5"/>
    </row>
    <row r="1077">
      <c r="A1077" s="11"/>
      <c r="B1077" s="11"/>
      <c r="C1077" s="20"/>
      <c r="D1077" s="20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5"/>
    </row>
    <row r="1078">
      <c r="A1078" s="11"/>
      <c r="B1078" s="11"/>
      <c r="C1078" s="20"/>
      <c r="D1078" s="20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5"/>
    </row>
    <row r="1079">
      <c r="A1079" s="11"/>
      <c r="B1079" s="11"/>
      <c r="C1079" s="20"/>
      <c r="D1079" s="20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5"/>
    </row>
    <row r="1080">
      <c r="A1080" s="11"/>
      <c r="B1080" s="11"/>
      <c r="C1080" s="20"/>
      <c r="D1080" s="20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5"/>
    </row>
    <row r="1081">
      <c r="A1081" s="11"/>
      <c r="B1081" s="11"/>
      <c r="C1081" s="20"/>
      <c r="D1081" s="20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5"/>
    </row>
    <row r="1082">
      <c r="A1082" s="11"/>
      <c r="B1082" s="11"/>
      <c r="C1082" s="20"/>
      <c r="D1082" s="20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5"/>
    </row>
    <row r="1083">
      <c r="A1083" s="11"/>
      <c r="B1083" s="11"/>
      <c r="C1083" s="20"/>
      <c r="D1083" s="20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5"/>
    </row>
    <row r="1084">
      <c r="A1084" s="11"/>
      <c r="B1084" s="11"/>
      <c r="C1084" s="20"/>
      <c r="D1084" s="20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5"/>
    </row>
    <row r="1085">
      <c r="A1085" s="11"/>
      <c r="B1085" s="11"/>
      <c r="C1085" s="20"/>
      <c r="D1085" s="20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5"/>
    </row>
    <row r="1086">
      <c r="A1086" s="11"/>
      <c r="B1086" s="11"/>
      <c r="C1086" s="20"/>
      <c r="D1086" s="20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5"/>
    </row>
    <row r="1087">
      <c r="A1087" s="11"/>
      <c r="B1087" s="11"/>
      <c r="C1087" s="20"/>
      <c r="D1087" s="20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5"/>
    </row>
    <row r="1088">
      <c r="A1088" s="11"/>
      <c r="B1088" s="11"/>
      <c r="C1088" s="20"/>
      <c r="D1088" s="20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5"/>
    </row>
    <row r="1089">
      <c r="A1089" s="11"/>
      <c r="B1089" s="11"/>
      <c r="C1089" s="20"/>
      <c r="D1089" s="20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5"/>
    </row>
    <row r="1090">
      <c r="A1090" s="11"/>
      <c r="B1090" s="11"/>
      <c r="C1090" s="20"/>
      <c r="D1090" s="20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5"/>
    </row>
    <row r="1091">
      <c r="A1091" s="11"/>
      <c r="B1091" s="11"/>
      <c r="C1091" s="20"/>
      <c r="D1091" s="20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5"/>
    </row>
    <row r="1092">
      <c r="A1092" s="11"/>
      <c r="B1092" s="11"/>
      <c r="C1092" s="20"/>
      <c r="D1092" s="20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5"/>
    </row>
    <row r="1093">
      <c r="A1093" s="11"/>
      <c r="B1093" s="11"/>
      <c r="C1093" s="20"/>
      <c r="D1093" s="20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5"/>
    </row>
    <row r="1094">
      <c r="A1094" s="11"/>
      <c r="B1094" s="11"/>
      <c r="C1094" s="20"/>
      <c r="D1094" s="20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5"/>
    </row>
    <row r="1095">
      <c r="A1095" s="11"/>
      <c r="B1095" s="11"/>
      <c r="C1095" s="20"/>
      <c r="D1095" s="20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5"/>
    </row>
    <row r="1096">
      <c r="A1096" s="11"/>
      <c r="B1096" s="11"/>
      <c r="C1096" s="20"/>
      <c r="D1096" s="20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5"/>
    </row>
    <row r="1097">
      <c r="A1097" s="11"/>
      <c r="B1097" s="11"/>
      <c r="C1097" s="20"/>
      <c r="D1097" s="20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5"/>
    </row>
    <row r="1098">
      <c r="A1098" s="11"/>
      <c r="B1098" s="11"/>
      <c r="C1098" s="20"/>
      <c r="D1098" s="20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5"/>
    </row>
    <row r="1099">
      <c r="A1099" s="11"/>
      <c r="B1099" s="11"/>
      <c r="C1099" s="20"/>
      <c r="D1099" s="20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5"/>
    </row>
    <row r="1100">
      <c r="A1100" s="11"/>
      <c r="B1100" s="11"/>
      <c r="C1100" s="20"/>
      <c r="D1100" s="20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5"/>
    </row>
    <row r="1101">
      <c r="A1101" s="11"/>
      <c r="B1101" s="11"/>
      <c r="C1101" s="20"/>
      <c r="D1101" s="20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5"/>
    </row>
    <row r="1102">
      <c r="A1102" s="11"/>
      <c r="B1102" s="11"/>
      <c r="C1102" s="20"/>
      <c r="D1102" s="20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5"/>
    </row>
    <row r="1103">
      <c r="A1103" s="11"/>
      <c r="B1103" s="11"/>
      <c r="C1103" s="20"/>
      <c r="D1103" s="20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5"/>
    </row>
    <row r="1104">
      <c r="A1104" s="11"/>
      <c r="B1104" s="11"/>
      <c r="C1104" s="20"/>
      <c r="D1104" s="20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5"/>
    </row>
    <row r="1105">
      <c r="A1105" s="11"/>
      <c r="B1105" s="11"/>
      <c r="C1105" s="20"/>
      <c r="D1105" s="20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5"/>
    </row>
    <row r="1106">
      <c r="A1106" s="11"/>
      <c r="B1106" s="11"/>
      <c r="C1106" s="20"/>
      <c r="D1106" s="20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5"/>
    </row>
    <row r="1107">
      <c r="A1107" s="11"/>
      <c r="B1107" s="11"/>
      <c r="C1107" s="20"/>
      <c r="D1107" s="20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5"/>
    </row>
    <row r="1108">
      <c r="A1108" s="11"/>
      <c r="B1108" s="11"/>
      <c r="C1108" s="20"/>
      <c r="D1108" s="20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5"/>
    </row>
    <row r="1109">
      <c r="A1109" s="11"/>
      <c r="B1109" s="11"/>
      <c r="C1109" s="20"/>
      <c r="D1109" s="20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5"/>
    </row>
    <row r="1110">
      <c r="A1110" s="11"/>
      <c r="B1110" s="11"/>
      <c r="C1110" s="20"/>
      <c r="D1110" s="20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5"/>
    </row>
    <row r="1111">
      <c r="A1111" s="11"/>
      <c r="B1111" s="11"/>
      <c r="C1111" s="20"/>
      <c r="D1111" s="20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5"/>
    </row>
    <row r="1112">
      <c r="A1112" s="11"/>
      <c r="B1112" s="11"/>
      <c r="C1112" s="20"/>
      <c r="D1112" s="20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5"/>
    </row>
    <row r="1113">
      <c r="A1113" s="11"/>
      <c r="B1113" s="11"/>
      <c r="C1113" s="20"/>
      <c r="D1113" s="20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5"/>
    </row>
    <row r="1114">
      <c r="A1114" s="11"/>
      <c r="B1114" s="11"/>
      <c r="C1114" s="20"/>
      <c r="D1114" s="20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5"/>
    </row>
    <row r="1115">
      <c r="A1115" s="11"/>
      <c r="B1115" s="11"/>
      <c r="C1115" s="20"/>
      <c r="D1115" s="20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5"/>
    </row>
    <row r="1116">
      <c r="A1116" s="11"/>
      <c r="B1116" s="11"/>
      <c r="C1116" s="20"/>
      <c r="D1116" s="20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5"/>
    </row>
    <row r="1117">
      <c r="A1117" s="11"/>
      <c r="B1117" s="11"/>
      <c r="C1117" s="20"/>
      <c r="D1117" s="20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5"/>
    </row>
    <row r="1118">
      <c r="A1118" s="11"/>
      <c r="B1118" s="11"/>
      <c r="C1118" s="20"/>
      <c r="D1118" s="20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5"/>
    </row>
    <row r="1119">
      <c r="A1119" s="11"/>
      <c r="B1119" s="11"/>
      <c r="C1119" s="20"/>
      <c r="D1119" s="20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5"/>
    </row>
    <row r="1120">
      <c r="A1120" s="11"/>
      <c r="B1120" s="11"/>
      <c r="C1120" s="20"/>
      <c r="D1120" s="20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5"/>
    </row>
    <row r="1121">
      <c r="A1121" s="11"/>
      <c r="B1121" s="11"/>
      <c r="C1121" s="20"/>
      <c r="D1121" s="20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5"/>
    </row>
    <row r="1122">
      <c r="A1122" s="11"/>
      <c r="B1122" s="11"/>
      <c r="C1122" s="20"/>
      <c r="D1122" s="20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5"/>
    </row>
    <row r="1123">
      <c r="A1123" s="11"/>
      <c r="B1123" s="11"/>
      <c r="C1123" s="20"/>
      <c r="D1123" s="20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5"/>
    </row>
    <row r="1124">
      <c r="A1124" s="11"/>
      <c r="B1124" s="11"/>
      <c r="C1124" s="20"/>
      <c r="D1124" s="20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5"/>
    </row>
    <row r="1125">
      <c r="A1125" s="11"/>
      <c r="B1125" s="11"/>
      <c r="C1125" s="20"/>
      <c r="D1125" s="20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5"/>
    </row>
    <row r="1126">
      <c r="A1126" s="11"/>
      <c r="B1126" s="11"/>
      <c r="C1126" s="20"/>
      <c r="D1126" s="20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5"/>
    </row>
    <row r="1127">
      <c r="A1127" s="11"/>
      <c r="B1127" s="11"/>
      <c r="C1127" s="20"/>
      <c r="D1127" s="20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5"/>
    </row>
    <row r="1128">
      <c r="A1128" s="11"/>
      <c r="B1128" s="11"/>
      <c r="C1128" s="20"/>
      <c r="D1128" s="20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5"/>
    </row>
    <row r="1129">
      <c r="A1129" s="11"/>
      <c r="B1129" s="11"/>
      <c r="C1129" s="20"/>
      <c r="D1129" s="20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5"/>
    </row>
    <row r="1130">
      <c r="A1130" s="11"/>
      <c r="B1130" s="11"/>
      <c r="C1130" s="20"/>
      <c r="D1130" s="20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5"/>
    </row>
    <row r="1131">
      <c r="A1131" s="11"/>
      <c r="B1131" s="11"/>
      <c r="C1131" s="20"/>
      <c r="D1131" s="20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5"/>
    </row>
    <row r="1132">
      <c r="A1132" s="11"/>
      <c r="B1132" s="11"/>
      <c r="C1132" s="20"/>
      <c r="D1132" s="20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5"/>
    </row>
    <row r="1133">
      <c r="A1133" s="11"/>
      <c r="B1133" s="11"/>
      <c r="C1133" s="20"/>
      <c r="D1133" s="20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5"/>
    </row>
    <row r="1134">
      <c r="A1134" s="11"/>
      <c r="B1134" s="11"/>
      <c r="C1134" s="20"/>
      <c r="D1134" s="20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5"/>
    </row>
    <row r="1135">
      <c r="A1135" s="11"/>
      <c r="B1135" s="11"/>
      <c r="C1135" s="20"/>
      <c r="D1135" s="20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5"/>
    </row>
    <row r="1136">
      <c r="A1136" s="11"/>
      <c r="B1136" s="11"/>
      <c r="C1136" s="20"/>
      <c r="D1136" s="20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5"/>
    </row>
    <row r="1137">
      <c r="A1137" s="11"/>
      <c r="B1137" s="11"/>
      <c r="C1137" s="20"/>
      <c r="D1137" s="20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5"/>
    </row>
    <row r="1138">
      <c r="A1138" s="11"/>
      <c r="B1138" s="11"/>
      <c r="C1138" s="20"/>
      <c r="D1138" s="20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5"/>
    </row>
    <row r="1139">
      <c r="A1139" s="11"/>
      <c r="B1139" s="11"/>
      <c r="C1139" s="20"/>
      <c r="D1139" s="20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5"/>
    </row>
    <row r="1140">
      <c r="A1140" s="11"/>
      <c r="B1140" s="11"/>
      <c r="C1140" s="20"/>
      <c r="D1140" s="20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5"/>
    </row>
    <row r="1141">
      <c r="A1141" s="11"/>
      <c r="B1141" s="11"/>
      <c r="C1141" s="20"/>
      <c r="D1141" s="20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5"/>
    </row>
    <row r="1142">
      <c r="A1142" s="11"/>
      <c r="B1142" s="11"/>
      <c r="C1142" s="20"/>
      <c r="D1142" s="20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5"/>
    </row>
    <row r="1143">
      <c r="A1143" s="11"/>
      <c r="B1143" s="11"/>
      <c r="C1143" s="20"/>
      <c r="D1143" s="20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5"/>
    </row>
    <row r="1144">
      <c r="A1144" s="11"/>
      <c r="B1144" s="11"/>
      <c r="C1144" s="20"/>
      <c r="D1144" s="20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5"/>
    </row>
    <row r="1145">
      <c r="A1145" s="11"/>
      <c r="B1145" s="11"/>
      <c r="C1145" s="20"/>
      <c r="D1145" s="20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5"/>
    </row>
    <row r="1146">
      <c r="A1146" s="11"/>
      <c r="B1146" s="11"/>
      <c r="C1146" s="20"/>
      <c r="D1146" s="20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5"/>
    </row>
    <row r="1147">
      <c r="A1147" s="11"/>
      <c r="B1147" s="11"/>
      <c r="C1147" s="20"/>
      <c r="D1147" s="20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5"/>
    </row>
    <row r="1148">
      <c r="A1148" s="11"/>
      <c r="B1148" s="11"/>
      <c r="C1148" s="20"/>
      <c r="D1148" s="20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5"/>
    </row>
    <row r="1149">
      <c r="A1149" s="11"/>
      <c r="B1149" s="11"/>
      <c r="C1149" s="20"/>
      <c r="D1149" s="20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5"/>
    </row>
    <row r="1150">
      <c r="A1150" s="11"/>
      <c r="B1150" s="11"/>
      <c r="C1150" s="20"/>
      <c r="D1150" s="20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5"/>
    </row>
    <row r="1151">
      <c r="A1151" s="11"/>
      <c r="B1151" s="11"/>
      <c r="C1151" s="20"/>
      <c r="D1151" s="20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5"/>
    </row>
    <row r="1152">
      <c r="A1152" s="11"/>
      <c r="B1152" s="11"/>
      <c r="C1152" s="20"/>
      <c r="D1152" s="20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5"/>
    </row>
    <row r="1153">
      <c r="A1153" s="11"/>
      <c r="B1153" s="11"/>
      <c r="C1153" s="20"/>
      <c r="D1153" s="20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5"/>
    </row>
    <row r="1154">
      <c r="A1154" s="11"/>
      <c r="B1154" s="11"/>
      <c r="C1154" s="20"/>
      <c r="D1154" s="20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5"/>
    </row>
    <row r="1155">
      <c r="A1155" s="11"/>
      <c r="B1155" s="11"/>
      <c r="C1155" s="20"/>
      <c r="D1155" s="20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5"/>
    </row>
    <row r="1156">
      <c r="A1156" s="11"/>
      <c r="B1156" s="11"/>
      <c r="C1156" s="20"/>
      <c r="D1156" s="20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5"/>
    </row>
    <row r="1157">
      <c r="A1157" s="11"/>
      <c r="B1157" s="11"/>
      <c r="C1157" s="20"/>
      <c r="D1157" s="20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5"/>
    </row>
    <row r="1158">
      <c r="A1158" s="11"/>
      <c r="B1158" s="11"/>
      <c r="C1158" s="20"/>
      <c r="D1158" s="20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5"/>
    </row>
    <row r="1159">
      <c r="A1159" s="11"/>
      <c r="B1159" s="11"/>
      <c r="C1159" s="20"/>
      <c r="D1159" s="20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5"/>
    </row>
    <row r="1160">
      <c r="A1160" s="11"/>
      <c r="B1160" s="11"/>
      <c r="C1160" s="20"/>
      <c r="D1160" s="20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5"/>
    </row>
    <row r="1161">
      <c r="A1161" s="11"/>
      <c r="B1161" s="11"/>
      <c r="C1161" s="20"/>
      <c r="D1161" s="20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5"/>
    </row>
    <row r="1162">
      <c r="A1162" s="11"/>
      <c r="B1162" s="11"/>
      <c r="C1162" s="20"/>
      <c r="D1162" s="20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5"/>
    </row>
    <row r="1163">
      <c r="A1163" s="11"/>
      <c r="B1163" s="11"/>
      <c r="C1163" s="20"/>
      <c r="D1163" s="20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5"/>
    </row>
    <row r="1164">
      <c r="A1164" s="11"/>
      <c r="B1164" s="11"/>
      <c r="C1164" s="20"/>
      <c r="D1164" s="20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5"/>
    </row>
    <row r="1165">
      <c r="A1165" s="11"/>
      <c r="B1165" s="11"/>
      <c r="C1165" s="20"/>
      <c r="D1165" s="20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5"/>
    </row>
    <row r="1166">
      <c r="A1166" s="11"/>
      <c r="B1166" s="11"/>
      <c r="C1166" s="20"/>
      <c r="D1166" s="20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5"/>
    </row>
    <row r="1167">
      <c r="A1167" s="11"/>
      <c r="B1167" s="11"/>
      <c r="C1167" s="20"/>
      <c r="D1167" s="20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5"/>
    </row>
    <row r="1168">
      <c r="A1168" s="11"/>
      <c r="B1168" s="11"/>
      <c r="C1168" s="20"/>
      <c r="D1168" s="20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5"/>
    </row>
    <row r="1169">
      <c r="A1169" s="11"/>
      <c r="B1169" s="11"/>
      <c r="C1169" s="20"/>
      <c r="D1169" s="20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5"/>
    </row>
    <row r="1170">
      <c r="A1170" s="11"/>
      <c r="B1170" s="11"/>
      <c r="C1170" s="20"/>
      <c r="D1170" s="20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5"/>
    </row>
    <row r="1171">
      <c r="A1171" s="11"/>
      <c r="B1171" s="11"/>
      <c r="C1171" s="20"/>
      <c r="D1171" s="20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5"/>
    </row>
    <row r="1172">
      <c r="A1172" s="11"/>
      <c r="B1172" s="11"/>
      <c r="C1172" s="20"/>
      <c r="D1172" s="20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5"/>
    </row>
    <row r="1173">
      <c r="A1173" s="11"/>
      <c r="B1173" s="11"/>
      <c r="C1173" s="20"/>
      <c r="D1173" s="20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5"/>
    </row>
    <row r="1174">
      <c r="A1174" s="11"/>
      <c r="B1174" s="11"/>
      <c r="C1174" s="20"/>
      <c r="D1174" s="20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5"/>
    </row>
    <row r="1175">
      <c r="A1175" s="11"/>
      <c r="B1175" s="11"/>
      <c r="C1175" s="20"/>
      <c r="D1175" s="20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5"/>
    </row>
    <row r="1176">
      <c r="A1176" s="11"/>
      <c r="B1176" s="11"/>
      <c r="C1176" s="20"/>
      <c r="D1176" s="20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5"/>
    </row>
    <row r="1177">
      <c r="A1177" s="11"/>
      <c r="B1177" s="11"/>
      <c r="C1177" s="20"/>
      <c r="D1177" s="20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5"/>
    </row>
    <row r="1178">
      <c r="A1178" s="11"/>
      <c r="B1178" s="11"/>
      <c r="C1178" s="20"/>
      <c r="D1178" s="20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5"/>
    </row>
    <row r="1179">
      <c r="A1179" s="11"/>
      <c r="B1179" s="11"/>
      <c r="C1179" s="20"/>
      <c r="D1179" s="20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5"/>
    </row>
    <row r="1180">
      <c r="A1180" s="11"/>
      <c r="B1180" s="11"/>
      <c r="C1180" s="20"/>
      <c r="D1180" s="20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5"/>
    </row>
    <row r="1181">
      <c r="A1181" s="11"/>
      <c r="B1181" s="11"/>
      <c r="C1181" s="20"/>
      <c r="D1181" s="20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5"/>
    </row>
    <row r="1182">
      <c r="A1182" s="11"/>
      <c r="B1182" s="11"/>
      <c r="C1182" s="20"/>
      <c r="D1182" s="20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5"/>
    </row>
    <row r="1183">
      <c r="A1183" s="11"/>
      <c r="B1183" s="11"/>
      <c r="C1183" s="20"/>
      <c r="D1183" s="20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5"/>
    </row>
    <row r="1184">
      <c r="A1184" s="11"/>
      <c r="B1184" s="11"/>
      <c r="C1184" s="20"/>
      <c r="D1184" s="20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5"/>
    </row>
    <row r="1185">
      <c r="A1185" s="11"/>
      <c r="B1185" s="11"/>
      <c r="C1185" s="20"/>
      <c r="D1185" s="20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5"/>
    </row>
    <row r="1186">
      <c r="A1186" s="11"/>
      <c r="B1186" s="11"/>
      <c r="C1186" s="20"/>
      <c r="D1186" s="20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5"/>
    </row>
    <row r="1187">
      <c r="A1187" s="11"/>
      <c r="B1187" s="11"/>
      <c r="C1187" s="20"/>
      <c r="D1187" s="20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5"/>
    </row>
    <row r="1188">
      <c r="A1188" s="11"/>
      <c r="B1188" s="11"/>
      <c r="C1188" s="20"/>
      <c r="D1188" s="20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5"/>
    </row>
    <row r="1189">
      <c r="A1189" s="11"/>
      <c r="B1189" s="11"/>
      <c r="C1189" s="20"/>
      <c r="D1189" s="20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5"/>
    </row>
    <row r="1190">
      <c r="A1190" s="11"/>
      <c r="B1190" s="11"/>
      <c r="C1190" s="20"/>
      <c r="D1190" s="20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5"/>
    </row>
    <row r="1191">
      <c r="A1191" s="11"/>
      <c r="B1191" s="11"/>
      <c r="C1191" s="20"/>
      <c r="D1191" s="20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5"/>
    </row>
    <row r="1192">
      <c r="A1192" s="11"/>
      <c r="B1192" s="11"/>
      <c r="C1192" s="20"/>
      <c r="D1192" s="20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5"/>
    </row>
    <row r="1193">
      <c r="A1193" s="11"/>
      <c r="B1193" s="11"/>
      <c r="C1193" s="20"/>
      <c r="D1193" s="20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5"/>
    </row>
    <row r="1194">
      <c r="A1194" s="11"/>
      <c r="B1194" s="11"/>
      <c r="C1194" s="20"/>
      <c r="D1194" s="20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5"/>
    </row>
    <row r="1195">
      <c r="A1195" s="11"/>
      <c r="B1195" s="11"/>
      <c r="C1195" s="20"/>
      <c r="D1195" s="20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5"/>
    </row>
    <row r="1196">
      <c r="A1196" s="11"/>
      <c r="B1196" s="11"/>
      <c r="C1196" s="20"/>
      <c r="D1196" s="20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5"/>
    </row>
    <row r="1197">
      <c r="A1197" s="11"/>
      <c r="B1197" s="11"/>
      <c r="C1197" s="20"/>
      <c r="D1197" s="20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5"/>
    </row>
    <row r="1198">
      <c r="A1198" s="11"/>
      <c r="B1198" s="11"/>
      <c r="C1198" s="20"/>
      <c r="D1198" s="20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5"/>
    </row>
    <row r="1199">
      <c r="A1199" s="11"/>
      <c r="B1199" s="11"/>
      <c r="C1199" s="20"/>
      <c r="D1199" s="20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5"/>
    </row>
    <row r="1200">
      <c r="A1200" s="11"/>
      <c r="B1200" s="11"/>
      <c r="C1200" s="20"/>
      <c r="D1200" s="20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5"/>
    </row>
    <row r="1201">
      <c r="A1201" s="11"/>
      <c r="B1201" s="11"/>
      <c r="C1201" s="20"/>
      <c r="D1201" s="20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5"/>
    </row>
    <row r="1202">
      <c r="A1202" s="11"/>
      <c r="B1202" s="11"/>
      <c r="C1202" s="20"/>
      <c r="D1202" s="20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5"/>
    </row>
    <row r="1203">
      <c r="A1203" s="11"/>
      <c r="B1203" s="11"/>
      <c r="C1203" s="20"/>
      <c r="D1203" s="20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5"/>
    </row>
    <row r="1204">
      <c r="A1204" s="11"/>
      <c r="B1204" s="11"/>
      <c r="C1204" s="20"/>
      <c r="D1204" s="20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5"/>
    </row>
    <row r="1205">
      <c r="A1205" s="11"/>
      <c r="B1205" s="11"/>
      <c r="C1205" s="20"/>
      <c r="D1205" s="20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5"/>
    </row>
    <row r="1206">
      <c r="A1206" s="11"/>
      <c r="B1206" s="11"/>
      <c r="C1206" s="20"/>
      <c r="D1206" s="20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5"/>
    </row>
    <row r="1207">
      <c r="A1207" s="11"/>
      <c r="B1207" s="11"/>
      <c r="C1207" s="20"/>
      <c r="D1207" s="20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5"/>
    </row>
    <row r="1208">
      <c r="A1208" s="11"/>
      <c r="B1208" s="11"/>
      <c r="C1208" s="20"/>
      <c r="D1208" s="20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5"/>
    </row>
    <row r="1209">
      <c r="A1209" s="11"/>
      <c r="B1209" s="11"/>
      <c r="C1209" s="20"/>
      <c r="D1209" s="20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5"/>
    </row>
    <row r="1210">
      <c r="A1210" s="11"/>
      <c r="B1210" s="11"/>
      <c r="C1210" s="20"/>
      <c r="D1210" s="20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5"/>
    </row>
    <row r="1211">
      <c r="A1211" s="11"/>
      <c r="B1211" s="11"/>
      <c r="C1211" s="20"/>
      <c r="D1211" s="20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5"/>
    </row>
    <row r="1212">
      <c r="A1212" s="11"/>
      <c r="B1212" s="11"/>
      <c r="C1212" s="20"/>
      <c r="D1212" s="20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5"/>
    </row>
    <row r="1213">
      <c r="A1213" s="11"/>
      <c r="B1213" s="11"/>
      <c r="C1213" s="20"/>
      <c r="D1213" s="20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5"/>
    </row>
    <row r="1214">
      <c r="A1214" s="11"/>
      <c r="B1214" s="11"/>
      <c r="C1214" s="20"/>
      <c r="D1214" s="20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5"/>
    </row>
    <row r="1215">
      <c r="A1215" s="11"/>
      <c r="B1215" s="11"/>
      <c r="C1215" s="20"/>
      <c r="D1215" s="20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5"/>
    </row>
    <row r="1216">
      <c r="A1216" s="11"/>
      <c r="B1216" s="11"/>
      <c r="C1216" s="20"/>
      <c r="D1216" s="20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5"/>
    </row>
    <row r="1217">
      <c r="A1217" s="11"/>
      <c r="B1217" s="11"/>
      <c r="C1217" s="20"/>
      <c r="D1217" s="20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5"/>
    </row>
    <row r="1218">
      <c r="A1218" s="11"/>
      <c r="B1218" s="11"/>
      <c r="C1218" s="20"/>
      <c r="D1218" s="20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5"/>
    </row>
    <row r="1219">
      <c r="A1219" s="11"/>
      <c r="B1219" s="11"/>
      <c r="C1219" s="20"/>
      <c r="D1219" s="20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5"/>
    </row>
    <row r="1220">
      <c r="A1220" s="11"/>
      <c r="B1220" s="11"/>
      <c r="C1220" s="20"/>
      <c r="D1220" s="20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5"/>
    </row>
    <row r="1221">
      <c r="A1221" s="11"/>
      <c r="B1221" s="11"/>
      <c r="C1221" s="20"/>
      <c r="D1221" s="20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5"/>
    </row>
    <row r="1222">
      <c r="A1222" s="11"/>
      <c r="B1222" s="11"/>
      <c r="C1222" s="20"/>
      <c r="D1222" s="20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5"/>
    </row>
    <row r="1223">
      <c r="A1223" s="11"/>
      <c r="B1223" s="11"/>
      <c r="C1223" s="20"/>
      <c r="D1223" s="20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5"/>
    </row>
    <row r="1224">
      <c r="A1224" s="11"/>
      <c r="B1224" s="11"/>
      <c r="C1224" s="20"/>
      <c r="D1224" s="20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5"/>
    </row>
    <row r="1225">
      <c r="A1225" s="11"/>
      <c r="B1225" s="11"/>
      <c r="C1225" s="20"/>
      <c r="D1225" s="20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5"/>
    </row>
    <row r="1226">
      <c r="A1226" s="11"/>
      <c r="B1226" s="11"/>
      <c r="C1226" s="20"/>
      <c r="D1226" s="20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5"/>
    </row>
    <row r="1227">
      <c r="A1227" s="11"/>
      <c r="B1227" s="11"/>
      <c r="C1227" s="20"/>
      <c r="D1227" s="20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5"/>
    </row>
    <row r="1228">
      <c r="A1228" s="11"/>
      <c r="B1228" s="11"/>
      <c r="C1228" s="20"/>
      <c r="D1228" s="20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5"/>
    </row>
    <row r="1229">
      <c r="A1229" s="11"/>
      <c r="B1229" s="11"/>
      <c r="C1229" s="20"/>
      <c r="D1229" s="20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5"/>
    </row>
    <row r="1230">
      <c r="A1230" s="11"/>
      <c r="B1230" s="11"/>
      <c r="C1230" s="20"/>
      <c r="D1230" s="20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5"/>
    </row>
    <row r="1231">
      <c r="A1231" s="11"/>
      <c r="B1231" s="11"/>
      <c r="C1231" s="20"/>
      <c r="D1231" s="20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5"/>
    </row>
    <row r="1232">
      <c r="A1232" s="11"/>
      <c r="B1232" s="11"/>
      <c r="C1232" s="20"/>
      <c r="D1232" s="20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5"/>
    </row>
    <row r="1233">
      <c r="A1233" s="11"/>
      <c r="B1233" s="11"/>
      <c r="C1233" s="20"/>
      <c r="D1233" s="20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5"/>
    </row>
    <row r="1234">
      <c r="A1234" s="11"/>
      <c r="B1234" s="11"/>
      <c r="C1234" s="20"/>
      <c r="D1234" s="20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5"/>
    </row>
    <row r="1235">
      <c r="A1235" s="11"/>
      <c r="B1235" s="11"/>
      <c r="C1235" s="20"/>
      <c r="D1235" s="20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5"/>
    </row>
    <row r="1236">
      <c r="A1236" s="11"/>
      <c r="B1236" s="11"/>
      <c r="C1236" s="20"/>
      <c r="D1236" s="20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5"/>
    </row>
    <row r="1237">
      <c r="A1237" s="11"/>
      <c r="B1237" s="11"/>
      <c r="C1237" s="20"/>
      <c r="D1237" s="20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5"/>
    </row>
    <row r="1238">
      <c r="A1238" s="11"/>
      <c r="B1238" s="11"/>
      <c r="C1238" s="20"/>
      <c r="D1238" s="20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5"/>
    </row>
    <row r="1239">
      <c r="A1239" s="11"/>
      <c r="B1239" s="11"/>
      <c r="C1239" s="20"/>
      <c r="D1239" s="20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5"/>
    </row>
    <row r="1240">
      <c r="A1240" s="11"/>
      <c r="B1240" s="11"/>
      <c r="C1240" s="20"/>
      <c r="D1240" s="20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5"/>
    </row>
    <row r="1241">
      <c r="A1241" s="11"/>
      <c r="B1241" s="11"/>
      <c r="C1241" s="20"/>
      <c r="D1241" s="20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5"/>
    </row>
    <row r="1242">
      <c r="A1242" s="11"/>
      <c r="B1242" s="11"/>
      <c r="C1242" s="20"/>
      <c r="D1242" s="20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5"/>
    </row>
    <row r="1243">
      <c r="A1243" s="11"/>
      <c r="B1243" s="11"/>
      <c r="C1243" s="20"/>
      <c r="D1243" s="20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5"/>
    </row>
    <row r="1244">
      <c r="A1244" s="11"/>
      <c r="B1244" s="11"/>
      <c r="C1244" s="20"/>
      <c r="D1244" s="20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5"/>
    </row>
    <row r="1245">
      <c r="A1245" s="11"/>
      <c r="B1245" s="11"/>
      <c r="C1245" s="20"/>
      <c r="D1245" s="20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5"/>
    </row>
    <row r="1246">
      <c r="A1246" s="11"/>
      <c r="B1246" s="11"/>
      <c r="C1246" s="20"/>
      <c r="D1246" s="20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5"/>
    </row>
    <row r="1247">
      <c r="A1247" s="11"/>
      <c r="B1247" s="11"/>
      <c r="C1247" s="20"/>
      <c r="D1247" s="20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5"/>
    </row>
    <row r="1248">
      <c r="A1248" s="11"/>
      <c r="B1248" s="11"/>
      <c r="C1248" s="20"/>
      <c r="D1248" s="20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5"/>
    </row>
    <row r="1249">
      <c r="A1249" s="11"/>
      <c r="B1249" s="11"/>
      <c r="C1249" s="20"/>
      <c r="D1249" s="20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5"/>
    </row>
    <row r="1250">
      <c r="A1250" s="11"/>
      <c r="B1250" s="11"/>
      <c r="C1250" s="20"/>
      <c r="D1250" s="20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5"/>
    </row>
    <row r="1251">
      <c r="A1251" s="11"/>
      <c r="B1251" s="11"/>
      <c r="C1251" s="20"/>
      <c r="D1251" s="20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5"/>
    </row>
    <row r="1252">
      <c r="A1252" s="11"/>
      <c r="B1252" s="11"/>
      <c r="C1252" s="20"/>
      <c r="D1252" s="20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5"/>
    </row>
    <row r="1253">
      <c r="A1253" s="11"/>
      <c r="B1253" s="11"/>
      <c r="C1253" s="20"/>
      <c r="D1253" s="20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5"/>
    </row>
    <row r="1254">
      <c r="A1254" s="11"/>
      <c r="B1254" s="11"/>
      <c r="C1254" s="20"/>
      <c r="D1254" s="20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5"/>
    </row>
    <row r="1255">
      <c r="A1255" s="11"/>
      <c r="B1255" s="11"/>
      <c r="C1255" s="20"/>
      <c r="D1255" s="20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5"/>
    </row>
    <row r="1256">
      <c r="A1256" s="11"/>
      <c r="B1256" s="11"/>
      <c r="C1256" s="20"/>
      <c r="D1256" s="20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5"/>
    </row>
    <row r="1257">
      <c r="A1257" s="11"/>
      <c r="B1257" s="11"/>
      <c r="C1257" s="20"/>
      <c r="D1257" s="20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5"/>
    </row>
    <row r="1258">
      <c r="A1258" s="11"/>
      <c r="B1258" s="11"/>
      <c r="C1258" s="20"/>
      <c r="D1258" s="20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5"/>
    </row>
    <row r="1259">
      <c r="A1259" s="11"/>
      <c r="B1259" s="11"/>
      <c r="C1259" s="20"/>
      <c r="D1259" s="20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5"/>
    </row>
    <row r="1260">
      <c r="A1260" s="11"/>
      <c r="B1260" s="11"/>
      <c r="C1260" s="20"/>
      <c r="D1260" s="20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5"/>
    </row>
    <row r="1261">
      <c r="A1261" s="11"/>
      <c r="B1261" s="11"/>
      <c r="C1261" s="20"/>
      <c r="D1261" s="20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5"/>
    </row>
    <row r="1262">
      <c r="A1262" s="11"/>
      <c r="B1262" s="11"/>
      <c r="C1262" s="20"/>
      <c r="D1262" s="20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5"/>
    </row>
    <row r="1263">
      <c r="A1263" s="11"/>
      <c r="B1263" s="11"/>
      <c r="C1263" s="20"/>
      <c r="D1263" s="20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5"/>
    </row>
    <row r="1264">
      <c r="A1264" s="11"/>
      <c r="B1264" s="11"/>
      <c r="C1264" s="20"/>
      <c r="D1264" s="20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5"/>
    </row>
    <row r="1265">
      <c r="A1265" s="11"/>
      <c r="B1265" s="11"/>
      <c r="C1265" s="20"/>
      <c r="D1265" s="20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5"/>
    </row>
    <row r="1266">
      <c r="A1266" s="11"/>
      <c r="B1266" s="11"/>
      <c r="C1266" s="20"/>
      <c r="D1266" s="20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5"/>
    </row>
    <row r="1267">
      <c r="A1267" s="11"/>
      <c r="B1267" s="11"/>
      <c r="C1267" s="20"/>
      <c r="D1267" s="20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5"/>
    </row>
    <row r="1268">
      <c r="A1268" s="11"/>
      <c r="B1268" s="11"/>
      <c r="C1268" s="20"/>
      <c r="D1268" s="20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5"/>
    </row>
    <row r="1269">
      <c r="A1269" s="11"/>
      <c r="B1269" s="11"/>
      <c r="C1269" s="20"/>
      <c r="D1269" s="20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5"/>
    </row>
    <row r="1270">
      <c r="A1270" s="11"/>
      <c r="B1270" s="11"/>
      <c r="C1270" s="20"/>
      <c r="D1270" s="20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5"/>
    </row>
    <row r="1271">
      <c r="A1271" s="11"/>
      <c r="B1271" s="11"/>
      <c r="C1271" s="20"/>
      <c r="D1271" s="20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5"/>
    </row>
    <row r="1272">
      <c r="A1272" s="11"/>
      <c r="B1272" s="11"/>
      <c r="C1272" s="20"/>
      <c r="D1272" s="20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5"/>
    </row>
    <row r="1273">
      <c r="A1273" s="11"/>
      <c r="B1273" s="11"/>
      <c r="C1273" s="20"/>
      <c r="D1273" s="20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5"/>
    </row>
    <row r="1274">
      <c r="A1274" s="11"/>
      <c r="B1274" s="11"/>
      <c r="C1274" s="20"/>
      <c r="D1274" s="20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5"/>
    </row>
    <row r="1275">
      <c r="A1275" s="11"/>
      <c r="B1275" s="11"/>
      <c r="C1275" s="20"/>
      <c r="D1275" s="20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5"/>
    </row>
    <row r="1276">
      <c r="A1276" s="11"/>
      <c r="B1276" s="11"/>
      <c r="C1276" s="20"/>
      <c r="D1276" s="20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5"/>
    </row>
    <row r="1277">
      <c r="A1277" s="11"/>
      <c r="B1277" s="11"/>
      <c r="C1277" s="20"/>
      <c r="D1277" s="20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5"/>
    </row>
    <row r="1278">
      <c r="A1278" s="11"/>
      <c r="B1278" s="11"/>
      <c r="C1278" s="20"/>
      <c r="D1278" s="20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5"/>
    </row>
    <row r="1279">
      <c r="A1279" s="11"/>
      <c r="B1279" s="11"/>
      <c r="C1279" s="20"/>
      <c r="D1279" s="20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5"/>
    </row>
    <row r="1280">
      <c r="A1280" s="11"/>
      <c r="B1280" s="11"/>
      <c r="C1280" s="20"/>
      <c r="D1280" s="20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5"/>
    </row>
    <row r="1281">
      <c r="A1281" s="11"/>
      <c r="B1281" s="11"/>
      <c r="C1281" s="20"/>
      <c r="D1281" s="20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5"/>
    </row>
    <row r="1282">
      <c r="A1282" s="11"/>
      <c r="B1282" s="11"/>
      <c r="C1282" s="20"/>
      <c r="D1282" s="20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5"/>
    </row>
    <row r="1283">
      <c r="A1283" s="11"/>
      <c r="B1283" s="11"/>
      <c r="C1283" s="20"/>
      <c r="D1283" s="20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5"/>
    </row>
    <row r="1284">
      <c r="A1284" s="11"/>
      <c r="B1284" s="11"/>
      <c r="C1284" s="20"/>
      <c r="D1284" s="20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5"/>
    </row>
    <row r="1285">
      <c r="A1285" s="11"/>
      <c r="B1285" s="11"/>
      <c r="C1285" s="20"/>
      <c r="D1285" s="20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5"/>
    </row>
    <row r="1286">
      <c r="A1286" s="11"/>
      <c r="B1286" s="11"/>
      <c r="C1286" s="20"/>
      <c r="D1286" s="20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5"/>
    </row>
    <row r="1287">
      <c r="A1287" s="11"/>
      <c r="B1287" s="11"/>
      <c r="C1287" s="20"/>
      <c r="D1287" s="20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5"/>
    </row>
    <row r="1288">
      <c r="A1288" s="11"/>
      <c r="B1288" s="11"/>
      <c r="C1288" s="20"/>
      <c r="D1288" s="20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5"/>
    </row>
    <row r="1289">
      <c r="A1289" s="11"/>
      <c r="B1289" s="11"/>
      <c r="C1289" s="20"/>
      <c r="D1289" s="20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5"/>
    </row>
    <row r="1290">
      <c r="A1290" s="11"/>
      <c r="B1290" s="11"/>
      <c r="C1290" s="20"/>
      <c r="D1290" s="20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5"/>
    </row>
    <row r="1291">
      <c r="A1291" s="11"/>
      <c r="B1291" s="11"/>
      <c r="C1291" s="20"/>
      <c r="D1291" s="20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5"/>
    </row>
    <row r="1292">
      <c r="A1292" s="11"/>
      <c r="B1292" s="11"/>
      <c r="C1292" s="20"/>
      <c r="D1292" s="20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5"/>
    </row>
    <row r="1293">
      <c r="A1293" s="11"/>
      <c r="B1293" s="11"/>
      <c r="C1293" s="20"/>
      <c r="D1293" s="20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5"/>
    </row>
    <row r="1294">
      <c r="A1294" s="11"/>
      <c r="B1294" s="11"/>
      <c r="C1294" s="20"/>
      <c r="D1294" s="20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5"/>
    </row>
    <row r="1295">
      <c r="A1295" s="11"/>
      <c r="B1295" s="11"/>
      <c r="C1295" s="20"/>
      <c r="D1295" s="20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5"/>
    </row>
    <row r="1296">
      <c r="A1296" s="11"/>
      <c r="B1296" s="11"/>
      <c r="C1296" s="20"/>
      <c r="D1296" s="20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5"/>
    </row>
    <row r="1297">
      <c r="A1297" s="11"/>
      <c r="B1297" s="11"/>
      <c r="C1297" s="20"/>
      <c r="D1297" s="20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5"/>
    </row>
    <row r="1298">
      <c r="A1298" s="11"/>
      <c r="B1298" s="11"/>
      <c r="C1298" s="20"/>
      <c r="D1298" s="20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5"/>
    </row>
    <row r="1299">
      <c r="A1299" s="11"/>
      <c r="B1299" s="11"/>
      <c r="C1299" s="20"/>
      <c r="D1299" s="20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5"/>
    </row>
    <row r="1300">
      <c r="A1300" s="11"/>
      <c r="B1300" s="11"/>
      <c r="C1300" s="20"/>
      <c r="D1300" s="20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5"/>
    </row>
    <row r="1301">
      <c r="A1301" s="11"/>
      <c r="B1301" s="11"/>
      <c r="C1301" s="20"/>
      <c r="D1301" s="20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5"/>
    </row>
    <row r="1302">
      <c r="A1302" s="11"/>
      <c r="B1302" s="11"/>
      <c r="C1302" s="20"/>
      <c r="D1302" s="20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5"/>
    </row>
    <row r="1303">
      <c r="A1303" s="11"/>
      <c r="B1303" s="11"/>
      <c r="C1303" s="20"/>
      <c r="D1303" s="20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5"/>
    </row>
    <row r="1304">
      <c r="A1304" s="11"/>
      <c r="B1304" s="11"/>
      <c r="C1304" s="20"/>
      <c r="D1304" s="20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5"/>
    </row>
    <row r="1305">
      <c r="A1305" s="11"/>
      <c r="B1305" s="11"/>
      <c r="C1305" s="20"/>
      <c r="D1305" s="20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5"/>
    </row>
    <row r="1306">
      <c r="A1306" s="11"/>
      <c r="B1306" s="11"/>
      <c r="C1306" s="20"/>
      <c r="D1306" s="20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5"/>
    </row>
    <row r="1307">
      <c r="A1307" s="11"/>
      <c r="B1307" s="11"/>
      <c r="C1307" s="20"/>
      <c r="D1307" s="20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5"/>
    </row>
    <row r="1308">
      <c r="A1308" s="11"/>
      <c r="B1308" s="11"/>
      <c r="C1308" s="20"/>
      <c r="D1308" s="20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5"/>
    </row>
    <row r="1309">
      <c r="A1309" s="11"/>
      <c r="B1309" s="11"/>
      <c r="C1309" s="20"/>
      <c r="D1309" s="20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5"/>
    </row>
    <row r="1310">
      <c r="A1310" s="11"/>
      <c r="B1310" s="11"/>
      <c r="C1310" s="20"/>
      <c r="D1310" s="20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5"/>
    </row>
    <row r="1311">
      <c r="A1311" s="11"/>
      <c r="B1311" s="11"/>
      <c r="C1311" s="20"/>
      <c r="D1311" s="20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5"/>
    </row>
    <row r="1312">
      <c r="A1312" s="11"/>
      <c r="B1312" s="11"/>
      <c r="C1312" s="20"/>
      <c r="D1312" s="20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5"/>
    </row>
    <row r="1313">
      <c r="A1313" s="11"/>
      <c r="B1313" s="11"/>
      <c r="C1313" s="20"/>
      <c r="D1313" s="20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5"/>
    </row>
    <row r="1314">
      <c r="A1314" s="11"/>
      <c r="B1314" s="11"/>
      <c r="C1314" s="20"/>
      <c r="D1314" s="20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5"/>
    </row>
    <row r="1315">
      <c r="A1315" s="11"/>
      <c r="B1315" s="11"/>
      <c r="C1315" s="20"/>
      <c r="D1315" s="20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5"/>
    </row>
    <row r="1316">
      <c r="A1316" s="11"/>
      <c r="B1316" s="11"/>
      <c r="C1316" s="20"/>
      <c r="D1316" s="20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5"/>
    </row>
    <row r="1317">
      <c r="A1317" s="11"/>
      <c r="B1317" s="11"/>
      <c r="C1317" s="20"/>
      <c r="D1317" s="20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5"/>
    </row>
    <row r="1318">
      <c r="A1318" s="11"/>
      <c r="B1318" s="11"/>
      <c r="C1318" s="20"/>
      <c r="D1318" s="20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5"/>
    </row>
    <row r="1319">
      <c r="A1319" s="11"/>
      <c r="B1319" s="11"/>
      <c r="C1319" s="20"/>
      <c r="D1319" s="20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5"/>
    </row>
    <row r="1320">
      <c r="A1320" s="11"/>
      <c r="B1320" s="11"/>
      <c r="C1320" s="20"/>
      <c r="D1320" s="20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5"/>
    </row>
    <row r="1321">
      <c r="A1321" s="11"/>
      <c r="B1321" s="11"/>
      <c r="C1321" s="20"/>
      <c r="D1321" s="20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5"/>
    </row>
    <row r="1322">
      <c r="A1322" s="11"/>
      <c r="B1322" s="11"/>
      <c r="C1322" s="20"/>
      <c r="D1322" s="20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5"/>
    </row>
    <row r="1323">
      <c r="A1323" s="11"/>
      <c r="B1323" s="11"/>
      <c r="C1323" s="20"/>
      <c r="D1323" s="20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5"/>
    </row>
    <row r="1324">
      <c r="A1324" s="11"/>
      <c r="B1324" s="11"/>
      <c r="C1324" s="20"/>
      <c r="D1324" s="20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5"/>
    </row>
    <row r="1325">
      <c r="A1325" s="11"/>
      <c r="B1325" s="11"/>
      <c r="C1325" s="20"/>
      <c r="D1325" s="20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5"/>
    </row>
    <row r="1326">
      <c r="A1326" s="11"/>
      <c r="B1326" s="11"/>
      <c r="C1326" s="20"/>
      <c r="D1326" s="20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5"/>
    </row>
    <row r="1327">
      <c r="A1327" s="11"/>
      <c r="B1327" s="11"/>
      <c r="C1327" s="20"/>
      <c r="D1327" s="20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5"/>
    </row>
    <row r="1328">
      <c r="A1328" s="11"/>
      <c r="B1328" s="11"/>
      <c r="C1328" s="20"/>
      <c r="D1328" s="20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5"/>
    </row>
    <row r="1329">
      <c r="A1329" s="11"/>
      <c r="B1329" s="11"/>
      <c r="C1329" s="20"/>
      <c r="D1329" s="20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5"/>
    </row>
    <row r="1330">
      <c r="A1330" s="11"/>
      <c r="B1330" s="11"/>
      <c r="C1330" s="20"/>
      <c r="D1330" s="20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5"/>
    </row>
    <row r="1331">
      <c r="A1331" s="11"/>
      <c r="B1331" s="11"/>
      <c r="C1331" s="20"/>
      <c r="D1331" s="20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5"/>
    </row>
    <row r="1332">
      <c r="A1332" s="11"/>
      <c r="B1332" s="11"/>
      <c r="C1332" s="20"/>
      <c r="D1332" s="20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5"/>
    </row>
    <row r="1333">
      <c r="A1333" s="11"/>
      <c r="B1333" s="11"/>
      <c r="C1333" s="20"/>
      <c r="D1333" s="20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5"/>
    </row>
    <row r="1334">
      <c r="A1334" s="11"/>
      <c r="B1334" s="11"/>
      <c r="C1334" s="20"/>
      <c r="D1334" s="20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5"/>
    </row>
    <row r="1335">
      <c r="A1335" s="11"/>
      <c r="B1335" s="11"/>
      <c r="C1335" s="20"/>
      <c r="D1335" s="20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5"/>
    </row>
    <row r="1336">
      <c r="A1336" s="11"/>
      <c r="B1336" s="11"/>
      <c r="C1336" s="20"/>
      <c r="D1336" s="20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5"/>
    </row>
    <row r="1337">
      <c r="A1337" s="11"/>
      <c r="B1337" s="11"/>
      <c r="C1337" s="20"/>
      <c r="D1337" s="20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5"/>
    </row>
    <row r="1338">
      <c r="A1338" s="11"/>
      <c r="B1338" s="11"/>
      <c r="C1338" s="20"/>
      <c r="D1338" s="20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5"/>
    </row>
    <row r="1339">
      <c r="A1339" s="11"/>
      <c r="B1339" s="11"/>
      <c r="C1339" s="20"/>
      <c r="D1339" s="20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5"/>
    </row>
    <row r="1340">
      <c r="A1340" s="11"/>
      <c r="B1340" s="11"/>
      <c r="C1340" s="20"/>
      <c r="D1340" s="20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5"/>
    </row>
    <row r="1341">
      <c r="A1341" s="11"/>
      <c r="B1341" s="11"/>
      <c r="C1341" s="20"/>
      <c r="D1341" s="20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5"/>
    </row>
    <row r="1342">
      <c r="A1342" s="11"/>
      <c r="B1342" s="11"/>
      <c r="C1342" s="20"/>
      <c r="D1342" s="20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5"/>
    </row>
    <row r="1343">
      <c r="A1343" s="11"/>
      <c r="B1343" s="11"/>
      <c r="C1343" s="20"/>
      <c r="D1343" s="20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5"/>
    </row>
    <row r="1344">
      <c r="A1344" s="11"/>
      <c r="B1344" s="11"/>
      <c r="C1344" s="20"/>
      <c r="D1344" s="20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5"/>
    </row>
    <row r="1345">
      <c r="A1345" s="11"/>
      <c r="B1345" s="11"/>
      <c r="C1345" s="20"/>
      <c r="D1345" s="20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5"/>
    </row>
    <row r="1346">
      <c r="A1346" s="11"/>
      <c r="B1346" s="11"/>
      <c r="C1346" s="20"/>
      <c r="D1346" s="20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5"/>
    </row>
    <row r="1347">
      <c r="A1347" s="11"/>
      <c r="B1347" s="11"/>
      <c r="C1347" s="20"/>
      <c r="D1347" s="20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5"/>
    </row>
    <row r="1348">
      <c r="A1348" s="11"/>
      <c r="B1348" s="11"/>
      <c r="C1348" s="20"/>
      <c r="D1348" s="20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5"/>
    </row>
    <row r="1349">
      <c r="A1349" s="11"/>
      <c r="B1349" s="11"/>
      <c r="C1349" s="20"/>
      <c r="D1349" s="20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5"/>
    </row>
    <row r="1350">
      <c r="A1350" s="11"/>
      <c r="B1350" s="11"/>
      <c r="C1350" s="20"/>
      <c r="D1350" s="20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5"/>
    </row>
    <row r="1351">
      <c r="A1351" s="11"/>
      <c r="B1351" s="11"/>
      <c r="C1351" s="20"/>
      <c r="D1351" s="20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5"/>
    </row>
    <row r="1352">
      <c r="A1352" s="11"/>
      <c r="B1352" s="11"/>
      <c r="C1352" s="20"/>
      <c r="D1352" s="20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5"/>
    </row>
    <row r="1353">
      <c r="A1353" s="11"/>
      <c r="B1353" s="11"/>
      <c r="C1353" s="20"/>
      <c r="D1353" s="20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5"/>
    </row>
    <row r="1354">
      <c r="A1354" s="11"/>
      <c r="B1354" s="11"/>
      <c r="C1354" s="20"/>
      <c r="D1354" s="20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5"/>
    </row>
    <row r="1355">
      <c r="A1355" s="11"/>
      <c r="B1355" s="11"/>
      <c r="C1355" s="20"/>
      <c r="D1355" s="20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5"/>
    </row>
    <row r="1356">
      <c r="A1356" s="11"/>
      <c r="B1356" s="11"/>
      <c r="C1356" s="20"/>
      <c r="D1356" s="20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5"/>
    </row>
    <row r="1357">
      <c r="A1357" s="11"/>
      <c r="B1357" s="11"/>
      <c r="C1357" s="20"/>
      <c r="D1357" s="20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5"/>
    </row>
    <row r="1358">
      <c r="A1358" s="11"/>
      <c r="B1358" s="11"/>
      <c r="C1358" s="20"/>
      <c r="D1358" s="20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5"/>
    </row>
    <row r="1359">
      <c r="A1359" s="11"/>
      <c r="B1359" s="11"/>
      <c r="C1359" s="20"/>
      <c r="D1359" s="20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5"/>
    </row>
    <row r="1360">
      <c r="A1360" s="11"/>
      <c r="B1360" s="11"/>
      <c r="C1360" s="20"/>
      <c r="D1360" s="20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5"/>
    </row>
    <row r="1361">
      <c r="A1361" s="11"/>
      <c r="B1361" s="11"/>
      <c r="C1361" s="20"/>
      <c r="D1361" s="20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5"/>
    </row>
    <row r="1362">
      <c r="A1362" s="11"/>
      <c r="B1362" s="11"/>
      <c r="C1362" s="20"/>
      <c r="D1362" s="20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5"/>
    </row>
    <row r="1363">
      <c r="A1363" s="11"/>
      <c r="B1363" s="11"/>
      <c r="C1363" s="20"/>
      <c r="D1363" s="20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5"/>
    </row>
    <row r="1364">
      <c r="A1364" s="11"/>
      <c r="B1364" s="11"/>
      <c r="C1364" s="20"/>
      <c r="D1364" s="20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5"/>
    </row>
    <row r="1365">
      <c r="A1365" s="11"/>
      <c r="B1365" s="11"/>
      <c r="C1365" s="20"/>
      <c r="D1365" s="20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5"/>
    </row>
    <row r="1366">
      <c r="A1366" s="11"/>
      <c r="B1366" s="11"/>
      <c r="C1366" s="20"/>
      <c r="D1366" s="20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5"/>
    </row>
    <row r="1367">
      <c r="A1367" s="11"/>
      <c r="B1367" s="11"/>
      <c r="C1367" s="20"/>
      <c r="D1367" s="20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5"/>
    </row>
    <row r="1368">
      <c r="A1368" s="11"/>
      <c r="B1368" s="11"/>
      <c r="C1368" s="20"/>
      <c r="D1368" s="20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5"/>
    </row>
    <row r="1369">
      <c r="A1369" s="11"/>
      <c r="B1369" s="11"/>
      <c r="C1369" s="20"/>
      <c r="D1369" s="20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5"/>
    </row>
    <row r="1370">
      <c r="A1370" s="11"/>
      <c r="B1370" s="11"/>
      <c r="C1370" s="20"/>
      <c r="D1370" s="20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5"/>
    </row>
    <row r="1371">
      <c r="A1371" s="11"/>
      <c r="B1371" s="11"/>
      <c r="C1371" s="20"/>
      <c r="D1371" s="20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5"/>
    </row>
    <row r="1372">
      <c r="A1372" s="11"/>
      <c r="B1372" s="11"/>
      <c r="C1372" s="20"/>
      <c r="D1372" s="20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5"/>
    </row>
    <row r="1373">
      <c r="A1373" s="11"/>
      <c r="B1373" s="11"/>
      <c r="C1373" s="20"/>
      <c r="D1373" s="20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5"/>
    </row>
    <row r="1374">
      <c r="A1374" s="11"/>
      <c r="B1374" s="11"/>
      <c r="C1374" s="20"/>
      <c r="D1374" s="20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5"/>
    </row>
    <row r="1375">
      <c r="A1375" s="11"/>
      <c r="B1375" s="11"/>
      <c r="C1375" s="20"/>
      <c r="D1375" s="20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5"/>
    </row>
    <row r="1376">
      <c r="A1376" s="11"/>
      <c r="B1376" s="11"/>
      <c r="C1376" s="20"/>
      <c r="D1376" s="20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5"/>
    </row>
    <row r="1377">
      <c r="A1377" s="11"/>
      <c r="B1377" s="11"/>
      <c r="C1377" s="20"/>
      <c r="D1377" s="20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5"/>
    </row>
    <row r="1378">
      <c r="A1378" s="11"/>
      <c r="B1378" s="11"/>
      <c r="C1378" s="20"/>
      <c r="D1378" s="20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5"/>
    </row>
    <row r="1379">
      <c r="A1379" s="11"/>
      <c r="B1379" s="11"/>
      <c r="C1379" s="20"/>
      <c r="D1379" s="20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5"/>
    </row>
    <row r="1380">
      <c r="A1380" s="11"/>
      <c r="B1380" s="11"/>
      <c r="C1380" s="20"/>
      <c r="D1380" s="20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5"/>
    </row>
    <row r="1381">
      <c r="A1381" s="11"/>
      <c r="B1381" s="11"/>
      <c r="C1381" s="20"/>
      <c r="D1381" s="20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5"/>
    </row>
    <row r="1382">
      <c r="A1382" s="11"/>
      <c r="B1382" s="11"/>
      <c r="C1382" s="20"/>
      <c r="D1382" s="20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5"/>
    </row>
    <row r="1383">
      <c r="A1383" s="11"/>
      <c r="B1383" s="11"/>
      <c r="C1383" s="20"/>
      <c r="D1383" s="20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5"/>
    </row>
    <row r="1384">
      <c r="A1384" s="11"/>
      <c r="B1384" s="11"/>
      <c r="C1384" s="20"/>
      <c r="D1384" s="20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5"/>
    </row>
    <row r="1385">
      <c r="A1385" s="11"/>
      <c r="B1385" s="11"/>
      <c r="C1385" s="20"/>
      <c r="D1385" s="20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5"/>
    </row>
    <row r="1386">
      <c r="A1386" s="11"/>
      <c r="B1386" s="11"/>
      <c r="C1386" s="20"/>
      <c r="D1386" s="20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5"/>
    </row>
    <row r="1387">
      <c r="A1387" s="11"/>
      <c r="B1387" s="11"/>
      <c r="C1387" s="20"/>
      <c r="D1387" s="20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5"/>
    </row>
    <row r="1388">
      <c r="A1388" s="11"/>
      <c r="B1388" s="11"/>
      <c r="C1388" s="20"/>
      <c r="D1388" s="20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5"/>
    </row>
    <row r="1389">
      <c r="A1389" s="11"/>
      <c r="B1389" s="11"/>
      <c r="C1389" s="20"/>
      <c r="D1389" s="20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5"/>
    </row>
    <row r="1390">
      <c r="A1390" s="11"/>
      <c r="B1390" s="11"/>
      <c r="C1390" s="20"/>
      <c r="D1390" s="20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5"/>
    </row>
    <row r="1391">
      <c r="A1391" s="11"/>
      <c r="B1391" s="11"/>
      <c r="C1391" s="20"/>
      <c r="D1391" s="20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5"/>
    </row>
    <row r="1392">
      <c r="A1392" s="11"/>
      <c r="B1392" s="11"/>
      <c r="C1392" s="20"/>
      <c r="D1392" s="20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5"/>
    </row>
    <row r="1393">
      <c r="A1393" s="11"/>
      <c r="B1393" s="11"/>
      <c r="C1393" s="20"/>
      <c r="D1393" s="20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5"/>
    </row>
    <row r="1394">
      <c r="A1394" s="11"/>
      <c r="B1394" s="11"/>
      <c r="C1394" s="20"/>
      <c r="D1394" s="20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5"/>
    </row>
    <row r="1395">
      <c r="A1395" s="11"/>
      <c r="B1395" s="11"/>
      <c r="C1395" s="20"/>
      <c r="D1395" s="20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5"/>
    </row>
    <row r="1396">
      <c r="A1396" s="11"/>
      <c r="B1396" s="11"/>
      <c r="C1396" s="20"/>
      <c r="D1396" s="20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5"/>
    </row>
    <row r="1397">
      <c r="A1397" s="11"/>
      <c r="B1397" s="11"/>
      <c r="C1397" s="20"/>
      <c r="D1397" s="20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5"/>
    </row>
    <row r="1398">
      <c r="A1398" s="11"/>
      <c r="B1398" s="11"/>
      <c r="C1398" s="20"/>
      <c r="D1398" s="20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5"/>
    </row>
    <row r="1399">
      <c r="A1399" s="11"/>
      <c r="B1399" s="11"/>
      <c r="C1399" s="20"/>
      <c r="D1399" s="20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5"/>
    </row>
    <row r="1400">
      <c r="A1400" s="11"/>
      <c r="B1400" s="11"/>
      <c r="C1400" s="20"/>
      <c r="D1400" s="20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5"/>
    </row>
    <row r="1401">
      <c r="A1401" s="11"/>
      <c r="B1401" s="11"/>
      <c r="C1401" s="20"/>
      <c r="D1401" s="20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5"/>
    </row>
    <row r="1402">
      <c r="A1402" s="11"/>
      <c r="B1402" s="11"/>
      <c r="C1402" s="20"/>
      <c r="D1402" s="20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5"/>
    </row>
    <row r="1403">
      <c r="A1403" s="11"/>
      <c r="B1403" s="11"/>
      <c r="C1403" s="20"/>
      <c r="D1403" s="20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5"/>
    </row>
    <row r="1404">
      <c r="A1404" s="11"/>
      <c r="B1404" s="11"/>
      <c r="C1404" s="20"/>
      <c r="D1404" s="20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5"/>
    </row>
    <row r="1405">
      <c r="A1405" s="11"/>
      <c r="B1405" s="11"/>
      <c r="C1405" s="20"/>
      <c r="D1405" s="20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5"/>
    </row>
    <row r="1406">
      <c r="A1406" s="11"/>
      <c r="B1406" s="11"/>
      <c r="C1406" s="20"/>
      <c r="D1406" s="20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5"/>
    </row>
    <row r="1407">
      <c r="A1407" s="11"/>
      <c r="B1407" s="11"/>
      <c r="C1407" s="20"/>
      <c r="D1407" s="20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5"/>
    </row>
    <row r="1408">
      <c r="A1408" s="11"/>
      <c r="B1408" s="11"/>
      <c r="C1408" s="20"/>
      <c r="D1408" s="20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5"/>
    </row>
    <row r="1409">
      <c r="A1409" s="11"/>
      <c r="B1409" s="11"/>
      <c r="C1409" s="20"/>
      <c r="D1409" s="20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5"/>
    </row>
    <row r="1410">
      <c r="A1410" s="11"/>
      <c r="B1410" s="11"/>
      <c r="C1410" s="20"/>
      <c r="D1410" s="20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5"/>
    </row>
    <row r="1411">
      <c r="A1411" s="11"/>
      <c r="B1411" s="11"/>
      <c r="C1411" s="20"/>
      <c r="D1411" s="20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5"/>
    </row>
    <row r="1412">
      <c r="A1412" s="11"/>
      <c r="B1412" s="11"/>
      <c r="C1412" s="20"/>
      <c r="D1412" s="20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5"/>
    </row>
    <row r="1413">
      <c r="A1413" s="11"/>
      <c r="B1413" s="11"/>
      <c r="C1413" s="20"/>
      <c r="D1413" s="20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5"/>
    </row>
    <row r="1414">
      <c r="A1414" s="11"/>
      <c r="B1414" s="11"/>
      <c r="C1414" s="20"/>
      <c r="D1414" s="20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5"/>
    </row>
    <row r="1415">
      <c r="A1415" s="11"/>
      <c r="B1415" s="11"/>
      <c r="C1415" s="20"/>
      <c r="D1415" s="20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5"/>
    </row>
    <row r="1416">
      <c r="A1416" s="11"/>
      <c r="B1416" s="11"/>
      <c r="C1416" s="20"/>
      <c r="D1416" s="20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5"/>
    </row>
    <row r="1417">
      <c r="A1417" s="11"/>
      <c r="B1417" s="11"/>
      <c r="C1417" s="20"/>
      <c r="D1417" s="20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5"/>
    </row>
    <row r="1418">
      <c r="A1418" s="11"/>
      <c r="B1418" s="11"/>
      <c r="C1418" s="20"/>
      <c r="D1418" s="20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5"/>
    </row>
    <row r="1419">
      <c r="A1419" s="11"/>
      <c r="B1419" s="11"/>
      <c r="C1419" s="20"/>
      <c r="D1419" s="20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5"/>
    </row>
    <row r="1420">
      <c r="A1420" s="11"/>
      <c r="B1420" s="11"/>
      <c r="C1420" s="20"/>
      <c r="D1420" s="20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5"/>
    </row>
    <row r="1421">
      <c r="A1421" s="11"/>
      <c r="B1421" s="11"/>
      <c r="C1421" s="20"/>
      <c r="D1421" s="20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5"/>
    </row>
    <row r="1422">
      <c r="A1422" s="11"/>
      <c r="B1422" s="11"/>
      <c r="C1422" s="20"/>
      <c r="D1422" s="20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5"/>
    </row>
    <row r="1423">
      <c r="A1423" s="11"/>
      <c r="B1423" s="11"/>
      <c r="C1423" s="20"/>
      <c r="D1423" s="20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5"/>
    </row>
    <row r="1424">
      <c r="A1424" s="11"/>
      <c r="B1424" s="11"/>
      <c r="C1424" s="20"/>
      <c r="D1424" s="20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5"/>
    </row>
    <row r="1425">
      <c r="A1425" s="11"/>
      <c r="B1425" s="11"/>
      <c r="C1425" s="20"/>
      <c r="D1425" s="20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5"/>
    </row>
    <row r="1426">
      <c r="A1426" s="11"/>
      <c r="B1426" s="11"/>
      <c r="C1426" s="20"/>
      <c r="D1426" s="20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5"/>
    </row>
    <row r="1427">
      <c r="A1427" s="11"/>
      <c r="B1427" s="11"/>
      <c r="C1427" s="20"/>
      <c r="D1427" s="20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5"/>
    </row>
    <row r="1428">
      <c r="A1428" s="11"/>
      <c r="B1428" s="11"/>
      <c r="C1428" s="20"/>
      <c r="D1428" s="20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5"/>
    </row>
    <row r="1429">
      <c r="A1429" s="11"/>
      <c r="B1429" s="11"/>
      <c r="C1429" s="20"/>
      <c r="D1429" s="20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5"/>
    </row>
    <row r="1430">
      <c r="A1430" s="11"/>
      <c r="B1430" s="11"/>
      <c r="C1430" s="20"/>
      <c r="D1430" s="20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5"/>
    </row>
    <row r="1431">
      <c r="A1431" s="11"/>
      <c r="B1431" s="11"/>
      <c r="C1431" s="20"/>
      <c r="D1431" s="20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5"/>
    </row>
    <row r="1432">
      <c r="A1432" s="11"/>
      <c r="B1432" s="11"/>
      <c r="C1432" s="20"/>
      <c r="D1432" s="20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5"/>
    </row>
    <row r="1433">
      <c r="A1433" s="11"/>
      <c r="B1433" s="11"/>
      <c r="C1433" s="20"/>
      <c r="D1433" s="20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5"/>
    </row>
    <row r="1434">
      <c r="A1434" s="11"/>
      <c r="B1434" s="11"/>
      <c r="C1434" s="20"/>
      <c r="D1434" s="20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5"/>
    </row>
    <row r="1435">
      <c r="A1435" s="11"/>
      <c r="B1435" s="11"/>
      <c r="C1435" s="20"/>
      <c r="D1435" s="20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5"/>
    </row>
    <row r="1436">
      <c r="A1436" s="11"/>
      <c r="B1436" s="11"/>
      <c r="C1436" s="20"/>
      <c r="D1436" s="20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5"/>
    </row>
    <row r="1437">
      <c r="A1437" s="11"/>
      <c r="B1437" s="11"/>
      <c r="C1437" s="20"/>
      <c r="D1437" s="20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5"/>
    </row>
    <row r="1438">
      <c r="A1438" s="11"/>
      <c r="B1438" s="11"/>
      <c r="C1438" s="20"/>
      <c r="D1438" s="20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5"/>
    </row>
    <row r="1439">
      <c r="A1439" s="11"/>
      <c r="B1439" s="11"/>
      <c r="C1439" s="20"/>
      <c r="D1439" s="20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5"/>
    </row>
    <row r="1440">
      <c r="A1440" s="11"/>
      <c r="B1440" s="11"/>
      <c r="C1440" s="20"/>
      <c r="D1440" s="20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5"/>
    </row>
    <row r="1441">
      <c r="A1441" s="11"/>
      <c r="B1441" s="11"/>
      <c r="C1441" s="20"/>
      <c r="D1441" s="20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5"/>
    </row>
    <row r="1442">
      <c r="A1442" s="11"/>
      <c r="B1442" s="11"/>
      <c r="C1442" s="20"/>
      <c r="D1442" s="20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5"/>
    </row>
    <row r="1443">
      <c r="A1443" s="11"/>
      <c r="B1443" s="11"/>
      <c r="C1443" s="20"/>
      <c r="D1443" s="20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5"/>
    </row>
    <row r="1444">
      <c r="A1444" s="11"/>
      <c r="B1444" s="11"/>
      <c r="C1444" s="20"/>
      <c r="D1444" s="20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5"/>
    </row>
    <row r="1445">
      <c r="A1445" s="11"/>
      <c r="B1445" s="11"/>
      <c r="C1445" s="20"/>
      <c r="D1445" s="20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5"/>
    </row>
    <row r="1446">
      <c r="A1446" s="11"/>
      <c r="B1446" s="11"/>
      <c r="C1446" s="20"/>
      <c r="D1446" s="20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5"/>
    </row>
    <row r="1447">
      <c r="A1447" s="11"/>
      <c r="B1447" s="11"/>
      <c r="C1447" s="20"/>
      <c r="D1447" s="20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5"/>
    </row>
    <row r="1448">
      <c r="A1448" s="11"/>
      <c r="B1448" s="11"/>
      <c r="C1448" s="20"/>
      <c r="D1448" s="20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5"/>
    </row>
    <row r="1449">
      <c r="A1449" s="11"/>
      <c r="B1449" s="11"/>
      <c r="C1449" s="20"/>
      <c r="D1449" s="20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5"/>
    </row>
    <row r="1450">
      <c r="A1450" s="11"/>
      <c r="B1450" s="11"/>
      <c r="C1450" s="20"/>
      <c r="D1450" s="20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5"/>
    </row>
    <row r="1451">
      <c r="A1451" s="11"/>
      <c r="B1451" s="11"/>
      <c r="C1451" s="20"/>
      <c r="D1451" s="20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5"/>
    </row>
    <row r="1452">
      <c r="A1452" s="11"/>
      <c r="B1452" s="11"/>
      <c r="C1452" s="20"/>
      <c r="D1452" s="20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5"/>
    </row>
    <row r="1453">
      <c r="A1453" s="11"/>
      <c r="B1453" s="11"/>
      <c r="C1453" s="20"/>
      <c r="D1453" s="20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5"/>
    </row>
    <row r="1454">
      <c r="A1454" s="11"/>
      <c r="B1454" s="11"/>
      <c r="C1454" s="20"/>
      <c r="D1454" s="20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5"/>
    </row>
    <row r="1455">
      <c r="A1455" s="11"/>
      <c r="B1455" s="11"/>
      <c r="C1455" s="20"/>
      <c r="D1455" s="20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5"/>
    </row>
    <row r="1456">
      <c r="A1456" s="11"/>
      <c r="B1456" s="11"/>
      <c r="C1456" s="20"/>
      <c r="D1456" s="20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5"/>
    </row>
    <row r="1457">
      <c r="A1457" s="11"/>
      <c r="B1457" s="11"/>
      <c r="C1457" s="20"/>
      <c r="D1457" s="20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5"/>
    </row>
    <row r="1458">
      <c r="A1458" s="11"/>
      <c r="B1458" s="11"/>
      <c r="C1458" s="20"/>
      <c r="D1458" s="20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5"/>
    </row>
    <row r="1459">
      <c r="A1459" s="11"/>
      <c r="B1459" s="11"/>
      <c r="C1459" s="20"/>
      <c r="D1459" s="20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5"/>
    </row>
    <row r="1460">
      <c r="A1460" s="11"/>
      <c r="B1460" s="11"/>
      <c r="C1460" s="20"/>
      <c r="D1460" s="20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5"/>
    </row>
    <row r="1461">
      <c r="A1461" s="11"/>
      <c r="B1461" s="11"/>
      <c r="C1461" s="20"/>
      <c r="D1461" s="20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5"/>
    </row>
    <row r="1462">
      <c r="A1462" s="11"/>
      <c r="B1462" s="11"/>
      <c r="C1462" s="20"/>
      <c r="D1462" s="20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5"/>
    </row>
    <row r="1463">
      <c r="A1463" s="11"/>
      <c r="B1463" s="11"/>
      <c r="C1463" s="20"/>
      <c r="D1463" s="20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5"/>
    </row>
    <row r="1464">
      <c r="A1464" s="11"/>
      <c r="B1464" s="11"/>
      <c r="C1464" s="20"/>
      <c r="D1464" s="20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5"/>
    </row>
    <row r="1465">
      <c r="A1465" s="11"/>
      <c r="B1465" s="11"/>
      <c r="C1465" s="20"/>
      <c r="D1465" s="20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5"/>
    </row>
    <row r="1466">
      <c r="A1466" s="11"/>
      <c r="B1466" s="11"/>
      <c r="C1466" s="20"/>
      <c r="D1466" s="20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5"/>
    </row>
    <row r="1467">
      <c r="A1467" s="11"/>
      <c r="B1467" s="11"/>
      <c r="C1467" s="20"/>
      <c r="D1467" s="20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5"/>
    </row>
    <row r="1468">
      <c r="A1468" s="11"/>
      <c r="B1468" s="11"/>
      <c r="C1468" s="20"/>
      <c r="D1468" s="20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5"/>
    </row>
    <row r="1469">
      <c r="A1469" s="11"/>
      <c r="B1469" s="11"/>
      <c r="C1469" s="20"/>
      <c r="D1469" s="20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5"/>
    </row>
    <row r="1470">
      <c r="A1470" s="11"/>
      <c r="B1470" s="11"/>
      <c r="C1470" s="20"/>
      <c r="D1470" s="20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5"/>
    </row>
    <row r="1471">
      <c r="A1471" s="11"/>
      <c r="B1471" s="11"/>
      <c r="C1471" s="20"/>
      <c r="D1471" s="20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5"/>
    </row>
    <row r="1472">
      <c r="A1472" s="11"/>
      <c r="B1472" s="11"/>
      <c r="C1472" s="20"/>
      <c r="D1472" s="20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5"/>
    </row>
    <row r="1473">
      <c r="A1473" s="11"/>
      <c r="B1473" s="11"/>
      <c r="C1473" s="20"/>
      <c r="D1473" s="20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5"/>
    </row>
    <row r="1474">
      <c r="A1474" s="11"/>
      <c r="B1474" s="11"/>
      <c r="C1474" s="20"/>
      <c r="D1474" s="20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5"/>
    </row>
    <row r="1475">
      <c r="A1475" s="11"/>
      <c r="B1475" s="11"/>
      <c r="C1475" s="20"/>
      <c r="D1475" s="20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5"/>
    </row>
    <row r="1476">
      <c r="A1476" s="11"/>
      <c r="B1476" s="11"/>
      <c r="C1476" s="20"/>
      <c r="D1476" s="20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5"/>
    </row>
    <row r="1477">
      <c r="A1477" s="11"/>
      <c r="B1477" s="11"/>
      <c r="C1477" s="20"/>
      <c r="D1477" s="20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5"/>
    </row>
    <row r="1478">
      <c r="A1478" s="11"/>
      <c r="B1478" s="11"/>
      <c r="C1478" s="20"/>
      <c r="D1478" s="20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5"/>
    </row>
    <row r="1479">
      <c r="A1479" s="11"/>
      <c r="B1479" s="11"/>
      <c r="C1479" s="20"/>
      <c r="D1479" s="20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5"/>
    </row>
    <row r="1480">
      <c r="A1480" s="11"/>
      <c r="B1480" s="11"/>
      <c r="C1480" s="20"/>
      <c r="D1480" s="20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5"/>
    </row>
    <row r="1481">
      <c r="A1481" s="11"/>
      <c r="B1481" s="11"/>
      <c r="C1481" s="20"/>
      <c r="D1481" s="20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5"/>
    </row>
    <row r="1482">
      <c r="A1482" s="11"/>
      <c r="B1482" s="11"/>
      <c r="C1482" s="20"/>
      <c r="D1482" s="20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5"/>
    </row>
    <row r="1483">
      <c r="A1483" s="11"/>
      <c r="B1483" s="11"/>
      <c r="C1483" s="20"/>
      <c r="D1483" s="20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5"/>
    </row>
    <row r="1484">
      <c r="A1484" s="11"/>
      <c r="B1484" s="11"/>
      <c r="C1484" s="20"/>
      <c r="D1484" s="20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5"/>
    </row>
    <row r="1485">
      <c r="A1485" s="11"/>
      <c r="B1485" s="11"/>
      <c r="C1485" s="20"/>
      <c r="D1485" s="20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5"/>
    </row>
    <row r="1486">
      <c r="A1486" s="11"/>
      <c r="B1486" s="11"/>
      <c r="C1486" s="20"/>
      <c r="D1486" s="20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5"/>
    </row>
    <row r="1487">
      <c r="A1487" s="11"/>
      <c r="B1487" s="11"/>
      <c r="C1487" s="20"/>
      <c r="D1487" s="20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5"/>
    </row>
    <row r="1488">
      <c r="A1488" s="11"/>
      <c r="B1488" s="11"/>
      <c r="C1488" s="20"/>
      <c r="D1488" s="20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5"/>
    </row>
    <row r="1489">
      <c r="A1489" s="11"/>
      <c r="B1489" s="11"/>
      <c r="C1489" s="20"/>
      <c r="D1489" s="20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5"/>
    </row>
    <row r="1490">
      <c r="A1490" s="11"/>
      <c r="B1490" s="11"/>
      <c r="C1490" s="20"/>
      <c r="D1490" s="20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5"/>
    </row>
    <row r="1491">
      <c r="A1491" s="11"/>
      <c r="B1491" s="11"/>
      <c r="C1491" s="20"/>
      <c r="D1491" s="20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5"/>
    </row>
    <row r="1492">
      <c r="A1492" s="11"/>
      <c r="B1492" s="11"/>
      <c r="C1492" s="20"/>
      <c r="D1492" s="20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5"/>
    </row>
    <row r="1493">
      <c r="A1493" s="11"/>
      <c r="B1493" s="11"/>
      <c r="C1493" s="20"/>
      <c r="D1493" s="20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5"/>
    </row>
    <row r="1494">
      <c r="A1494" s="11"/>
      <c r="B1494" s="11"/>
      <c r="C1494" s="20"/>
      <c r="D1494" s="20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5"/>
    </row>
    <row r="1495">
      <c r="A1495" s="11"/>
      <c r="B1495" s="11"/>
      <c r="C1495" s="20"/>
      <c r="D1495" s="20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5"/>
    </row>
    <row r="1496">
      <c r="A1496" s="11"/>
      <c r="B1496" s="11"/>
      <c r="C1496" s="20"/>
      <c r="D1496" s="20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5"/>
    </row>
    <row r="1497">
      <c r="A1497" s="11"/>
      <c r="B1497" s="11"/>
      <c r="C1497" s="20"/>
      <c r="D1497" s="20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5"/>
    </row>
    <row r="1498">
      <c r="A1498" s="11"/>
      <c r="B1498" s="11"/>
      <c r="C1498" s="20"/>
      <c r="D1498" s="20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5"/>
    </row>
    <row r="1499">
      <c r="A1499" s="11"/>
      <c r="B1499" s="11"/>
      <c r="C1499" s="20"/>
      <c r="D1499" s="20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5"/>
    </row>
    <row r="1500">
      <c r="A1500" s="11"/>
      <c r="B1500" s="11"/>
      <c r="C1500" s="20"/>
      <c r="D1500" s="20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5"/>
    </row>
    <row r="1501">
      <c r="A1501" s="11"/>
      <c r="B1501" s="11"/>
      <c r="C1501" s="20"/>
      <c r="D1501" s="20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5"/>
    </row>
    <row r="1502">
      <c r="A1502" s="11"/>
      <c r="B1502" s="11"/>
      <c r="C1502" s="20"/>
      <c r="D1502" s="20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5"/>
    </row>
    <row r="1503">
      <c r="A1503" s="11"/>
      <c r="B1503" s="11"/>
      <c r="C1503" s="20"/>
      <c r="D1503" s="20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5"/>
    </row>
    <row r="1504">
      <c r="A1504" s="11"/>
      <c r="B1504" s="11"/>
      <c r="C1504" s="20"/>
      <c r="D1504" s="20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5"/>
    </row>
    <row r="1505">
      <c r="A1505" s="11"/>
      <c r="B1505" s="11"/>
      <c r="C1505" s="20"/>
      <c r="D1505" s="20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5"/>
    </row>
    <row r="1506">
      <c r="A1506" s="11"/>
      <c r="B1506" s="11"/>
      <c r="C1506" s="20"/>
      <c r="D1506" s="20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5"/>
    </row>
    <row r="1507">
      <c r="A1507" s="11"/>
      <c r="B1507" s="11"/>
      <c r="C1507" s="20"/>
      <c r="D1507" s="20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5"/>
    </row>
    <row r="1508">
      <c r="A1508" s="11"/>
      <c r="B1508" s="11"/>
      <c r="C1508" s="20"/>
      <c r="D1508" s="20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5"/>
    </row>
    <row r="1509">
      <c r="A1509" s="11"/>
      <c r="B1509" s="11"/>
      <c r="C1509" s="20"/>
      <c r="D1509" s="20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5"/>
    </row>
    <row r="1510">
      <c r="A1510" s="11"/>
      <c r="B1510" s="11"/>
      <c r="C1510" s="20"/>
      <c r="D1510" s="20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5"/>
    </row>
    <row r="1511">
      <c r="A1511" s="11"/>
      <c r="B1511" s="11"/>
      <c r="C1511" s="20"/>
      <c r="D1511" s="20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5"/>
    </row>
    <row r="1512">
      <c r="A1512" s="11"/>
      <c r="B1512" s="11"/>
      <c r="C1512" s="20"/>
      <c r="D1512" s="20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5"/>
    </row>
    <row r="1513">
      <c r="A1513" s="11"/>
      <c r="B1513" s="11"/>
      <c r="C1513" s="20"/>
      <c r="D1513" s="20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5"/>
    </row>
    <row r="1514">
      <c r="A1514" s="11"/>
      <c r="B1514" s="11"/>
      <c r="C1514" s="20"/>
      <c r="D1514" s="20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5"/>
    </row>
    <row r="1515">
      <c r="A1515" s="11"/>
      <c r="B1515" s="11"/>
      <c r="C1515" s="20"/>
      <c r="D1515" s="20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5"/>
    </row>
    <row r="1516">
      <c r="A1516" s="11"/>
      <c r="B1516" s="11"/>
      <c r="C1516" s="20"/>
      <c r="D1516" s="20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5"/>
    </row>
    <row r="1517">
      <c r="A1517" s="11"/>
      <c r="B1517" s="11"/>
      <c r="C1517" s="20"/>
      <c r="D1517" s="20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5"/>
    </row>
    <row r="1518">
      <c r="A1518" s="11"/>
      <c r="B1518" s="11"/>
      <c r="C1518" s="20"/>
      <c r="D1518" s="20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5"/>
    </row>
    <row r="1519">
      <c r="A1519" s="11"/>
      <c r="B1519" s="11"/>
      <c r="C1519" s="20"/>
      <c r="D1519" s="20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5"/>
    </row>
    <row r="1520">
      <c r="A1520" s="11"/>
      <c r="B1520" s="11"/>
      <c r="C1520" s="20"/>
      <c r="D1520" s="20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5"/>
    </row>
    <row r="1521">
      <c r="A1521" s="11"/>
      <c r="B1521" s="11"/>
      <c r="C1521" s="20"/>
      <c r="D1521" s="20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5"/>
    </row>
    <row r="1522">
      <c r="A1522" s="11"/>
      <c r="B1522" s="11"/>
      <c r="C1522" s="20"/>
      <c r="D1522" s="20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5"/>
    </row>
    <row r="1523">
      <c r="A1523" s="11"/>
      <c r="B1523" s="11"/>
      <c r="C1523" s="20"/>
      <c r="D1523" s="20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5"/>
    </row>
    <row r="1524">
      <c r="A1524" s="11"/>
      <c r="B1524" s="11"/>
      <c r="C1524" s="20"/>
      <c r="D1524" s="20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5"/>
    </row>
    <row r="1525">
      <c r="A1525" s="11"/>
      <c r="B1525" s="11"/>
      <c r="C1525" s="20"/>
      <c r="D1525" s="20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5"/>
    </row>
    <row r="1526">
      <c r="A1526" s="11"/>
      <c r="B1526" s="11"/>
      <c r="C1526" s="20"/>
      <c r="D1526" s="20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5"/>
    </row>
    <row r="1527">
      <c r="A1527" s="11"/>
      <c r="B1527" s="11"/>
      <c r="C1527" s="20"/>
      <c r="D1527" s="20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5"/>
    </row>
    <row r="1528">
      <c r="A1528" s="11"/>
      <c r="B1528" s="11"/>
      <c r="C1528" s="20"/>
      <c r="D1528" s="20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5"/>
    </row>
    <row r="1529">
      <c r="A1529" s="11"/>
      <c r="B1529" s="11"/>
      <c r="C1529" s="20"/>
      <c r="D1529" s="20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5"/>
    </row>
    <row r="1530">
      <c r="A1530" s="11"/>
      <c r="B1530" s="11"/>
      <c r="C1530" s="20"/>
      <c r="D1530" s="20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5"/>
    </row>
    <row r="1531">
      <c r="A1531" s="11"/>
      <c r="B1531" s="11"/>
      <c r="C1531" s="20"/>
      <c r="D1531" s="20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5"/>
    </row>
    <row r="1532">
      <c r="A1532" s="11"/>
      <c r="B1532" s="11"/>
      <c r="C1532" s="20"/>
      <c r="D1532" s="20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5"/>
    </row>
    <row r="1533">
      <c r="A1533" s="11"/>
      <c r="B1533" s="11"/>
      <c r="C1533" s="20"/>
      <c r="D1533" s="20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5"/>
    </row>
    <row r="1534">
      <c r="A1534" s="11"/>
      <c r="B1534" s="11"/>
      <c r="C1534" s="20"/>
      <c r="D1534" s="20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5"/>
    </row>
    <row r="1535">
      <c r="A1535" s="11"/>
      <c r="B1535" s="11"/>
      <c r="C1535" s="20"/>
      <c r="D1535" s="20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5"/>
    </row>
    <row r="1536">
      <c r="A1536" s="11"/>
      <c r="B1536" s="11"/>
      <c r="C1536" s="20"/>
      <c r="D1536" s="20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5"/>
    </row>
    <row r="1537">
      <c r="A1537" s="11"/>
      <c r="B1537" s="11"/>
      <c r="C1537" s="20"/>
      <c r="D1537" s="20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5"/>
    </row>
    <row r="1538">
      <c r="A1538" s="11"/>
      <c r="B1538" s="11"/>
      <c r="C1538" s="20"/>
      <c r="D1538" s="20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5"/>
    </row>
    <row r="1539">
      <c r="A1539" s="11"/>
      <c r="B1539" s="11"/>
      <c r="C1539" s="20"/>
      <c r="D1539" s="20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5"/>
    </row>
    <row r="1540">
      <c r="A1540" s="11"/>
      <c r="B1540" s="11"/>
      <c r="C1540" s="20"/>
      <c r="D1540" s="20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5"/>
    </row>
    <row r="1541">
      <c r="A1541" s="11"/>
      <c r="B1541" s="11"/>
      <c r="C1541" s="20"/>
      <c r="D1541" s="20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5"/>
    </row>
    <row r="1542">
      <c r="A1542" s="11"/>
      <c r="B1542" s="11"/>
      <c r="C1542" s="20"/>
      <c r="D1542" s="20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5"/>
    </row>
    <row r="1543">
      <c r="A1543" s="11"/>
      <c r="B1543" s="11"/>
      <c r="C1543" s="20"/>
      <c r="D1543" s="20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5"/>
    </row>
    <row r="1544">
      <c r="A1544" s="11"/>
      <c r="B1544" s="11"/>
      <c r="C1544" s="20"/>
      <c r="D1544" s="20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5"/>
    </row>
    <row r="1545">
      <c r="A1545" s="11"/>
      <c r="B1545" s="11"/>
      <c r="C1545" s="20"/>
      <c r="D1545" s="20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5"/>
    </row>
    <row r="1546">
      <c r="A1546" s="11"/>
      <c r="B1546" s="11"/>
      <c r="C1546" s="20"/>
      <c r="D1546" s="20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5"/>
    </row>
    <row r="1547">
      <c r="A1547" s="11"/>
      <c r="B1547" s="11"/>
      <c r="C1547" s="20"/>
      <c r="D1547" s="20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5"/>
    </row>
    <row r="1548">
      <c r="A1548" s="11"/>
      <c r="B1548" s="11"/>
      <c r="C1548" s="20"/>
      <c r="D1548" s="20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5"/>
    </row>
    <row r="1549">
      <c r="A1549" s="11"/>
      <c r="B1549" s="11"/>
      <c r="C1549" s="20"/>
      <c r="D1549" s="20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5"/>
    </row>
    <row r="1550">
      <c r="A1550" s="11"/>
      <c r="B1550" s="11"/>
      <c r="C1550" s="20"/>
      <c r="D1550" s="20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5"/>
    </row>
    <row r="1551">
      <c r="A1551" s="11"/>
      <c r="B1551" s="11"/>
      <c r="C1551" s="20"/>
      <c r="D1551" s="20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5"/>
    </row>
    <row r="1552">
      <c r="A1552" s="11"/>
      <c r="B1552" s="11"/>
      <c r="C1552" s="20"/>
      <c r="D1552" s="20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5"/>
    </row>
    <row r="1553">
      <c r="A1553" s="11"/>
      <c r="B1553" s="11"/>
      <c r="C1553" s="20"/>
      <c r="D1553" s="20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5"/>
    </row>
    <row r="1554">
      <c r="A1554" s="11"/>
      <c r="B1554" s="11"/>
      <c r="C1554" s="20"/>
      <c r="D1554" s="20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5"/>
    </row>
    <row r="1555">
      <c r="A1555" s="11"/>
      <c r="B1555" s="11"/>
      <c r="C1555" s="20"/>
      <c r="D1555" s="20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5"/>
    </row>
    <row r="1556">
      <c r="A1556" s="11"/>
      <c r="B1556" s="11"/>
      <c r="C1556" s="20"/>
      <c r="D1556" s="20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5"/>
    </row>
    <row r="1557">
      <c r="A1557" s="11"/>
      <c r="B1557" s="11"/>
      <c r="C1557" s="20"/>
      <c r="D1557" s="20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5"/>
    </row>
    <row r="1558">
      <c r="A1558" s="11"/>
      <c r="B1558" s="11"/>
      <c r="C1558" s="20"/>
      <c r="D1558" s="20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5"/>
    </row>
    <row r="1559">
      <c r="A1559" s="11"/>
      <c r="B1559" s="11"/>
      <c r="C1559" s="20"/>
      <c r="D1559" s="20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5"/>
    </row>
    <row r="1560">
      <c r="A1560" s="11"/>
      <c r="B1560" s="11"/>
      <c r="C1560" s="20"/>
      <c r="D1560" s="20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5"/>
    </row>
    <row r="1561">
      <c r="A1561" s="11"/>
      <c r="B1561" s="11"/>
      <c r="C1561" s="20"/>
      <c r="D1561" s="20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5"/>
    </row>
    <row r="1562">
      <c r="A1562" s="11"/>
      <c r="B1562" s="11"/>
      <c r="C1562" s="20"/>
      <c r="D1562" s="20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5"/>
    </row>
    <row r="1563">
      <c r="A1563" s="11"/>
      <c r="B1563" s="11"/>
      <c r="C1563" s="20"/>
      <c r="D1563" s="20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5"/>
    </row>
    <row r="1564">
      <c r="A1564" s="11"/>
      <c r="B1564" s="11"/>
      <c r="C1564" s="20"/>
      <c r="D1564" s="20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5"/>
    </row>
    <row r="1565">
      <c r="A1565" s="11"/>
      <c r="B1565" s="11"/>
      <c r="C1565" s="20"/>
      <c r="D1565" s="20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5"/>
    </row>
    <row r="1566">
      <c r="A1566" s="11"/>
      <c r="B1566" s="11"/>
      <c r="C1566" s="20"/>
      <c r="D1566" s="20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5"/>
    </row>
    <row r="1567">
      <c r="A1567" s="11"/>
      <c r="B1567" s="11"/>
      <c r="C1567" s="20"/>
      <c r="D1567" s="20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5"/>
    </row>
    <row r="1568">
      <c r="A1568" s="11"/>
      <c r="B1568" s="11"/>
      <c r="C1568" s="20"/>
      <c r="D1568" s="20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5"/>
    </row>
    <row r="1569">
      <c r="A1569" s="11"/>
      <c r="B1569" s="11"/>
      <c r="C1569" s="20"/>
      <c r="D1569" s="20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5"/>
    </row>
    <row r="1570">
      <c r="A1570" s="11"/>
      <c r="B1570" s="11"/>
      <c r="C1570" s="20"/>
      <c r="D1570" s="20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5"/>
    </row>
    <row r="1571">
      <c r="A1571" s="11"/>
      <c r="B1571" s="11"/>
      <c r="C1571" s="20"/>
      <c r="D1571" s="20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5"/>
    </row>
    <row r="1572">
      <c r="A1572" s="11"/>
      <c r="B1572" s="11"/>
      <c r="C1572" s="20"/>
      <c r="D1572" s="20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5"/>
    </row>
    <row r="1573">
      <c r="A1573" s="11"/>
      <c r="B1573" s="11"/>
      <c r="C1573" s="20"/>
      <c r="D1573" s="20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5"/>
    </row>
    <row r="1574">
      <c r="A1574" s="11"/>
      <c r="B1574" s="11"/>
      <c r="C1574" s="20"/>
      <c r="D1574" s="20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5"/>
    </row>
    <row r="1575">
      <c r="A1575" s="11"/>
      <c r="B1575" s="11"/>
      <c r="C1575" s="20"/>
      <c r="D1575" s="20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5"/>
    </row>
    <row r="1576">
      <c r="A1576" s="11"/>
      <c r="B1576" s="11"/>
      <c r="C1576" s="20"/>
      <c r="D1576" s="20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5"/>
    </row>
    <row r="1577">
      <c r="A1577" s="11"/>
      <c r="B1577" s="11"/>
      <c r="C1577" s="20"/>
      <c r="D1577" s="20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5"/>
    </row>
    <row r="1578">
      <c r="A1578" s="11"/>
      <c r="B1578" s="11"/>
      <c r="C1578" s="20"/>
      <c r="D1578" s="20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5"/>
    </row>
    <row r="1579">
      <c r="A1579" s="11"/>
      <c r="B1579" s="11"/>
      <c r="C1579" s="20"/>
      <c r="D1579" s="20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5"/>
    </row>
    <row r="1580">
      <c r="A1580" s="11"/>
      <c r="B1580" s="11"/>
      <c r="C1580" s="20"/>
      <c r="D1580" s="20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5"/>
    </row>
    <row r="1581">
      <c r="A1581" s="11"/>
      <c r="B1581" s="11"/>
      <c r="C1581" s="20"/>
      <c r="D1581" s="20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5"/>
    </row>
    <row r="1582">
      <c r="A1582" s="11"/>
      <c r="B1582" s="11"/>
      <c r="C1582" s="20"/>
      <c r="D1582" s="20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5"/>
    </row>
    <row r="1583">
      <c r="A1583" s="11"/>
      <c r="B1583" s="11"/>
      <c r="C1583" s="20"/>
      <c r="D1583" s="20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5"/>
    </row>
    <row r="1584">
      <c r="A1584" s="11"/>
      <c r="B1584" s="11"/>
      <c r="C1584" s="20"/>
      <c r="D1584" s="20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5"/>
    </row>
    <row r="1585">
      <c r="A1585" s="11"/>
      <c r="B1585" s="11"/>
      <c r="C1585" s="20"/>
      <c r="D1585" s="20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5"/>
    </row>
    <row r="1586">
      <c r="A1586" s="11"/>
      <c r="B1586" s="11"/>
      <c r="C1586" s="20"/>
      <c r="D1586" s="20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5"/>
    </row>
    <row r="1587">
      <c r="A1587" s="11"/>
      <c r="B1587" s="11"/>
      <c r="C1587" s="20"/>
      <c r="D1587" s="20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5"/>
    </row>
    <row r="1588">
      <c r="A1588" s="11"/>
      <c r="B1588" s="11"/>
      <c r="C1588" s="20"/>
      <c r="D1588" s="20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5"/>
    </row>
    <row r="1589">
      <c r="A1589" s="11"/>
      <c r="B1589" s="11"/>
      <c r="C1589" s="20"/>
      <c r="D1589" s="20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5"/>
    </row>
    <row r="1590">
      <c r="A1590" s="11"/>
      <c r="B1590" s="11"/>
      <c r="C1590" s="20"/>
      <c r="D1590" s="20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5"/>
    </row>
    <row r="1591">
      <c r="A1591" s="11"/>
      <c r="B1591" s="11"/>
      <c r="C1591" s="20"/>
      <c r="D1591" s="20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5"/>
    </row>
    <row r="1592">
      <c r="A1592" s="11"/>
      <c r="B1592" s="11"/>
      <c r="C1592" s="20"/>
      <c r="D1592" s="20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5"/>
    </row>
    <row r="1593">
      <c r="A1593" s="11"/>
      <c r="B1593" s="11"/>
      <c r="C1593" s="20"/>
      <c r="D1593" s="20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5"/>
    </row>
    <row r="1594">
      <c r="A1594" s="11"/>
      <c r="B1594" s="11"/>
      <c r="C1594" s="20"/>
      <c r="D1594" s="20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5"/>
    </row>
    <row r="1595">
      <c r="A1595" s="11"/>
      <c r="B1595" s="11"/>
      <c r="C1595" s="20"/>
      <c r="D1595" s="20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5"/>
    </row>
    <row r="1596">
      <c r="A1596" s="11"/>
      <c r="B1596" s="11"/>
      <c r="C1596" s="20"/>
      <c r="D1596" s="20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5"/>
    </row>
    <row r="1597">
      <c r="A1597" s="11"/>
      <c r="B1597" s="11"/>
      <c r="C1597" s="20"/>
      <c r="D1597" s="20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5"/>
    </row>
    <row r="1598">
      <c r="A1598" s="11"/>
      <c r="B1598" s="11"/>
      <c r="C1598" s="20"/>
      <c r="D1598" s="20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5"/>
    </row>
    <row r="1599">
      <c r="A1599" s="11"/>
      <c r="B1599" s="11"/>
      <c r="C1599" s="20"/>
      <c r="D1599" s="20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5"/>
    </row>
    <row r="1600">
      <c r="A1600" s="11"/>
      <c r="B1600" s="11"/>
      <c r="C1600" s="20"/>
      <c r="D1600" s="20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5"/>
    </row>
    <row r="1601">
      <c r="A1601" s="11"/>
      <c r="B1601" s="11"/>
      <c r="C1601" s="20"/>
      <c r="D1601" s="20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5"/>
    </row>
    <row r="1602">
      <c r="A1602" s="11"/>
      <c r="B1602" s="11"/>
      <c r="C1602" s="20"/>
      <c r="D1602" s="20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5"/>
    </row>
    <row r="1603">
      <c r="A1603" s="11"/>
      <c r="B1603" s="11"/>
      <c r="C1603" s="20"/>
      <c r="D1603" s="20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5"/>
    </row>
    <row r="1604">
      <c r="A1604" s="11"/>
      <c r="B1604" s="11"/>
      <c r="C1604" s="20"/>
      <c r="D1604" s="20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5"/>
    </row>
    <row r="1605">
      <c r="A1605" s="11"/>
      <c r="B1605" s="11"/>
      <c r="C1605" s="20"/>
      <c r="D1605" s="20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5"/>
    </row>
    <row r="1606">
      <c r="A1606" s="11"/>
      <c r="B1606" s="11"/>
      <c r="C1606" s="20"/>
      <c r="D1606" s="20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5"/>
    </row>
    <row r="1607">
      <c r="A1607" s="11"/>
      <c r="B1607" s="11"/>
      <c r="C1607" s="20"/>
      <c r="D1607" s="20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5"/>
    </row>
    <row r="1608">
      <c r="A1608" s="11"/>
      <c r="B1608" s="11"/>
      <c r="C1608" s="20"/>
      <c r="D1608" s="20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5"/>
    </row>
    <row r="1609">
      <c r="A1609" s="11"/>
      <c r="B1609" s="11"/>
      <c r="C1609" s="20"/>
      <c r="D1609" s="20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5"/>
    </row>
    <row r="1610">
      <c r="A1610" s="11"/>
      <c r="B1610" s="11"/>
      <c r="C1610" s="20"/>
      <c r="D1610" s="20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5"/>
    </row>
    <row r="1611">
      <c r="A1611" s="11"/>
      <c r="B1611" s="11"/>
      <c r="C1611" s="20"/>
      <c r="D1611" s="20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5"/>
    </row>
    <row r="1612">
      <c r="A1612" s="11"/>
      <c r="B1612" s="11"/>
      <c r="C1612" s="20"/>
      <c r="D1612" s="20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5"/>
    </row>
    <row r="1613">
      <c r="A1613" s="11"/>
      <c r="B1613" s="11"/>
      <c r="C1613" s="20"/>
      <c r="D1613" s="20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5"/>
    </row>
    <row r="1614">
      <c r="A1614" s="11"/>
      <c r="B1614" s="11"/>
      <c r="C1614" s="20"/>
      <c r="D1614" s="20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5"/>
    </row>
    <row r="1615">
      <c r="A1615" s="11"/>
      <c r="B1615" s="11"/>
      <c r="C1615" s="20"/>
      <c r="D1615" s="20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5"/>
    </row>
    <row r="1616">
      <c r="A1616" s="11"/>
      <c r="B1616" s="11"/>
      <c r="C1616" s="20"/>
      <c r="D1616" s="20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5"/>
    </row>
    <row r="1617">
      <c r="A1617" s="11"/>
      <c r="B1617" s="11"/>
      <c r="C1617" s="20"/>
      <c r="D1617" s="20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5"/>
    </row>
    <row r="1618">
      <c r="A1618" s="11"/>
      <c r="B1618" s="11"/>
      <c r="C1618" s="20"/>
      <c r="D1618" s="20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5"/>
    </row>
    <row r="1619">
      <c r="A1619" s="11"/>
      <c r="B1619" s="11"/>
      <c r="C1619" s="20"/>
      <c r="D1619" s="20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5"/>
    </row>
    <row r="1620">
      <c r="A1620" s="11"/>
      <c r="B1620" s="11"/>
      <c r="C1620" s="20"/>
      <c r="D1620" s="20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5"/>
    </row>
    <row r="1621">
      <c r="A1621" s="11"/>
      <c r="B1621" s="11"/>
      <c r="C1621" s="20"/>
      <c r="D1621" s="20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5"/>
    </row>
    <row r="1622">
      <c r="A1622" s="11"/>
      <c r="B1622" s="11"/>
      <c r="C1622" s="20"/>
      <c r="D1622" s="20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5"/>
    </row>
    <row r="1623">
      <c r="A1623" s="11"/>
      <c r="B1623" s="11"/>
      <c r="C1623" s="20"/>
      <c r="D1623" s="20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5"/>
    </row>
    <row r="1624">
      <c r="A1624" s="11"/>
      <c r="B1624" s="11"/>
      <c r="C1624" s="20"/>
      <c r="D1624" s="20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5"/>
    </row>
    <row r="1625">
      <c r="A1625" s="11"/>
      <c r="B1625" s="11"/>
      <c r="C1625" s="20"/>
      <c r="D1625" s="20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5"/>
    </row>
    <row r="1626">
      <c r="A1626" s="11"/>
      <c r="B1626" s="11"/>
      <c r="C1626" s="20"/>
      <c r="D1626" s="20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5"/>
    </row>
    <row r="1627">
      <c r="A1627" s="11"/>
      <c r="B1627" s="11"/>
      <c r="C1627" s="20"/>
      <c r="D1627" s="20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5"/>
    </row>
    <row r="1628">
      <c r="A1628" s="11"/>
      <c r="B1628" s="11"/>
      <c r="C1628" s="20"/>
      <c r="D1628" s="20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5"/>
    </row>
    <row r="1629">
      <c r="A1629" s="11"/>
      <c r="B1629" s="11"/>
      <c r="C1629" s="20"/>
      <c r="D1629" s="20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5"/>
    </row>
    <row r="1630">
      <c r="A1630" s="11"/>
      <c r="B1630" s="11"/>
      <c r="C1630" s="20"/>
      <c r="D1630" s="20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5"/>
    </row>
    <row r="1631">
      <c r="A1631" s="11"/>
      <c r="B1631" s="11"/>
      <c r="C1631" s="20"/>
      <c r="D1631" s="20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5"/>
    </row>
    <row r="1632">
      <c r="A1632" s="11"/>
      <c r="B1632" s="11"/>
      <c r="C1632" s="20"/>
      <c r="D1632" s="20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5"/>
    </row>
    <row r="1633">
      <c r="A1633" s="11"/>
      <c r="B1633" s="11"/>
      <c r="C1633" s="20"/>
      <c r="D1633" s="20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5"/>
    </row>
    <row r="1634">
      <c r="A1634" s="11"/>
      <c r="B1634" s="11"/>
      <c r="C1634" s="20"/>
      <c r="D1634" s="20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5"/>
    </row>
    <row r="1635">
      <c r="A1635" s="11"/>
      <c r="B1635" s="11"/>
      <c r="C1635" s="20"/>
      <c r="D1635" s="20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5"/>
    </row>
    <row r="1636">
      <c r="A1636" s="11"/>
      <c r="B1636" s="11"/>
      <c r="C1636" s="20"/>
      <c r="D1636" s="20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5"/>
    </row>
    <row r="1637">
      <c r="A1637" s="11"/>
      <c r="B1637" s="11"/>
      <c r="C1637" s="20"/>
      <c r="D1637" s="20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5"/>
    </row>
    <row r="1638">
      <c r="A1638" s="11"/>
      <c r="B1638" s="11"/>
      <c r="C1638" s="20"/>
      <c r="D1638" s="20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5"/>
    </row>
    <row r="1639">
      <c r="A1639" s="11"/>
      <c r="B1639" s="11"/>
      <c r="C1639" s="20"/>
      <c r="D1639" s="20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5"/>
    </row>
    <row r="1640">
      <c r="A1640" s="11"/>
      <c r="B1640" s="11"/>
      <c r="C1640" s="20"/>
      <c r="D1640" s="20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5"/>
    </row>
    <row r="1641">
      <c r="A1641" s="11"/>
      <c r="B1641" s="11"/>
      <c r="C1641" s="20"/>
      <c r="D1641" s="20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5"/>
    </row>
    <row r="1642">
      <c r="A1642" s="11"/>
      <c r="B1642" s="11"/>
      <c r="C1642" s="20"/>
      <c r="D1642" s="20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5"/>
    </row>
    <row r="1643">
      <c r="A1643" s="11"/>
      <c r="B1643" s="11"/>
      <c r="C1643" s="20"/>
      <c r="D1643" s="20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5"/>
    </row>
    <row r="1644">
      <c r="A1644" s="11"/>
      <c r="B1644" s="11"/>
      <c r="C1644" s="20"/>
      <c r="D1644" s="20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5"/>
    </row>
    <row r="1645">
      <c r="A1645" s="11"/>
      <c r="B1645" s="11"/>
      <c r="C1645" s="20"/>
      <c r="D1645" s="20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5"/>
    </row>
    <row r="1646">
      <c r="A1646" s="11"/>
      <c r="B1646" s="11"/>
      <c r="C1646" s="20"/>
      <c r="D1646" s="20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5"/>
    </row>
    <row r="1647">
      <c r="A1647" s="11"/>
      <c r="B1647" s="11"/>
      <c r="C1647" s="20"/>
      <c r="D1647" s="20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5"/>
    </row>
    <row r="1648">
      <c r="A1648" s="11"/>
      <c r="B1648" s="11"/>
      <c r="C1648" s="20"/>
      <c r="D1648" s="20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5"/>
    </row>
    <row r="1649">
      <c r="A1649" s="11"/>
      <c r="B1649" s="11"/>
      <c r="C1649" s="20"/>
      <c r="D1649" s="20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5"/>
    </row>
    <row r="1650">
      <c r="A1650" s="11"/>
      <c r="B1650" s="11"/>
      <c r="C1650" s="20"/>
      <c r="D1650" s="20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5"/>
    </row>
    <row r="1651">
      <c r="A1651" s="11"/>
      <c r="B1651" s="11"/>
      <c r="C1651" s="20"/>
      <c r="D1651" s="20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5"/>
    </row>
    <row r="1652">
      <c r="A1652" s="11"/>
      <c r="B1652" s="11"/>
      <c r="C1652" s="20"/>
      <c r="D1652" s="20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5"/>
    </row>
    <row r="1653">
      <c r="A1653" s="11"/>
      <c r="B1653" s="11"/>
      <c r="C1653" s="20"/>
      <c r="D1653" s="20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5"/>
    </row>
    <row r="1654">
      <c r="A1654" s="11"/>
      <c r="B1654" s="11"/>
      <c r="C1654" s="20"/>
      <c r="D1654" s="20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5"/>
    </row>
    <row r="1655">
      <c r="A1655" s="11"/>
      <c r="B1655" s="11"/>
      <c r="C1655" s="20"/>
      <c r="D1655" s="20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5"/>
    </row>
    <row r="1656">
      <c r="A1656" s="11"/>
      <c r="B1656" s="11"/>
      <c r="C1656" s="20"/>
      <c r="D1656" s="20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5"/>
    </row>
    <row r="1657">
      <c r="A1657" s="11"/>
      <c r="B1657" s="11"/>
      <c r="C1657" s="20"/>
      <c r="D1657" s="20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5"/>
    </row>
    <row r="1658">
      <c r="A1658" s="11"/>
      <c r="B1658" s="11"/>
      <c r="C1658" s="20"/>
      <c r="D1658" s="20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5"/>
    </row>
    <row r="1659">
      <c r="A1659" s="11"/>
      <c r="B1659" s="11"/>
      <c r="C1659" s="20"/>
      <c r="D1659" s="20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5"/>
    </row>
    <row r="1660">
      <c r="A1660" s="11"/>
      <c r="B1660" s="11"/>
      <c r="C1660" s="20"/>
      <c r="D1660" s="20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5"/>
    </row>
    <row r="1661">
      <c r="A1661" s="11"/>
      <c r="B1661" s="11"/>
      <c r="C1661" s="20"/>
      <c r="D1661" s="20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5"/>
    </row>
    <row r="1662">
      <c r="A1662" s="11"/>
      <c r="B1662" s="11"/>
      <c r="C1662" s="20"/>
      <c r="D1662" s="20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5"/>
    </row>
    <row r="1663">
      <c r="A1663" s="11"/>
      <c r="B1663" s="11"/>
      <c r="C1663" s="20"/>
      <c r="D1663" s="20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5"/>
    </row>
    <row r="1664">
      <c r="A1664" s="11"/>
      <c r="B1664" s="11"/>
      <c r="C1664" s="20"/>
      <c r="D1664" s="20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5"/>
    </row>
    <row r="1665">
      <c r="A1665" s="11"/>
      <c r="B1665" s="11"/>
      <c r="C1665" s="20"/>
      <c r="D1665" s="20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5"/>
    </row>
    <row r="1666">
      <c r="A1666" s="11"/>
      <c r="B1666" s="11"/>
      <c r="C1666" s="20"/>
      <c r="D1666" s="20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5"/>
    </row>
    <row r="1667">
      <c r="A1667" s="11"/>
      <c r="B1667" s="11"/>
      <c r="C1667" s="20"/>
      <c r="D1667" s="20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5"/>
    </row>
    <row r="1668">
      <c r="A1668" s="11"/>
      <c r="B1668" s="11"/>
      <c r="C1668" s="20"/>
      <c r="D1668" s="20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5"/>
    </row>
    <row r="1669">
      <c r="A1669" s="11"/>
      <c r="B1669" s="11"/>
      <c r="C1669" s="20"/>
      <c r="D1669" s="20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5"/>
    </row>
    <row r="1670">
      <c r="A1670" s="11"/>
      <c r="B1670" s="11"/>
      <c r="C1670" s="20"/>
      <c r="D1670" s="20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5"/>
    </row>
    <row r="1671">
      <c r="A1671" s="11"/>
      <c r="B1671" s="11"/>
      <c r="C1671" s="20"/>
      <c r="D1671" s="20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5"/>
    </row>
    <row r="1672">
      <c r="A1672" s="11"/>
      <c r="B1672" s="11"/>
      <c r="C1672" s="20"/>
      <c r="D1672" s="20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5"/>
    </row>
    <row r="1673">
      <c r="A1673" s="11"/>
      <c r="B1673" s="11"/>
      <c r="C1673" s="20"/>
      <c r="D1673" s="20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5"/>
    </row>
    <row r="1674">
      <c r="A1674" s="11"/>
      <c r="B1674" s="11"/>
      <c r="C1674" s="20"/>
      <c r="D1674" s="20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5"/>
    </row>
    <row r="1675">
      <c r="A1675" s="11"/>
      <c r="B1675" s="11"/>
      <c r="C1675" s="20"/>
      <c r="D1675" s="20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5"/>
    </row>
    <row r="1676">
      <c r="A1676" s="11"/>
      <c r="B1676" s="11"/>
      <c r="C1676" s="20"/>
      <c r="D1676" s="20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5"/>
    </row>
    <row r="1677">
      <c r="A1677" s="11"/>
      <c r="B1677" s="11"/>
      <c r="C1677" s="20"/>
      <c r="D1677" s="20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5"/>
    </row>
    <row r="1678">
      <c r="A1678" s="11"/>
      <c r="B1678" s="11"/>
      <c r="C1678" s="20"/>
      <c r="D1678" s="20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5"/>
    </row>
    <row r="1679">
      <c r="A1679" s="11"/>
      <c r="B1679" s="11"/>
      <c r="C1679" s="20"/>
      <c r="D1679" s="20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5"/>
    </row>
    <row r="1680">
      <c r="A1680" s="11"/>
      <c r="B1680" s="11"/>
      <c r="C1680" s="20"/>
      <c r="D1680" s="20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5"/>
    </row>
    <row r="1681">
      <c r="A1681" s="11"/>
      <c r="B1681" s="11"/>
      <c r="C1681" s="20"/>
      <c r="D1681" s="20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5"/>
    </row>
    <row r="1682">
      <c r="A1682" s="11"/>
      <c r="B1682" s="11"/>
      <c r="C1682" s="20"/>
      <c r="D1682" s="20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5"/>
    </row>
    <row r="1683">
      <c r="A1683" s="11"/>
      <c r="B1683" s="11"/>
      <c r="C1683" s="20"/>
      <c r="D1683" s="20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5"/>
    </row>
    <row r="1684">
      <c r="A1684" s="11"/>
      <c r="B1684" s="11"/>
      <c r="C1684" s="20"/>
      <c r="D1684" s="20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5"/>
    </row>
    <row r="1685">
      <c r="A1685" s="11"/>
      <c r="B1685" s="11"/>
      <c r="C1685" s="20"/>
      <c r="D1685" s="20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5"/>
    </row>
    <row r="1686">
      <c r="A1686" s="11"/>
      <c r="B1686" s="11"/>
      <c r="C1686" s="20"/>
      <c r="D1686" s="20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5"/>
    </row>
    <row r="1687">
      <c r="A1687" s="11"/>
      <c r="B1687" s="11"/>
      <c r="C1687" s="20"/>
      <c r="D1687" s="20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5"/>
    </row>
    <row r="1688">
      <c r="A1688" s="11"/>
      <c r="B1688" s="11"/>
      <c r="C1688" s="20"/>
      <c r="D1688" s="20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5"/>
    </row>
    <row r="1689">
      <c r="A1689" s="11"/>
      <c r="B1689" s="11"/>
      <c r="C1689" s="20"/>
      <c r="D1689" s="20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5"/>
    </row>
    <row r="1690">
      <c r="A1690" s="11"/>
      <c r="B1690" s="11"/>
      <c r="C1690" s="20"/>
      <c r="D1690" s="20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5"/>
    </row>
    <row r="1691">
      <c r="A1691" s="11"/>
      <c r="B1691" s="11"/>
      <c r="C1691" s="20"/>
      <c r="D1691" s="20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5"/>
    </row>
    <row r="1692">
      <c r="A1692" s="11"/>
      <c r="B1692" s="11"/>
      <c r="C1692" s="20"/>
      <c r="D1692" s="20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5"/>
    </row>
    <row r="1693">
      <c r="A1693" s="11"/>
      <c r="B1693" s="11"/>
      <c r="C1693" s="20"/>
      <c r="D1693" s="20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5"/>
    </row>
    <row r="1694">
      <c r="A1694" s="11"/>
      <c r="B1694" s="11"/>
      <c r="C1694" s="20"/>
      <c r="D1694" s="20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5"/>
    </row>
    <row r="1695">
      <c r="A1695" s="11"/>
      <c r="B1695" s="11"/>
      <c r="C1695" s="20"/>
      <c r="D1695" s="20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5"/>
    </row>
    <row r="1696">
      <c r="A1696" s="11"/>
      <c r="B1696" s="11"/>
      <c r="C1696" s="20"/>
      <c r="D1696" s="20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5"/>
    </row>
    <row r="1697">
      <c r="A1697" s="11"/>
      <c r="B1697" s="11"/>
      <c r="C1697" s="20"/>
      <c r="D1697" s="20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5"/>
    </row>
    <row r="1698">
      <c r="A1698" s="11"/>
      <c r="B1698" s="11"/>
      <c r="C1698" s="20"/>
      <c r="D1698" s="20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5"/>
    </row>
    <row r="1699">
      <c r="A1699" s="11"/>
      <c r="B1699" s="11"/>
      <c r="C1699" s="20"/>
      <c r="D1699" s="20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5"/>
    </row>
    <row r="1700">
      <c r="A1700" s="11"/>
      <c r="B1700" s="11"/>
      <c r="C1700" s="20"/>
      <c r="D1700" s="20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5"/>
    </row>
    <row r="1701">
      <c r="A1701" s="11"/>
      <c r="B1701" s="11"/>
      <c r="C1701" s="20"/>
      <c r="D1701" s="20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5"/>
    </row>
    <row r="1702">
      <c r="A1702" s="11"/>
      <c r="B1702" s="11"/>
      <c r="C1702" s="20"/>
      <c r="D1702" s="20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5"/>
    </row>
    <row r="1703">
      <c r="A1703" s="11"/>
      <c r="B1703" s="11"/>
      <c r="C1703" s="20"/>
      <c r="D1703" s="20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5"/>
    </row>
    <row r="1704">
      <c r="A1704" s="11"/>
      <c r="B1704" s="11"/>
      <c r="C1704" s="20"/>
      <c r="D1704" s="20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5"/>
    </row>
    <row r="1705">
      <c r="A1705" s="11"/>
      <c r="B1705" s="11"/>
      <c r="C1705" s="20"/>
      <c r="D1705" s="20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5"/>
    </row>
    <row r="1706">
      <c r="A1706" s="11"/>
      <c r="B1706" s="11"/>
      <c r="C1706" s="20"/>
      <c r="D1706" s="20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5"/>
    </row>
    <row r="1707">
      <c r="A1707" s="11"/>
      <c r="B1707" s="11"/>
      <c r="C1707" s="20"/>
      <c r="D1707" s="20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5"/>
    </row>
    <row r="1708">
      <c r="A1708" s="11"/>
      <c r="B1708" s="11"/>
      <c r="C1708" s="20"/>
      <c r="D1708" s="20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5"/>
    </row>
    <row r="1709">
      <c r="A1709" s="11"/>
      <c r="B1709" s="11"/>
      <c r="C1709" s="20"/>
      <c r="D1709" s="20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5"/>
    </row>
    <row r="1710">
      <c r="A1710" s="11"/>
      <c r="B1710" s="11"/>
      <c r="C1710" s="20"/>
      <c r="D1710" s="20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5"/>
    </row>
    <row r="1711">
      <c r="A1711" s="11"/>
      <c r="B1711" s="11"/>
      <c r="C1711" s="20"/>
      <c r="D1711" s="20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5"/>
    </row>
    <row r="1712">
      <c r="A1712" s="11"/>
      <c r="B1712" s="11"/>
      <c r="C1712" s="20"/>
      <c r="D1712" s="20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5"/>
    </row>
    <row r="1713">
      <c r="A1713" s="11"/>
      <c r="B1713" s="11"/>
      <c r="C1713" s="20"/>
      <c r="D1713" s="20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5"/>
    </row>
    <row r="1714">
      <c r="A1714" s="11"/>
      <c r="B1714" s="11"/>
      <c r="C1714" s="20"/>
      <c r="D1714" s="20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5"/>
    </row>
    <row r="1715">
      <c r="A1715" s="11"/>
      <c r="B1715" s="11"/>
      <c r="C1715" s="20"/>
      <c r="D1715" s="20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5"/>
    </row>
    <row r="1716">
      <c r="A1716" s="11"/>
      <c r="B1716" s="11"/>
      <c r="C1716" s="20"/>
      <c r="D1716" s="20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5"/>
    </row>
    <row r="1717">
      <c r="A1717" s="11"/>
      <c r="B1717" s="11"/>
      <c r="C1717" s="20"/>
      <c r="D1717" s="20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5"/>
    </row>
    <row r="1718">
      <c r="A1718" s="11"/>
      <c r="B1718" s="11"/>
      <c r="C1718" s="20"/>
      <c r="D1718" s="20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5"/>
    </row>
    <row r="1719">
      <c r="A1719" s="11"/>
      <c r="B1719" s="11"/>
      <c r="C1719" s="20"/>
      <c r="D1719" s="20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5"/>
    </row>
    <row r="1720">
      <c r="A1720" s="11"/>
      <c r="B1720" s="11"/>
      <c r="C1720" s="20"/>
      <c r="D1720" s="20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5"/>
    </row>
    <row r="1721">
      <c r="A1721" s="11"/>
      <c r="B1721" s="11"/>
      <c r="C1721" s="20"/>
      <c r="D1721" s="20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5"/>
    </row>
    <row r="1722">
      <c r="A1722" s="11"/>
      <c r="B1722" s="11"/>
      <c r="C1722" s="20"/>
      <c r="D1722" s="20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5"/>
    </row>
    <row r="1723">
      <c r="A1723" s="11"/>
      <c r="B1723" s="11"/>
      <c r="C1723" s="20"/>
      <c r="D1723" s="20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5"/>
    </row>
    <row r="1724">
      <c r="A1724" s="11"/>
      <c r="B1724" s="11"/>
      <c r="C1724" s="20"/>
      <c r="D1724" s="20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5"/>
    </row>
    <row r="1725">
      <c r="A1725" s="11"/>
      <c r="B1725" s="11"/>
      <c r="C1725" s="20"/>
      <c r="D1725" s="20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5"/>
    </row>
    <row r="1726">
      <c r="A1726" s="11"/>
      <c r="B1726" s="11"/>
      <c r="C1726" s="20"/>
      <c r="D1726" s="20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5"/>
    </row>
    <row r="1727">
      <c r="A1727" s="11"/>
      <c r="B1727" s="11"/>
      <c r="C1727" s="20"/>
      <c r="D1727" s="20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5"/>
    </row>
    <row r="1728">
      <c r="A1728" s="11"/>
      <c r="B1728" s="11"/>
      <c r="C1728" s="20"/>
      <c r="D1728" s="20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5"/>
    </row>
    <row r="1729">
      <c r="A1729" s="11"/>
      <c r="B1729" s="11"/>
      <c r="C1729" s="20"/>
      <c r="D1729" s="20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5"/>
    </row>
    <row r="1730">
      <c r="A1730" s="11"/>
      <c r="B1730" s="11"/>
      <c r="C1730" s="20"/>
      <c r="D1730" s="20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5"/>
    </row>
    <row r="1731">
      <c r="A1731" s="11"/>
      <c r="B1731" s="11"/>
      <c r="C1731" s="20"/>
      <c r="D1731" s="20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5"/>
    </row>
    <row r="1732">
      <c r="A1732" s="11"/>
      <c r="B1732" s="11"/>
      <c r="C1732" s="20"/>
      <c r="D1732" s="20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5"/>
    </row>
    <row r="1733">
      <c r="A1733" s="11"/>
      <c r="B1733" s="11"/>
      <c r="C1733" s="20"/>
      <c r="D1733" s="20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5"/>
    </row>
    <row r="1734">
      <c r="A1734" s="11"/>
      <c r="B1734" s="11"/>
      <c r="C1734" s="20"/>
      <c r="D1734" s="20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5"/>
    </row>
    <row r="1735">
      <c r="A1735" s="11"/>
      <c r="B1735" s="11"/>
      <c r="C1735" s="20"/>
      <c r="D1735" s="20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5"/>
    </row>
    <row r="1736">
      <c r="A1736" s="11"/>
      <c r="B1736" s="11"/>
      <c r="C1736" s="20"/>
      <c r="D1736" s="20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5"/>
    </row>
    <row r="1737">
      <c r="A1737" s="11"/>
      <c r="B1737" s="11"/>
      <c r="C1737" s="20"/>
      <c r="D1737" s="20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5"/>
    </row>
    <row r="1738">
      <c r="A1738" s="11"/>
      <c r="B1738" s="11"/>
      <c r="C1738" s="20"/>
      <c r="D1738" s="20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5"/>
    </row>
    <row r="1739">
      <c r="A1739" s="11"/>
      <c r="B1739" s="11"/>
      <c r="C1739" s="20"/>
      <c r="D1739" s="20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5"/>
    </row>
    <row r="1740">
      <c r="A1740" s="11"/>
      <c r="B1740" s="11"/>
      <c r="C1740" s="20"/>
      <c r="D1740" s="20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5"/>
    </row>
    <row r="1741">
      <c r="A1741" s="11"/>
      <c r="B1741" s="11"/>
      <c r="C1741" s="20"/>
      <c r="D1741" s="20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5"/>
    </row>
    <row r="1742">
      <c r="A1742" s="11"/>
      <c r="B1742" s="11"/>
      <c r="C1742" s="20"/>
      <c r="D1742" s="20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5"/>
    </row>
    <row r="1743">
      <c r="A1743" s="11"/>
      <c r="B1743" s="11"/>
      <c r="C1743" s="20"/>
      <c r="D1743" s="20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5"/>
    </row>
    <row r="1744">
      <c r="A1744" s="11"/>
      <c r="B1744" s="11"/>
      <c r="C1744" s="20"/>
      <c r="D1744" s="20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5"/>
    </row>
    <row r="1745">
      <c r="A1745" s="11"/>
      <c r="B1745" s="11"/>
      <c r="C1745" s="20"/>
      <c r="D1745" s="20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5"/>
    </row>
    <row r="1746">
      <c r="A1746" s="11"/>
      <c r="B1746" s="11"/>
      <c r="C1746" s="20"/>
      <c r="D1746" s="20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5"/>
    </row>
    <row r="1747">
      <c r="A1747" s="11"/>
      <c r="B1747" s="11"/>
      <c r="C1747" s="20"/>
      <c r="D1747" s="20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5"/>
    </row>
    <row r="1748">
      <c r="A1748" s="11"/>
      <c r="B1748" s="11"/>
      <c r="C1748" s="20"/>
      <c r="D1748" s="20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5"/>
    </row>
    <row r="1749">
      <c r="A1749" s="11"/>
      <c r="B1749" s="11"/>
      <c r="C1749" s="20"/>
      <c r="D1749" s="20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5"/>
    </row>
    <row r="1750">
      <c r="A1750" s="11"/>
      <c r="B1750" s="11"/>
      <c r="C1750" s="20"/>
      <c r="D1750" s="20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5"/>
    </row>
    <row r="1751">
      <c r="A1751" s="11"/>
      <c r="B1751" s="11"/>
      <c r="C1751" s="20"/>
      <c r="D1751" s="20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5"/>
    </row>
    <row r="1752">
      <c r="A1752" s="11"/>
      <c r="B1752" s="11"/>
      <c r="C1752" s="20"/>
      <c r="D1752" s="20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5"/>
    </row>
    <row r="1753">
      <c r="A1753" s="11"/>
      <c r="B1753" s="11"/>
      <c r="C1753" s="20"/>
      <c r="D1753" s="20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5"/>
    </row>
    <row r="1754">
      <c r="A1754" s="11"/>
      <c r="B1754" s="11"/>
      <c r="C1754" s="20"/>
      <c r="D1754" s="20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5"/>
    </row>
    <row r="1755">
      <c r="A1755" s="11"/>
      <c r="B1755" s="11"/>
      <c r="C1755" s="20"/>
      <c r="D1755" s="20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5"/>
    </row>
    <row r="1756">
      <c r="A1756" s="11"/>
      <c r="B1756" s="11"/>
      <c r="C1756" s="20"/>
      <c r="D1756" s="20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5"/>
    </row>
    <row r="1757">
      <c r="A1757" s="11"/>
      <c r="B1757" s="11"/>
      <c r="C1757" s="20"/>
      <c r="D1757" s="20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5"/>
    </row>
    <row r="1758">
      <c r="A1758" s="11"/>
      <c r="B1758" s="11"/>
      <c r="C1758" s="20"/>
      <c r="D1758" s="20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5"/>
    </row>
    <row r="1759">
      <c r="A1759" s="11"/>
      <c r="B1759" s="11"/>
      <c r="C1759" s="20"/>
      <c r="D1759" s="20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5"/>
    </row>
    <row r="1760">
      <c r="A1760" s="11"/>
      <c r="B1760" s="11"/>
      <c r="C1760" s="20"/>
      <c r="D1760" s="20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5"/>
    </row>
    <row r="1761">
      <c r="A1761" s="11"/>
      <c r="B1761" s="11"/>
      <c r="C1761" s="20"/>
      <c r="D1761" s="20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5"/>
    </row>
    <row r="1762">
      <c r="A1762" s="11"/>
      <c r="B1762" s="11"/>
      <c r="C1762" s="20"/>
      <c r="D1762" s="20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5"/>
    </row>
    <row r="1763">
      <c r="A1763" s="11"/>
      <c r="B1763" s="11"/>
      <c r="C1763" s="20"/>
      <c r="D1763" s="20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5"/>
    </row>
    <row r="1764">
      <c r="A1764" s="11"/>
      <c r="B1764" s="11"/>
      <c r="C1764" s="20"/>
      <c r="D1764" s="20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5"/>
    </row>
    <row r="1765">
      <c r="A1765" s="11"/>
      <c r="B1765" s="11"/>
      <c r="C1765" s="20"/>
      <c r="D1765" s="20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5"/>
    </row>
    <row r="1766">
      <c r="A1766" s="11"/>
      <c r="B1766" s="11"/>
      <c r="C1766" s="20"/>
      <c r="D1766" s="20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5"/>
    </row>
    <row r="1767">
      <c r="A1767" s="11"/>
      <c r="B1767" s="11"/>
      <c r="C1767" s="20"/>
      <c r="D1767" s="20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5"/>
    </row>
    <row r="1768">
      <c r="A1768" s="11"/>
      <c r="B1768" s="11"/>
      <c r="C1768" s="20"/>
      <c r="D1768" s="20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5"/>
    </row>
    <row r="1769">
      <c r="A1769" s="11"/>
      <c r="B1769" s="11"/>
      <c r="C1769" s="20"/>
      <c r="D1769" s="20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5"/>
    </row>
    <row r="1770">
      <c r="A1770" s="11"/>
      <c r="B1770" s="11"/>
      <c r="C1770" s="20"/>
      <c r="D1770" s="20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5"/>
    </row>
    <row r="1771">
      <c r="A1771" s="11"/>
      <c r="B1771" s="11"/>
      <c r="C1771" s="20"/>
      <c r="D1771" s="20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5"/>
    </row>
    <row r="1772">
      <c r="A1772" s="11"/>
      <c r="B1772" s="11"/>
      <c r="C1772" s="20"/>
      <c r="D1772" s="20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5"/>
    </row>
    <row r="1773">
      <c r="A1773" s="11"/>
      <c r="B1773" s="11"/>
      <c r="C1773" s="20"/>
      <c r="D1773" s="20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5"/>
    </row>
    <row r="1774">
      <c r="A1774" s="11"/>
      <c r="B1774" s="11"/>
      <c r="C1774" s="20"/>
      <c r="D1774" s="20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5"/>
    </row>
    <row r="1775">
      <c r="A1775" s="11"/>
      <c r="B1775" s="11"/>
      <c r="C1775" s="20"/>
      <c r="D1775" s="20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5"/>
    </row>
    <row r="1776">
      <c r="A1776" s="11"/>
      <c r="B1776" s="11"/>
      <c r="C1776" s="20"/>
      <c r="D1776" s="20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5"/>
    </row>
    <row r="1777">
      <c r="A1777" s="11"/>
      <c r="B1777" s="11"/>
      <c r="C1777" s="20"/>
      <c r="D1777" s="20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5"/>
    </row>
    <row r="1778">
      <c r="A1778" s="11"/>
      <c r="B1778" s="11"/>
      <c r="C1778" s="20"/>
      <c r="D1778" s="20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5"/>
    </row>
    <row r="1779">
      <c r="A1779" s="11"/>
      <c r="B1779" s="11"/>
      <c r="C1779" s="20"/>
      <c r="D1779" s="20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5"/>
    </row>
    <row r="1780">
      <c r="A1780" s="11"/>
      <c r="B1780" s="11"/>
      <c r="C1780" s="20"/>
      <c r="D1780" s="20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5"/>
    </row>
    <row r="1781">
      <c r="A1781" s="11"/>
      <c r="B1781" s="11"/>
      <c r="C1781" s="20"/>
      <c r="D1781" s="20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5"/>
    </row>
    <row r="1782">
      <c r="A1782" s="11"/>
      <c r="B1782" s="11"/>
      <c r="C1782" s="20"/>
      <c r="D1782" s="20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5"/>
    </row>
    <row r="1783">
      <c r="A1783" s="11"/>
      <c r="B1783" s="11"/>
      <c r="C1783" s="20"/>
      <c r="D1783" s="20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5"/>
    </row>
    <row r="1784">
      <c r="A1784" s="11"/>
      <c r="B1784" s="11"/>
      <c r="C1784" s="20"/>
      <c r="D1784" s="20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5"/>
    </row>
    <row r="1785">
      <c r="A1785" s="11"/>
      <c r="B1785" s="11"/>
      <c r="C1785" s="20"/>
      <c r="D1785" s="20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5"/>
    </row>
    <row r="1786">
      <c r="A1786" s="11"/>
      <c r="B1786" s="11"/>
      <c r="C1786" s="20"/>
      <c r="D1786" s="20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5"/>
    </row>
    <row r="1787">
      <c r="A1787" s="11"/>
      <c r="B1787" s="11"/>
      <c r="C1787" s="20"/>
      <c r="D1787" s="20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5"/>
    </row>
    <row r="1788">
      <c r="A1788" s="11"/>
      <c r="B1788" s="11"/>
      <c r="C1788" s="20"/>
      <c r="D1788" s="20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5"/>
    </row>
    <row r="1789">
      <c r="A1789" s="11"/>
      <c r="B1789" s="11"/>
      <c r="C1789" s="20"/>
      <c r="D1789" s="20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5"/>
    </row>
    <row r="1790">
      <c r="A1790" s="11"/>
      <c r="B1790" s="11"/>
      <c r="C1790" s="20"/>
      <c r="D1790" s="20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5"/>
    </row>
    <row r="1791">
      <c r="A1791" s="11"/>
      <c r="B1791" s="11"/>
      <c r="C1791" s="20"/>
      <c r="D1791" s="20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5"/>
    </row>
    <row r="1792">
      <c r="A1792" s="11"/>
      <c r="B1792" s="11"/>
      <c r="C1792" s="20"/>
      <c r="D1792" s="20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5"/>
    </row>
    <row r="1793">
      <c r="A1793" s="11"/>
      <c r="B1793" s="11"/>
      <c r="C1793" s="20"/>
      <c r="D1793" s="20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5"/>
    </row>
    <row r="1794">
      <c r="A1794" s="11"/>
      <c r="B1794" s="11"/>
      <c r="C1794" s="20"/>
      <c r="D1794" s="20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5"/>
    </row>
    <row r="1795">
      <c r="A1795" s="11"/>
      <c r="B1795" s="11"/>
      <c r="C1795" s="20"/>
      <c r="D1795" s="20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5"/>
    </row>
    <row r="1796">
      <c r="A1796" s="11"/>
      <c r="B1796" s="11"/>
      <c r="C1796" s="20"/>
      <c r="D1796" s="20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5"/>
    </row>
    <row r="1797">
      <c r="A1797" s="11"/>
      <c r="B1797" s="11"/>
      <c r="C1797" s="20"/>
      <c r="D1797" s="20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5"/>
    </row>
    <row r="1798">
      <c r="A1798" s="11"/>
      <c r="B1798" s="11"/>
      <c r="C1798" s="20"/>
      <c r="D1798" s="20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5"/>
    </row>
    <row r="1799">
      <c r="A1799" s="11"/>
      <c r="B1799" s="11"/>
      <c r="C1799" s="20"/>
      <c r="D1799" s="20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5"/>
    </row>
    <row r="1800">
      <c r="A1800" s="11"/>
      <c r="B1800" s="11"/>
      <c r="C1800" s="20"/>
      <c r="D1800" s="20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5"/>
    </row>
    <row r="1801">
      <c r="A1801" s="11"/>
      <c r="B1801" s="11"/>
      <c r="C1801" s="20"/>
      <c r="D1801" s="20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5"/>
    </row>
    <row r="1802">
      <c r="A1802" s="11"/>
      <c r="B1802" s="11"/>
      <c r="C1802" s="20"/>
      <c r="D1802" s="20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5"/>
    </row>
    <row r="1803">
      <c r="A1803" s="11"/>
      <c r="B1803" s="11"/>
      <c r="C1803" s="20"/>
      <c r="D1803" s="20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5"/>
    </row>
    <row r="1804">
      <c r="A1804" s="11"/>
      <c r="B1804" s="11"/>
      <c r="C1804" s="20"/>
      <c r="D1804" s="20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5"/>
    </row>
    <row r="1805">
      <c r="A1805" s="11"/>
      <c r="B1805" s="11"/>
      <c r="C1805" s="20"/>
      <c r="D1805" s="20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5"/>
    </row>
    <row r="1806">
      <c r="A1806" s="11"/>
      <c r="B1806" s="11"/>
      <c r="C1806" s="20"/>
      <c r="D1806" s="20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5"/>
    </row>
    <row r="1807">
      <c r="A1807" s="11"/>
      <c r="B1807" s="11"/>
      <c r="C1807" s="20"/>
      <c r="D1807" s="20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5"/>
    </row>
    <row r="1808">
      <c r="A1808" s="11"/>
      <c r="B1808" s="11"/>
      <c r="C1808" s="20"/>
      <c r="D1808" s="20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5"/>
    </row>
    <row r="1809">
      <c r="A1809" s="11"/>
      <c r="B1809" s="11"/>
      <c r="C1809" s="20"/>
      <c r="D1809" s="20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5"/>
    </row>
    <row r="1810">
      <c r="A1810" s="11"/>
      <c r="B1810" s="11"/>
      <c r="C1810" s="20"/>
      <c r="D1810" s="20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5"/>
    </row>
    <row r="1811">
      <c r="A1811" s="11"/>
      <c r="B1811" s="11"/>
      <c r="C1811" s="20"/>
      <c r="D1811" s="20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5"/>
    </row>
    <row r="1812">
      <c r="A1812" s="11"/>
      <c r="B1812" s="11"/>
      <c r="C1812" s="20"/>
      <c r="D1812" s="20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5"/>
    </row>
    <row r="1813">
      <c r="A1813" s="11"/>
      <c r="B1813" s="11"/>
      <c r="C1813" s="20"/>
      <c r="D1813" s="20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5"/>
    </row>
    <row r="1814">
      <c r="A1814" s="11"/>
      <c r="B1814" s="11"/>
      <c r="C1814" s="20"/>
      <c r="D1814" s="20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5"/>
    </row>
    <row r="1815">
      <c r="A1815" s="11"/>
      <c r="B1815" s="11"/>
      <c r="C1815" s="20"/>
      <c r="D1815" s="20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5"/>
    </row>
    <row r="1816">
      <c r="A1816" s="11"/>
      <c r="B1816" s="11"/>
      <c r="C1816" s="20"/>
      <c r="D1816" s="20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5"/>
    </row>
    <row r="1817">
      <c r="A1817" s="11"/>
      <c r="B1817" s="11"/>
      <c r="C1817" s="20"/>
      <c r="D1817" s="20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5"/>
    </row>
    <row r="1818">
      <c r="A1818" s="11"/>
      <c r="B1818" s="11"/>
      <c r="C1818" s="20"/>
      <c r="D1818" s="20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5"/>
    </row>
    <row r="1819">
      <c r="A1819" s="11"/>
      <c r="B1819" s="11"/>
      <c r="C1819" s="20"/>
      <c r="D1819" s="20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5"/>
    </row>
    <row r="1820">
      <c r="A1820" s="11"/>
      <c r="B1820" s="11"/>
      <c r="C1820" s="20"/>
      <c r="D1820" s="20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5"/>
    </row>
    <row r="1821">
      <c r="A1821" s="11"/>
      <c r="B1821" s="11"/>
      <c r="C1821" s="20"/>
      <c r="D1821" s="20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5"/>
    </row>
    <row r="1822">
      <c r="A1822" s="11"/>
      <c r="B1822" s="11"/>
      <c r="C1822" s="20"/>
      <c r="D1822" s="20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5"/>
    </row>
    <row r="1823">
      <c r="A1823" s="11"/>
      <c r="B1823" s="11"/>
      <c r="C1823" s="20"/>
      <c r="D1823" s="20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5"/>
    </row>
    <row r="1824">
      <c r="A1824" s="11"/>
      <c r="B1824" s="11"/>
      <c r="C1824" s="20"/>
      <c r="D1824" s="20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5"/>
    </row>
    <row r="1825">
      <c r="A1825" s="11"/>
      <c r="B1825" s="11"/>
      <c r="C1825" s="20"/>
      <c r="D1825" s="20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5"/>
    </row>
    <row r="1826">
      <c r="A1826" s="11"/>
      <c r="B1826" s="11"/>
      <c r="C1826" s="20"/>
      <c r="D1826" s="20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5"/>
    </row>
    <row r="1827">
      <c r="A1827" s="11"/>
      <c r="B1827" s="11"/>
      <c r="C1827" s="20"/>
      <c r="D1827" s="20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5"/>
    </row>
    <row r="1828">
      <c r="A1828" s="11"/>
      <c r="B1828" s="11"/>
      <c r="C1828" s="20"/>
      <c r="D1828" s="20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5"/>
    </row>
    <row r="1829">
      <c r="A1829" s="11"/>
      <c r="B1829" s="11"/>
      <c r="C1829" s="20"/>
      <c r="D1829" s="20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5"/>
    </row>
    <row r="1830">
      <c r="A1830" s="11"/>
      <c r="B1830" s="11"/>
      <c r="C1830" s="20"/>
      <c r="D1830" s="20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5"/>
    </row>
    <row r="1831">
      <c r="A1831" s="11"/>
      <c r="B1831" s="11"/>
      <c r="C1831" s="20"/>
      <c r="D1831" s="20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5"/>
    </row>
    <row r="1832">
      <c r="A1832" s="11"/>
      <c r="B1832" s="11"/>
      <c r="C1832" s="20"/>
      <c r="D1832" s="20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5"/>
    </row>
    <row r="1833">
      <c r="A1833" s="11"/>
      <c r="B1833" s="11"/>
      <c r="C1833" s="20"/>
      <c r="D1833" s="20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5"/>
    </row>
    <row r="1834">
      <c r="A1834" s="11"/>
      <c r="B1834" s="11"/>
      <c r="C1834" s="20"/>
      <c r="D1834" s="20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5"/>
    </row>
    <row r="1835">
      <c r="A1835" s="11"/>
      <c r="B1835" s="11"/>
      <c r="C1835" s="20"/>
      <c r="D1835" s="20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5"/>
    </row>
    <row r="1836">
      <c r="A1836" s="11"/>
      <c r="B1836" s="11"/>
      <c r="C1836" s="20"/>
      <c r="D1836" s="20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5"/>
    </row>
    <row r="1837">
      <c r="A1837" s="11"/>
      <c r="B1837" s="11"/>
      <c r="C1837" s="20"/>
      <c r="D1837" s="20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5"/>
    </row>
    <row r="1838">
      <c r="A1838" s="11"/>
      <c r="B1838" s="11"/>
      <c r="C1838" s="20"/>
      <c r="D1838" s="20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5"/>
    </row>
    <row r="1839">
      <c r="A1839" s="11"/>
      <c r="B1839" s="11"/>
      <c r="C1839" s="20"/>
      <c r="D1839" s="20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5"/>
    </row>
    <row r="1840">
      <c r="A1840" s="11"/>
      <c r="B1840" s="11"/>
      <c r="C1840" s="20"/>
      <c r="D1840" s="20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5"/>
    </row>
    <row r="1841">
      <c r="A1841" s="11"/>
      <c r="B1841" s="11"/>
      <c r="C1841" s="20"/>
      <c r="D1841" s="20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5"/>
    </row>
    <row r="1842">
      <c r="A1842" s="11"/>
      <c r="B1842" s="11"/>
      <c r="C1842" s="20"/>
      <c r="D1842" s="20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5"/>
    </row>
    <row r="1843">
      <c r="A1843" s="11"/>
      <c r="B1843" s="11"/>
      <c r="C1843" s="20"/>
      <c r="D1843" s="20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5"/>
    </row>
    <row r="1844">
      <c r="A1844" s="11"/>
      <c r="B1844" s="11"/>
      <c r="C1844" s="20"/>
      <c r="D1844" s="20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5"/>
    </row>
    <row r="1845">
      <c r="A1845" s="11"/>
      <c r="B1845" s="11"/>
      <c r="C1845" s="20"/>
      <c r="D1845" s="20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5"/>
    </row>
    <row r="1846">
      <c r="A1846" s="11"/>
      <c r="B1846" s="11"/>
      <c r="C1846" s="20"/>
      <c r="D1846" s="20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5"/>
    </row>
    <row r="1847">
      <c r="A1847" s="11"/>
      <c r="B1847" s="11"/>
      <c r="C1847" s="20"/>
      <c r="D1847" s="20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5"/>
    </row>
    <row r="1848">
      <c r="A1848" s="11"/>
      <c r="B1848" s="11"/>
      <c r="C1848" s="20"/>
      <c r="D1848" s="20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5"/>
    </row>
    <row r="1849">
      <c r="A1849" s="11"/>
      <c r="B1849" s="11"/>
      <c r="C1849" s="20"/>
      <c r="D1849" s="20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5"/>
    </row>
    <row r="1850">
      <c r="A1850" s="11"/>
      <c r="B1850" s="11"/>
      <c r="C1850" s="20"/>
      <c r="D1850" s="20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5"/>
    </row>
    <row r="1851">
      <c r="A1851" s="11"/>
      <c r="B1851" s="11"/>
      <c r="C1851" s="20"/>
      <c r="D1851" s="20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5"/>
    </row>
    <row r="1852">
      <c r="A1852" s="11"/>
      <c r="B1852" s="11"/>
      <c r="C1852" s="20"/>
      <c r="D1852" s="20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5"/>
    </row>
    <row r="1853">
      <c r="A1853" s="11"/>
      <c r="B1853" s="11"/>
      <c r="C1853" s="20"/>
      <c r="D1853" s="20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5"/>
    </row>
    <row r="1854">
      <c r="A1854" s="11"/>
      <c r="B1854" s="11"/>
      <c r="C1854" s="20"/>
      <c r="D1854" s="20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5"/>
    </row>
    <row r="1855">
      <c r="A1855" s="11"/>
      <c r="B1855" s="11"/>
      <c r="C1855" s="20"/>
      <c r="D1855" s="20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5"/>
    </row>
    <row r="1856">
      <c r="A1856" s="11"/>
      <c r="B1856" s="11"/>
      <c r="C1856" s="20"/>
      <c r="D1856" s="20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5"/>
    </row>
    <row r="1857">
      <c r="A1857" s="11"/>
      <c r="B1857" s="11"/>
      <c r="C1857" s="20"/>
      <c r="D1857" s="20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5"/>
    </row>
    <row r="1858">
      <c r="A1858" s="11"/>
      <c r="B1858" s="11"/>
      <c r="C1858" s="20"/>
      <c r="D1858" s="20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5"/>
    </row>
    <row r="1859">
      <c r="A1859" s="11"/>
      <c r="B1859" s="11"/>
      <c r="C1859" s="20"/>
      <c r="D1859" s="20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5"/>
    </row>
    <row r="1860">
      <c r="A1860" s="11"/>
      <c r="B1860" s="11"/>
      <c r="C1860" s="20"/>
      <c r="D1860" s="20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5"/>
    </row>
    <row r="1861">
      <c r="A1861" s="11"/>
      <c r="B1861" s="11"/>
      <c r="C1861" s="20"/>
      <c r="D1861" s="20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5"/>
    </row>
    <row r="1862">
      <c r="A1862" s="11"/>
      <c r="B1862" s="11"/>
      <c r="C1862" s="20"/>
      <c r="D1862" s="20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5"/>
    </row>
    <row r="1863">
      <c r="A1863" s="11"/>
      <c r="B1863" s="11"/>
      <c r="C1863" s="20"/>
      <c r="D1863" s="20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5"/>
    </row>
    <row r="1864">
      <c r="A1864" s="11"/>
      <c r="B1864" s="11"/>
      <c r="C1864" s="20"/>
      <c r="D1864" s="20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5"/>
    </row>
    <row r="1865">
      <c r="A1865" s="11"/>
      <c r="B1865" s="11"/>
      <c r="C1865" s="20"/>
      <c r="D1865" s="20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5"/>
    </row>
    <row r="1866">
      <c r="A1866" s="11"/>
      <c r="B1866" s="11"/>
      <c r="C1866" s="20"/>
      <c r="D1866" s="20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5"/>
    </row>
    <row r="1867">
      <c r="A1867" s="11"/>
      <c r="B1867" s="11"/>
      <c r="C1867" s="20"/>
      <c r="D1867" s="20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5"/>
    </row>
    <row r="1868">
      <c r="A1868" s="11"/>
      <c r="B1868" s="11"/>
      <c r="C1868" s="20"/>
      <c r="D1868" s="20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5"/>
    </row>
    <row r="1869">
      <c r="A1869" s="11"/>
      <c r="B1869" s="11"/>
      <c r="C1869" s="20"/>
      <c r="D1869" s="20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5"/>
    </row>
    <row r="1870">
      <c r="A1870" s="11"/>
      <c r="B1870" s="11"/>
      <c r="C1870" s="20"/>
      <c r="D1870" s="20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5"/>
    </row>
    <row r="1871">
      <c r="A1871" s="11"/>
      <c r="B1871" s="11"/>
      <c r="C1871" s="20"/>
      <c r="D1871" s="20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5"/>
    </row>
    <row r="1872">
      <c r="A1872" s="11"/>
      <c r="B1872" s="11"/>
      <c r="C1872" s="20"/>
      <c r="D1872" s="20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5"/>
    </row>
    <row r="1873">
      <c r="A1873" s="11"/>
      <c r="B1873" s="11"/>
      <c r="C1873" s="20"/>
      <c r="D1873" s="20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5"/>
    </row>
    <row r="1874">
      <c r="A1874" s="11"/>
      <c r="B1874" s="11"/>
      <c r="C1874" s="20"/>
      <c r="D1874" s="20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5"/>
    </row>
    <row r="1875">
      <c r="A1875" s="11"/>
      <c r="B1875" s="11"/>
      <c r="C1875" s="20"/>
      <c r="D1875" s="20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5"/>
    </row>
    <row r="1876">
      <c r="A1876" s="11"/>
      <c r="B1876" s="11"/>
      <c r="C1876" s="20"/>
      <c r="D1876" s="20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5"/>
    </row>
    <row r="1877">
      <c r="A1877" s="11"/>
      <c r="B1877" s="11"/>
      <c r="C1877" s="20"/>
      <c r="D1877" s="20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5"/>
    </row>
    <row r="1878">
      <c r="A1878" s="11"/>
      <c r="B1878" s="11"/>
      <c r="C1878" s="20"/>
      <c r="D1878" s="20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5"/>
    </row>
    <row r="1879">
      <c r="A1879" s="11"/>
      <c r="B1879" s="11"/>
      <c r="C1879" s="20"/>
      <c r="D1879" s="20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5"/>
    </row>
    <row r="1880">
      <c r="A1880" s="11"/>
      <c r="B1880" s="11"/>
      <c r="C1880" s="20"/>
      <c r="D1880" s="20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5"/>
    </row>
    <row r="1881">
      <c r="A1881" s="11"/>
      <c r="B1881" s="11"/>
      <c r="C1881" s="20"/>
      <c r="D1881" s="20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5"/>
    </row>
    <row r="1882">
      <c r="A1882" s="11"/>
      <c r="B1882" s="11"/>
      <c r="C1882" s="20"/>
      <c r="D1882" s="20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5"/>
    </row>
    <row r="1883">
      <c r="A1883" s="11"/>
      <c r="B1883" s="11"/>
      <c r="C1883" s="20"/>
      <c r="D1883" s="20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5"/>
    </row>
    <row r="1884">
      <c r="A1884" s="11"/>
      <c r="B1884" s="11"/>
      <c r="C1884" s="20"/>
      <c r="D1884" s="20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5"/>
    </row>
    <row r="1885">
      <c r="A1885" s="11"/>
      <c r="B1885" s="11"/>
      <c r="C1885" s="20"/>
      <c r="D1885" s="20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5"/>
    </row>
    <row r="1886">
      <c r="A1886" s="11"/>
      <c r="B1886" s="11"/>
      <c r="C1886" s="20"/>
      <c r="D1886" s="20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5"/>
    </row>
    <row r="1887">
      <c r="A1887" s="11"/>
      <c r="B1887" s="11"/>
      <c r="C1887" s="20"/>
      <c r="D1887" s="20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5"/>
    </row>
    <row r="1888">
      <c r="A1888" s="11"/>
      <c r="B1888" s="11"/>
      <c r="C1888" s="20"/>
      <c r="D1888" s="20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5"/>
    </row>
    <row r="1889">
      <c r="A1889" s="11"/>
      <c r="B1889" s="11"/>
      <c r="C1889" s="20"/>
      <c r="D1889" s="20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5"/>
    </row>
    <row r="1890">
      <c r="A1890" s="11"/>
      <c r="B1890" s="11"/>
      <c r="C1890" s="20"/>
      <c r="D1890" s="20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5"/>
    </row>
    <row r="1891">
      <c r="A1891" s="11"/>
      <c r="B1891" s="11"/>
      <c r="C1891" s="20"/>
      <c r="D1891" s="20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5"/>
    </row>
    <row r="1892">
      <c r="A1892" s="11"/>
      <c r="B1892" s="11"/>
      <c r="C1892" s="20"/>
      <c r="D1892" s="20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5"/>
    </row>
    <row r="1893">
      <c r="A1893" s="11"/>
      <c r="B1893" s="11"/>
      <c r="C1893" s="20"/>
      <c r="D1893" s="20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5"/>
    </row>
    <row r="1894">
      <c r="A1894" s="11"/>
      <c r="B1894" s="11"/>
      <c r="C1894" s="20"/>
      <c r="D1894" s="20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5"/>
    </row>
    <row r="1895">
      <c r="A1895" s="11"/>
      <c r="B1895" s="11"/>
      <c r="C1895" s="20"/>
      <c r="D1895" s="20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5"/>
    </row>
    <row r="1896">
      <c r="A1896" s="11"/>
      <c r="B1896" s="11"/>
      <c r="C1896" s="20"/>
      <c r="D1896" s="20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5"/>
    </row>
    <row r="1897">
      <c r="A1897" s="11"/>
      <c r="B1897" s="11"/>
      <c r="C1897" s="20"/>
      <c r="D1897" s="20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5"/>
    </row>
    <row r="1898">
      <c r="A1898" s="11"/>
      <c r="B1898" s="11"/>
      <c r="C1898" s="20"/>
      <c r="D1898" s="20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5"/>
    </row>
    <row r="1899">
      <c r="A1899" s="11"/>
      <c r="B1899" s="11"/>
      <c r="C1899" s="20"/>
      <c r="D1899" s="20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5"/>
    </row>
    <row r="1900">
      <c r="A1900" s="11"/>
      <c r="B1900" s="11"/>
      <c r="C1900" s="20"/>
      <c r="D1900" s="20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5"/>
    </row>
    <row r="1901">
      <c r="A1901" s="11"/>
      <c r="B1901" s="11"/>
      <c r="C1901" s="20"/>
      <c r="D1901" s="20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5"/>
    </row>
    <row r="1902">
      <c r="A1902" s="11"/>
      <c r="B1902" s="11"/>
      <c r="C1902" s="20"/>
      <c r="D1902" s="20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5"/>
    </row>
    <row r="1903">
      <c r="A1903" s="11"/>
      <c r="B1903" s="11"/>
      <c r="C1903" s="20"/>
      <c r="D1903" s="20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5"/>
    </row>
    <row r="1904">
      <c r="A1904" s="11"/>
      <c r="B1904" s="11"/>
      <c r="C1904" s="20"/>
      <c r="D1904" s="20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5"/>
    </row>
    <row r="1905">
      <c r="A1905" s="11"/>
      <c r="B1905" s="11"/>
      <c r="C1905" s="20"/>
      <c r="D1905" s="20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5"/>
    </row>
    <row r="1906">
      <c r="A1906" s="11"/>
      <c r="B1906" s="11"/>
      <c r="C1906" s="20"/>
      <c r="D1906" s="20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5"/>
    </row>
    <row r="1907">
      <c r="A1907" s="11"/>
      <c r="B1907" s="11"/>
      <c r="C1907" s="20"/>
      <c r="D1907" s="20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5"/>
    </row>
    <row r="1908">
      <c r="A1908" s="11"/>
      <c r="B1908" s="11"/>
      <c r="C1908" s="20"/>
      <c r="D1908" s="20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5"/>
    </row>
    <row r="1909">
      <c r="A1909" s="11"/>
      <c r="B1909" s="11"/>
      <c r="C1909" s="20"/>
      <c r="D1909" s="20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5"/>
    </row>
    <row r="1910">
      <c r="A1910" s="11"/>
      <c r="B1910" s="11"/>
      <c r="C1910" s="20"/>
      <c r="D1910" s="20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5"/>
    </row>
    <row r="1911">
      <c r="A1911" s="11"/>
      <c r="B1911" s="11"/>
      <c r="C1911" s="20"/>
      <c r="D1911" s="20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5"/>
    </row>
    <row r="1912">
      <c r="A1912" s="11"/>
      <c r="B1912" s="11"/>
      <c r="C1912" s="20"/>
      <c r="D1912" s="20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5"/>
    </row>
    <row r="1913">
      <c r="A1913" s="11"/>
      <c r="B1913" s="11"/>
      <c r="C1913" s="20"/>
      <c r="D1913" s="20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5"/>
    </row>
    <row r="1914">
      <c r="A1914" s="11"/>
      <c r="B1914" s="11"/>
      <c r="C1914" s="20"/>
      <c r="D1914" s="20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5"/>
    </row>
    <row r="1915">
      <c r="A1915" s="11"/>
      <c r="B1915" s="11"/>
      <c r="C1915" s="20"/>
      <c r="D1915" s="20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5"/>
    </row>
    <row r="1916">
      <c r="A1916" s="11"/>
      <c r="B1916" s="11"/>
      <c r="C1916" s="20"/>
      <c r="D1916" s="20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5"/>
    </row>
    <row r="1917">
      <c r="A1917" s="11"/>
      <c r="B1917" s="11"/>
      <c r="C1917" s="20"/>
      <c r="D1917" s="20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5"/>
    </row>
    <row r="1918">
      <c r="A1918" s="11"/>
      <c r="B1918" s="11"/>
      <c r="C1918" s="20"/>
      <c r="D1918" s="20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5"/>
    </row>
    <row r="1919">
      <c r="A1919" s="11"/>
      <c r="B1919" s="11"/>
      <c r="C1919" s="20"/>
      <c r="D1919" s="20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5"/>
    </row>
    <row r="1920">
      <c r="A1920" s="11"/>
      <c r="B1920" s="11"/>
      <c r="C1920" s="20"/>
      <c r="D1920" s="20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5"/>
    </row>
    <row r="1921">
      <c r="A1921" s="11"/>
      <c r="B1921" s="11"/>
      <c r="C1921" s="20"/>
      <c r="D1921" s="20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5"/>
    </row>
    <row r="1922">
      <c r="A1922" s="11"/>
      <c r="B1922" s="11"/>
      <c r="C1922" s="20"/>
      <c r="D1922" s="20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5"/>
    </row>
    <row r="1923">
      <c r="A1923" s="11"/>
      <c r="B1923" s="11"/>
      <c r="C1923" s="20"/>
      <c r="D1923" s="20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5"/>
    </row>
    <row r="1924">
      <c r="A1924" s="11"/>
      <c r="B1924" s="11"/>
      <c r="C1924" s="20"/>
      <c r="D1924" s="20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5"/>
    </row>
    <row r="1925">
      <c r="A1925" s="11"/>
      <c r="B1925" s="11"/>
      <c r="C1925" s="20"/>
      <c r="D1925" s="20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5"/>
    </row>
    <row r="1926">
      <c r="A1926" s="11"/>
      <c r="B1926" s="11"/>
      <c r="C1926" s="20"/>
      <c r="D1926" s="20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5"/>
    </row>
    <row r="1927">
      <c r="A1927" s="11"/>
      <c r="B1927" s="11"/>
      <c r="C1927" s="20"/>
      <c r="D1927" s="20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5"/>
    </row>
    <row r="1928">
      <c r="A1928" s="11"/>
      <c r="B1928" s="11"/>
      <c r="C1928" s="20"/>
      <c r="D1928" s="20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5"/>
    </row>
    <row r="1929">
      <c r="A1929" s="11"/>
      <c r="B1929" s="11"/>
      <c r="C1929" s="20"/>
      <c r="D1929" s="20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5"/>
    </row>
    <row r="1930">
      <c r="A1930" s="11"/>
      <c r="B1930" s="11"/>
      <c r="C1930" s="20"/>
      <c r="D1930" s="20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5"/>
    </row>
    <row r="1931">
      <c r="A1931" s="11"/>
      <c r="B1931" s="11"/>
      <c r="C1931" s="20"/>
      <c r="D1931" s="20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5"/>
    </row>
    <row r="1932">
      <c r="A1932" s="11"/>
      <c r="B1932" s="11"/>
      <c r="C1932" s="20"/>
      <c r="D1932" s="20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5"/>
    </row>
    <row r="1933">
      <c r="A1933" s="11"/>
      <c r="B1933" s="11"/>
      <c r="C1933" s="20"/>
      <c r="D1933" s="20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5"/>
    </row>
    <row r="1934">
      <c r="A1934" s="11"/>
      <c r="B1934" s="11"/>
      <c r="C1934" s="20"/>
      <c r="D1934" s="20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5"/>
    </row>
    <row r="1935">
      <c r="A1935" s="11"/>
      <c r="B1935" s="11"/>
      <c r="C1935" s="20"/>
      <c r="D1935" s="20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5"/>
    </row>
    <row r="1936">
      <c r="A1936" s="11"/>
      <c r="B1936" s="11"/>
      <c r="C1936" s="20"/>
      <c r="D1936" s="20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5"/>
    </row>
    <row r="1937">
      <c r="A1937" s="11"/>
      <c r="B1937" s="11"/>
      <c r="C1937" s="20"/>
      <c r="D1937" s="20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5"/>
    </row>
    <row r="1938">
      <c r="A1938" s="11"/>
      <c r="B1938" s="11"/>
      <c r="C1938" s="20"/>
      <c r="D1938" s="20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5"/>
    </row>
    <row r="1939">
      <c r="A1939" s="11"/>
      <c r="B1939" s="11"/>
      <c r="C1939" s="20"/>
      <c r="D1939" s="20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5"/>
    </row>
    <row r="1940">
      <c r="A1940" s="11"/>
      <c r="B1940" s="11"/>
      <c r="C1940" s="20"/>
      <c r="D1940" s="20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5"/>
    </row>
    <row r="1941">
      <c r="A1941" s="11"/>
      <c r="B1941" s="11"/>
      <c r="C1941" s="20"/>
      <c r="D1941" s="20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5"/>
    </row>
    <row r="1942">
      <c r="A1942" s="11"/>
      <c r="B1942" s="11"/>
      <c r="C1942" s="20"/>
      <c r="D1942" s="20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5"/>
    </row>
    <row r="1943">
      <c r="A1943" s="11"/>
      <c r="B1943" s="11"/>
      <c r="C1943" s="20"/>
      <c r="D1943" s="20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5"/>
    </row>
    <row r="1944">
      <c r="A1944" s="11"/>
      <c r="B1944" s="11"/>
      <c r="C1944" s="20"/>
      <c r="D1944" s="20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5"/>
    </row>
    <row r="1945">
      <c r="A1945" s="11"/>
      <c r="B1945" s="11"/>
      <c r="C1945" s="20"/>
      <c r="D1945" s="20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5"/>
    </row>
    <row r="1946">
      <c r="A1946" s="11"/>
      <c r="B1946" s="11"/>
      <c r="C1946" s="20"/>
      <c r="D1946" s="20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5"/>
    </row>
    <row r="1947">
      <c r="A1947" s="11"/>
      <c r="B1947" s="11"/>
      <c r="C1947" s="20"/>
      <c r="D1947" s="20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5"/>
    </row>
    <row r="1948">
      <c r="A1948" s="11"/>
      <c r="B1948" s="11"/>
      <c r="C1948" s="20"/>
      <c r="D1948" s="20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5"/>
    </row>
    <row r="1949">
      <c r="A1949" s="11"/>
      <c r="B1949" s="11"/>
      <c r="C1949" s="20"/>
      <c r="D1949" s="20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5"/>
    </row>
    <row r="1950">
      <c r="A1950" s="11"/>
      <c r="B1950" s="11"/>
      <c r="C1950" s="20"/>
      <c r="D1950" s="20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5"/>
    </row>
    <row r="1951">
      <c r="A1951" s="11"/>
      <c r="B1951" s="11"/>
      <c r="C1951" s="20"/>
      <c r="D1951" s="20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5"/>
    </row>
    <row r="1952">
      <c r="A1952" s="11"/>
      <c r="B1952" s="11"/>
      <c r="C1952" s="20"/>
      <c r="D1952" s="20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5"/>
    </row>
    <row r="1953">
      <c r="A1953" s="11"/>
      <c r="B1953" s="11"/>
      <c r="C1953" s="20"/>
      <c r="D1953" s="20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5"/>
    </row>
    <row r="1954">
      <c r="A1954" s="11"/>
      <c r="B1954" s="11"/>
      <c r="C1954" s="20"/>
      <c r="D1954" s="20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5"/>
    </row>
    <row r="1955">
      <c r="A1955" s="11"/>
      <c r="B1955" s="11"/>
      <c r="C1955" s="20"/>
      <c r="D1955" s="20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5"/>
    </row>
    <row r="1956">
      <c r="A1956" s="11"/>
      <c r="B1956" s="11"/>
      <c r="C1956" s="20"/>
      <c r="D1956" s="20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5"/>
    </row>
    <row r="1957">
      <c r="A1957" s="11"/>
      <c r="B1957" s="11"/>
      <c r="C1957" s="20"/>
      <c r="D1957" s="20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5"/>
    </row>
    <row r="1958">
      <c r="A1958" s="11"/>
      <c r="B1958" s="11"/>
      <c r="C1958" s="20"/>
      <c r="D1958" s="20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5"/>
    </row>
    <row r="1959">
      <c r="A1959" s="11"/>
      <c r="B1959" s="11"/>
      <c r="C1959" s="20"/>
      <c r="D1959" s="20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5"/>
    </row>
    <row r="1960">
      <c r="A1960" s="11"/>
      <c r="B1960" s="11"/>
      <c r="C1960" s="20"/>
      <c r="D1960" s="20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5"/>
    </row>
    <row r="1961">
      <c r="A1961" s="11"/>
      <c r="B1961" s="11"/>
      <c r="C1961" s="20"/>
      <c r="D1961" s="20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5"/>
    </row>
    <row r="1962">
      <c r="A1962" s="11"/>
      <c r="B1962" s="11"/>
      <c r="C1962" s="20"/>
      <c r="D1962" s="20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5"/>
    </row>
    <row r="1963">
      <c r="A1963" s="11"/>
      <c r="B1963" s="11"/>
      <c r="C1963" s="20"/>
      <c r="D1963" s="20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5"/>
    </row>
    <row r="1964">
      <c r="A1964" s="11"/>
      <c r="B1964" s="11"/>
      <c r="C1964" s="20"/>
      <c r="D1964" s="20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5"/>
    </row>
    <row r="1965">
      <c r="A1965" s="11"/>
      <c r="B1965" s="11"/>
      <c r="C1965" s="20"/>
      <c r="D1965" s="20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5"/>
    </row>
    <row r="1966">
      <c r="A1966" s="11"/>
      <c r="B1966" s="11"/>
      <c r="C1966" s="20"/>
      <c r="D1966" s="20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5"/>
    </row>
    <row r="1967">
      <c r="A1967" s="11"/>
      <c r="B1967" s="11"/>
      <c r="C1967" s="20"/>
      <c r="D1967" s="20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5"/>
    </row>
    <row r="1968">
      <c r="A1968" s="11"/>
      <c r="B1968" s="11"/>
      <c r="C1968" s="20"/>
      <c r="D1968" s="20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5"/>
    </row>
    <row r="1969">
      <c r="A1969" s="11"/>
      <c r="B1969" s="11"/>
      <c r="C1969" s="20"/>
      <c r="D1969" s="20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5"/>
    </row>
    <row r="1970">
      <c r="A1970" s="11"/>
      <c r="B1970" s="11"/>
      <c r="C1970" s="20"/>
      <c r="D1970" s="20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5"/>
    </row>
    <row r="1971">
      <c r="A1971" s="11"/>
      <c r="B1971" s="11"/>
      <c r="C1971" s="20"/>
      <c r="D1971" s="20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5"/>
    </row>
    <row r="1972">
      <c r="A1972" s="11"/>
      <c r="B1972" s="11"/>
      <c r="C1972" s="20"/>
      <c r="D1972" s="20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5"/>
    </row>
    <row r="1973">
      <c r="A1973" s="11"/>
      <c r="B1973" s="11"/>
      <c r="C1973" s="20"/>
      <c r="D1973" s="20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5"/>
    </row>
    <row r="1974">
      <c r="A1974" s="11"/>
      <c r="B1974" s="11"/>
      <c r="C1974" s="20"/>
      <c r="D1974" s="20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5"/>
    </row>
    <row r="1975">
      <c r="A1975" s="11"/>
      <c r="B1975" s="11"/>
      <c r="C1975" s="20"/>
      <c r="D1975" s="20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5"/>
    </row>
    <row r="1976">
      <c r="A1976" s="11"/>
      <c r="B1976" s="11"/>
      <c r="C1976" s="20"/>
      <c r="D1976" s="20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5"/>
    </row>
    <row r="1977">
      <c r="A1977" s="11"/>
      <c r="B1977" s="11"/>
      <c r="C1977" s="20"/>
      <c r="D1977" s="20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5"/>
    </row>
    <row r="1978">
      <c r="A1978" s="11"/>
      <c r="B1978" s="11"/>
      <c r="C1978" s="20"/>
      <c r="D1978" s="20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5"/>
    </row>
    <row r="1979">
      <c r="A1979" s="11"/>
      <c r="B1979" s="11"/>
      <c r="C1979" s="20"/>
      <c r="D1979" s="20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5"/>
    </row>
    <row r="1980">
      <c r="A1980" s="11"/>
      <c r="B1980" s="11"/>
      <c r="C1980" s="20"/>
      <c r="D1980" s="20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5"/>
    </row>
    <row r="1981">
      <c r="A1981" s="11"/>
      <c r="B1981" s="11"/>
      <c r="C1981" s="20"/>
      <c r="D1981" s="20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5"/>
    </row>
    <row r="1982">
      <c r="A1982" s="11"/>
      <c r="B1982" s="11"/>
      <c r="C1982" s="20"/>
      <c r="D1982" s="20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5"/>
    </row>
    <row r="1983">
      <c r="A1983" s="11"/>
      <c r="B1983" s="11"/>
      <c r="C1983" s="20"/>
      <c r="D1983" s="20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5"/>
    </row>
    <row r="1984">
      <c r="A1984" s="11"/>
      <c r="B1984" s="11"/>
      <c r="C1984" s="20"/>
      <c r="D1984" s="20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5"/>
    </row>
    <row r="1985">
      <c r="A1985" s="11"/>
      <c r="B1985" s="11"/>
      <c r="C1985" s="20"/>
      <c r="D1985" s="20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5"/>
    </row>
    <row r="1986">
      <c r="A1986" s="11"/>
      <c r="B1986" s="11"/>
      <c r="C1986" s="20"/>
      <c r="D1986" s="20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5"/>
    </row>
    <row r="1987">
      <c r="A1987" s="11"/>
      <c r="B1987" s="11"/>
      <c r="C1987" s="20"/>
      <c r="D1987" s="20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5"/>
    </row>
    <row r="1988">
      <c r="A1988" s="11"/>
      <c r="B1988" s="11"/>
      <c r="C1988" s="20"/>
      <c r="D1988" s="20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5"/>
    </row>
    <row r="1989">
      <c r="A1989" s="11"/>
      <c r="B1989" s="11"/>
      <c r="C1989" s="20"/>
      <c r="D1989" s="20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5"/>
    </row>
    <row r="1990">
      <c r="A1990" s="11"/>
      <c r="B1990" s="11"/>
      <c r="C1990" s="20"/>
      <c r="D1990" s="20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5"/>
    </row>
    <row r="1991">
      <c r="A1991" s="11"/>
      <c r="B1991" s="11"/>
      <c r="C1991" s="20"/>
      <c r="D1991" s="20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5"/>
    </row>
    <row r="1992">
      <c r="A1992" s="11"/>
      <c r="B1992" s="11"/>
      <c r="C1992" s="20"/>
      <c r="D1992" s="20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5"/>
    </row>
    <row r="1993">
      <c r="A1993" s="11"/>
      <c r="B1993" s="11"/>
      <c r="C1993" s="20"/>
      <c r="D1993" s="20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5"/>
    </row>
    <row r="1994">
      <c r="A1994" s="11"/>
      <c r="B1994" s="11"/>
      <c r="C1994" s="20"/>
      <c r="D1994" s="20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5"/>
    </row>
    <row r="1995">
      <c r="A1995" s="11"/>
      <c r="B1995" s="11"/>
      <c r="C1995" s="20"/>
      <c r="D1995" s="20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5"/>
    </row>
    <row r="1996">
      <c r="A1996" s="11"/>
      <c r="B1996" s="11"/>
      <c r="C1996" s="20"/>
      <c r="D1996" s="20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5"/>
    </row>
    <row r="1997">
      <c r="A1997" s="11"/>
      <c r="B1997" s="11"/>
      <c r="C1997" s="20"/>
      <c r="D1997" s="20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5"/>
    </row>
    <row r="1998">
      <c r="A1998" s="11"/>
      <c r="B1998" s="11"/>
      <c r="C1998" s="20"/>
      <c r="D1998" s="20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5"/>
    </row>
    <row r="1999">
      <c r="A1999" s="11"/>
      <c r="B1999" s="11"/>
      <c r="C1999" s="20"/>
      <c r="D1999" s="20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5"/>
    </row>
    <row r="2000">
      <c r="A2000" s="11"/>
      <c r="B2000" s="11"/>
      <c r="C2000" s="20"/>
      <c r="D2000" s="20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5"/>
    </row>
    <row r="2001">
      <c r="A2001" s="11"/>
      <c r="B2001" s="11"/>
      <c r="C2001" s="20"/>
      <c r="D2001" s="20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5"/>
    </row>
  </sheetData>
  <mergeCells count="2">
    <mergeCell ref="G2:I2"/>
    <mergeCell ref="J2:L2"/>
  </mergeCells>
  <conditionalFormatting sqref="G2:G2001">
    <cfRule type="cellIs" dxfId="3" priority="1" stopIfTrue="1" operator="lessThanOrEqual">
      <formula>2500</formula>
    </cfRule>
  </conditionalFormatting>
  <conditionalFormatting sqref="G2:G2001">
    <cfRule type="cellIs" dxfId="4" priority="2" stopIfTrue="1" operator="greaterThan">
      <formula>4000</formula>
    </cfRule>
  </conditionalFormatting>
  <conditionalFormatting sqref="G2:G2001">
    <cfRule type="cellIs" dxfId="5" priority="3" stopIfTrue="1" operator="between">
      <formula>2500</formula>
      <formula>4000</formula>
    </cfRule>
  </conditionalFormatting>
  <conditionalFormatting sqref="J2:J2001">
    <cfRule type="cellIs" dxfId="3" priority="4" stopIfTrue="1" operator="lessThanOrEqual">
      <formula>2500</formula>
    </cfRule>
  </conditionalFormatting>
  <conditionalFormatting sqref="J2:J2001">
    <cfRule type="cellIs" dxfId="4" priority="5" stopIfTrue="1" operator="greaterThan">
      <formula>4000</formula>
    </cfRule>
  </conditionalFormatting>
  <conditionalFormatting sqref="J2:J2001">
    <cfRule type="cellIs" dxfId="5" priority="6" stopIfTrue="1" operator="between">
      <formula>2500</formula>
      <formula>4000</formula>
    </cfRule>
  </conditionalFormatting>
  <conditionalFormatting sqref="H2:H2001">
    <cfRule type="cellIs" dxfId="3" priority="7" stopIfTrue="1" operator="lessThanOrEqual">
      <formula>120</formula>
    </cfRule>
  </conditionalFormatting>
  <conditionalFormatting sqref="H2:H2001">
    <cfRule type="cellIs" dxfId="4" priority="8" stopIfTrue="1" operator="greaterThan">
      <formula>500</formula>
    </cfRule>
  </conditionalFormatting>
  <conditionalFormatting sqref="H2:H2001">
    <cfRule type="cellIs" dxfId="5" priority="9" stopIfTrue="1" operator="between">
      <formula>120</formula>
      <formula>500</formula>
    </cfRule>
  </conditionalFormatting>
  <conditionalFormatting sqref="K2:K2001">
    <cfRule type="cellIs" dxfId="3" priority="10" stopIfTrue="1" operator="lessThanOrEqual">
      <formula>120</formula>
    </cfRule>
  </conditionalFormatting>
  <conditionalFormatting sqref="K2:K2001">
    <cfRule type="cellIs" dxfId="4" priority="11" stopIfTrue="1" operator="greaterThan">
      <formula>500</formula>
    </cfRule>
  </conditionalFormatting>
  <conditionalFormatting sqref="K2:K2001">
    <cfRule type="cellIs" dxfId="5" priority="12" stopIfTrue="1" operator="between">
      <formula>120</formula>
      <formula>500</formula>
    </cfRule>
  </conditionalFormatting>
  <conditionalFormatting sqref="I2:I2001">
    <cfRule type="cellIs" dxfId="3" priority="13" stopIfTrue="1" operator="lessThanOrEqual">
      <formula>0.12</formula>
    </cfRule>
  </conditionalFormatting>
  <conditionalFormatting sqref="I2:I2001">
    <cfRule type="cellIs" dxfId="4" priority="14" stopIfTrue="1" operator="greaterThan">
      <formula>0.25</formula>
    </cfRule>
  </conditionalFormatting>
  <conditionalFormatting sqref="I2:I2001">
    <cfRule type="cellIs" dxfId="5" priority="15" stopIfTrue="1" operator="between">
      <formula>0.12</formula>
      <formula>0.25</formula>
    </cfRule>
  </conditionalFormatting>
  <conditionalFormatting sqref="L2:L2001">
    <cfRule type="cellIs" dxfId="3" priority="16" stopIfTrue="1" operator="lessThanOrEqual">
      <formula>0.12</formula>
    </cfRule>
  </conditionalFormatting>
  <conditionalFormatting sqref="L2:L2001">
    <cfRule type="cellIs" dxfId="4" priority="17" stopIfTrue="1" operator="greaterThan">
      <formula>0.25</formula>
    </cfRule>
  </conditionalFormatting>
  <conditionalFormatting sqref="L2:L2001">
    <cfRule type="cellIs" dxfId="5" priority="18" stopIfTrue="1" operator="between">
      <formula>0.12</formula>
      <formula>0.25</formula>
    </cfRule>
  </conditionalFormatting>
  <conditionalFormatting sqref="F2:F2001">
    <cfRule type="cellIs" dxfId="4" priority="19" stopIfTrue="1" operator="lessThan">
      <formula>50</formula>
    </cfRule>
  </conditionalFormatting>
  <conditionalFormatting sqref="F2:F2001">
    <cfRule type="cellIs" dxfId="3" priority="20" stopIfTrue="1" operator="greaterThanOrEqual">
      <formula>90</formula>
    </cfRule>
  </conditionalFormatting>
  <conditionalFormatting sqref="F2:F2001">
    <cfRule type="cellIs" dxfId="5" priority="21" stopIfTrue="1" operator="between">
      <formula>50</formula>
      <formula>90</formula>
    </cfRule>
  </conditionalFormatting>
  <conditionalFormatting sqref="M2:M2001">
    <cfRule type="cellIs" dxfId="3" priority="22" stopIfTrue="1" operator="lessThanOrEqual">
      <formula>200</formula>
    </cfRule>
  </conditionalFormatting>
  <conditionalFormatting sqref="M2:M2001">
    <cfRule type="cellIs" dxfId="4" priority="23" stopIfTrue="1" operator="greaterThan">
      <formula>500</formula>
    </cfRule>
  </conditionalFormatting>
  <conditionalFormatting sqref="M2:M2001">
    <cfRule type="cellIs" dxfId="5" priority="24" stopIfTrue="1" operator="between">
      <formula>200</formula>
      <formula>500</formula>
    </cfRule>
  </conditionalFormatting>
  <conditionalFormatting sqref="N2:N2001">
    <cfRule type="cellIs" dxfId="3" priority="25" stopIfTrue="1" operator="lessThanOrEqual">
      <formula>1800</formula>
    </cfRule>
  </conditionalFormatting>
  <conditionalFormatting sqref="N2:N2001">
    <cfRule type="cellIs" dxfId="4" priority="26" stopIfTrue="1" operator="greaterThan">
      <formula>3000</formula>
    </cfRule>
  </conditionalFormatting>
  <conditionalFormatting sqref="N2:N2001">
    <cfRule type="cellIs" dxfId="5" priority="27" stopIfTrue="1" operator="between">
      <formula>1800</formula>
      <formula>3000</formula>
    </cfRule>
  </conditionalFormatting>
  <conditionalFormatting sqref="O2:O2001">
    <cfRule type="cellIs" dxfId="3" priority="28" stopIfTrue="1" operator="lessThanOrEqual">
      <formula>3400</formula>
    </cfRule>
  </conditionalFormatting>
  <conditionalFormatting sqref="O2:O2001">
    <cfRule type="cellIs" dxfId="4" priority="29" stopIfTrue="1" operator="greaterThan">
      <formula>5800</formula>
    </cfRule>
  </conditionalFormatting>
  <conditionalFormatting sqref="O2:O2001">
    <cfRule type="cellIs" dxfId="5" priority="30" stopIfTrue="1" operator="between">
      <formula>3400</formula>
      <formula>5800</formula>
    </cfRule>
  </conditionalFormatting>
  <conditionalFormatting sqref="P2:P2001">
    <cfRule type="cellIs" dxfId="3" priority="31" stopIfTrue="1" operator="lessThanOrEqual">
      <formula>3800</formula>
    </cfRule>
  </conditionalFormatting>
  <conditionalFormatting sqref="P2:P2001">
    <cfRule type="cellIs" dxfId="4" priority="32" stopIfTrue="1" operator="greaterThan">
      <formula>7300</formula>
    </cfRule>
  </conditionalFormatting>
  <conditionalFormatting sqref="P2:P2001">
    <cfRule type="cellIs" dxfId="5" priority="33" stopIfTrue="1" operator="between">
      <formula>3800</formula>
      <formula>7300</formula>
    </cfRule>
  </conditionalFormatting>
  <conditionalFormatting sqref="Q2:Q2001">
    <cfRule type="cellIs" dxfId="3" priority="34" stopIfTrue="1" operator="lessThanOrEqual">
      <formula>800</formula>
    </cfRule>
  </conditionalFormatting>
  <conditionalFormatting sqref="Q2:Q2001">
    <cfRule type="cellIs" dxfId="4" priority="35" stopIfTrue="1" operator="greaterThan">
      <formula>1800</formula>
    </cfRule>
  </conditionalFormatting>
  <conditionalFormatting sqref="Q2:Q2001">
    <cfRule type="cellIs" dxfId="5" priority="36" stopIfTrue="1" operator="between">
      <formula>800</formula>
      <formula>1800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0.75"/>
    <col customWidth="1" min="3" max="3" width="18.25"/>
    <col customWidth="1" min="4" max="4" width="11.38"/>
    <col customWidth="1" min="5" max="5" width="6.38"/>
    <col customWidth="1" min="6" max="6" width="7.63"/>
    <col customWidth="1" min="7" max="8" width="7.0"/>
    <col customWidth="1" min="9" max="9" width="7.63"/>
    <col customWidth="1" min="10" max="11" width="7.0"/>
    <col customWidth="1" min="12" max="13" width="7.63"/>
    <col customWidth="1" min="14" max="14" width="10.75"/>
    <col customWidth="1" min="15" max="16" width="8.88"/>
    <col customWidth="1" min="17" max="17" width="14.5"/>
    <col customWidth="1" min="18" max="18" width="18.25"/>
    <col customWidth="1" min="19" max="20" width="17.63"/>
  </cols>
  <sheetData>
    <row r="1" ht="21.0" hidden="1" customHeight="1">
      <c r="A1" s="49" t="s">
        <v>0</v>
      </c>
      <c r="B1" s="49" t="s">
        <v>146</v>
      </c>
      <c r="C1" s="1" t="s">
        <v>2</v>
      </c>
      <c r="D1" s="49" t="s">
        <v>3</v>
      </c>
      <c r="E1" s="49" t="s">
        <v>4</v>
      </c>
      <c r="F1" s="49" t="s">
        <v>139</v>
      </c>
      <c r="G1" s="49" t="s">
        <v>5</v>
      </c>
      <c r="H1" s="49" t="s">
        <v>7</v>
      </c>
      <c r="I1" s="49" t="s">
        <v>8</v>
      </c>
      <c r="J1" s="49" t="s">
        <v>147</v>
      </c>
      <c r="K1" s="49" t="s">
        <v>148</v>
      </c>
      <c r="L1" s="49" t="s">
        <v>149</v>
      </c>
      <c r="M1" s="49" t="s">
        <v>13</v>
      </c>
      <c r="N1" s="49" t="s">
        <v>6</v>
      </c>
      <c r="O1" s="49" t="s">
        <v>150</v>
      </c>
      <c r="P1" s="49" t="s">
        <v>151</v>
      </c>
      <c r="Q1" s="49" t="s">
        <v>152</v>
      </c>
      <c r="R1" s="49" t="s">
        <v>14</v>
      </c>
      <c r="S1" s="49" t="s">
        <v>15</v>
      </c>
    </row>
    <row r="2">
      <c r="A2" s="50"/>
      <c r="B2" s="50"/>
      <c r="C2" s="3" t="s">
        <v>18</v>
      </c>
      <c r="D2" s="50"/>
      <c r="E2" s="50"/>
      <c r="F2" s="51" t="s">
        <v>156</v>
      </c>
      <c r="G2" s="51" t="s">
        <v>157</v>
      </c>
      <c r="J2" s="51" t="s">
        <v>158</v>
      </c>
      <c r="M2" s="51" t="s">
        <v>23</v>
      </c>
      <c r="N2" s="51" t="s">
        <v>160</v>
      </c>
      <c r="O2" s="51" t="s">
        <v>159</v>
      </c>
      <c r="P2" s="51" t="s">
        <v>161</v>
      </c>
      <c r="Q2" s="51" t="s">
        <v>162</v>
      </c>
      <c r="R2" s="50"/>
      <c r="S2" s="50"/>
      <c r="T2" s="15"/>
    </row>
    <row r="3">
      <c r="A3" s="51" t="s">
        <v>16</v>
      </c>
      <c r="B3" s="51" t="s">
        <v>257</v>
      </c>
      <c r="C3" s="3" t="s">
        <v>26</v>
      </c>
      <c r="D3" s="51" t="s">
        <v>19</v>
      </c>
      <c r="E3" s="51" t="s">
        <v>20</v>
      </c>
      <c r="F3" s="51" t="s">
        <v>164</v>
      </c>
      <c r="G3" s="52" t="s">
        <v>5</v>
      </c>
      <c r="H3" s="52" t="s">
        <v>7</v>
      </c>
      <c r="I3" s="52" t="s">
        <v>8</v>
      </c>
      <c r="J3" s="53" t="s">
        <v>140</v>
      </c>
      <c r="K3" s="53" t="s">
        <v>141</v>
      </c>
      <c r="L3" s="53" t="s">
        <v>142</v>
      </c>
      <c r="M3" s="51" t="s">
        <v>13</v>
      </c>
      <c r="N3" s="51" t="s">
        <v>6</v>
      </c>
      <c r="O3" s="51" t="s">
        <v>150</v>
      </c>
      <c r="P3" s="51" t="s">
        <v>165</v>
      </c>
      <c r="Q3" s="51" t="s">
        <v>152</v>
      </c>
      <c r="R3" s="51" t="s">
        <v>14</v>
      </c>
      <c r="S3" s="51" t="s">
        <v>15</v>
      </c>
      <c r="T3" s="15"/>
    </row>
    <row r="4">
      <c r="A4" s="61">
        <v>46101.0</v>
      </c>
      <c r="B4" s="62" t="s">
        <v>225</v>
      </c>
      <c r="C4" s="76"/>
      <c r="D4" s="63" t="str">
        <f t="shared" ref="D4:D7" si="1">HYPERLINK("https://stage.vrsmash.com/", "main")</f>
        <v>main</v>
      </c>
      <c r="E4" s="62" t="s">
        <v>34</v>
      </c>
      <c r="F4" s="64">
        <v>64.0</v>
      </c>
      <c r="G4" s="64">
        <v>2563.0</v>
      </c>
      <c r="H4" s="64">
        <v>612.0</v>
      </c>
      <c r="I4" s="64">
        <v>2.0E-4</v>
      </c>
      <c r="J4" s="64">
        <v>3157.0</v>
      </c>
      <c r="K4" s="64">
        <v>642.0</v>
      </c>
      <c r="L4" s="64">
        <v>0.017</v>
      </c>
      <c r="M4" s="64">
        <v>452.0</v>
      </c>
      <c r="N4" s="64">
        <v>2300.0</v>
      </c>
      <c r="O4" s="64">
        <v>333.0</v>
      </c>
      <c r="P4" s="64">
        <v>3388.0</v>
      </c>
      <c r="Q4" s="64">
        <v>3713.0</v>
      </c>
      <c r="R4" s="62" t="s">
        <v>132</v>
      </c>
      <c r="S4" s="62" t="s">
        <v>418</v>
      </c>
      <c r="T4" s="15"/>
    </row>
    <row r="5">
      <c r="A5" s="65">
        <v>46101.0</v>
      </c>
      <c r="B5" s="66" t="s">
        <v>166</v>
      </c>
      <c r="C5" s="75"/>
      <c r="D5" s="67" t="str">
        <f t="shared" si="1"/>
        <v>main</v>
      </c>
      <c r="E5" s="66" t="s">
        <v>34</v>
      </c>
      <c r="F5" s="68">
        <v>92.0</v>
      </c>
      <c r="G5" s="68">
        <v>2042.0</v>
      </c>
      <c r="H5" s="68">
        <v>207.0</v>
      </c>
      <c r="I5" s="68">
        <v>0.0383</v>
      </c>
      <c r="J5" s="68">
        <v>2064.0</v>
      </c>
      <c r="K5" s="68">
        <v>211.0</v>
      </c>
      <c r="L5" s="68">
        <v>0.079</v>
      </c>
      <c r="M5" s="68">
        <v>275.0</v>
      </c>
      <c r="N5" s="68">
        <v>1517.0</v>
      </c>
      <c r="O5" s="68">
        <v>86.0</v>
      </c>
      <c r="P5" s="68">
        <v>2249.0</v>
      </c>
      <c r="Q5" s="68">
        <v>2544.0</v>
      </c>
      <c r="R5" s="66" t="s">
        <v>132</v>
      </c>
      <c r="S5" s="71"/>
      <c r="T5" s="15"/>
    </row>
    <row r="6">
      <c r="A6" s="61">
        <v>46101.0</v>
      </c>
      <c r="B6" s="62" t="s">
        <v>225</v>
      </c>
      <c r="C6" s="76"/>
      <c r="D6" s="63" t="str">
        <f t="shared" si="1"/>
        <v>main</v>
      </c>
      <c r="E6" s="62" t="s">
        <v>35</v>
      </c>
      <c r="F6" s="64">
        <v>38.0</v>
      </c>
      <c r="G6" s="64">
        <v>7206.0</v>
      </c>
      <c r="H6" s="64">
        <v>2200.0</v>
      </c>
      <c r="I6" s="64">
        <v>0.0237</v>
      </c>
      <c r="J6" s="64">
        <v>7516.0</v>
      </c>
      <c r="K6" s="64">
        <v>2756.0</v>
      </c>
      <c r="L6" s="64">
        <v>0.1517</v>
      </c>
      <c r="M6" s="64">
        <v>456.0</v>
      </c>
      <c r="N6" s="64">
        <v>4646.0</v>
      </c>
      <c r="O6" s="64">
        <v>2306.0</v>
      </c>
      <c r="P6" s="64">
        <v>7946.0</v>
      </c>
      <c r="Q6" s="64">
        <v>10458.0</v>
      </c>
      <c r="R6" s="62" t="s">
        <v>132</v>
      </c>
      <c r="S6" s="62" t="s">
        <v>418</v>
      </c>
      <c r="T6" s="15"/>
    </row>
    <row r="7">
      <c r="A7" s="65">
        <v>46101.0</v>
      </c>
      <c r="B7" s="66" t="s">
        <v>166</v>
      </c>
      <c r="C7" s="75"/>
      <c r="D7" s="67" t="str">
        <f t="shared" si="1"/>
        <v>main</v>
      </c>
      <c r="E7" s="66" t="s">
        <v>35</v>
      </c>
      <c r="F7" s="68">
        <v>56.0</v>
      </c>
      <c r="G7" s="68">
        <v>7875.0</v>
      </c>
      <c r="H7" s="68">
        <v>856.0</v>
      </c>
      <c r="I7" s="68">
        <v>0.0613</v>
      </c>
      <c r="J7" s="68">
        <v>7934.0</v>
      </c>
      <c r="K7" s="68">
        <v>912.0</v>
      </c>
      <c r="L7" s="68">
        <v>0.1124</v>
      </c>
      <c r="M7" s="68">
        <v>258.0</v>
      </c>
      <c r="N7" s="68">
        <v>2397.0</v>
      </c>
      <c r="O7" s="68">
        <v>1118.0</v>
      </c>
      <c r="P7" s="68">
        <v>4516.0</v>
      </c>
      <c r="Q7" s="68">
        <v>8924.0</v>
      </c>
      <c r="R7" s="66" t="s">
        <v>132</v>
      </c>
      <c r="S7" s="71"/>
      <c r="T7" s="15"/>
    </row>
    <row r="8">
      <c r="A8" s="61">
        <v>46101.0</v>
      </c>
      <c r="B8" s="62" t="s">
        <v>166</v>
      </c>
      <c r="C8" s="76"/>
      <c r="D8" s="63" t="str">
        <f t="shared" ref="D8:D11" si="2">HYPERLINK("https://stage.vrsmash.com/pornstars/samy-sun/", "s_model")</f>
        <v>s_model</v>
      </c>
      <c r="E8" s="62" t="s">
        <v>34</v>
      </c>
      <c r="F8" s="64">
        <v>80.0</v>
      </c>
      <c r="G8" s="64">
        <v>2060.0</v>
      </c>
      <c r="H8" s="64">
        <v>355.0</v>
      </c>
      <c r="I8" s="64">
        <v>0.007</v>
      </c>
      <c r="J8" s="64">
        <v>2088.0</v>
      </c>
      <c r="K8" s="64">
        <v>404.0</v>
      </c>
      <c r="L8" s="64">
        <v>0.007</v>
      </c>
      <c r="M8" s="64">
        <v>276.0</v>
      </c>
      <c r="N8" s="64">
        <v>1537.0</v>
      </c>
      <c r="O8" s="64">
        <v>627.0</v>
      </c>
      <c r="P8" s="64">
        <v>2331.0</v>
      </c>
      <c r="Q8" s="64">
        <v>2425.0</v>
      </c>
      <c r="R8" s="62" t="s">
        <v>132</v>
      </c>
      <c r="S8" s="69"/>
      <c r="T8" s="15"/>
    </row>
    <row r="9">
      <c r="A9" s="65">
        <v>46101.0</v>
      </c>
      <c r="B9" s="66" t="s">
        <v>225</v>
      </c>
      <c r="C9" s="75"/>
      <c r="D9" s="67" t="str">
        <f t="shared" si="2"/>
        <v>s_model</v>
      </c>
      <c r="E9" s="66" t="s">
        <v>34</v>
      </c>
      <c r="F9" s="68">
        <v>92.0</v>
      </c>
      <c r="G9" s="68">
        <v>1460.0</v>
      </c>
      <c r="H9" s="68">
        <v>362.0</v>
      </c>
      <c r="I9" s="68">
        <v>0.007</v>
      </c>
      <c r="J9" s="68">
        <v>2091.0</v>
      </c>
      <c r="K9" s="68">
        <v>526.0</v>
      </c>
      <c r="L9" s="68">
        <v>0.007</v>
      </c>
      <c r="M9" s="68">
        <v>265.0</v>
      </c>
      <c r="N9" s="68">
        <v>1110.0</v>
      </c>
      <c r="O9" s="68">
        <v>661.0</v>
      </c>
      <c r="P9" s="68">
        <v>2290.0</v>
      </c>
      <c r="Q9" s="68">
        <v>2498.0</v>
      </c>
      <c r="R9" s="66" t="s">
        <v>132</v>
      </c>
      <c r="S9" s="66" t="s">
        <v>418</v>
      </c>
      <c r="T9" s="15"/>
    </row>
    <row r="10">
      <c r="A10" s="61">
        <v>46101.0</v>
      </c>
      <c r="B10" s="62" t="s">
        <v>166</v>
      </c>
      <c r="C10" s="76"/>
      <c r="D10" s="63" t="str">
        <f t="shared" si="2"/>
        <v>s_model</v>
      </c>
      <c r="E10" s="62" t="s">
        <v>35</v>
      </c>
      <c r="F10" s="64">
        <v>65.0</v>
      </c>
      <c r="G10" s="64">
        <v>6784.0</v>
      </c>
      <c r="H10" s="64">
        <v>917.0</v>
      </c>
      <c r="I10" s="64">
        <v>0.006</v>
      </c>
      <c r="J10" s="64">
        <v>6874.0</v>
      </c>
      <c r="K10" s="64">
        <v>1384.0</v>
      </c>
      <c r="L10" s="64">
        <v>0.006</v>
      </c>
      <c r="M10" s="64">
        <v>269.0</v>
      </c>
      <c r="N10" s="64">
        <v>2522.0</v>
      </c>
      <c r="O10" s="64">
        <v>2198.0</v>
      </c>
      <c r="P10" s="64">
        <v>4778.0</v>
      </c>
      <c r="Q10" s="64">
        <v>9624.0</v>
      </c>
      <c r="R10" s="62" t="s">
        <v>132</v>
      </c>
      <c r="S10" s="69"/>
      <c r="T10" s="15"/>
    </row>
    <row r="11">
      <c r="A11" s="65">
        <v>46101.0</v>
      </c>
      <c r="B11" s="66" t="s">
        <v>225</v>
      </c>
      <c r="C11" s="75"/>
      <c r="D11" s="67" t="str">
        <f t="shared" si="2"/>
        <v>s_model</v>
      </c>
      <c r="E11" s="66" t="s">
        <v>35</v>
      </c>
      <c r="F11" s="68">
        <v>46.0</v>
      </c>
      <c r="G11" s="68">
        <v>7411.0</v>
      </c>
      <c r="H11" s="68">
        <v>1644.0</v>
      </c>
      <c r="I11" s="68">
        <v>0.006</v>
      </c>
      <c r="J11" s="68">
        <v>15131.0</v>
      </c>
      <c r="K11" s="68">
        <v>2309.0</v>
      </c>
      <c r="L11" s="68">
        <v>0.006</v>
      </c>
      <c r="M11" s="68">
        <v>279.0</v>
      </c>
      <c r="N11" s="68">
        <v>2542.0</v>
      </c>
      <c r="O11" s="68">
        <v>4450.0</v>
      </c>
      <c r="P11" s="68">
        <v>5028.0</v>
      </c>
      <c r="Q11" s="68">
        <v>10376.0</v>
      </c>
      <c r="R11" s="66" t="s">
        <v>132</v>
      </c>
      <c r="S11" s="66" t="s">
        <v>418</v>
      </c>
      <c r="T11" s="15"/>
    </row>
    <row r="12">
      <c r="A12" s="61">
        <v>46101.0</v>
      </c>
      <c r="B12" s="62" t="s">
        <v>166</v>
      </c>
      <c r="C12" s="76"/>
      <c r="D12" s="63" t="str">
        <f t="shared" ref="D12:D15" si="3">HYPERLINK("https://stage.vrsmash.com/tag/anal/", "s_category")</f>
        <v>s_category</v>
      </c>
      <c r="E12" s="62" t="s">
        <v>34</v>
      </c>
      <c r="F12" s="64">
        <v>87.0</v>
      </c>
      <c r="G12" s="64">
        <v>746.0</v>
      </c>
      <c r="H12" s="64">
        <v>361.0</v>
      </c>
      <c r="I12" s="64">
        <v>0.0075</v>
      </c>
      <c r="J12" s="64">
        <v>1168.0</v>
      </c>
      <c r="K12" s="64">
        <v>399.0</v>
      </c>
      <c r="L12" s="64">
        <v>0.0075</v>
      </c>
      <c r="M12" s="64">
        <v>341.0</v>
      </c>
      <c r="N12" s="64">
        <v>746.0</v>
      </c>
      <c r="O12" s="64">
        <v>386.0</v>
      </c>
      <c r="P12" s="64">
        <v>1806.0</v>
      </c>
      <c r="Q12" s="64">
        <v>2005.0</v>
      </c>
      <c r="R12" s="62" t="s">
        <v>132</v>
      </c>
      <c r="S12" s="69"/>
      <c r="T12" s="15"/>
    </row>
    <row r="13">
      <c r="A13" s="65">
        <v>46101.0</v>
      </c>
      <c r="B13" s="66" t="s">
        <v>225</v>
      </c>
      <c r="C13" s="75"/>
      <c r="D13" s="67" t="str">
        <f t="shared" si="3"/>
        <v>s_category</v>
      </c>
      <c r="E13" s="66" t="s">
        <v>34</v>
      </c>
      <c r="F13" s="68">
        <v>81.0</v>
      </c>
      <c r="G13" s="68">
        <v>700.0</v>
      </c>
      <c r="H13" s="68">
        <v>431.0</v>
      </c>
      <c r="I13" s="68">
        <v>0.0075</v>
      </c>
      <c r="J13" s="68">
        <v>728.0</v>
      </c>
      <c r="K13" s="68">
        <v>448.0</v>
      </c>
      <c r="L13" s="68">
        <v>0.0075</v>
      </c>
      <c r="M13" s="68">
        <v>348.0</v>
      </c>
      <c r="N13" s="68">
        <v>680.0</v>
      </c>
      <c r="O13" s="68">
        <v>472.0</v>
      </c>
      <c r="P13" s="68">
        <v>1743.0</v>
      </c>
      <c r="Q13" s="68">
        <v>2094.0</v>
      </c>
      <c r="R13" s="66" t="s">
        <v>132</v>
      </c>
      <c r="S13" s="66" t="s">
        <v>418</v>
      </c>
      <c r="T13" s="15"/>
    </row>
    <row r="14">
      <c r="A14" s="61">
        <v>46101.0</v>
      </c>
      <c r="B14" s="62" t="s">
        <v>166</v>
      </c>
      <c r="C14" s="76"/>
      <c r="D14" s="63" t="str">
        <f t="shared" si="3"/>
        <v>s_category</v>
      </c>
      <c r="E14" s="62" t="s">
        <v>35</v>
      </c>
      <c r="F14" s="64">
        <v>49.0</v>
      </c>
      <c r="G14" s="64">
        <v>5027.0</v>
      </c>
      <c r="H14" s="64">
        <v>1246.0</v>
      </c>
      <c r="I14" s="64">
        <v>0.0082</v>
      </c>
      <c r="J14" s="64">
        <v>5083.0</v>
      </c>
      <c r="K14" s="64">
        <v>1690.0</v>
      </c>
      <c r="L14" s="64">
        <v>0.0083</v>
      </c>
      <c r="M14" s="64">
        <v>341.0</v>
      </c>
      <c r="N14" s="64">
        <v>2579.0</v>
      </c>
      <c r="O14" s="64">
        <v>1682.0</v>
      </c>
      <c r="P14" s="64">
        <v>4450.0</v>
      </c>
      <c r="Q14" s="64">
        <v>9052.0</v>
      </c>
      <c r="R14" s="62" t="s">
        <v>132</v>
      </c>
      <c r="S14" s="69"/>
      <c r="T14" s="15"/>
    </row>
    <row r="15">
      <c r="A15" s="65">
        <v>46101.0</v>
      </c>
      <c r="B15" s="66" t="s">
        <v>225</v>
      </c>
      <c r="C15" s="75"/>
      <c r="D15" s="67" t="str">
        <f t="shared" si="3"/>
        <v>s_category</v>
      </c>
      <c r="E15" s="66" t="s">
        <v>35</v>
      </c>
      <c r="F15" s="68">
        <v>48.0</v>
      </c>
      <c r="G15" s="68">
        <v>4989.0</v>
      </c>
      <c r="H15" s="68">
        <v>1508.0</v>
      </c>
      <c r="I15" s="68">
        <v>0.0082</v>
      </c>
      <c r="J15" s="68">
        <v>5026.0</v>
      </c>
      <c r="K15" s="68">
        <v>1701.0</v>
      </c>
      <c r="L15" s="68">
        <v>0.0082</v>
      </c>
      <c r="M15" s="68">
        <v>328.0</v>
      </c>
      <c r="N15" s="68">
        <v>2602.0</v>
      </c>
      <c r="O15" s="68">
        <v>2268.0</v>
      </c>
      <c r="P15" s="68">
        <v>4358.0</v>
      </c>
      <c r="Q15" s="68">
        <v>8798.0</v>
      </c>
      <c r="R15" s="66" t="s">
        <v>132</v>
      </c>
      <c r="S15" s="66" t="s">
        <v>418</v>
      </c>
      <c r="T15" s="15"/>
    </row>
    <row r="16">
      <c r="A16" s="61">
        <v>46101.0</v>
      </c>
      <c r="B16" s="62" t="s">
        <v>166</v>
      </c>
      <c r="C16" s="76"/>
      <c r="D16" s="63" t="str">
        <f t="shared" ref="D16:D19" si="4">HYPERLINK("https://stage.vrsmash.com/pornstars/?sort=latest", "models")</f>
        <v>models</v>
      </c>
      <c r="E16" s="62" t="s">
        <v>34</v>
      </c>
      <c r="F16" s="64">
        <v>94.0</v>
      </c>
      <c r="G16" s="64">
        <v>1319.0</v>
      </c>
      <c r="H16" s="64">
        <v>247.0</v>
      </c>
      <c r="I16" s="64">
        <v>0.007</v>
      </c>
      <c r="J16" s="64">
        <v>1348.0</v>
      </c>
      <c r="K16" s="64">
        <v>256.0</v>
      </c>
      <c r="L16" s="64">
        <v>0.007</v>
      </c>
      <c r="M16" s="64">
        <v>301.0</v>
      </c>
      <c r="N16" s="64">
        <v>848.0</v>
      </c>
      <c r="O16" s="64">
        <v>214.0</v>
      </c>
      <c r="P16" s="64">
        <v>1683.0</v>
      </c>
      <c r="Q16" s="64">
        <v>1717.0</v>
      </c>
      <c r="R16" s="62" t="s">
        <v>132</v>
      </c>
      <c r="S16" s="69"/>
      <c r="T16" s="15"/>
    </row>
    <row r="17">
      <c r="A17" s="65">
        <v>46101.0</v>
      </c>
      <c r="B17" s="66" t="s">
        <v>225</v>
      </c>
      <c r="C17" s="75"/>
      <c r="D17" s="67" t="str">
        <f t="shared" si="4"/>
        <v>models</v>
      </c>
      <c r="E17" s="66" t="s">
        <v>34</v>
      </c>
      <c r="F17" s="68">
        <v>76.0</v>
      </c>
      <c r="G17" s="68">
        <v>1796.0</v>
      </c>
      <c r="H17" s="68">
        <v>322.0</v>
      </c>
      <c r="I17" s="68">
        <v>2.0E-4</v>
      </c>
      <c r="J17" s="68">
        <v>2128.0</v>
      </c>
      <c r="K17" s="68">
        <v>326.0</v>
      </c>
      <c r="L17" s="68">
        <v>9.0E-4</v>
      </c>
      <c r="M17" s="68">
        <v>337.0</v>
      </c>
      <c r="N17" s="68">
        <v>1499.0</v>
      </c>
      <c r="O17" s="68">
        <v>281.0</v>
      </c>
      <c r="P17" s="68">
        <v>3017.0</v>
      </c>
      <c r="Q17" s="68">
        <v>2516.0</v>
      </c>
      <c r="R17" s="66" t="s">
        <v>132</v>
      </c>
      <c r="S17" s="66" t="s">
        <v>418</v>
      </c>
      <c r="T17" s="15"/>
    </row>
    <row r="18">
      <c r="A18" s="61">
        <v>46101.0</v>
      </c>
      <c r="B18" s="62" t="s">
        <v>166</v>
      </c>
      <c r="C18" s="76"/>
      <c r="D18" s="63" t="str">
        <f t="shared" si="4"/>
        <v>models</v>
      </c>
      <c r="E18" s="62" t="s">
        <v>35</v>
      </c>
      <c r="F18" s="64">
        <v>71.0</v>
      </c>
      <c r="G18" s="64">
        <v>4412.0</v>
      </c>
      <c r="H18" s="64">
        <v>1045.0</v>
      </c>
      <c r="I18" s="64">
        <v>0.0018</v>
      </c>
      <c r="J18" s="64">
        <v>4888.0</v>
      </c>
      <c r="K18" s="64">
        <v>1207.0</v>
      </c>
      <c r="L18" s="64">
        <v>0.0041</v>
      </c>
      <c r="M18" s="64">
        <v>264.0</v>
      </c>
      <c r="N18" s="64">
        <v>2012.0</v>
      </c>
      <c r="O18" s="64">
        <v>1559.0</v>
      </c>
      <c r="P18" s="64">
        <v>4092.0</v>
      </c>
      <c r="Q18" s="64">
        <v>8099.0</v>
      </c>
      <c r="R18" s="62" t="s">
        <v>132</v>
      </c>
      <c r="S18" s="69"/>
      <c r="T18" s="15"/>
    </row>
    <row r="19">
      <c r="A19" s="65">
        <v>46101.0</v>
      </c>
      <c r="B19" s="66" t="s">
        <v>225</v>
      </c>
      <c r="C19" s="75"/>
      <c r="D19" s="67" t="str">
        <f t="shared" si="4"/>
        <v>models</v>
      </c>
      <c r="E19" s="66" t="s">
        <v>35</v>
      </c>
      <c r="F19" s="68">
        <v>65.0</v>
      </c>
      <c r="G19" s="68">
        <v>4548.0</v>
      </c>
      <c r="H19" s="68">
        <v>1446.0</v>
      </c>
      <c r="I19" s="68">
        <v>0.0066</v>
      </c>
      <c r="J19" s="68">
        <v>5552.0</v>
      </c>
      <c r="K19" s="68">
        <v>1478.0</v>
      </c>
      <c r="L19" s="68">
        <v>0.0067</v>
      </c>
      <c r="M19" s="68">
        <v>320.0</v>
      </c>
      <c r="N19" s="68">
        <v>2239.0</v>
      </c>
      <c r="O19" s="68">
        <v>1878.0</v>
      </c>
      <c r="P19" s="68">
        <v>4794.0</v>
      </c>
      <c r="Q19" s="68">
        <v>8343.0</v>
      </c>
      <c r="R19" s="66" t="s">
        <v>132</v>
      </c>
      <c r="S19" s="66" t="s">
        <v>418</v>
      </c>
      <c r="T19" s="15"/>
    </row>
    <row r="20">
      <c r="A20" s="61">
        <v>46101.0</v>
      </c>
      <c r="B20" s="62" t="s">
        <v>166</v>
      </c>
      <c r="C20" s="76"/>
      <c r="D20" s="63" t="str">
        <f t="shared" ref="D20:D23" si="5">HYPERLINK("https://stage.vrsmash.com/camgirls/", "dreams")</f>
        <v>dreams</v>
      </c>
      <c r="E20" s="62" t="s">
        <v>34</v>
      </c>
      <c r="F20" s="64">
        <v>88.0</v>
      </c>
      <c r="G20" s="64">
        <v>1393.0</v>
      </c>
      <c r="H20" s="64">
        <v>215.0</v>
      </c>
      <c r="I20" s="64">
        <v>0.0069</v>
      </c>
      <c r="J20" s="64">
        <v>1398.0</v>
      </c>
      <c r="K20" s="64">
        <v>216.0</v>
      </c>
      <c r="L20" s="64">
        <v>0.0069</v>
      </c>
      <c r="M20" s="64">
        <v>659.0</v>
      </c>
      <c r="N20" s="64">
        <v>841.0</v>
      </c>
      <c r="O20" s="64">
        <v>186.0</v>
      </c>
      <c r="P20" s="64">
        <v>1966.0</v>
      </c>
      <c r="Q20" s="64">
        <v>3925.0</v>
      </c>
      <c r="R20" s="62" t="s">
        <v>132</v>
      </c>
      <c r="S20" s="69"/>
      <c r="T20" s="15"/>
    </row>
    <row r="21">
      <c r="A21" s="65">
        <v>46101.0</v>
      </c>
      <c r="B21" s="66" t="s">
        <v>225</v>
      </c>
      <c r="C21" s="75"/>
      <c r="D21" s="67" t="str">
        <f t="shared" si="5"/>
        <v>dreams</v>
      </c>
      <c r="E21" s="66" t="s">
        <v>34</v>
      </c>
      <c r="F21" s="68">
        <v>85.0</v>
      </c>
      <c r="G21" s="68">
        <v>1495.0</v>
      </c>
      <c r="H21" s="68">
        <v>222.0</v>
      </c>
      <c r="I21" s="68">
        <v>0.0069</v>
      </c>
      <c r="J21" s="68">
        <v>1561.0</v>
      </c>
      <c r="K21" s="68">
        <v>259.0</v>
      </c>
      <c r="L21" s="68">
        <v>0.0069</v>
      </c>
      <c r="M21" s="68">
        <v>650.0</v>
      </c>
      <c r="N21" s="68">
        <v>895.0</v>
      </c>
      <c r="O21" s="68">
        <v>244.0</v>
      </c>
      <c r="P21" s="68">
        <v>2161.0</v>
      </c>
      <c r="Q21" s="68">
        <v>4004.0</v>
      </c>
      <c r="R21" s="66" t="s">
        <v>132</v>
      </c>
      <c r="S21" s="66" t="s">
        <v>418</v>
      </c>
      <c r="T21" s="15"/>
    </row>
    <row r="22">
      <c r="A22" s="61">
        <v>46101.0</v>
      </c>
      <c r="B22" s="62" t="s">
        <v>166</v>
      </c>
      <c r="C22" s="76"/>
      <c r="D22" s="63" t="str">
        <f t="shared" si="5"/>
        <v>dreams</v>
      </c>
      <c r="E22" s="62" t="s">
        <v>35</v>
      </c>
      <c r="F22" s="64">
        <v>71.0</v>
      </c>
      <c r="G22" s="64">
        <v>4508.0</v>
      </c>
      <c r="H22" s="64">
        <v>1025.0</v>
      </c>
      <c r="I22" s="64">
        <v>0.0093</v>
      </c>
      <c r="J22" s="64">
        <v>5010.0</v>
      </c>
      <c r="K22" s="64">
        <v>1074.0</v>
      </c>
      <c r="L22" s="64">
        <v>0.0093</v>
      </c>
      <c r="M22" s="64">
        <v>664.0</v>
      </c>
      <c r="N22" s="64">
        <v>2119.0</v>
      </c>
      <c r="O22" s="64">
        <v>1259.0</v>
      </c>
      <c r="P22" s="64">
        <v>4655.0</v>
      </c>
      <c r="Q22" s="64">
        <v>18148.0</v>
      </c>
      <c r="R22" s="62" t="s">
        <v>132</v>
      </c>
      <c r="S22" s="69"/>
      <c r="T22" s="15"/>
    </row>
    <row r="23">
      <c r="A23" s="65">
        <v>46101.0</v>
      </c>
      <c r="B23" s="66" t="s">
        <v>225</v>
      </c>
      <c r="C23" s="75"/>
      <c r="D23" s="67" t="str">
        <f t="shared" si="5"/>
        <v>dreams</v>
      </c>
      <c r="E23" s="66" t="s">
        <v>35</v>
      </c>
      <c r="F23" s="68">
        <v>45.0</v>
      </c>
      <c r="G23" s="68">
        <v>5336.0</v>
      </c>
      <c r="H23" s="68">
        <v>894.0</v>
      </c>
      <c r="I23" s="68">
        <v>0.0093</v>
      </c>
      <c r="J23" s="68">
        <v>5360.0</v>
      </c>
      <c r="K23" s="68">
        <v>913.0</v>
      </c>
      <c r="L23" s="68">
        <v>0.0093</v>
      </c>
      <c r="M23" s="68">
        <v>645.0</v>
      </c>
      <c r="N23" s="68">
        <v>3773.0</v>
      </c>
      <c r="O23" s="68">
        <v>1404.0</v>
      </c>
      <c r="P23" s="68">
        <v>6120.0</v>
      </c>
      <c r="Q23" s="68">
        <v>17987.0</v>
      </c>
      <c r="R23" s="66" t="s">
        <v>132</v>
      </c>
      <c r="S23" s="66" t="s">
        <v>418</v>
      </c>
      <c r="T23" s="15"/>
    </row>
    <row r="24">
      <c r="A24" s="61">
        <v>46101.0</v>
      </c>
      <c r="B24" s="62" t="s">
        <v>166</v>
      </c>
      <c r="C24" s="76"/>
      <c r="D24" s="63" t="str">
        <f t="shared" ref="D24:D27" si="6">HYPERLINK("https://stage.vrsmash.com/categories/", "categories")</f>
        <v>categories</v>
      </c>
      <c r="E24" s="62" t="s">
        <v>34</v>
      </c>
      <c r="F24" s="64">
        <v>92.0</v>
      </c>
      <c r="G24" s="64">
        <v>1356.0</v>
      </c>
      <c r="H24" s="64">
        <v>127.0</v>
      </c>
      <c r="I24" s="64">
        <v>0.0072</v>
      </c>
      <c r="J24" s="64">
        <v>1426.0</v>
      </c>
      <c r="K24" s="64">
        <v>144.0</v>
      </c>
      <c r="L24" s="64">
        <v>0.0072</v>
      </c>
      <c r="M24" s="64">
        <v>265.0</v>
      </c>
      <c r="N24" s="64">
        <v>838.0</v>
      </c>
      <c r="O24" s="64">
        <v>80.0</v>
      </c>
      <c r="P24" s="64">
        <v>1857.0</v>
      </c>
      <c r="Q24" s="64">
        <v>1700.0</v>
      </c>
      <c r="R24" s="62" t="s">
        <v>132</v>
      </c>
      <c r="S24" s="69"/>
      <c r="T24" s="15"/>
    </row>
    <row r="25">
      <c r="A25" s="65">
        <v>46101.0</v>
      </c>
      <c r="B25" s="66" t="s">
        <v>225</v>
      </c>
      <c r="C25" s="75"/>
      <c r="D25" s="67" t="str">
        <f t="shared" si="6"/>
        <v>categories</v>
      </c>
      <c r="E25" s="66" t="s">
        <v>34</v>
      </c>
      <c r="F25" s="68">
        <v>91.0</v>
      </c>
      <c r="G25" s="68">
        <v>1446.0</v>
      </c>
      <c r="H25" s="68">
        <v>176.0</v>
      </c>
      <c r="I25" s="68">
        <v>0.0072</v>
      </c>
      <c r="J25" s="68">
        <v>1498.0</v>
      </c>
      <c r="K25" s="68">
        <v>190.0</v>
      </c>
      <c r="L25" s="68">
        <v>0.0072</v>
      </c>
      <c r="M25" s="68">
        <v>275.0</v>
      </c>
      <c r="N25" s="68">
        <v>884.0</v>
      </c>
      <c r="O25" s="68">
        <v>144.0</v>
      </c>
      <c r="P25" s="68">
        <v>2033.0</v>
      </c>
      <c r="Q25" s="68">
        <v>1867.0</v>
      </c>
      <c r="R25" s="66" t="s">
        <v>132</v>
      </c>
      <c r="S25" s="66" t="s">
        <v>418</v>
      </c>
      <c r="T25" s="15"/>
    </row>
    <row r="26">
      <c r="A26" s="61">
        <v>46101.0</v>
      </c>
      <c r="B26" s="62" t="s">
        <v>166</v>
      </c>
      <c r="C26" s="76"/>
      <c r="D26" s="63" t="str">
        <f t="shared" si="6"/>
        <v>categories</v>
      </c>
      <c r="E26" s="62" t="s">
        <v>35</v>
      </c>
      <c r="F26" s="64">
        <v>54.0</v>
      </c>
      <c r="G26" s="64">
        <v>7207.0</v>
      </c>
      <c r="H26" s="64">
        <v>630.0</v>
      </c>
      <c r="I26" s="64">
        <v>0.0085</v>
      </c>
      <c r="J26" s="64">
        <v>7485.0</v>
      </c>
      <c r="K26" s="64">
        <v>663.0</v>
      </c>
      <c r="L26" s="64">
        <v>0.0085</v>
      </c>
      <c r="M26" s="64">
        <v>288.0</v>
      </c>
      <c r="N26" s="64">
        <v>1984.0</v>
      </c>
      <c r="O26" s="64">
        <v>1245.0</v>
      </c>
      <c r="P26" s="64">
        <v>4238.0</v>
      </c>
      <c r="Q26" s="64">
        <v>8525.0</v>
      </c>
      <c r="R26" s="62" t="s">
        <v>132</v>
      </c>
      <c r="S26" s="69"/>
      <c r="T26" s="15"/>
    </row>
    <row r="27">
      <c r="A27" s="65">
        <v>46101.0</v>
      </c>
      <c r="B27" s="66" t="s">
        <v>225</v>
      </c>
      <c r="C27" s="75"/>
      <c r="D27" s="67" t="str">
        <f t="shared" si="6"/>
        <v>categories</v>
      </c>
      <c r="E27" s="66" t="s">
        <v>35</v>
      </c>
      <c r="F27" s="68">
        <v>50.0</v>
      </c>
      <c r="G27" s="68">
        <v>7642.0</v>
      </c>
      <c r="H27" s="68">
        <v>708.0</v>
      </c>
      <c r="I27" s="68">
        <v>0.0085</v>
      </c>
      <c r="J27" s="68">
        <v>7768.0</v>
      </c>
      <c r="K27" s="68">
        <v>733.0</v>
      </c>
      <c r="L27" s="68">
        <v>0.0085</v>
      </c>
      <c r="M27" s="68">
        <v>278.0</v>
      </c>
      <c r="N27" s="68">
        <v>2110.0</v>
      </c>
      <c r="O27" s="68">
        <v>1384.0</v>
      </c>
      <c r="P27" s="68">
        <v>4620.0</v>
      </c>
      <c r="Q27" s="68">
        <v>8652.0</v>
      </c>
      <c r="R27" s="66" t="s">
        <v>132</v>
      </c>
      <c r="S27" s="66" t="s">
        <v>418</v>
      </c>
      <c r="T27" s="15"/>
    </row>
    <row r="28">
      <c r="A28" s="61"/>
      <c r="B28" s="69"/>
      <c r="C28" s="76"/>
      <c r="D28" s="70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15"/>
    </row>
    <row r="29">
      <c r="A29" s="65"/>
      <c r="B29" s="71"/>
      <c r="C29" s="75"/>
      <c r="D29" s="72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15"/>
    </row>
    <row r="30">
      <c r="A30" s="61"/>
      <c r="B30" s="69"/>
      <c r="C30" s="76"/>
      <c r="D30" s="70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15"/>
    </row>
    <row r="31">
      <c r="A31" s="74"/>
      <c r="B31" s="71"/>
      <c r="C31" s="75"/>
      <c r="D31" s="72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15"/>
    </row>
    <row r="32">
      <c r="A32" s="73"/>
      <c r="B32" s="69"/>
      <c r="C32" s="76"/>
      <c r="D32" s="70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15"/>
    </row>
    <row r="33">
      <c r="A33" s="74"/>
      <c r="B33" s="71"/>
      <c r="C33" s="75"/>
      <c r="D33" s="72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15"/>
    </row>
    <row r="34">
      <c r="A34" s="73"/>
      <c r="B34" s="69"/>
      <c r="C34" s="76"/>
      <c r="D34" s="70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15"/>
    </row>
    <row r="35">
      <c r="A35" s="74"/>
      <c r="B35" s="71"/>
      <c r="C35" s="75"/>
      <c r="D35" s="72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15"/>
    </row>
    <row r="36">
      <c r="A36" s="73"/>
      <c r="B36" s="69"/>
      <c r="C36" s="76"/>
      <c r="D36" s="70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15"/>
    </row>
    <row r="37">
      <c r="A37" s="74"/>
      <c r="B37" s="71"/>
      <c r="C37" s="75"/>
      <c r="D37" s="72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15"/>
    </row>
    <row r="38">
      <c r="A38" s="73"/>
      <c r="B38" s="69"/>
      <c r="C38" s="76"/>
      <c r="D38" s="70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15"/>
    </row>
    <row r="39">
      <c r="A39" s="74"/>
      <c r="B39" s="71"/>
      <c r="C39" s="75"/>
      <c r="D39" s="72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15"/>
    </row>
    <row r="40">
      <c r="A40" s="73"/>
      <c r="B40" s="69"/>
      <c r="C40" s="76"/>
      <c r="D40" s="70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15"/>
    </row>
    <row r="41">
      <c r="A41" s="74"/>
      <c r="B41" s="71"/>
      <c r="C41" s="75"/>
      <c r="D41" s="72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15"/>
    </row>
    <row r="42">
      <c r="A42" s="73"/>
      <c r="B42" s="69"/>
      <c r="C42" s="76"/>
      <c r="D42" s="70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15"/>
    </row>
    <row r="43">
      <c r="A43" s="74"/>
      <c r="B43" s="71"/>
      <c r="C43" s="75"/>
      <c r="D43" s="72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15"/>
    </row>
    <row r="44">
      <c r="A44" s="73"/>
      <c r="B44" s="69"/>
      <c r="C44" s="76"/>
      <c r="D44" s="70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15"/>
    </row>
    <row r="45">
      <c r="A45" s="74"/>
      <c r="B45" s="71"/>
      <c r="C45" s="75"/>
      <c r="D45" s="72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15"/>
    </row>
    <row r="46">
      <c r="A46" s="73"/>
      <c r="B46" s="69"/>
      <c r="C46" s="76"/>
      <c r="D46" s="70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15"/>
    </row>
    <row r="47">
      <c r="A47" s="74"/>
      <c r="B47" s="71"/>
      <c r="C47" s="75"/>
      <c r="D47" s="72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15"/>
    </row>
    <row r="48">
      <c r="A48" s="73"/>
      <c r="B48" s="69"/>
      <c r="C48" s="76"/>
      <c r="D48" s="70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15"/>
    </row>
    <row r="49">
      <c r="A49" s="74"/>
      <c r="B49" s="71"/>
      <c r="C49" s="75"/>
      <c r="D49" s="72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15"/>
    </row>
    <row r="50">
      <c r="A50" s="61"/>
      <c r="B50" s="69"/>
      <c r="C50" s="76"/>
      <c r="D50" s="70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15"/>
    </row>
    <row r="51">
      <c r="A51" s="65"/>
      <c r="B51" s="71"/>
      <c r="C51" s="75"/>
      <c r="D51" s="72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15"/>
    </row>
    <row r="52">
      <c r="A52" s="61"/>
      <c r="B52" s="69"/>
      <c r="C52" s="76"/>
      <c r="D52" s="70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15"/>
    </row>
    <row r="53">
      <c r="A53" s="65"/>
      <c r="B53" s="71"/>
      <c r="C53" s="75"/>
      <c r="D53" s="72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15"/>
    </row>
    <row r="54">
      <c r="A54" s="61"/>
      <c r="B54" s="69"/>
      <c r="C54" s="76"/>
      <c r="D54" s="70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15"/>
    </row>
    <row r="55">
      <c r="A55" s="65"/>
      <c r="B55" s="71"/>
      <c r="C55" s="75"/>
      <c r="D55" s="72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15"/>
    </row>
    <row r="56">
      <c r="A56" s="61"/>
      <c r="B56" s="69"/>
      <c r="C56" s="76"/>
      <c r="D56" s="70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15"/>
    </row>
    <row r="57">
      <c r="A57" s="65"/>
      <c r="B57" s="71"/>
      <c r="C57" s="75"/>
      <c r="D57" s="72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15"/>
    </row>
    <row r="58">
      <c r="A58" s="61"/>
      <c r="B58" s="69"/>
      <c r="C58" s="76"/>
      <c r="D58" s="70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15"/>
    </row>
    <row r="59">
      <c r="A59" s="65"/>
      <c r="B59" s="71"/>
      <c r="C59" s="75"/>
      <c r="D59" s="72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15"/>
    </row>
    <row r="60">
      <c r="A60" s="61"/>
      <c r="B60" s="69"/>
      <c r="C60" s="76"/>
      <c r="D60" s="70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15"/>
    </row>
    <row r="61">
      <c r="A61" s="65"/>
      <c r="B61" s="71"/>
      <c r="C61" s="75"/>
      <c r="D61" s="72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15"/>
    </row>
    <row r="62">
      <c r="A62" s="61"/>
      <c r="B62" s="69"/>
      <c r="C62" s="76"/>
      <c r="D62" s="70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15"/>
    </row>
    <row r="63">
      <c r="A63" s="65"/>
      <c r="B63" s="71"/>
      <c r="C63" s="75"/>
      <c r="D63" s="72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15"/>
    </row>
    <row r="64">
      <c r="A64" s="61"/>
      <c r="B64" s="69"/>
      <c r="C64" s="76"/>
      <c r="D64" s="70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15"/>
    </row>
    <row r="65">
      <c r="A65" s="65"/>
      <c r="B65" s="71"/>
      <c r="C65" s="75"/>
      <c r="D65" s="72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15"/>
    </row>
    <row r="66">
      <c r="A66" s="61"/>
      <c r="B66" s="69"/>
      <c r="C66" s="76"/>
      <c r="D66" s="70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15"/>
    </row>
    <row r="67">
      <c r="A67" s="65"/>
      <c r="B67" s="71"/>
      <c r="C67" s="75"/>
      <c r="D67" s="72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15"/>
    </row>
    <row r="68">
      <c r="A68" s="73"/>
      <c r="B68" s="69"/>
      <c r="C68" s="76"/>
      <c r="D68" s="70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15"/>
    </row>
    <row r="69">
      <c r="A69" s="74"/>
      <c r="B69" s="71"/>
      <c r="C69" s="75"/>
      <c r="D69" s="72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15"/>
    </row>
    <row r="70">
      <c r="A70" s="73"/>
      <c r="B70" s="69"/>
      <c r="C70" s="76"/>
      <c r="D70" s="70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15"/>
    </row>
    <row r="71">
      <c r="A71" s="74"/>
      <c r="B71" s="71"/>
      <c r="C71" s="75"/>
      <c r="D71" s="72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15"/>
    </row>
    <row r="72">
      <c r="A72" s="73"/>
      <c r="B72" s="69"/>
      <c r="C72" s="76"/>
      <c r="D72" s="70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15"/>
    </row>
    <row r="73">
      <c r="A73" s="74"/>
      <c r="B73" s="71"/>
      <c r="C73" s="75"/>
      <c r="D73" s="72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15"/>
    </row>
    <row r="74">
      <c r="A74" s="73"/>
      <c r="B74" s="69"/>
      <c r="C74" s="76"/>
      <c r="D74" s="70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15"/>
    </row>
    <row r="75">
      <c r="A75" s="74"/>
      <c r="B75" s="71"/>
      <c r="C75" s="75"/>
      <c r="D75" s="72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15"/>
    </row>
    <row r="76">
      <c r="A76" s="73"/>
      <c r="B76" s="69"/>
      <c r="C76" s="76"/>
      <c r="D76" s="70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15"/>
    </row>
    <row r="77">
      <c r="A77" s="74"/>
      <c r="B77" s="71"/>
      <c r="C77" s="75"/>
      <c r="D77" s="72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15"/>
    </row>
    <row r="78">
      <c r="A78" s="73"/>
      <c r="B78" s="69"/>
      <c r="C78" s="76"/>
      <c r="D78" s="70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15"/>
    </row>
    <row r="79">
      <c r="A79" s="74"/>
      <c r="B79" s="71"/>
      <c r="C79" s="75"/>
      <c r="D79" s="72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15"/>
    </row>
    <row r="80">
      <c r="A80" s="73"/>
      <c r="B80" s="69"/>
      <c r="C80" s="76"/>
      <c r="D80" s="70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15"/>
    </row>
    <row r="81">
      <c r="A81" s="74"/>
      <c r="B81" s="71"/>
      <c r="C81" s="75"/>
      <c r="D81" s="72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15"/>
    </row>
    <row r="82">
      <c r="A82" s="73"/>
      <c r="B82" s="69"/>
      <c r="C82" s="76"/>
      <c r="D82" s="70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15"/>
    </row>
    <row r="83">
      <c r="A83" s="74"/>
      <c r="B83" s="71"/>
      <c r="C83" s="75"/>
      <c r="D83" s="72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15"/>
    </row>
    <row r="84">
      <c r="A84" s="73"/>
      <c r="B84" s="69"/>
      <c r="C84" s="76"/>
      <c r="D84" s="70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15"/>
    </row>
    <row r="85">
      <c r="A85" s="74"/>
      <c r="B85" s="71"/>
      <c r="C85" s="75"/>
      <c r="D85" s="72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15"/>
    </row>
    <row r="86">
      <c r="A86" s="73"/>
      <c r="B86" s="69"/>
      <c r="C86" s="76"/>
      <c r="D86" s="70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15"/>
    </row>
    <row r="87">
      <c r="A87" s="65"/>
      <c r="B87" s="71"/>
      <c r="C87" s="75"/>
      <c r="D87" s="72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15"/>
    </row>
    <row r="88">
      <c r="A88" s="61"/>
      <c r="B88" s="69"/>
      <c r="C88" s="76"/>
      <c r="D88" s="70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15"/>
    </row>
    <row r="89">
      <c r="A89" s="65"/>
      <c r="B89" s="71"/>
      <c r="C89" s="75"/>
      <c r="D89" s="72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15"/>
    </row>
    <row r="90">
      <c r="A90" s="61"/>
      <c r="B90" s="69"/>
      <c r="C90" s="76"/>
      <c r="D90" s="70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15"/>
    </row>
    <row r="91">
      <c r="A91" s="65"/>
      <c r="B91" s="71"/>
      <c r="C91" s="75"/>
      <c r="D91" s="72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15"/>
    </row>
    <row r="92">
      <c r="A92" s="61"/>
      <c r="B92" s="69"/>
      <c r="C92" s="76"/>
      <c r="D92" s="70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15"/>
    </row>
    <row r="93">
      <c r="A93" s="65"/>
      <c r="B93" s="71"/>
      <c r="C93" s="75"/>
      <c r="D93" s="72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15"/>
    </row>
    <row r="94">
      <c r="A94" s="61"/>
      <c r="B94" s="69"/>
      <c r="C94" s="76"/>
      <c r="D94" s="70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15"/>
    </row>
    <row r="95">
      <c r="A95" s="65"/>
      <c r="B95" s="71"/>
      <c r="C95" s="75"/>
      <c r="D95" s="72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15"/>
    </row>
    <row r="96">
      <c r="A96" s="61"/>
      <c r="B96" s="69"/>
      <c r="C96" s="76"/>
      <c r="D96" s="70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15"/>
    </row>
    <row r="97">
      <c r="A97" s="65"/>
      <c r="B97" s="71"/>
      <c r="C97" s="75"/>
      <c r="D97" s="72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15"/>
    </row>
    <row r="98">
      <c r="A98" s="61"/>
      <c r="B98" s="69"/>
      <c r="C98" s="76"/>
      <c r="D98" s="70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15"/>
    </row>
    <row r="99">
      <c r="A99" s="65"/>
      <c r="B99" s="71"/>
      <c r="C99" s="75"/>
      <c r="D99" s="72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15"/>
    </row>
    <row r="100">
      <c r="A100" s="61"/>
      <c r="B100" s="69"/>
      <c r="C100" s="76"/>
      <c r="D100" s="70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15"/>
    </row>
    <row r="101">
      <c r="A101" s="65"/>
      <c r="B101" s="71"/>
      <c r="C101" s="75"/>
      <c r="D101" s="72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15"/>
    </row>
    <row r="102">
      <c r="A102" s="61"/>
      <c r="B102" s="69"/>
      <c r="C102" s="76"/>
      <c r="D102" s="70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15"/>
    </row>
    <row r="103">
      <c r="A103" s="65"/>
      <c r="B103" s="71"/>
      <c r="C103" s="75"/>
      <c r="D103" s="72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15"/>
    </row>
    <row r="104">
      <c r="A104" s="61"/>
      <c r="B104" s="69"/>
      <c r="C104" s="76"/>
      <c r="D104" s="70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15"/>
    </row>
    <row r="105">
      <c r="A105" s="65"/>
      <c r="B105" s="71"/>
      <c r="C105" s="75"/>
      <c r="D105" s="72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15"/>
    </row>
    <row r="106">
      <c r="A106" s="61"/>
      <c r="B106" s="69"/>
      <c r="C106" s="76"/>
      <c r="D106" s="70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15"/>
    </row>
    <row r="107">
      <c r="A107" s="65"/>
      <c r="B107" s="71"/>
      <c r="C107" s="75"/>
      <c r="D107" s="72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15"/>
    </row>
    <row r="108">
      <c r="A108" s="61"/>
      <c r="B108" s="69"/>
      <c r="C108" s="76"/>
      <c r="D108" s="70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15"/>
    </row>
    <row r="109">
      <c r="A109" s="65"/>
      <c r="B109" s="71"/>
      <c r="C109" s="75"/>
      <c r="D109" s="72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15"/>
    </row>
    <row r="110">
      <c r="A110" s="61"/>
      <c r="B110" s="69"/>
      <c r="C110" s="76"/>
      <c r="D110" s="70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15"/>
    </row>
    <row r="111">
      <c r="A111" s="65"/>
      <c r="B111" s="71"/>
      <c r="C111" s="75"/>
      <c r="D111" s="72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15"/>
    </row>
    <row r="112">
      <c r="A112" s="61"/>
      <c r="B112" s="69"/>
      <c r="C112" s="76"/>
      <c r="D112" s="70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15"/>
    </row>
    <row r="113">
      <c r="A113" s="65"/>
      <c r="B113" s="71"/>
      <c r="C113" s="75"/>
      <c r="D113" s="72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15"/>
    </row>
    <row r="114">
      <c r="A114" s="73"/>
      <c r="B114" s="69"/>
      <c r="C114" s="76"/>
      <c r="D114" s="70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15"/>
    </row>
    <row r="115">
      <c r="A115" s="74"/>
      <c r="B115" s="71"/>
      <c r="C115" s="75"/>
      <c r="D115" s="72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15"/>
    </row>
    <row r="116">
      <c r="A116" s="73"/>
      <c r="B116" s="69"/>
      <c r="C116" s="76"/>
      <c r="D116" s="70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15"/>
    </row>
    <row r="117">
      <c r="A117" s="74"/>
      <c r="B117" s="71"/>
      <c r="C117" s="75"/>
      <c r="D117" s="72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15"/>
    </row>
    <row r="118">
      <c r="A118" s="73"/>
      <c r="B118" s="69"/>
      <c r="C118" s="76"/>
      <c r="D118" s="70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15"/>
    </row>
    <row r="119">
      <c r="A119" s="74"/>
      <c r="B119" s="71"/>
      <c r="C119" s="75"/>
      <c r="D119" s="72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15"/>
    </row>
    <row r="120">
      <c r="A120" s="73"/>
      <c r="B120" s="69"/>
      <c r="C120" s="76"/>
      <c r="D120" s="70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15"/>
    </row>
    <row r="121">
      <c r="A121" s="74"/>
      <c r="B121" s="71"/>
      <c r="C121" s="72"/>
      <c r="D121" s="72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15"/>
    </row>
    <row r="122">
      <c r="A122" s="73"/>
      <c r="B122" s="69"/>
      <c r="C122" s="70"/>
      <c r="D122" s="70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15"/>
    </row>
    <row r="123">
      <c r="A123" s="74"/>
      <c r="B123" s="71"/>
      <c r="C123" s="72"/>
      <c r="D123" s="72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15"/>
    </row>
    <row r="124">
      <c r="A124" s="73"/>
      <c r="B124" s="69"/>
      <c r="C124" s="70"/>
      <c r="D124" s="70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15"/>
    </row>
    <row r="125">
      <c r="A125" s="74"/>
      <c r="B125" s="71"/>
      <c r="C125" s="72"/>
      <c r="D125" s="72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15"/>
    </row>
    <row r="126">
      <c r="A126" s="73"/>
      <c r="B126" s="69"/>
      <c r="C126" s="70"/>
      <c r="D126" s="70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15"/>
    </row>
    <row r="127">
      <c r="A127" s="74"/>
      <c r="B127" s="71"/>
      <c r="C127" s="72"/>
      <c r="D127" s="72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15"/>
    </row>
    <row r="128">
      <c r="A128" s="73"/>
      <c r="B128" s="69"/>
      <c r="C128" s="70"/>
      <c r="D128" s="70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15"/>
    </row>
    <row r="129">
      <c r="A129" s="74"/>
      <c r="B129" s="71"/>
      <c r="C129" s="72"/>
      <c r="D129" s="72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15"/>
    </row>
    <row r="130">
      <c r="A130" s="73"/>
      <c r="B130" s="69"/>
      <c r="C130" s="70"/>
      <c r="D130" s="70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15"/>
    </row>
    <row r="131">
      <c r="A131" s="74"/>
      <c r="B131" s="71"/>
      <c r="C131" s="72"/>
      <c r="D131" s="72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15"/>
    </row>
    <row r="132">
      <c r="A132" s="73"/>
      <c r="B132" s="69"/>
      <c r="C132" s="70"/>
      <c r="D132" s="70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15"/>
    </row>
    <row r="133">
      <c r="A133" s="65"/>
      <c r="B133" s="71"/>
      <c r="C133" s="72"/>
      <c r="D133" s="72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15"/>
    </row>
    <row r="134">
      <c r="A134" s="61"/>
      <c r="B134" s="69"/>
      <c r="C134" s="70"/>
      <c r="D134" s="70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15"/>
    </row>
    <row r="135">
      <c r="A135" s="65"/>
      <c r="B135" s="71"/>
      <c r="C135" s="72"/>
      <c r="D135" s="72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15"/>
    </row>
    <row r="136">
      <c r="A136" s="61"/>
      <c r="B136" s="69"/>
      <c r="C136" s="70"/>
      <c r="D136" s="70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15"/>
    </row>
    <row r="137">
      <c r="A137" s="65"/>
      <c r="B137" s="71"/>
      <c r="C137" s="72"/>
      <c r="D137" s="72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15"/>
    </row>
    <row r="138">
      <c r="A138" s="61"/>
      <c r="B138" s="69"/>
      <c r="C138" s="70"/>
      <c r="D138" s="70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15"/>
    </row>
    <row r="139">
      <c r="A139" s="65"/>
      <c r="B139" s="71"/>
      <c r="C139" s="72"/>
      <c r="D139" s="72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15"/>
    </row>
    <row r="140">
      <c r="A140" s="61"/>
      <c r="B140" s="69"/>
      <c r="C140" s="70"/>
      <c r="D140" s="70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15"/>
    </row>
    <row r="141">
      <c r="A141" s="65"/>
      <c r="B141" s="71"/>
      <c r="C141" s="72"/>
      <c r="D141" s="72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15"/>
    </row>
    <row r="142">
      <c r="A142" s="61"/>
      <c r="B142" s="69"/>
      <c r="C142" s="70"/>
      <c r="D142" s="70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15"/>
    </row>
    <row r="143">
      <c r="A143" s="65"/>
      <c r="B143" s="71"/>
      <c r="C143" s="72"/>
      <c r="D143" s="72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15"/>
    </row>
    <row r="144">
      <c r="A144" s="61"/>
      <c r="B144" s="69"/>
      <c r="C144" s="70"/>
      <c r="D144" s="70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15"/>
    </row>
    <row r="145">
      <c r="A145" s="65"/>
      <c r="B145" s="71"/>
      <c r="C145" s="72"/>
      <c r="D145" s="72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15"/>
    </row>
    <row r="146">
      <c r="A146" s="61"/>
      <c r="B146" s="69"/>
      <c r="C146" s="70"/>
      <c r="D146" s="70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15"/>
    </row>
    <row r="147">
      <c r="A147" s="65"/>
      <c r="B147" s="71"/>
      <c r="C147" s="72"/>
      <c r="D147" s="72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15"/>
    </row>
    <row r="148">
      <c r="A148" s="61"/>
      <c r="B148" s="69"/>
      <c r="C148" s="70"/>
      <c r="D148" s="70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15"/>
    </row>
    <row r="149">
      <c r="A149" s="65"/>
      <c r="B149" s="71"/>
      <c r="C149" s="72"/>
      <c r="D149" s="72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15"/>
    </row>
    <row r="150">
      <c r="A150" s="61"/>
      <c r="B150" s="69"/>
      <c r="C150" s="70"/>
      <c r="D150" s="70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15"/>
    </row>
    <row r="151">
      <c r="A151" s="74"/>
      <c r="B151" s="71"/>
      <c r="C151" s="72"/>
      <c r="D151" s="72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15"/>
    </row>
    <row r="152">
      <c r="A152" s="73"/>
      <c r="B152" s="69"/>
      <c r="C152" s="70"/>
      <c r="D152" s="70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15"/>
    </row>
    <row r="153">
      <c r="A153" s="74"/>
      <c r="B153" s="71"/>
      <c r="C153" s="72"/>
      <c r="D153" s="72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15"/>
    </row>
    <row r="154">
      <c r="A154" s="73"/>
      <c r="B154" s="69"/>
      <c r="C154" s="70"/>
      <c r="D154" s="70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15"/>
    </row>
    <row r="155">
      <c r="A155" s="74"/>
      <c r="B155" s="71"/>
      <c r="C155" s="72"/>
      <c r="D155" s="72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15"/>
    </row>
    <row r="156">
      <c r="A156" s="73"/>
      <c r="B156" s="69"/>
      <c r="C156" s="70"/>
      <c r="D156" s="70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15"/>
    </row>
    <row r="157">
      <c r="A157" s="74"/>
      <c r="B157" s="71"/>
      <c r="C157" s="72"/>
      <c r="D157" s="72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15"/>
    </row>
    <row r="158">
      <c r="A158" s="73"/>
      <c r="B158" s="69"/>
      <c r="C158" s="70"/>
      <c r="D158" s="70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15"/>
    </row>
    <row r="159">
      <c r="A159" s="74"/>
      <c r="B159" s="71"/>
      <c r="C159" s="72"/>
      <c r="D159" s="72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15"/>
    </row>
    <row r="160">
      <c r="A160" s="73"/>
      <c r="B160" s="69"/>
      <c r="C160" s="70"/>
      <c r="D160" s="70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15"/>
    </row>
    <row r="161">
      <c r="A161" s="74"/>
      <c r="B161" s="71"/>
      <c r="C161" s="72"/>
      <c r="D161" s="72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15"/>
    </row>
    <row r="162">
      <c r="A162" s="73"/>
      <c r="B162" s="69"/>
      <c r="C162" s="70"/>
      <c r="D162" s="70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15"/>
    </row>
    <row r="163">
      <c r="A163" s="74"/>
      <c r="B163" s="71"/>
      <c r="C163" s="72"/>
      <c r="D163" s="72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15"/>
    </row>
    <row r="164">
      <c r="A164" s="73"/>
      <c r="B164" s="69"/>
      <c r="C164" s="70"/>
      <c r="D164" s="70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15"/>
    </row>
    <row r="165">
      <c r="A165" s="74"/>
      <c r="B165" s="71"/>
      <c r="C165" s="72"/>
      <c r="D165" s="72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15"/>
    </row>
    <row r="166">
      <c r="A166" s="73"/>
      <c r="B166" s="69"/>
      <c r="C166" s="70"/>
      <c r="D166" s="70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15"/>
    </row>
    <row r="167">
      <c r="A167" s="74"/>
      <c r="B167" s="71"/>
      <c r="C167" s="72"/>
      <c r="D167" s="72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15"/>
    </row>
    <row r="168">
      <c r="A168" s="73"/>
      <c r="B168" s="69"/>
      <c r="C168" s="70"/>
      <c r="D168" s="70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15"/>
    </row>
    <row r="169">
      <c r="A169" s="74"/>
      <c r="B169" s="71"/>
      <c r="C169" s="72"/>
      <c r="D169" s="72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15"/>
    </row>
    <row r="170">
      <c r="A170" s="61"/>
      <c r="B170" s="69"/>
      <c r="C170" s="70"/>
      <c r="D170" s="70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15"/>
    </row>
    <row r="171">
      <c r="A171" s="65"/>
      <c r="B171" s="71"/>
      <c r="C171" s="72"/>
      <c r="D171" s="72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15"/>
    </row>
    <row r="172">
      <c r="A172" s="61"/>
      <c r="B172" s="69"/>
      <c r="C172" s="70"/>
      <c r="D172" s="70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15"/>
    </row>
    <row r="173">
      <c r="A173" s="65"/>
      <c r="B173" s="71"/>
      <c r="C173" s="72"/>
      <c r="D173" s="72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15"/>
    </row>
    <row r="174">
      <c r="A174" s="61"/>
      <c r="B174" s="69"/>
      <c r="C174" s="70"/>
      <c r="D174" s="70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15"/>
    </row>
    <row r="175">
      <c r="A175" s="65"/>
      <c r="B175" s="71"/>
      <c r="C175" s="72"/>
      <c r="D175" s="72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15"/>
    </row>
    <row r="176">
      <c r="A176" s="61"/>
      <c r="B176" s="69"/>
      <c r="C176" s="70"/>
      <c r="D176" s="70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15"/>
    </row>
    <row r="177">
      <c r="A177" s="65"/>
      <c r="B177" s="71"/>
      <c r="C177" s="72"/>
      <c r="D177" s="72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15"/>
    </row>
    <row r="178">
      <c r="A178" s="61"/>
      <c r="B178" s="69"/>
      <c r="C178" s="70"/>
      <c r="D178" s="70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15"/>
    </row>
    <row r="179">
      <c r="A179" s="65"/>
      <c r="B179" s="71"/>
      <c r="C179" s="72"/>
      <c r="D179" s="72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15"/>
    </row>
    <row r="180">
      <c r="A180" s="61"/>
      <c r="B180" s="69"/>
      <c r="C180" s="70"/>
      <c r="D180" s="70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15"/>
    </row>
    <row r="181">
      <c r="A181" s="65"/>
      <c r="B181" s="71"/>
      <c r="C181" s="72"/>
      <c r="D181" s="72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15"/>
    </row>
    <row r="182">
      <c r="A182" s="61"/>
      <c r="B182" s="69"/>
      <c r="C182" s="70"/>
      <c r="D182" s="70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15"/>
    </row>
    <row r="183">
      <c r="A183" s="65"/>
      <c r="B183" s="71"/>
      <c r="C183" s="72"/>
      <c r="D183" s="72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15"/>
    </row>
    <row r="184">
      <c r="A184" s="61"/>
      <c r="B184" s="69"/>
      <c r="C184" s="70"/>
      <c r="D184" s="70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15"/>
    </row>
    <row r="185">
      <c r="A185" s="65"/>
      <c r="B185" s="71"/>
      <c r="C185" s="72"/>
      <c r="D185" s="72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15"/>
    </row>
    <row r="186">
      <c r="A186" s="61"/>
      <c r="B186" s="69"/>
      <c r="C186" s="70"/>
      <c r="D186" s="70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15"/>
    </row>
    <row r="187">
      <c r="A187" s="65"/>
      <c r="B187" s="71"/>
      <c r="C187" s="72"/>
      <c r="D187" s="72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15"/>
    </row>
    <row r="188">
      <c r="A188" s="61"/>
      <c r="B188" s="69"/>
      <c r="C188" s="70"/>
      <c r="D188" s="70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15"/>
    </row>
    <row r="189">
      <c r="A189" s="65"/>
      <c r="B189" s="71"/>
      <c r="C189" s="72"/>
      <c r="D189" s="72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15"/>
    </row>
    <row r="190">
      <c r="A190" s="61"/>
      <c r="B190" s="69"/>
      <c r="C190" s="70"/>
      <c r="D190" s="70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15"/>
    </row>
    <row r="191">
      <c r="A191" s="65"/>
      <c r="B191" s="71"/>
      <c r="C191" s="72"/>
      <c r="D191" s="72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15"/>
    </row>
    <row r="192">
      <c r="A192" s="61"/>
      <c r="B192" s="69"/>
      <c r="C192" s="70"/>
      <c r="D192" s="70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15"/>
    </row>
    <row r="193">
      <c r="A193" s="65"/>
      <c r="B193" s="71"/>
      <c r="C193" s="72"/>
      <c r="D193" s="72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15"/>
    </row>
    <row r="194">
      <c r="A194" s="61"/>
      <c r="B194" s="69"/>
      <c r="C194" s="70"/>
      <c r="D194" s="70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15"/>
    </row>
    <row r="195">
      <c r="A195" s="65"/>
      <c r="B195" s="71"/>
      <c r="C195" s="72"/>
      <c r="D195" s="72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15"/>
    </row>
    <row r="196">
      <c r="A196" s="61"/>
      <c r="B196" s="69"/>
      <c r="C196" s="70"/>
      <c r="D196" s="70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15"/>
    </row>
    <row r="197">
      <c r="A197" s="74"/>
      <c r="B197" s="71"/>
      <c r="C197" s="72"/>
      <c r="D197" s="72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15"/>
    </row>
    <row r="198">
      <c r="A198" s="73"/>
      <c r="B198" s="69"/>
      <c r="C198" s="70"/>
      <c r="D198" s="70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15"/>
    </row>
    <row r="199">
      <c r="A199" s="74"/>
      <c r="B199" s="71"/>
      <c r="C199" s="72"/>
      <c r="D199" s="72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15"/>
    </row>
    <row r="200">
      <c r="A200" s="73"/>
      <c r="B200" s="69"/>
      <c r="C200" s="70"/>
      <c r="D200" s="70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15"/>
    </row>
    <row r="201">
      <c r="A201" s="74"/>
      <c r="B201" s="71"/>
      <c r="C201" s="72"/>
      <c r="D201" s="72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15"/>
    </row>
    <row r="202">
      <c r="A202" s="73"/>
      <c r="B202" s="69"/>
      <c r="C202" s="70"/>
      <c r="D202" s="70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15"/>
    </row>
    <row r="203">
      <c r="A203" s="74"/>
      <c r="B203" s="71"/>
      <c r="C203" s="72"/>
      <c r="D203" s="72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15"/>
    </row>
    <row r="204">
      <c r="A204" s="73"/>
      <c r="B204" s="69"/>
      <c r="C204" s="70"/>
      <c r="D204" s="70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15"/>
    </row>
    <row r="205">
      <c r="A205" s="74"/>
      <c r="B205" s="71"/>
      <c r="C205" s="72"/>
      <c r="D205" s="72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15"/>
    </row>
    <row r="206">
      <c r="A206" s="73"/>
      <c r="B206" s="69"/>
      <c r="C206" s="70"/>
      <c r="D206" s="70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15"/>
    </row>
    <row r="207">
      <c r="A207" s="74"/>
      <c r="B207" s="71"/>
      <c r="C207" s="72"/>
      <c r="D207" s="72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15"/>
    </row>
    <row r="208">
      <c r="A208" s="73"/>
      <c r="B208" s="69"/>
      <c r="C208" s="70"/>
      <c r="D208" s="70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15"/>
    </row>
    <row r="209">
      <c r="A209" s="74"/>
      <c r="B209" s="71"/>
      <c r="C209" s="72"/>
      <c r="D209" s="72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15"/>
    </row>
    <row r="210">
      <c r="A210" s="73"/>
      <c r="B210" s="69"/>
      <c r="C210" s="70"/>
      <c r="D210" s="70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15"/>
    </row>
    <row r="211">
      <c r="A211" s="74"/>
      <c r="B211" s="71"/>
      <c r="C211" s="72"/>
      <c r="D211" s="72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15"/>
    </row>
    <row r="212">
      <c r="A212" s="73"/>
      <c r="B212" s="69"/>
      <c r="C212" s="70"/>
      <c r="D212" s="70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15"/>
    </row>
    <row r="213">
      <c r="A213" s="74"/>
      <c r="B213" s="71"/>
      <c r="C213" s="72"/>
      <c r="D213" s="72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15"/>
    </row>
    <row r="214">
      <c r="A214" s="73"/>
      <c r="B214" s="69"/>
      <c r="C214" s="70"/>
      <c r="D214" s="70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15"/>
    </row>
    <row r="215">
      <c r="A215" s="74"/>
      <c r="B215" s="71"/>
      <c r="C215" s="72"/>
      <c r="D215" s="72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15"/>
    </row>
    <row r="216">
      <c r="A216" s="61"/>
      <c r="B216" s="69"/>
      <c r="C216" s="70"/>
      <c r="D216" s="70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15"/>
    </row>
    <row r="217">
      <c r="A217" s="65"/>
      <c r="B217" s="71"/>
      <c r="C217" s="72"/>
      <c r="D217" s="72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15"/>
    </row>
    <row r="218">
      <c r="A218" s="61"/>
      <c r="B218" s="69"/>
      <c r="C218" s="70"/>
      <c r="D218" s="70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15"/>
    </row>
    <row r="219">
      <c r="A219" s="65"/>
      <c r="B219" s="71"/>
      <c r="C219" s="72"/>
      <c r="D219" s="72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15"/>
    </row>
    <row r="220">
      <c r="A220" s="61"/>
      <c r="B220" s="69"/>
      <c r="C220" s="70"/>
      <c r="D220" s="70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15"/>
    </row>
    <row r="221">
      <c r="A221" s="65"/>
      <c r="B221" s="71"/>
      <c r="C221" s="72"/>
      <c r="D221" s="72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15"/>
    </row>
    <row r="222">
      <c r="A222" s="61"/>
      <c r="B222" s="69"/>
      <c r="C222" s="70"/>
      <c r="D222" s="70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15"/>
    </row>
    <row r="223">
      <c r="A223" s="65"/>
      <c r="B223" s="71"/>
      <c r="C223" s="72"/>
      <c r="D223" s="72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15"/>
    </row>
    <row r="224">
      <c r="A224" s="61"/>
      <c r="B224" s="69"/>
      <c r="C224" s="70"/>
      <c r="D224" s="70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15"/>
    </row>
    <row r="225">
      <c r="A225" s="65"/>
      <c r="B225" s="71"/>
      <c r="C225" s="72"/>
      <c r="D225" s="72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15"/>
    </row>
    <row r="226">
      <c r="A226" s="61"/>
      <c r="B226" s="69"/>
      <c r="C226" s="70"/>
      <c r="D226" s="70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15"/>
    </row>
    <row r="227">
      <c r="A227" s="65"/>
      <c r="B227" s="71"/>
      <c r="C227" s="72"/>
      <c r="D227" s="72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15"/>
    </row>
    <row r="228">
      <c r="A228" s="61"/>
      <c r="B228" s="69"/>
      <c r="C228" s="70"/>
      <c r="D228" s="70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15"/>
    </row>
    <row r="229">
      <c r="A229" s="65"/>
      <c r="B229" s="71"/>
      <c r="C229" s="72"/>
      <c r="D229" s="72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15"/>
    </row>
    <row r="230">
      <c r="A230" s="61"/>
      <c r="B230" s="69"/>
      <c r="C230" s="70"/>
      <c r="D230" s="70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15"/>
    </row>
    <row r="231">
      <c r="A231" s="65"/>
      <c r="B231" s="71"/>
      <c r="C231" s="72"/>
      <c r="D231" s="72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15"/>
    </row>
    <row r="232">
      <c r="A232" s="61"/>
      <c r="B232" s="69"/>
      <c r="C232" s="70"/>
      <c r="D232" s="70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15"/>
    </row>
    <row r="233">
      <c r="A233" s="65"/>
      <c r="B233" s="71"/>
      <c r="C233" s="72"/>
      <c r="D233" s="72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15"/>
    </row>
    <row r="234">
      <c r="A234" s="73"/>
      <c r="B234" s="69"/>
      <c r="C234" s="70"/>
      <c r="D234" s="70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15"/>
    </row>
    <row r="235">
      <c r="A235" s="74"/>
      <c r="B235" s="71"/>
      <c r="C235" s="72"/>
      <c r="D235" s="72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15"/>
    </row>
    <row r="236">
      <c r="A236" s="73"/>
      <c r="B236" s="69"/>
      <c r="C236" s="70"/>
      <c r="D236" s="70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15"/>
    </row>
    <row r="237">
      <c r="A237" s="74"/>
      <c r="B237" s="71"/>
      <c r="C237" s="72"/>
      <c r="D237" s="72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15"/>
    </row>
    <row r="238">
      <c r="A238" s="73"/>
      <c r="B238" s="69"/>
      <c r="C238" s="70"/>
      <c r="D238" s="70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15"/>
    </row>
    <row r="239">
      <c r="A239" s="74"/>
      <c r="B239" s="71"/>
      <c r="C239" s="72"/>
      <c r="D239" s="72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15"/>
    </row>
    <row r="240">
      <c r="A240" s="73"/>
      <c r="B240" s="69"/>
      <c r="C240" s="70"/>
      <c r="D240" s="70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15"/>
    </row>
    <row r="241">
      <c r="A241" s="74"/>
      <c r="B241" s="71"/>
      <c r="C241" s="72"/>
      <c r="D241" s="72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15"/>
    </row>
    <row r="242">
      <c r="A242" s="73"/>
      <c r="B242" s="69"/>
      <c r="C242" s="70"/>
      <c r="D242" s="70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15"/>
    </row>
    <row r="243">
      <c r="A243" s="74"/>
      <c r="B243" s="71"/>
      <c r="C243" s="72"/>
      <c r="D243" s="72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15"/>
    </row>
    <row r="244">
      <c r="A244" s="73"/>
      <c r="B244" s="69"/>
      <c r="C244" s="70"/>
      <c r="D244" s="70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15"/>
    </row>
    <row r="245">
      <c r="A245" s="74"/>
      <c r="B245" s="71"/>
      <c r="C245" s="72"/>
      <c r="D245" s="72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15"/>
    </row>
    <row r="246">
      <c r="A246" s="73"/>
      <c r="B246" s="69"/>
      <c r="C246" s="70"/>
      <c r="D246" s="70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15"/>
    </row>
    <row r="247">
      <c r="A247" s="74"/>
      <c r="B247" s="71"/>
      <c r="C247" s="72"/>
      <c r="D247" s="72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15"/>
    </row>
    <row r="248">
      <c r="A248" s="73"/>
      <c r="B248" s="69"/>
      <c r="C248" s="70"/>
      <c r="D248" s="70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15"/>
    </row>
    <row r="249">
      <c r="A249" s="74"/>
      <c r="B249" s="71"/>
      <c r="C249" s="72"/>
      <c r="D249" s="72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15"/>
    </row>
    <row r="250">
      <c r="A250" s="73"/>
      <c r="B250" s="69"/>
      <c r="C250" s="70"/>
      <c r="D250" s="70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15"/>
    </row>
    <row r="251">
      <c r="A251" s="74"/>
      <c r="B251" s="71"/>
      <c r="C251" s="72"/>
      <c r="D251" s="72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15"/>
    </row>
    <row r="252">
      <c r="A252" s="73"/>
      <c r="B252" s="69"/>
      <c r="C252" s="70"/>
      <c r="D252" s="70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15"/>
    </row>
    <row r="253">
      <c r="A253" s="65"/>
      <c r="B253" s="71"/>
      <c r="C253" s="72"/>
      <c r="D253" s="72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15"/>
    </row>
    <row r="254">
      <c r="A254" s="61"/>
      <c r="B254" s="69"/>
      <c r="C254" s="70"/>
      <c r="D254" s="70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15"/>
    </row>
    <row r="255">
      <c r="A255" s="65"/>
      <c r="B255" s="71"/>
      <c r="C255" s="72"/>
      <c r="D255" s="72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15"/>
    </row>
    <row r="256">
      <c r="A256" s="61"/>
      <c r="B256" s="69"/>
      <c r="C256" s="70"/>
      <c r="D256" s="70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15"/>
    </row>
    <row r="257">
      <c r="A257" s="65"/>
      <c r="B257" s="71"/>
      <c r="C257" s="72"/>
      <c r="D257" s="72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15"/>
    </row>
    <row r="258">
      <c r="A258" s="61"/>
      <c r="B258" s="69"/>
      <c r="C258" s="70"/>
      <c r="D258" s="70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15"/>
    </row>
    <row r="259">
      <c r="A259" s="65"/>
      <c r="B259" s="71"/>
      <c r="C259" s="72"/>
      <c r="D259" s="72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15"/>
    </row>
    <row r="260">
      <c r="A260" s="61"/>
      <c r="B260" s="69"/>
      <c r="C260" s="70"/>
      <c r="D260" s="70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15"/>
    </row>
    <row r="261">
      <c r="A261" s="65"/>
      <c r="B261" s="71"/>
      <c r="C261" s="72"/>
      <c r="D261" s="72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15"/>
    </row>
    <row r="262">
      <c r="A262" s="61"/>
      <c r="B262" s="69"/>
      <c r="C262" s="70"/>
      <c r="D262" s="70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15"/>
    </row>
    <row r="263">
      <c r="A263" s="65"/>
      <c r="B263" s="71"/>
      <c r="C263" s="72"/>
      <c r="D263" s="72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15"/>
    </row>
    <row r="264">
      <c r="A264" s="61"/>
      <c r="B264" s="69"/>
      <c r="C264" s="70"/>
      <c r="D264" s="70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15"/>
    </row>
    <row r="265">
      <c r="A265" s="65"/>
      <c r="B265" s="71"/>
      <c r="C265" s="72"/>
      <c r="D265" s="72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15"/>
    </row>
    <row r="266">
      <c r="A266" s="61"/>
      <c r="B266" s="69"/>
      <c r="C266" s="70"/>
      <c r="D266" s="70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15"/>
    </row>
    <row r="267">
      <c r="A267" s="65"/>
      <c r="B267" s="71"/>
      <c r="C267" s="72"/>
      <c r="D267" s="72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15"/>
    </row>
    <row r="268">
      <c r="A268" s="61"/>
      <c r="B268" s="69"/>
      <c r="C268" s="70"/>
      <c r="D268" s="70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15"/>
    </row>
    <row r="269">
      <c r="A269" s="65"/>
      <c r="B269" s="71"/>
      <c r="C269" s="72"/>
      <c r="D269" s="72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15"/>
    </row>
    <row r="270">
      <c r="A270" s="61"/>
      <c r="B270" s="69"/>
      <c r="C270" s="70"/>
      <c r="D270" s="70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15"/>
    </row>
    <row r="271">
      <c r="A271" s="65"/>
      <c r="B271" s="71"/>
      <c r="C271" s="72"/>
      <c r="D271" s="72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15"/>
    </row>
    <row r="272">
      <c r="A272" s="61"/>
      <c r="B272" s="69"/>
      <c r="C272" s="70"/>
      <c r="D272" s="70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15"/>
    </row>
    <row r="273">
      <c r="A273" s="65"/>
      <c r="B273" s="71"/>
      <c r="C273" s="72"/>
      <c r="D273" s="72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15"/>
    </row>
    <row r="274">
      <c r="A274" s="61"/>
      <c r="B274" s="69"/>
      <c r="C274" s="70"/>
      <c r="D274" s="70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15"/>
    </row>
    <row r="275">
      <c r="A275" s="65"/>
      <c r="B275" s="71"/>
      <c r="C275" s="72"/>
      <c r="D275" s="72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15"/>
    </row>
    <row r="276">
      <c r="A276" s="61"/>
      <c r="B276" s="69"/>
      <c r="C276" s="70"/>
      <c r="D276" s="70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15"/>
    </row>
    <row r="277">
      <c r="A277" s="65"/>
      <c r="B277" s="71"/>
      <c r="C277" s="72"/>
      <c r="D277" s="72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15"/>
    </row>
    <row r="278">
      <c r="A278" s="61"/>
      <c r="B278" s="69"/>
      <c r="C278" s="70"/>
      <c r="D278" s="70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15"/>
    </row>
    <row r="279">
      <c r="A279" s="65"/>
      <c r="B279" s="71"/>
      <c r="C279" s="72"/>
      <c r="D279" s="72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15"/>
    </row>
    <row r="280">
      <c r="A280" s="73"/>
      <c r="B280" s="69"/>
      <c r="C280" s="70"/>
      <c r="D280" s="70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15"/>
    </row>
    <row r="281">
      <c r="A281" s="74"/>
      <c r="B281" s="71"/>
      <c r="C281" s="72"/>
      <c r="D281" s="72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15"/>
    </row>
    <row r="282">
      <c r="A282" s="73"/>
      <c r="B282" s="69"/>
      <c r="C282" s="70"/>
      <c r="D282" s="70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15"/>
    </row>
    <row r="283">
      <c r="A283" s="74"/>
      <c r="B283" s="71"/>
      <c r="C283" s="72"/>
      <c r="D283" s="72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15"/>
    </row>
    <row r="284">
      <c r="A284" s="73"/>
      <c r="B284" s="69"/>
      <c r="C284" s="70"/>
      <c r="D284" s="70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15"/>
    </row>
    <row r="285">
      <c r="A285" s="74"/>
      <c r="B285" s="71"/>
      <c r="C285" s="72"/>
      <c r="D285" s="72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15"/>
    </row>
    <row r="286">
      <c r="A286" s="73"/>
      <c r="B286" s="69"/>
      <c r="C286" s="70"/>
      <c r="D286" s="70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15"/>
    </row>
    <row r="287">
      <c r="A287" s="74"/>
      <c r="B287" s="71"/>
      <c r="C287" s="72"/>
      <c r="D287" s="72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15"/>
    </row>
    <row r="288">
      <c r="A288" s="73"/>
      <c r="B288" s="69"/>
      <c r="C288" s="70"/>
      <c r="D288" s="70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15"/>
    </row>
    <row r="289">
      <c r="A289" s="74"/>
      <c r="B289" s="71"/>
      <c r="C289" s="72"/>
      <c r="D289" s="72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15"/>
    </row>
    <row r="290">
      <c r="A290" s="73"/>
      <c r="B290" s="69"/>
      <c r="C290" s="70"/>
      <c r="D290" s="70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15"/>
    </row>
    <row r="291">
      <c r="A291" s="74"/>
      <c r="B291" s="71"/>
      <c r="C291" s="72"/>
      <c r="D291" s="72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15"/>
    </row>
    <row r="292">
      <c r="A292" s="73"/>
      <c r="B292" s="69"/>
      <c r="C292" s="70"/>
      <c r="D292" s="70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15"/>
    </row>
    <row r="293">
      <c r="A293" s="74"/>
      <c r="B293" s="71"/>
      <c r="C293" s="72"/>
      <c r="D293" s="72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15"/>
    </row>
    <row r="294">
      <c r="A294" s="73"/>
      <c r="B294" s="69"/>
      <c r="C294" s="70"/>
      <c r="D294" s="70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15"/>
    </row>
    <row r="295">
      <c r="A295" s="74"/>
      <c r="B295" s="71"/>
      <c r="C295" s="72"/>
      <c r="D295" s="72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15"/>
    </row>
    <row r="296">
      <c r="A296" s="73"/>
      <c r="B296" s="69"/>
      <c r="C296" s="70"/>
      <c r="D296" s="70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15"/>
    </row>
    <row r="297">
      <c r="A297" s="74"/>
      <c r="B297" s="71"/>
      <c r="C297" s="72"/>
      <c r="D297" s="72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15"/>
    </row>
    <row r="298">
      <c r="A298" s="73"/>
      <c r="B298" s="69"/>
      <c r="C298" s="70"/>
      <c r="D298" s="70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15"/>
    </row>
    <row r="299">
      <c r="A299" s="65"/>
      <c r="B299" s="71"/>
      <c r="C299" s="72"/>
      <c r="D299" s="72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15"/>
    </row>
    <row r="300">
      <c r="A300" s="61"/>
      <c r="B300" s="69"/>
      <c r="C300" s="70"/>
      <c r="D300" s="70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15"/>
    </row>
    <row r="301">
      <c r="A301" s="65"/>
      <c r="B301" s="71"/>
      <c r="C301" s="72"/>
      <c r="D301" s="72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15"/>
    </row>
    <row r="302">
      <c r="A302" s="61"/>
      <c r="B302" s="69"/>
      <c r="C302" s="70"/>
      <c r="D302" s="70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15"/>
    </row>
    <row r="303">
      <c r="A303" s="65"/>
      <c r="B303" s="71"/>
      <c r="C303" s="72"/>
      <c r="D303" s="72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15"/>
    </row>
    <row r="304">
      <c r="A304" s="61"/>
      <c r="B304" s="69"/>
      <c r="C304" s="70"/>
      <c r="D304" s="70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15"/>
    </row>
    <row r="305">
      <c r="A305" s="65"/>
      <c r="B305" s="71"/>
      <c r="C305" s="72"/>
      <c r="D305" s="72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15"/>
    </row>
    <row r="306">
      <c r="A306" s="61"/>
      <c r="B306" s="69"/>
      <c r="C306" s="70"/>
      <c r="D306" s="70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15"/>
    </row>
    <row r="307">
      <c r="A307" s="65"/>
      <c r="B307" s="71"/>
      <c r="C307" s="72"/>
      <c r="D307" s="72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15"/>
    </row>
    <row r="308">
      <c r="A308" s="61"/>
      <c r="B308" s="69"/>
      <c r="C308" s="70"/>
      <c r="D308" s="70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15"/>
    </row>
    <row r="309">
      <c r="A309" s="65"/>
      <c r="B309" s="71"/>
      <c r="C309" s="72"/>
      <c r="D309" s="72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15"/>
    </row>
    <row r="310">
      <c r="A310" s="61"/>
      <c r="B310" s="69"/>
      <c r="C310" s="70"/>
      <c r="D310" s="70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15"/>
    </row>
    <row r="311">
      <c r="A311" s="65"/>
      <c r="B311" s="71"/>
      <c r="C311" s="72"/>
      <c r="D311" s="72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15"/>
    </row>
    <row r="312">
      <c r="A312" s="61"/>
      <c r="B312" s="69"/>
      <c r="C312" s="70"/>
      <c r="D312" s="70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15"/>
    </row>
    <row r="313">
      <c r="A313" s="65"/>
      <c r="B313" s="71"/>
      <c r="C313" s="72"/>
      <c r="D313" s="72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15"/>
    </row>
    <row r="314">
      <c r="A314" s="61"/>
      <c r="B314" s="69"/>
      <c r="C314" s="70"/>
      <c r="D314" s="70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15"/>
    </row>
    <row r="315">
      <c r="A315" s="65"/>
      <c r="B315" s="71"/>
      <c r="C315" s="72"/>
      <c r="D315" s="72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15"/>
    </row>
    <row r="316">
      <c r="A316" s="61"/>
      <c r="B316" s="69"/>
      <c r="C316" s="70"/>
      <c r="D316" s="70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15"/>
    </row>
    <row r="317">
      <c r="A317" s="74"/>
      <c r="B317" s="71"/>
      <c r="C317" s="72"/>
      <c r="D317" s="72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15"/>
    </row>
    <row r="318">
      <c r="A318" s="73"/>
      <c r="B318" s="69"/>
      <c r="C318" s="70"/>
      <c r="D318" s="70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15"/>
    </row>
    <row r="319">
      <c r="A319" s="74"/>
      <c r="B319" s="71"/>
      <c r="C319" s="72"/>
      <c r="D319" s="72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15"/>
    </row>
    <row r="320">
      <c r="A320" s="73"/>
      <c r="B320" s="69"/>
      <c r="C320" s="70"/>
      <c r="D320" s="70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15"/>
    </row>
    <row r="321">
      <c r="A321" s="74"/>
      <c r="B321" s="71"/>
      <c r="C321" s="72"/>
      <c r="D321" s="72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15"/>
    </row>
    <row r="322">
      <c r="A322" s="73"/>
      <c r="B322" s="69"/>
      <c r="C322" s="70"/>
      <c r="D322" s="70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15"/>
    </row>
    <row r="323">
      <c r="A323" s="74"/>
      <c r="B323" s="71"/>
      <c r="C323" s="72"/>
      <c r="D323" s="72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15"/>
    </row>
    <row r="324">
      <c r="A324" s="73"/>
      <c r="B324" s="69"/>
      <c r="C324" s="70"/>
      <c r="D324" s="70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15"/>
    </row>
    <row r="325">
      <c r="A325" s="74"/>
      <c r="B325" s="71"/>
      <c r="C325" s="72"/>
      <c r="D325" s="72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15"/>
    </row>
    <row r="326">
      <c r="A326" s="73"/>
      <c r="B326" s="69"/>
      <c r="C326" s="70"/>
      <c r="D326" s="70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15"/>
    </row>
    <row r="327">
      <c r="A327" s="74"/>
      <c r="B327" s="71"/>
      <c r="C327" s="72"/>
      <c r="D327" s="72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15"/>
    </row>
    <row r="328">
      <c r="A328" s="73"/>
      <c r="B328" s="69"/>
      <c r="C328" s="70"/>
      <c r="D328" s="70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15"/>
    </row>
    <row r="329">
      <c r="A329" s="74"/>
      <c r="B329" s="71"/>
      <c r="C329" s="72"/>
      <c r="D329" s="72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15"/>
    </row>
    <row r="330">
      <c r="A330" s="73"/>
      <c r="B330" s="69"/>
      <c r="C330" s="70"/>
      <c r="D330" s="70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15"/>
    </row>
    <row r="331">
      <c r="A331" s="74"/>
      <c r="B331" s="71"/>
      <c r="C331" s="72"/>
      <c r="D331" s="72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15"/>
    </row>
    <row r="332">
      <c r="A332" s="73"/>
      <c r="B332" s="69"/>
      <c r="C332" s="70"/>
      <c r="D332" s="70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15"/>
    </row>
    <row r="333">
      <c r="A333" s="74"/>
      <c r="B333" s="71"/>
      <c r="C333" s="72"/>
      <c r="D333" s="72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15"/>
    </row>
    <row r="334">
      <c r="A334" s="73"/>
      <c r="B334" s="69"/>
      <c r="C334" s="70"/>
      <c r="D334" s="70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15"/>
    </row>
    <row r="335">
      <c r="A335" s="74"/>
      <c r="B335" s="71"/>
      <c r="C335" s="72"/>
      <c r="D335" s="72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15"/>
    </row>
    <row r="336">
      <c r="A336" s="61"/>
      <c r="B336" s="69"/>
      <c r="C336" s="70"/>
      <c r="D336" s="70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15"/>
    </row>
    <row r="337">
      <c r="A337" s="65"/>
      <c r="B337" s="71"/>
      <c r="C337" s="72"/>
      <c r="D337" s="72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15"/>
    </row>
    <row r="338">
      <c r="A338" s="61"/>
      <c r="B338" s="69"/>
      <c r="C338" s="70"/>
      <c r="D338" s="70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15"/>
    </row>
    <row r="339">
      <c r="A339" s="65"/>
      <c r="B339" s="71"/>
      <c r="C339" s="72"/>
      <c r="D339" s="72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15"/>
    </row>
    <row r="340">
      <c r="A340" s="61"/>
      <c r="B340" s="69"/>
      <c r="C340" s="70"/>
      <c r="D340" s="70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15"/>
    </row>
    <row r="341">
      <c r="A341" s="65"/>
      <c r="B341" s="71"/>
      <c r="C341" s="72"/>
      <c r="D341" s="72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15"/>
    </row>
    <row r="342">
      <c r="A342" s="61"/>
      <c r="B342" s="69"/>
      <c r="C342" s="70"/>
      <c r="D342" s="70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15"/>
    </row>
    <row r="343">
      <c r="A343" s="65"/>
      <c r="B343" s="71"/>
      <c r="C343" s="72"/>
      <c r="D343" s="72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15"/>
    </row>
    <row r="344">
      <c r="A344" s="61"/>
      <c r="B344" s="69"/>
      <c r="C344" s="70"/>
      <c r="D344" s="70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15"/>
    </row>
    <row r="345">
      <c r="A345" s="65"/>
      <c r="B345" s="71"/>
      <c r="C345" s="72"/>
      <c r="D345" s="72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15"/>
    </row>
    <row r="346">
      <c r="A346" s="61"/>
      <c r="B346" s="69"/>
      <c r="C346" s="70"/>
      <c r="D346" s="70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15"/>
    </row>
    <row r="347">
      <c r="A347" s="65"/>
      <c r="B347" s="71"/>
      <c r="C347" s="72"/>
      <c r="D347" s="72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15"/>
    </row>
    <row r="348">
      <c r="A348" s="61"/>
      <c r="B348" s="69"/>
      <c r="C348" s="70"/>
      <c r="D348" s="70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15"/>
    </row>
    <row r="349">
      <c r="A349" s="65"/>
      <c r="B349" s="71"/>
      <c r="C349" s="72"/>
      <c r="D349" s="72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15"/>
    </row>
    <row r="350">
      <c r="A350" s="61"/>
      <c r="B350" s="69"/>
      <c r="C350" s="70"/>
      <c r="D350" s="70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15"/>
    </row>
    <row r="351">
      <c r="A351" s="65"/>
      <c r="B351" s="71"/>
      <c r="C351" s="72"/>
      <c r="D351" s="72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15"/>
    </row>
    <row r="352">
      <c r="A352" s="61"/>
      <c r="B352" s="69"/>
      <c r="C352" s="70"/>
      <c r="D352" s="70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15"/>
    </row>
    <row r="353">
      <c r="A353" s="65"/>
      <c r="B353" s="71"/>
      <c r="C353" s="72"/>
      <c r="D353" s="72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15"/>
    </row>
    <row r="354">
      <c r="A354" s="61"/>
      <c r="B354" s="69"/>
      <c r="C354" s="70"/>
      <c r="D354" s="70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15"/>
    </row>
    <row r="355">
      <c r="A355" s="65"/>
      <c r="B355" s="71"/>
      <c r="C355" s="72"/>
      <c r="D355" s="72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15"/>
    </row>
    <row r="356">
      <c r="A356" s="61"/>
      <c r="B356" s="69"/>
      <c r="C356" s="70"/>
      <c r="D356" s="70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15"/>
    </row>
    <row r="357">
      <c r="A357" s="65"/>
      <c r="B357" s="71"/>
      <c r="C357" s="72"/>
      <c r="D357" s="72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15"/>
    </row>
    <row r="358">
      <c r="A358" s="61"/>
      <c r="B358" s="69"/>
      <c r="C358" s="70"/>
      <c r="D358" s="70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15"/>
    </row>
    <row r="359">
      <c r="A359" s="65"/>
      <c r="B359" s="71"/>
      <c r="C359" s="72"/>
      <c r="D359" s="72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15"/>
    </row>
    <row r="360">
      <c r="A360" s="61"/>
      <c r="B360" s="69"/>
      <c r="C360" s="70"/>
      <c r="D360" s="70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15"/>
    </row>
    <row r="361">
      <c r="A361" s="65"/>
      <c r="B361" s="71"/>
      <c r="C361" s="72"/>
      <c r="D361" s="72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15"/>
    </row>
    <row r="362">
      <c r="A362" s="61"/>
      <c r="B362" s="69"/>
      <c r="C362" s="70"/>
      <c r="D362" s="70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15"/>
    </row>
    <row r="363">
      <c r="A363" s="74"/>
      <c r="B363" s="71"/>
      <c r="C363" s="72"/>
      <c r="D363" s="72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15"/>
    </row>
    <row r="364">
      <c r="A364" s="73"/>
      <c r="B364" s="69"/>
      <c r="C364" s="70"/>
      <c r="D364" s="70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15"/>
    </row>
    <row r="365">
      <c r="A365" s="74"/>
      <c r="B365" s="71"/>
      <c r="C365" s="72"/>
      <c r="D365" s="72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15"/>
    </row>
    <row r="366">
      <c r="A366" s="73"/>
      <c r="B366" s="69"/>
      <c r="C366" s="70"/>
      <c r="D366" s="70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15"/>
    </row>
    <row r="367">
      <c r="A367" s="74"/>
      <c r="B367" s="71"/>
      <c r="C367" s="72"/>
      <c r="D367" s="72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15"/>
    </row>
    <row r="368">
      <c r="A368" s="73"/>
      <c r="B368" s="69"/>
      <c r="C368" s="70"/>
      <c r="D368" s="70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15"/>
    </row>
    <row r="369">
      <c r="A369" s="74"/>
      <c r="B369" s="71"/>
      <c r="C369" s="72"/>
      <c r="D369" s="72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15"/>
    </row>
    <row r="370">
      <c r="A370" s="73"/>
      <c r="B370" s="69"/>
      <c r="C370" s="70"/>
      <c r="D370" s="70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15"/>
    </row>
    <row r="371">
      <c r="A371" s="74"/>
      <c r="B371" s="71"/>
      <c r="C371" s="72"/>
      <c r="D371" s="72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15"/>
    </row>
    <row r="372">
      <c r="A372" s="73"/>
      <c r="B372" s="69"/>
      <c r="C372" s="70"/>
      <c r="D372" s="70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15"/>
    </row>
    <row r="373">
      <c r="A373" s="74"/>
      <c r="B373" s="71"/>
      <c r="C373" s="72"/>
      <c r="D373" s="72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15"/>
    </row>
    <row r="374">
      <c r="A374" s="73"/>
      <c r="B374" s="69"/>
      <c r="C374" s="70"/>
      <c r="D374" s="70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15"/>
    </row>
    <row r="375">
      <c r="A375" s="74"/>
      <c r="B375" s="71"/>
      <c r="C375" s="72"/>
      <c r="D375" s="72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15"/>
    </row>
    <row r="376">
      <c r="A376" s="73"/>
      <c r="B376" s="69"/>
      <c r="C376" s="70"/>
      <c r="D376" s="70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15"/>
    </row>
    <row r="377">
      <c r="A377" s="74"/>
      <c r="B377" s="71"/>
      <c r="C377" s="72"/>
      <c r="D377" s="72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15"/>
    </row>
    <row r="378">
      <c r="A378" s="73"/>
      <c r="B378" s="69"/>
      <c r="C378" s="70"/>
      <c r="D378" s="70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15"/>
    </row>
    <row r="379">
      <c r="A379" s="74"/>
      <c r="B379" s="71"/>
      <c r="C379" s="72"/>
      <c r="D379" s="72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15"/>
    </row>
    <row r="380">
      <c r="A380" s="73"/>
      <c r="B380" s="69"/>
      <c r="C380" s="70"/>
      <c r="D380" s="70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15"/>
    </row>
    <row r="381">
      <c r="A381" s="74"/>
      <c r="B381" s="71"/>
      <c r="C381" s="72"/>
      <c r="D381" s="72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15"/>
    </row>
    <row r="382">
      <c r="A382" s="61"/>
      <c r="B382" s="69"/>
      <c r="C382" s="70"/>
      <c r="D382" s="70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15"/>
    </row>
    <row r="383">
      <c r="A383" s="65"/>
      <c r="B383" s="71"/>
      <c r="C383" s="72"/>
      <c r="D383" s="72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15"/>
    </row>
    <row r="384">
      <c r="A384" s="61"/>
      <c r="B384" s="69"/>
      <c r="C384" s="70"/>
      <c r="D384" s="70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15"/>
    </row>
    <row r="385">
      <c r="A385" s="65"/>
      <c r="B385" s="71"/>
      <c r="C385" s="72"/>
      <c r="D385" s="72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15"/>
    </row>
    <row r="386">
      <c r="A386" s="61"/>
      <c r="B386" s="69"/>
      <c r="C386" s="70"/>
      <c r="D386" s="70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15"/>
    </row>
    <row r="387">
      <c r="A387" s="65"/>
      <c r="B387" s="71"/>
      <c r="C387" s="72"/>
      <c r="D387" s="72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15"/>
    </row>
    <row r="388">
      <c r="A388" s="61"/>
      <c r="B388" s="69"/>
      <c r="C388" s="70"/>
      <c r="D388" s="70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15"/>
    </row>
    <row r="389">
      <c r="A389" s="65"/>
      <c r="B389" s="71"/>
      <c r="C389" s="72"/>
      <c r="D389" s="72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15"/>
    </row>
    <row r="390">
      <c r="A390" s="61"/>
      <c r="B390" s="69"/>
      <c r="C390" s="70"/>
      <c r="D390" s="70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15"/>
    </row>
    <row r="391">
      <c r="A391" s="65"/>
      <c r="B391" s="71"/>
      <c r="C391" s="72"/>
      <c r="D391" s="72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15"/>
    </row>
    <row r="392">
      <c r="A392" s="61"/>
      <c r="B392" s="69"/>
      <c r="C392" s="70"/>
      <c r="D392" s="70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15"/>
    </row>
    <row r="393">
      <c r="A393" s="65"/>
      <c r="B393" s="71"/>
      <c r="C393" s="72"/>
      <c r="D393" s="72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15"/>
    </row>
    <row r="394">
      <c r="A394" s="61"/>
      <c r="B394" s="69"/>
      <c r="C394" s="70"/>
      <c r="D394" s="70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15"/>
    </row>
    <row r="395">
      <c r="A395" s="65"/>
      <c r="B395" s="71"/>
      <c r="C395" s="72"/>
      <c r="D395" s="72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15"/>
    </row>
    <row r="396">
      <c r="A396" s="61"/>
      <c r="B396" s="69"/>
      <c r="C396" s="70"/>
      <c r="D396" s="70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15"/>
    </row>
    <row r="397">
      <c r="A397" s="65"/>
      <c r="B397" s="71"/>
      <c r="C397" s="72"/>
      <c r="D397" s="72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15"/>
    </row>
    <row r="398">
      <c r="A398" s="61"/>
      <c r="B398" s="69"/>
      <c r="C398" s="70"/>
      <c r="D398" s="70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15"/>
    </row>
    <row r="399">
      <c r="A399" s="65"/>
      <c r="B399" s="71"/>
      <c r="C399" s="72"/>
      <c r="D399" s="72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15"/>
    </row>
    <row r="400">
      <c r="A400" s="73"/>
      <c r="B400" s="69"/>
      <c r="C400" s="70"/>
      <c r="D400" s="70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15"/>
    </row>
    <row r="401">
      <c r="A401" s="74"/>
      <c r="B401" s="71"/>
      <c r="C401" s="72"/>
      <c r="D401" s="72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15"/>
    </row>
    <row r="402">
      <c r="A402" s="73"/>
      <c r="B402" s="69"/>
      <c r="C402" s="70"/>
      <c r="D402" s="70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15"/>
    </row>
    <row r="403">
      <c r="A403" s="74"/>
      <c r="B403" s="71"/>
      <c r="C403" s="72"/>
      <c r="D403" s="72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15"/>
    </row>
    <row r="404">
      <c r="A404" s="73"/>
      <c r="B404" s="69"/>
      <c r="C404" s="70"/>
      <c r="D404" s="70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15"/>
    </row>
    <row r="405">
      <c r="A405" s="74"/>
      <c r="B405" s="71"/>
      <c r="C405" s="72"/>
      <c r="D405" s="72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15"/>
    </row>
    <row r="406">
      <c r="A406" s="73"/>
      <c r="B406" s="69"/>
      <c r="C406" s="70"/>
      <c r="D406" s="70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15"/>
    </row>
    <row r="407">
      <c r="A407" s="74"/>
      <c r="B407" s="71"/>
      <c r="C407" s="72"/>
      <c r="D407" s="72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15"/>
    </row>
    <row r="408">
      <c r="A408" s="73"/>
      <c r="B408" s="69"/>
      <c r="C408" s="70"/>
      <c r="D408" s="70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15"/>
    </row>
    <row r="409">
      <c r="A409" s="74"/>
      <c r="B409" s="71"/>
      <c r="C409" s="72"/>
      <c r="D409" s="72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15"/>
    </row>
    <row r="410">
      <c r="A410" s="73"/>
      <c r="B410" s="69"/>
      <c r="C410" s="70"/>
      <c r="D410" s="70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15"/>
    </row>
    <row r="411">
      <c r="A411" s="74"/>
      <c r="B411" s="71"/>
      <c r="C411" s="72"/>
      <c r="D411" s="72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15"/>
    </row>
    <row r="412">
      <c r="A412" s="73"/>
      <c r="B412" s="69"/>
      <c r="C412" s="70"/>
      <c r="D412" s="70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15"/>
    </row>
    <row r="413">
      <c r="A413" s="74"/>
      <c r="B413" s="71"/>
      <c r="C413" s="72"/>
      <c r="D413" s="72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15"/>
    </row>
    <row r="414">
      <c r="A414" s="73"/>
      <c r="B414" s="69"/>
      <c r="C414" s="70"/>
      <c r="D414" s="70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15"/>
    </row>
    <row r="415">
      <c r="A415" s="74"/>
      <c r="B415" s="71"/>
      <c r="C415" s="72"/>
      <c r="D415" s="72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15"/>
    </row>
    <row r="416">
      <c r="A416" s="73"/>
      <c r="B416" s="69"/>
      <c r="C416" s="70"/>
      <c r="D416" s="70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15"/>
    </row>
    <row r="417">
      <c r="A417" s="74"/>
      <c r="B417" s="71"/>
      <c r="C417" s="72"/>
      <c r="D417" s="72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15"/>
    </row>
    <row r="418">
      <c r="A418" s="73"/>
      <c r="B418" s="69"/>
      <c r="C418" s="70"/>
      <c r="D418" s="70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15"/>
    </row>
    <row r="419">
      <c r="A419" s="65"/>
      <c r="B419" s="71"/>
      <c r="C419" s="72"/>
      <c r="D419" s="72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15"/>
    </row>
    <row r="420">
      <c r="A420" s="61"/>
      <c r="B420" s="69"/>
      <c r="C420" s="70"/>
      <c r="D420" s="70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15"/>
    </row>
    <row r="421">
      <c r="A421" s="65"/>
      <c r="B421" s="71"/>
      <c r="C421" s="72"/>
      <c r="D421" s="72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15"/>
    </row>
    <row r="422">
      <c r="A422" s="61"/>
      <c r="B422" s="69"/>
      <c r="C422" s="70"/>
      <c r="D422" s="70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15"/>
    </row>
    <row r="423">
      <c r="A423" s="65"/>
      <c r="B423" s="71"/>
      <c r="C423" s="72"/>
      <c r="D423" s="72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15"/>
    </row>
    <row r="424">
      <c r="A424" s="61"/>
      <c r="B424" s="69"/>
      <c r="C424" s="70"/>
      <c r="D424" s="70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15"/>
    </row>
    <row r="425">
      <c r="A425" s="65"/>
      <c r="B425" s="71"/>
      <c r="C425" s="72"/>
      <c r="D425" s="72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15"/>
    </row>
    <row r="426">
      <c r="A426" s="61"/>
      <c r="B426" s="69"/>
      <c r="C426" s="70"/>
      <c r="D426" s="70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15"/>
    </row>
    <row r="427">
      <c r="A427" s="65"/>
      <c r="B427" s="71"/>
      <c r="C427" s="72"/>
      <c r="D427" s="72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15"/>
    </row>
    <row r="428">
      <c r="A428" s="61"/>
      <c r="B428" s="69"/>
      <c r="C428" s="70"/>
      <c r="D428" s="70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15"/>
    </row>
    <row r="429">
      <c r="A429" s="65"/>
      <c r="B429" s="71"/>
      <c r="C429" s="72"/>
      <c r="D429" s="72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15"/>
    </row>
    <row r="430">
      <c r="A430" s="61"/>
      <c r="B430" s="69"/>
      <c r="C430" s="70"/>
      <c r="D430" s="70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15"/>
    </row>
    <row r="431">
      <c r="A431" s="65"/>
      <c r="B431" s="71"/>
      <c r="C431" s="72"/>
      <c r="D431" s="72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15"/>
    </row>
    <row r="432">
      <c r="A432" s="61"/>
      <c r="B432" s="69"/>
      <c r="C432" s="70"/>
      <c r="D432" s="70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15"/>
    </row>
    <row r="433">
      <c r="A433" s="65"/>
      <c r="B433" s="71"/>
      <c r="C433" s="72"/>
      <c r="D433" s="72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15"/>
    </row>
    <row r="434">
      <c r="A434" s="61"/>
      <c r="B434" s="69"/>
      <c r="C434" s="70"/>
      <c r="D434" s="70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15"/>
    </row>
    <row r="435">
      <c r="A435" s="65"/>
      <c r="B435" s="71"/>
      <c r="C435" s="72"/>
      <c r="D435" s="72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15"/>
    </row>
    <row r="436">
      <c r="A436" s="61"/>
      <c r="B436" s="69"/>
      <c r="C436" s="70"/>
      <c r="D436" s="70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15"/>
    </row>
    <row r="437">
      <c r="A437" s="65"/>
      <c r="B437" s="71"/>
      <c r="C437" s="72"/>
      <c r="D437" s="72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15"/>
    </row>
    <row r="438">
      <c r="A438" s="61"/>
      <c r="B438" s="69"/>
      <c r="C438" s="70"/>
      <c r="D438" s="70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15"/>
    </row>
    <row r="439">
      <c r="A439" s="65"/>
      <c r="B439" s="71"/>
      <c r="C439" s="72"/>
      <c r="D439" s="72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15"/>
    </row>
    <row r="440">
      <c r="A440" s="61"/>
      <c r="B440" s="69"/>
      <c r="C440" s="70"/>
      <c r="D440" s="70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15"/>
    </row>
    <row r="441">
      <c r="A441" s="65"/>
      <c r="B441" s="71"/>
      <c r="C441" s="72"/>
      <c r="D441" s="72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15"/>
    </row>
    <row r="442">
      <c r="A442" s="61"/>
      <c r="B442" s="69"/>
      <c r="C442" s="70"/>
      <c r="D442" s="70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15"/>
    </row>
    <row r="443">
      <c r="A443" s="65"/>
      <c r="B443" s="71"/>
      <c r="C443" s="72"/>
      <c r="D443" s="72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15"/>
    </row>
    <row r="444">
      <c r="A444" s="61"/>
      <c r="B444" s="69"/>
      <c r="C444" s="70"/>
      <c r="D444" s="70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15"/>
    </row>
    <row r="445">
      <c r="A445" s="65"/>
      <c r="B445" s="71"/>
      <c r="C445" s="72"/>
      <c r="D445" s="72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15"/>
    </row>
    <row r="446">
      <c r="A446" s="73"/>
      <c r="B446" s="69"/>
      <c r="C446" s="70"/>
      <c r="D446" s="70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15"/>
    </row>
    <row r="447">
      <c r="A447" s="74"/>
      <c r="B447" s="71"/>
      <c r="C447" s="72"/>
      <c r="D447" s="72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15"/>
    </row>
    <row r="448">
      <c r="A448" s="73"/>
      <c r="B448" s="69"/>
      <c r="C448" s="70"/>
      <c r="D448" s="70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15"/>
    </row>
    <row r="449">
      <c r="A449" s="74"/>
      <c r="B449" s="71"/>
      <c r="C449" s="72"/>
      <c r="D449" s="72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15"/>
    </row>
    <row r="450">
      <c r="A450" s="73"/>
      <c r="B450" s="69"/>
      <c r="C450" s="70"/>
      <c r="D450" s="70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15"/>
    </row>
    <row r="451">
      <c r="A451" s="74"/>
      <c r="B451" s="71"/>
      <c r="C451" s="72"/>
      <c r="D451" s="72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15"/>
    </row>
    <row r="452">
      <c r="A452" s="73"/>
      <c r="B452" s="69"/>
      <c r="C452" s="70"/>
      <c r="D452" s="70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15"/>
    </row>
    <row r="453">
      <c r="A453" s="74"/>
      <c r="B453" s="71"/>
      <c r="C453" s="72"/>
      <c r="D453" s="72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15"/>
    </row>
    <row r="454">
      <c r="A454" s="73"/>
      <c r="B454" s="69"/>
      <c r="C454" s="70"/>
      <c r="D454" s="70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15"/>
    </row>
    <row r="455">
      <c r="A455" s="74"/>
      <c r="B455" s="71"/>
      <c r="C455" s="72"/>
      <c r="D455" s="72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15"/>
    </row>
    <row r="456">
      <c r="A456" s="73"/>
      <c r="B456" s="69"/>
      <c r="C456" s="70"/>
      <c r="D456" s="70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15"/>
    </row>
    <row r="457">
      <c r="A457" s="74"/>
      <c r="B457" s="71"/>
      <c r="C457" s="72"/>
      <c r="D457" s="72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15"/>
    </row>
    <row r="458">
      <c r="A458" s="73"/>
      <c r="B458" s="69"/>
      <c r="C458" s="70"/>
      <c r="D458" s="70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15"/>
    </row>
    <row r="459">
      <c r="A459" s="74"/>
      <c r="B459" s="71"/>
      <c r="C459" s="72"/>
      <c r="D459" s="72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15"/>
    </row>
    <row r="460">
      <c r="A460" s="73"/>
      <c r="B460" s="69"/>
      <c r="C460" s="70"/>
      <c r="D460" s="70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15"/>
    </row>
    <row r="461">
      <c r="A461" s="74"/>
      <c r="B461" s="71"/>
      <c r="C461" s="72"/>
      <c r="D461" s="72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15"/>
    </row>
    <row r="462">
      <c r="A462" s="73"/>
      <c r="B462" s="69"/>
      <c r="C462" s="70"/>
      <c r="D462" s="70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15"/>
    </row>
    <row r="463">
      <c r="A463" s="74"/>
      <c r="B463" s="71"/>
      <c r="C463" s="72"/>
      <c r="D463" s="72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15"/>
    </row>
    <row r="464">
      <c r="A464" s="73"/>
      <c r="B464" s="69"/>
      <c r="C464" s="70"/>
      <c r="D464" s="70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15"/>
    </row>
    <row r="465">
      <c r="A465" s="65"/>
      <c r="B465" s="71"/>
      <c r="C465" s="72"/>
      <c r="D465" s="72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15"/>
    </row>
    <row r="466">
      <c r="A466" s="61"/>
      <c r="B466" s="69"/>
      <c r="C466" s="70"/>
      <c r="D466" s="70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15"/>
    </row>
    <row r="467">
      <c r="A467" s="65"/>
      <c r="B467" s="71"/>
      <c r="C467" s="72"/>
      <c r="D467" s="72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15"/>
    </row>
    <row r="468">
      <c r="A468" s="61"/>
      <c r="B468" s="69"/>
      <c r="C468" s="70"/>
      <c r="D468" s="70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15"/>
    </row>
    <row r="469">
      <c r="A469" s="65"/>
      <c r="B469" s="71"/>
      <c r="C469" s="72"/>
      <c r="D469" s="72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15"/>
    </row>
    <row r="470">
      <c r="A470" s="61"/>
      <c r="B470" s="69"/>
      <c r="C470" s="70"/>
      <c r="D470" s="70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15"/>
    </row>
    <row r="471">
      <c r="A471" s="65"/>
      <c r="B471" s="71"/>
      <c r="C471" s="72"/>
      <c r="D471" s="72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15"/>
    </row>
    <row r="472">
      <c r="A472" s="61"/>
      <c r="B472" s="69"/>
      <c r="C472" s="70"/>
      <c r="D472" s="70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15"/>
    </row>
    <row r="473">
      <c r="A473" s="65"/>
      <c r="B473" s="71"/>
      <c r="C473" s="72"/>
      <c r="D473" s="72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15"/>
    </row>
    <row r="474">
      <c r="A474" s="61"/>
      <c r="B474" s="69"/>
      <c r="C474" s="70"/>
      <c r="D474" s="70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15"/>
    </row>
    <row r="475">
      <c r="A475" s="65"/>
      <c r="B475" s="71"/>
      <c r="C475" s="72"/>
      <c r="D475" s="72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15"/>
    </row>
    <row r="476">
      <c r="A476" s="61"/>
      <c r="B476" s="69"/>
      <c r="C476" s="70"/>
      <c r="D476" s="70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15"/>
    </row>
    <row r="477">
      <c r="A477" s="65"/>
      <c r="B477" s="71"/>
      <c r="C477" s="72"/>
      <c r="D477" s="72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15"/>
    </row>
    <row r="478">
      <c r="A478" s="61"/>
      <c r="B478" s="69"/>
      <c r="C478" s="70"/>
      <c r="D478" s="70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15"/>
    </row>
    <row r="479">
      <c r="A479" s="65"/>
      <c r="B479" s="71"/>
      <c r="C479" s="72"/>
      <c r="D479" s="72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15"/>
    </row>
    <row r="480">
      <c r="A480" s="61"/>
      <c r="B480" s="69"/>
      <c r="C480" s="70"/>
      <c r="D480" s="70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15"/>
    </row>
    <row r="481">
      <c r="A481" s="65"/>
      <c r="B481" s="71"/>
      <c r="C481" s="72"/>
      <c r="D481" s="72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15"/>
    </row>
    <row r="482">
      <c r="A482" s="61"/>
      <c r="B482" s="69"/>
      <c r="C482" s="70"/>
      <c r="D482" s="70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15"/>
    </row>
    <row r="483">
      <c r="A483" s="74"/>
      <c r="B483" s="71"/>
      <c r="C483" s="72"/>
      <c r="D483" s="72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15"/>
    </row>
    <row r="484">
      <c r="A484" s="73"/>
      <c r="B484" s="69"/>
      <c r="C484" s="70"/>
      <c r="D484" s="70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15"/>
    </row>
    <row r="485">
      <c r="A485" s="74"/>
      <c r="B485" s="71"/>
      <c r="C485" s="72"/>
      <c r="D485" s="72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15"/>
    </row>
    <row r="486">
      <c r="A486" s="73"/>
      <c r="B486" s="69"/>
      <c r="C486" s="70"/>
      <c r="D486" s="70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15"/>
    </row>
    <row r="487">
      <c r="A487" s="74"/>
      <c r="B487" s="71"/>
      <c r="C487" s="72"/>
      <c r="D487" s="72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15"/>
    </row>
    <row r="488">
      <c r="A488" s="73"/>
      <c r="B488" s="69"/>
      <c r="C488" s="70"/>
      <c r="D488" s="70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15"/>
    </row>
    <row r="489">
      <c r="A489" s="74"/>
      <c r="B489" s="71"/>
      <c r="C489" s="72"/>
      <c r="D489" s="72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15"/>
    </row>
    <row r="490">
      <c r="A490" s="73"/>
      <c r="B490" s="69"/>
      <c r="C490" s="70"/>
      <c r="D490" s="70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15"/>
    </row>
    <row r="491">
      <c r="A491" s="74"/>
      <c r="B491" s="71"/>
      <c r="C491" s="72"/>
      <c r="D491" s="72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15"/>
    </row>
    <row r="492">
      <c r="A492" s="73"/>
      <c r="B492" s="69"/>
      <c r="C492" s="70"/>
      <c r="D492" s="70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15"/>
    </row>
    <row r="493">
      <c r="A493" s="74"/>
      <c r="B493" s="71"/>
      <c r="C493" s="72"/>
      <c r="D493" s="72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15"/>
    </row>
    <row r="494">
      <c r="A494" s="73"/>
      <c r="B494" s="69"/>
      <c r="C494" s="70"/>
      <c r="D494" s="70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15"/>
    </row>
    <row r="495">
      <c r="A495" s="74"/>
      <c r="B495" s="71"/>
      <c r="C495" s="72"/>
      <c r="D495" s="72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15"/>
    </row>
    <row r="496">
      <c r="A496" s="73"/>
      <c r="B496" s="69"/>
      <c r="C496" s="70"/>
      <c r="D496" s="70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15"/>
    </row>
    <row r="497">
      <c r="A497" s="74"/>
      <c r="B497" s="71"/>
      <c r="C497" s="72"/>
      <c r="D497" s="72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15"/>
    </row>
    <row r="498">
      <c r="A498" s="73"/>
      <c r="B498" s="69"/>
      <c r="C498" s="70"/>
      <c r="D498" s="70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15"/>
    </row>
    <row r="499">
      <c r="A499" s="74"/>
      <c r="B499" s="71"/>
      <c r="C499" s="72"/>
      <c r="D499" s="72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15"/>
    </row>
    <row r="500">
      <c r="A500" s="73"/>
      <c r="B500" s="69"/>
      <c r="C500" s="70"/>
      <c r="D500" s="70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15"/>
    </row>
    <row r="501">
      <c r="A501" s="74"/>
      <c r="B501" s="71"/>
      <c r="C501" s="72"/>
      <c r="D501" s="72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15"/>
    </row>
    <row r="502">
      <c r="A502" s="61"/>
      <c r="B502" s="69"/>
      <c r="C502" s="70"/>
      <c r="D502" s="70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15"/>
    </row>
    <row r="503">
      <c r="A503" s="65"/>
      <c r="B503" s="71"/>
      <c r="C503" s="72"/>
      <c r="D503" s="72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15"/>
    </row>
    <row r="504">
      <c r="A504" s="61"/>
      <c r="B504" s="69"/>
      <c r="C504" s="70"/>
      <c r="D504" s="70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15"/>
    </row>
    <row r="505">
      <c r="A505" s="65"/>
      <c r="B505" s="71"/>
      <c r="C505" s="72"/>
      <c r="D505" s="72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15"/>
    </row>
    <row r="506">
      <c r="A506" s="61"/>
      <c r="B506" s="69"/>
      <c r="C506" s="70"/>
      <c r="D506" s="70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15"/>
    </row>
    <row r="507">
      <c r="A507" s="65"/>
      <c r="B507" s="71"/>
      <c r="C507" s="72"/>
      <c r="D507" s="72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15"/>
    </row>
    <row r="508">
      <c r="A508" s="61"/>
      <c r="B508" s="69"/>
      <c r="C508" s="70"/>
      <c r="D508" s="70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15"/>
    </row>
    <row r="509">
      <c r="A509" s="65"/>
      <c r="B509" s="71"/>
      <c r="C509" s="72"/>
      <c r="D509" s="72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15"/>
    </row>
    <row r="510">
      <c r="A510" s="61"/>
      <c r="B510" s="69"/>
      <c r="C510" s="70"/>
      <c r="D510" s="70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15"/>
    </row>
    <row r="511">
      <c r="A511" s="65"/>
      <c r="B511" s="71"/>
      <c r="C511" s="72"/>
      <c r="D511" s="72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15"/>
    </row>
    <row r="512">
      <c r="A512" s="61"/>
      <c r="B512" s="69"/>
      <c r="C512" s="70"/>
      <c r="D512" s="70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15"/>
    </row>
    <row r="513">
      <c r="A513" s="65"/>
      <c r="B513" s="71"/>
      <c r="C513" s="72"/>
      <c r="D513" s="72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15"/>
    </row>
    <row r="514">
      <c r="A514" s="61"/>
      <c r="B514" s="69"/>
      <c r="C514" s="70"/>
      <c r="D514" s="70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15"/>
    </row>
    <row r="515">
      <c r="A515" s="65"/>
      <c r="B515" s="71"/>
      <c r="C515" s="72"/>
      <c r="D515" s="72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15"/>
    </row>
    <row r="516">
      <c r="A516" s="61"/>
      <c r="B516" s="69"/>
      <c r="C516" s="70"/>
      <c r="D516" s="70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15"/>
    </row>
    <row r="517">
      <c r="A517" s="65"/>
      <c r="B517" s="71"/>
      <c r="C517" s="72"/>
      <c r="D517" s="72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15"/>
    </row>
    <row r="518">
      <c r="A518" s="61"/>
      <c r="B518" s="69"/>
      <c r="C518" s="70"/>
      <c r="D518" s="70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15"/>
    </row>
    <row r="519">
      <c r="A519" s="65"/>
      <c r="B519" s="71"/>
      <c r="C519" s="72"/>
      <c r="D519" s="72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15"/>
    </row>
    <row r="520">
      <c r="A520" s="61"/>
      <c r="B520" s="69"/>
      <c r="C520" s="70"/>
      <c r="D520" s="70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15"/>
    </row>
    <row r="521">
      <c r="A521" s="65"/>
      <c r="B521" s="71"/>
      <c r="C521" s="72"/>
      <c r="D521" s="72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15"/>
    </row>
    <row r="522">
      <c r="A522" s="61"/>
      <c r="B522" s="69"/>
      <c r="C522" s="70"/>
      <c r="D522" s="70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15"/>
    </row>
    <row r="523">
      <c r="A523" s="65"/>
      <c r="B523" s="71"/>
      <c r="C523" s="72"/>
      <c r="D523" s="72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15"/>
    </row>
    <row r="524">
      <c r="A524" s="61"/>
      <c r="B524" s="69"/>
      <c r="C524" s="70"/>
      <c r="D524" s="70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15"/>
    </row>
    <row r="525">
      <c r="A525" s="65"/>
      <c r="B525" s="71"/>
      <c r="C525" s="72"/>
      <c r="D525" s="72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15"/>
    </row>
    <row r="526">
      <c r="A526" s="61"/>
      <c r="B526" s="69"/>
      <c r="C526" s="70"/>
      <c r="D526" s="70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15"/>
    </row>
    <row r="527">
      <c r="A527" s="65"/>
      <c r="B527" s="71"/>
      <c r="C527" s="72"/>
      <c r="D527" s="72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15"/>
    </row>
    <row r="528">
      <c r="A528" s="61"/>
      <c r="B528" s="69"/>
      <c r="C528" s="70"/>
      <c r="D528" s="70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15"/>
    </row>
    <row r="529">
      <c r="A529" s="74"/>
      <c r="B529" s="71"/>
      <c r="C529" s="72"/>
      <c r="D529" s="72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15"/>
    </row>
    <row r="530">
      <c r="A530" s="73"/>
      <c r="B530" s="69"/>
      <c r="C530" s="70"/>
      <c r="D530" s="70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15"/>
    </row>
    <row r="531">
      <c r="A531" s="74"/>
      <c r="B531" s="71"/>
      <c r="C531" s="72"/>
      <c r="D531" s="72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15"/>
    </row>
    <row r="532">
      <c r="A532" s="73"/>
      <c r="B532" s="69"/>
      <c r="C532" s="70"/>
      <c r="D532" s="70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15"/>
    </row>
    <row r="533">
      <c r="A533" s="74"/>
      <c r="B533" s="71"/>
      <c r="C533" s="72"/>
      <c r="D533" s="72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15"/>
    </row>
    <row r="534">
      <c r="A534" s="73"/>
      <c r="B534" s="69"/>
      <c r="C534" s="70"/>
      <c r="D534" s="70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15"/>
    </row>
    <row r="535">
      <c r="A535" s="74"/>
      <c r="B535" s="71"/>
      <c r="C535" s="72"/>
      <c r="D535" s="72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15"/>
    </row>
    <row r="536">
      <c r="A536" s="73"/>
      <c r="B536" s="69"/>
      <c r="C536" s="70"/>
      <c r="D536" s="70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15"/>
    </row>
    <row r="537">
      <c r="A537" s="74"/>
      <c r="B537" s="71"/>
      <c r="C537" s="72"/>
      <c r="D537" s="72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15"/>
    </row>
    <row r="538">
      <c r="A538" s="73"/>
      <c r="B538" s="69"/>
      <c r="C538" s="70"/>
      <c r="D538" s="70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15"/>
    </row>
    <row r="539">
      <c r="A539" s="74"/>
      <c r="B539" s="71"/>
      <c r="C539" s="72"/>
      <c r="D539" s="72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15"/>
    </row>
    <row r="540">
      <c r="A540" s="73"/>
      <c r="B540" s="69"/>
      <c r="C540" s="70"/>
      <c r="D540" s="70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15"/>
    </row>
    <row r="541">
      <c r="A541" s="74"/>
      <c r="B541" s="71"/>
      <c r="C541" s="72"/>
      <c r="D541" s="72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15"/>
    </row>
    <row r="542">
      <c r="A542" s="73"/>
      <c r="B542" s="69"/>
      <c r="C542" s="70"/>
      <c r="D542" s="70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15"/>
    </row>
    <row r="543">
      <c r="A543" s="74"/>
      <c r="B543" s="71"/>
      <c r="C543" s="72"/>
      <c r="D543" s="72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15"/>
    </row>
    <row r="544">
      <c r="A544" s="73"/>
      <c r="B544" s="69"/>
      <c r="C544" s="70"/>
      <c r="D544" s="70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15"/>
    </row>
    <row r="545">
      <c r="A545" s="74"/>
      <c r="B545" s="71"/>
      <c r="C545" s="72"/>
      <c r="D545" s="72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15"/>
    </row>
    <row r="546">
      <c r="A546" s="73"/>
      <c r="B546" s="69"/>
      <c r="C546" s="70"/>
      <c r="D546" s="70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15"/>
    </row>
    <row r="547">
      <c r="A547" s="74"/>
      <c r="B547" s="71"/>
      <c r="C547" s="72"/>
      <c r="D547" s="72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15"/>
    </row>
    <row r="548">
      <c r="A548" s="61"/>
      <c r="B548" s="69"/>
      <c r="C548" s="70"/>
      <c r="D548" s="70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15"/>
    </row>
    <row r="549">
      <c r="A549" s="65"/>
      <c r="B549" s="71"/>
      <c r="C549" s="72"/>
      <c r="D549" s="72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15"/>
    </row>
    <row r="550">
      <c r="A550" s="61"/>
      <c r="B550" s="69"/>
      <c r="C550" s="70"/>
      <c r="D550" s="70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15"/>
    </row>
    <row r="551">
      <c r="A551" s="65"/>
      <c r="B551" s="71"/>
      <c r="C551" s="72"/>
      <c r="D551" s="72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15"/>
    </row>
    <row r="552">
      <c r="A552" s="61"/>
      <c r="B552" s="69"/>
      <c r="C552" s="70"/>
      <c r="D552" s="70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15"/>
    </row>
    <row r="553">
      <c r="A553" s="65"/>
      <c r="B553" s="71"/>
      <c r="C553" s="72"/>
      <c r="D553" s="72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15"/>
    </row>
    <row r="554">
      <c r="A554" s="61"/>
      <c r="B554" s="69"/>
      <c r="C554" s="70"/>
      <c r="D554" s="70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15"/>
    </row>
    <row r="555">
      <c r="A555" s="65"/>
      <c r="B555" s="71"/>
      <c r="C555" s="72"/>
      <c r="D555" s="72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15"/>
    </row>
    <row r="556">
      <c r="A556" s="61"/>
      <c r="B556" s="69"/>
      <c r="C556" s="70"/>
      <c r="D556" s="70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15"/>
    </row>
    <row r="557">
      <c r="A557" s="65"/>
      <c r="B557" s="71"/>
      <c r="C557" s="72"/>
      <c r="D557" s="72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15"/>
    </row>
    <row r="558">
      <c r="A558" s="61"/>
      <c r="B558" s="69"/>
      <c r="C558" s="70"/>
      <c r="D558" s="70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15"/>
    </row>
    <row r="559">
      <c r="A559" s="65"/>
      <c r="B559" s="71"/>
      <c r="C559" s="72"/>
      <c r="D559" s="72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15"/>
    </row>
    <row r="560">
      <c r="A560" s="61"/>
      <c r="B560" s="69"/>
      <c r="C560" s="70"/>
      <c r="D560" s="70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15"/>
    </row>
    <row r="561">
      <c r="A561" s="65"/>
      <c r="B561" s="71"/>
      <c r="C561" s="72"/>
      <c r="D561" s="72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15"/>
    </row>
    <row r="562">
      <c r="A562" s="61"/>
      <c r="B562" s="69"/>
      <c r="C562" s="70"/>
      <c r="D562" s="70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15"/>
    </row>
    <row r="563">
      <c r="A563" s="65"/>
      <c r="B563" s="71"/>
      <c r="C563" s="72"/>
      <c r="D563" s="72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15"/>
    </row>
    <row r="564">
      <c r="A564" s="61"/>
      <c r="B564" s="69"/>
      <c r="C564" s="70"/>
      <c r="D564" s="70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15"/>
    </row>
    <row r="565">
      <c r="A565" s="65"/>
      <c r="B565" s="71"/>
      <c r="C565" s="72"/>
      <c r="D565" s="72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15"/>
    </row>
    <row r="566">
      <c r="A566" s="73"/>
      <c r="B566" s="69"/>
      <c r="C566" s="70"/>
      <c r="D566" s="70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15"/>
    </row>
    <row r="567">
      <c r="A567" s="74"/>
      <c r="B567" s="71"/>
      <c r="C567" s="72"/>
      <c r="D567" s="72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15"/>
    </row>
    <row r="568">
      <c r="A568" s="73"/>
      <c r="B568" s="69"/>
      <c r="C568" s="70"/>
      <c r="D568" s="70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15"/>
    </row>
    <row r="569">
      <c r="A569" s="74"/>
      <c r="B569" s="71"/>
      <c r="C569" s="72"/>
      <c r="D569" s="72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15"/>
    </row>
    <row r="570">
      <c r="A570" s="73"/>
      <c r="B570" s="69"/>
      <c r="C570" s="70"/>
      <c r="D570" s="70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15"/>
    </row>
    <row r="571">
      <c r="A571" s="74"/>
      <c r="B571" s="71"/>
      <c r="C571" s="72"/>
      <c r="D571" s="72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15"/>
    </row>
    <row r="572">
      <c r="A572" s="73"/>
      <c r="B572" s="69"/>
      <c r="C572" s="70"/>
      <c r="D572" s="70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15"/>
    </row>
    <row r="573">
      <c r="A573" s="74"/>
      <c r="B573" s="71"/>
      <c r="C573" s="72"/>
      <c r="D573" s="72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15"/>
    </row>
    <row r="574">
      <c r="A574" s="73"/>
      <c r="B574" s="69"/>
      <c r="C574" s="70"/>
      <c r="D574" s="70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15"/>
    </row>
    <row r="575">
      <c r="A575" s="74"/>
      <c r="B575" s="71"/>
      <c r="C575" s="72"/>
      <c r="D575" s="72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15"/>
    </row>
    <row r="576">
      <c r="A576" s="73"/>
      <c r="B576" s="69"/>
      <c r="C576" s="70"/>
      <c r="D576" s="70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15"/>
    </row>
    <row r="577">
      <c r="A577" s="74"/>
      <c r="B577" s="71"/>
      <c r="C577" s="72"/>
      <c r="D577" s="72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15"/>
    </row>
    <row r="578">
      <c r="A578" s="73"/>
      <c r="B578" s="69"/>
      <c r="C578" s="70"/>
      <c r="D578" s="70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15"/>
    </row>
    <row r="579">
      <c r="A579" s="74"/>
      <c r="B579" s="71"/>
      <c r="C579" s="72"/>
      <c r="D579" s="72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15"/>
    </row>
    <row r="580">
      <c r="A580" s="73"/>
      <c r="B580" s="69"/>
      <c r="C580" s="70"/>
      <c r="D580" s="70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15"/>
    </row>
    <row r="581">
      <c r="A581" s="74"/>
      <c r="B581" s="71"/>
      <c r="C581" s="72"/>
      <c r="D581" s="72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15"/>
    </row>
    <row r="582">
      <c r="A582" s="73"/>
      <c r="B582" s="69"/>
      <c r="C582" s="70"/>
      <c r="D582" s="70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15"/>
    </row>
    <row r="583">
      <c r="A583" s="74"/>
      <c r="B583" s="71"/>
      <c r="C583" s="72"/>
      <c r="D583" s="72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15"/>
    </row>
    <row r="584">
      <c r="A584" s="73"/>
      <c r="B584" s="69"/>
      <c r="C584" s="70"/>
      <c r="D584" s="70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15"/>
    </row>
    <row r="585">
      <c r="A585" s="65"/>
      <c r="B585" s="71"/>
      <c r="C585" s="72"/>
      <c r="D585" s="72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15"/>
    </row>
    <row r="586">
      <c r="A586" s="61"/>
      <c r="B586" s="69"/>
      <c r="C586" s="70"/>
      <c r="D586" s="70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15"/>
    </row>
    <row r="587">
      <c r="A587" s="65"/>
      <c r="B587" s="71"/>
      <c r="C587" s="72"/>
      <c r="D587" s="72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15"/>
    </row>
    <row r="588">
      <c r="A588" s="61"/>
      <c r="B588" s="69"/>
      <c r="C588" s="70"/>
      <c r="D588" s="70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15"/>
    </row>
    <row r="589">
      <c r="A589" s="65"/>
      <c r="B589" s="71"/>
      <c r="C589" s="72"/>
      <c r="D589" s="72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15"/>
    </row>
    <row r="590">
      <c r="A590" s="61"/>
      <c r="B590" s="69"/>
      <c r="C590" s="70"/>
      <c r="D590" s="70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15"/>
    </row>
    <row r="591">
      <c r="A591" s="65"/>
      <c r="B591" s="71"/>
      <c r="C591" s="72"/>
      <c r="D591" s="72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15"/>
    </row>
    <row r="592">
      <c r="A592" s="61"/>
      <c r="B592" s="69"/>
      <c r="C592" s="70"/>
      <c r="D592" s="70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15"/>
    </row>
    <row r="593">
      <c r="A593" s="65"/>
      <c r="B593" s="71"/>
      <c r="C593" s="72"/>
      <c r="D593" s="72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15"/>
    </row>
    <row r="594">
      <c r="A594" s="61"/>
      <c r="B594" s="69"/>
      <c r="C594" s="70"/>
      <c r="D594" s="70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15"/>
    </row>
    <row r="595">
      <c r="A595" s="65"/>
      <c r="B595" s="71"/>
      <c r="C595" s="72"/>
      <c r="D595" s="72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15"/>
    </row>
    <row r="596">
      <c r="A596" s="61"/>
      <c r="B596" s="69"/>
      <c r="C596" s="70"/>
      <c r="D596" s="70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15"/>
    </row>
    <row r="597">
      <c r="A597" s="65"/>
      <c r="B597" s="71"/>
      <c r="C597" s="72"/>
      <c r="D597" s="72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15"/>
    </row>
    <row r="598">
      <c r="A598" s="61"/>
      <c r="B598" s="69"/>
      <c r="C598" s="70"/>
      <c r="D598" s="70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15"/>
    </row>
    <row r="599">
      <c r="A599" s="65"/>
      <c r="B599" s="71"/>
      <c r="C599" s="72"/>
      <c r="D599" s="72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15"/>
    </row>
    <row r="600">
      <c r="A600" s="61"/>
      <c r="B600" s="69"/>
      <c r="C600" s="70"/>
      <c r="D600" s="70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15"/>
    </row>
    <row r="601">
      <c r="A601" s="65"/>
      <c r="B601" s="71"/>
      <c r="C601" s="72"/>
      <c r="D601" s="72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15"/>
    </row>
    <row r="602">
      <c r="A602" s="61"/>
      <c r="B602" s="69"/>
      <c r="C602" s="70"/>
      <c r="D602" s="70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15"/>
    </row>
    <row r="603">
      <c r="A603" s="65"/>
      <c r="B603" s="71"/>
      <c r="C603" s="72"/>
      <c r="D603" s="72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15"/>
    </row>
    <row r="604">
      <c r="A604" s="61"/>
      <c r="B604" s="69"/>
      <c r="C604" s="70"/>
      <c r="D604" s="70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15"/>
    </row>
    <row r="605">
      <c r="A605" s="65"/>
      <c r="B605" s="71"/>
      <c r="C605" s="72"/>
      <c r="D605" s="72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15"/>
    </row>
    <row r="606">
      <c r="A606" s="61"/>
      <c r="B606" s="69"/>
      <c r="C606" s="70"/>
      <c r="D606" s="70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15"/>
    </row>
    <row r="607">
      <c r="A607" s="65"/>
      <c r="B607" s="71"/>
      <c r="C607" s="72"/>
      <c r="D607" s="72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15"/>
    </row>
    <row r="608">
      <c r="A608" s="61"/>
      <c r="B608" s="69"/>
      <c r="C608" s="70"/>
      <c r="D608" s="70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15"/>
    </row>
    <row r="609">
      <c r="A609" s="65"/>
      <c r="B609" s="71"/>
      <c r="C609" s="72"/>
      <c r="D609" s="72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15"/>
    </row>
    <row r="610">
      <c r="A610" s="61"/>
      <c r="B610" s="69"/>
      <c r="C610" s="70"/>
      <c r="D610" s="70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15"/>
    </row>
    <row r="611">
      <c r="A611" s="65"/>
      <c r="B611" s="71"/>
      <c r="C611" s="72"/>
      <c r="D611" s="72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15"/>
    </row>
    <row r="612">
      <c r="A612" s="73"/>
      <c r="B612" s="69"/>
      <c r="C612" s="70"/>
      <c r="D612" s="70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15"/>
    </row>
    <row r="613">
      <c r="A613" s="74"/>
      <c r="B613" s="71"/>
      <c r="C613" s="72"/>
      <c r="D613" s="72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15"/>
    </row>
    <row r="614">
      <c r="A614" s="73"/>
      <c r="B614" s="69"/>
      <c r="C614" s="70"/>
      <c r="D614" s="70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15"/>
    </row>
    <row r="615">
      <c r="A615" s="74"/>
      <c r="B615" s="71"/>
      <c r="C615" s="72"/>
      <c r="D615" s="72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15"/>
    </row>
    <row r="616">
      <c r="A616" s="73"/>
      <c r="B616" s="69"/>
      <c r="C616" s="70"/>
      <c r="D616" s="70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15"/>
    </row>
    <row r="617">
      <c r="A617" s="74"/>
      <c r="B617" s="71"/>
      <c r="C617" s="72"/>
      <c r="D617" s="72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15"/>
    </row>
    <row r="618">
      <c r="A618" s="73"/>
      <c r="B618" s="69"/>
      <c r="C618" s="70"/>
      <c r="D618" s="70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15"/>
    </row>
    <row r="619">
      <c r="A619" s="74"/>
      <c r="B619" s="71"/>
      <c r="C619" s="72"/>
      <c r="D619" s="72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15"/>
    </row>
    <row r="620">
      <c r="A620" s="73"/>
      <c r="B620" s="69"/>
      <c r="C620" s="70"/>
      <c r="D620" s="70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15"/>
    </row>
    <row r="621">
      <c r="A621" s="74"/>
      <c r="B621" s="71"/>
      <c r="C621" s="72"/>
      <c r="D621" s="72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15"/>
    </row>
    <row r="622">
      <c r="A622" s="73"/>
      <c r="B622" s="69"/>
      <c r="C622" s="70"/>
      <c r="D622" s="70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15"/>
    </row>
    <row r="623">
      <c r="A623" s="74"/>
      <c r="B623" s="71"/>
      <c r="C623" s="72"/>
      <c r="D623" s="72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15"/>
    </row>
    <row r="624">
      <c r="A624" s="73"/>
      <c r="B624" s="69"/>
      <c r="C624" s="70"/>
      <c r="D624" s="70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15"/>
    </row>
    <row r="625">
      <c r="A625" s="74"/>
      <c r="B625" s="71"/>
      <c r="C625" s="72"/>
      <c r="D625" s="72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15"/>
    </row>
    <row r="626">
      <c r="A626" s="73"/>
      <c r="B626" s="69"/>
      <c r="C626" s="70"/>
      <c r="D626" s="70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15"/>
    </row>
    <row r="627">
      <c r="A627" s="74"/>
      <c r="B627" s="71"/>
      <c r="C627" s="72"/>
      <c r="D627" s="72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15"/>
    </row>
    <row r="628">
      <c r="A628" s="73"/>
      <c r="B628" s="69"/>
      <c r="C628" s="70"/>
      <c r="D628" s="70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15"/>
    </row>
    <row r="629">
      <c r="A629" s="74"/>
      <c r="B629" s="71"/>
      <c r="C629" s="72"/>
      <c r="D629" s="72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15"/>
    </row>
    <row r="630">
      <c r="A630" s="73"/>
      <c r="B630" s="69"/>
      <c r="C630" s="70"/>
      <c r="D630" s="70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15"/>
    </row>
    <row r="631">
      <c r="A631" s="65"/>
      <c r="B631" s="71"/>
      <c r="C631" s="72"/>
      <c r="D631" s="72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15"/>
    </row>
    <row r="632">
      <c r="A632" s="61"/>
      <c r="B632" s="69"/>
      <c r="C632" s="70"/>
      <c r="D632" s="70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15"/>
    </row>
    <row r="633">
      <c r="A633" s="65"/>
      <c r="B633" s="71"/>
      <c r="C633" s="72"/>
      <c r="D633" s="72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15"/>
    </row>
    <row r="634">
      <c r="A634" s="61"/>
      <c r="B634" s="69"/>
      <c r="C634" s="70"/>
      <c r="D634" s="70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15"/>
    </row>
    <row r="635">
      <c r="A635" s="65"/>
      <c r="B635" s="71"/>
      <c r="C635" s="72"/>
      <c r="D635" s="72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15"/>
    </row>
    <row r="636">
      <c r="A636" s="61"/>
      <c r="B636" s="69"/>
      <c r="C636" s="70"/>
      <c r="D636" s="70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15"/>
    </row>
    <row r="637">
      <c r="A637" s="65"/>
      <c r="B637" s="71"/>
      <c r="C637" s="72"/>
      <c r="D637" s="72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15"/>
    </row>
    <row r="638">
      <c r="A638" s="61"/>
      <c r="B638" s="69"/>
      <c r="C638" s="70"/>
      <c r="D638" s="70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15"/>
    </row>
    <row r="639">
      <c r="A639" s="65"/>
      <c r="B639" s="71"/>
      <c r="C639" s="72"/>
      <c r="D639" s="72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15"/>
    </row>
    <row r="640">
      <c r="A640" s="61"/>
      <c r="B640" s="69"/>
      <c r="C640" s="70"/>
      <c r="D640" s="70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15"/>
    </row>
    <row r="641">
      <c r="A641" s="65"/>
      <c r="B641" s="71"/>
      <c r="C641" s="72"/>
      <c r="D641" s="72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15"/>
    </row>
    <row r="642">
      <c r="A642" s="61"/>
      <c r="B642" s="69"/>
      <c r="C642" s="70"/>
      <c r="D642" s="70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15"/>
    </row>
    <row r="643">
      <c r="A643" s="65"/>
      <c r="B643" s="71"/>
      <c r="C643" s="72"/>
      <c r="D643" s="72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15"/>
    </row>
    <row r="644">
      <c r="A644" s="61"/>
      <c r="B644" s="69"/>
      <c r="C644" s="70"/>
      <c r="D644" s="70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15"/>
    </row>
    <row r="645">
      <c r="A645" s="65"/>
      <c r="B645" s="71"/>
      <c r="C645" s="72"/>
      <c r="D645" s="72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15"/>
    </row>
    <row r="646">
      <c r="A646" s="61"/>
      <c r="B646" s="69"/>
      <c r="C646" s="70"/>
      <c r="D646" s="70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15"/>
    </row>
    <row r="647">
      <c r="A647" s="65"/>
      <c r="B647" s="71"/>
      <c r="C647" s="72"/>
      <c r="D647" s="72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15"/>
    </row>
    <row r="648">
      <c r="A648" s="61"/>
      <c r="B648" s="69"/>
      <c r="C648" s="70"/>
      <c r="D648" s="70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15"/>
    </row>
    <row r="649">
      <c r="A649" s="74"/>
      <c r="B649" s="71"/>
      <c r="C649" s="72"/>
      <c r="D649" s="72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15"/>
    </row>
    <row r="650">
      <c r="A650" s="73"/>
      <c r="B650" s="69"/>
      <c r="C650" s="70"/>
      <c r="D650" s="70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15"/>
    </row>
    <row r="651">
      <c r="A651" s="74"/>
      <c r="B651" s="71"/>
      <c r="C651" s="72"/>
      <c r="D651" s="72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15"/>
    </row>
    <row r="652">
      <c r="A652" s="73"/>
      <c r="B652" s="69"/>
      <c r="C652" s="70"/>
      <c r="D652" s="70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15"/>
    </row>
    <row r="653">
      <c r="A653" s="74"/>
      <c r="B653" s="71"/>
      <c r="C653" s="72"/>
      <c r="D653" s="72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15"/>
    </row>
    <row r="654">
      <c r="A654" s="73"/>
      <c r="B654" s="69"/>
      <c r="C654" s="70"/>
      <c r="D654" s="70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15"/>
    </row>
    <row r="655">
      <c r="A655" s="74"/>
      <c r="B655" s="71"/>
      <c r="C655" s="72"/>
      <c r="D655" s="72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15"/>
    </row>
    <row r="656">
      <c r="A656" s="73"/>
      <c r="B656" s="69"/>
      <c r="C656" s="70"/>
      <c r="D656" s="70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15"/>
    </row>
    <row r="657">
      <c r="A657" s="74"/>
      <c r="B657" s="71"/>
      <c r="C657" s="72"/>
      <c r="D657" s="72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15"/>
    </row>
    <row r="658">
      <c r="A658" s="73"/>
      <c r="B658" s="69"/>
      <c r="C658" s="70"/>
      <c r="D658" s="70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15"/>
    </row>
    <row r="659">
      <c r="A659" s="74"/>
      <c r="B659" s="71"/>
      <c r="C659" s="72"/>
      <c r="D659" s="72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15"/>
    </row>
    <row r="660">
      <c r="A660" s="73"/>
      <c r="B660" s="69"/>
      <c r="C660" s="70"/>
      <c r="D660" s="70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15"/>
    </row>
    <row r="661">
      <c r="A661" s="74"/>
      <c r="B661" s="71"/>
      <c r="C661" s="72"/>
      <c r="D661" s="72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15"/>
    </row>
    <row r="662">
      <c r="A662" s="73"/>
      <c r="B662" s="69"/>
      <c r="C662" s="70"/>
      <c r="D662" s="70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15"/>
    </row>
    <row r="663">
      <c r="A663" s="74"/>
      <c r="B663" s="71"/>
      <c r="C663" s="72"/>
      <c r="D663" s="72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15"/>
    </row>
    <row r="664">
      <c r="A664" s="73"/>
      <c r="B664" s="69"/>
      <c r="C664" s="70"/>
      <c r="D664" s="70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15"/>
    </row>
    <row r="665">
      <c r="A665" s="74"/>
      <c r="B665" s="71"/>
      <c r="C665" s="72"/>
      <c r="D665" s="72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15"/>
    </row>
    <row r="666">
      <c r="A666" s="73"/>
      <c r="B666" s="69"/>
      <c r="C666" s="70"/>
      <c r="D666" s="70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15"/>
    </row>
    <row r="667">
      <c r="A667" s="74"/>
      <c r="B667" s="71"/>
      <c r="C667" s="72"/>
      <c r="D667" s="72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15"/>
    </row>
    <row r="668">
      <c r="A668" s="61"/>
      <c r="B668" s="69"/>
      <c r="C668" s="70"/>
      <c r="D668" s="70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15"/>
    </row>
    <row r="669">
      <c r="A669" s="65"/>
      <c r="B669" s="71"/>
      <c r="C669" s="72"/>
      <c r="D669" s="72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15"/>
    </row>
    <row r="670">
      <c r="A670" s="61"/>
      <c r="B670" s="69"/>
      <c r="C670" s="70"/>
      <c r="D670" s="70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15"/>
    </row>
    <row r="671">
      <c r="A671" s="65"/>
      <c r="B671" s="71"/>
      <c r="C671" s="72"/>
      <c r="D671" s="72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15"/>
    </row>
    <row r="672">
      <c r="A672" s="61"/>
      <c r="B672" s="69"/>
      <c r="C672" s="70"/>
      <c r="D672" s="70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15"/>
    </row>
    <row r="673">
      <c r="A673" s="65"/>
      <c r="B673" s="71"/>
      <c r="C673" s="72"/>
      <c r="D673" s="72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15"/>
    </row>
    <row r="674">
      <c r="A674" s="61"/>
      <c r="B674" s="69"/>
      <c r="C674" s="70"/>
      <c r="D674" s="70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15"/>
    </row>
    <row r="675">
      <c r="A675" s="65"/>
      <c r="B675" s="71"/>
      <c r="C675" s="72"/>
      <c r="D675" s="72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15"/>
    </row>
    <row r="676">
      <c r="A676" s="61"/>
      <c r="B676" s="69"/>
      <c r="C676" s="70"/>
      <c r="D676" s="70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15"/>
    </row>
    <row r="677">
      <c r="A677" s="65"/>
      <c r="B677" s="71"/>
      <c r="C677" s="72"/>
      <c r="D677" s="72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15"/>
    </row>
    <row r="678">
      <c r="A678" s="61"/>
      <c r="B678" s="69"/>
      <c r="C678" s="70"/>
      <c r="D678" s="70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15"/>
    </row>
    <row r="679">
      <c r="A679" s="65"/>
      <c r="B679" s="71"/>
      <c r="C679" s="72"/>
      <c r="D679" s="72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15"/>
    </row>
    <row r="680">
      <c r="A680" s="61"/>
      <c r="B680" s="69"/>
      <c r="C680" s="70"/>
      <c r="D680" s="70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15"/>
    </row>
    <row r="681">
      <c r="A681" s="65"/>
      <c r="B681" s="71"/>
      <c r="C681" s="72"/>
      <c r="D681" s="72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15"/>
    </row>
    <row r="682">
      <c r="A682" s="61"/>
      <c r="B682" s="69"/>
      <c r="C682" s="70"/>
      <c r="D682" s="70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15"/>
    </row>
    <row r="683">
      <c r="A683" s="65"/>
      <c r="B683" s="71"/>
      <c r="C683" s="72"/>
      <c r="D683" s="72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15"/>
    </row>
    <row r="684">
      <c r="A684" s="61"/>
      <c r="B684" s="69"/>
      <c r="C684" s="70"/>
      <c r="D684" s="70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15"/>
    </row>
    <row r="685">
      <c r="A685" s="65"/>
      <c r="B685" s="71"/>
      <c r="C685" s="72"/>
      <c r="D685" s="72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15"/>
    </row>
    <row r="686">
      <c r="A686" s="61"/>
      <c r="B686" s="69"/>
      <c r="C686" s="70"/>
      <c r="D686" s="70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15"/>
    </row>
    <row r="687">
      <c r="A687" s="65"/>
      <c r="B687" s="71"/>
      <c r="C687" s="72"/>
      <c r="D687" s="72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15"/>
    </row>
    <row r="688">
      <c r="A688" s="61"/>
      <c r="B688" s="69"/>
      <c r="C688" s="70"/>
      <c r="D688" s="70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15"/>
    </row>
    <row r="689">
      <c r="A689" s="65"/>
      <c r="B689" s="71"/>
      <c r="C689" s="72"/>
      <c r="D689" s="72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15"/>
    </row>
    <row r="690">
      <c r="A690" s="61"/>
      <c r="B690" s="69"/>
      <c r="C690" s="70"/>
      <c r="D690" s="70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15"/>
    </row>
    <row r="691">
      <c r="A691" s="65"/>
      <c r="B691" s="71"/>
      <c r="C691" s="72"/>
      <c r="D691" s="72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15"/>
    </row>
    <row r="692">
      <c r="A692" s="61"/>
      <c r="B692" s="69"/>
      <c r="C692" s="70"/>
      <c r="D692" s="70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15"/>
    </row>
    <row r="693">
      <c r="A693" s="65"/>
      <c r="B693" s="71"/>
      <c r="C693" s="72"/>
      <c r="D693" s="72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15"/>
    </row>
    <row r="694">
      <c r="A694" s="61"/>
      <c r="B694" s="69"/>
      <c r="C694" s="70"/>
      <c r="D694" s="70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15"/>
    </row>
    <row r="695">
      <c r="A695" s="74"/>
      <c r="B695" s="71"/>
      <c r="C695" s="72"/>
      <c r="D695" s="72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15"/>
    </row>
    <row r="696">
      <c r="A696" s="73"/>
      <c r="B696" s="69"/>
      <c r="C696" s="70"/>
      <c r="D696" s="70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15"/>
    </row>
    <row r="697">
      <c r="A697" s="74"/>
      <c r="B697" s="71"/>
      <c r="C697" s="72"/>
      <c r="D697" s="72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15"/>
    </row>
    <row r="698">
      <c r="A698" s="73"/>
      <c r="B698" s="69"/>
      <c r="C698" s="70"/>
      <c r="D698" s="70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15"/>
    </row>
    <row r="699">
      <c r="A699" s="74"/>
      <c r="B699" s="71"/>
      <c r="C699" s="72"/>
      <c r="D699" s="72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15"/>
    </row>
    <row r="700">
      <c r="A700" s="73"/>
      <c r="B700" s="69"/>
      <c r="C700" s="70"/>
      <c r="D700" s="70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15"/>
    </row>
    <row r="701">
      <c r="A701" s="74"/>
      <c r="B701" s="71"/>
      <c r="C701" s="72"/>
      <c r="D701" s="72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15"/>
    </row>
    <row r="702">
      <c r="A702" s="73"/>
      <c r="B702" s="69"/>
      <c r="C702" s="70"/>
      <c r="D702" s="70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15"/>
    </row>
    <row r="703">
      <c r="A703" s="74"/>
      <c r="B703" s="71"/>
      <c r="C703" s="72"/>
      <c r="D703" s="72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15"/>
    </row>
    <row r="704">
      <c r="A704" s="73"/>
      <c r="B704" s="69"/>
      <c r="C704" s="70"/>
      <c r="D704" s="70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15"/>
    </row>
    <row r="705">
      <c r="A705" s="74"/>
      <c r="B705" s="71"/>
      <c r="C705" s="72"/>
      <c r="D705" s="72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15"/>
    </row>
    <row r="706">
      <c r="A706" s="73"/>
      <c r="B706" s="69"/>
      <c r="C706" s="70"/>
      <c r="D706" s="70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15"/>
    </row>
    <row r="707">
      <c r="A707" s="74"/>
      <c r="B707" s="71"/>
      <c r="C707" s="72"/>
      <c r="D707" s="72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15"/>
    </row>
    <row r="708">
      <c r="A708" s="73"/>
      <c r="B708" s="69"/>
      <c r="C708" s="70"/>
      <c r="D708" s="70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15"/>
    </row>
    <row r="709">
      <c r="A709" s="74"/>
      <c r="B709" s="71"/>
      <c r="C709" s="72"/>
      <c r="D709" s="72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15"/>
    </row>
    <row r="710">
      <c r="A710" s="73"/>
      <c r="B710" s="69"/>
      <c r="C710" s="70"/>
      <c r="D710" s="70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15"/>
    </row>
    <row r="711">
      <c r="A711" s="74"/>
      <c r="B711" s="71"/>
      <c r="C711" s="72"/>
      <c r="D711" s="72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15"/>
    </row>
    <row r="712">
      <c r="A712" s="73"/>
      <c r="B712" s="69"/>
      <c r="C712" s="70"/>
      <c r="D712" s="70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15"/>
    </row>
    <row r="713">
      <c r="A713" s="74"/>
      <c r="B713" s="71"/>
      <c r="C713" s="72"/>
      <c r="D713" s="72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15"/>
    </row>
    <row r="714">
      <c r="A714" s="61"/>
      <c r="B714" s="69"/>
      <c r="C714" s="70"/>
      <c r="D714" s="70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15"/>
    </row>
    <row r="715">
      <c r="A715" s="65"/>
      <c r="B715" s="71"/>
      <c r="C715" s="72"/>
      <c r="D715" s="72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15"/>
    </row>
    <row r="716">
      <c r="A716" s="61"/>
      <c r="B716" s="69"/>
      <c r="C716" s="70"/>
      <c r="D716" s="70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15"/>
    </row>
    <row r="717">
      <c r="A717" s="65"/>
      <c r="B717" s="71"/>
      <c r="C717" s="72"/>
      <c r="D717" s="72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15"/>
    </row>
    <row r="718">
      <c r="A718" s="61"/>
      <c r="B718" s="69"/>
      <c r="C718" s="70"/>
      <c r="D718" s="70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15"/>
    </row>
    <row r="719">
      <c r="A719" s="65"/>
      <c r="B719" s="71"/>
      <c r="C719" s="72"/>
      <c r="D719" s="72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15"/>
    </row>
    <row r="720">
      <c r="A720" s="61"/>
      <c r="B720" s="69"/>
      <c r="C720" s="70"/>
      <c r="D720" s="70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15"/>
    </row>
    <row r="721">
      <c r="A721" s="65"/>
      <c r="B721" s="71"/>
      <c r="C721" s="72"/>
      <c r="D721" s="72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15"/>
    </row>
    <row r="722">
      <c r="A722" s="61"/>
      <c r="B722" s="69"/>
      <c r="C722" s="70"/>
      <c r="D722" s="70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15"/>
    </row>
    <row r="723">
      <c r="A723" s="65"/>
      <c r="B723" s="71"/>
      <c r="C723" s="72"/>
      <c r="D723" s="72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15"/>
    </row>
    <row r="724">
      <c r="A724" s="61"/>
      <c r="B724" s="69"/>
      <c r="C724" s="70"/>
      <c r="D724" s="70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15"/>
    </row>
    <row r="725">
      <c r="A725" s="65"/>
      <c r="B725" s="71"/>
      <c r="C725" s="72"/>
      <c r="D725" s="72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15"/>
    </row>
    <row r="726">
      <c r="A726" s="61"/>
      <c r="B726" s="69"/>
      <c r="C726" s="70"/>
      <c r="D726" s="70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15"/>
    </row>
    <row r="727">
      <c r="A727" s="65"/>
      <c r="B727" s="71"/>
      <c r="C727" s="72"/>
      <c r="D727" s="72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15"/>
    </row>
    <row r="728">
      <c r="A728" s="61"/>
      <c r="B728" s="69"/>
      <c r="C728" s="70"/>
      <c r="D728" s="70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15"/>
    </row>
    <row r="729">
      <c r="A729" s="65"/>
      <c r="B729" s="71"/>
      <c r="C729" s="72"/>
      <c r="D729" s="72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15"/>
    </row>
    <row r="730">
      <c r="A730" s="61"/>
      <c r="B730" s="69"/>
      <c r="C730" s="70"/>
      <c r="D730" s="70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15"/>
    </row>
    <row r="731">
      <c r="A731" s="65"/>
      <c r="B731" s="71"/>
      <c r="C731" s="72"/>
      <c r="D731" s="72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15"/>
    </row>
    <row r="732">
      <c r="A732" s="73"/>
      <c r="B732" s="69"/>
      <c r="C732" s="70"/>
      <c r="D732" s="70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15"/>
    </row>
    <row r="733">
      <c r="A733" s="74"/>
      <c r="B733" s="71"/>
      <c r="C733" s="72"/>
      <c r="D733" s="72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15"/>
    </row>
    <row r="734">
      <c r="A734" s="73"/>
      <c r="B734" s="69"/>
      <c r="C734" s="70"/>
      <c r="D734" s="70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15"/>
    </row>
    <row r="735">
      <c r="A735" s="74"/>
      <c r="B735" s="71"/>
      <c r="C735" s="72"/>
      <c r="D735" s="72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15"/>
    </row>
    <row r="736">
      <c r="A736" s="73"/>
      <c r="B736" s="69"/>
      <c r="C736" s="70"/>
      <c r="D736" s="70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15"/>
    </row>
    <row r="737">
      <c r="A737" s="74"/>
      <c r="B737" s="71"/>
      <c r="C737" s="72"/>
      <c r="D737" s="72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15"/>
    </row>
    <row r="738">
      <c r="A738" s="73"/>
      <c r="B738" s="69"/>
      <c r="C738" s="70"/>
      <c r="D738" s="70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15"/>
    </row>
    <row r="739">
      <c r="A739" s="74"/>
      <c r="B739" s="71"/>
      <c r="C739" s="72"/>
      <c r="D739" s="72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15"/>
    </row>
    <row r="740">
      <c r="A740" s="73"/>
      <c r="B740" s="69"/>
      <c r="C740" s="70"/>
      <c r="D740" s="70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15"/>
    </row>
    <row r="741">
      <c r="A741" s="74"/>
      <c r="B741" s="71"/>
      <c r="C741" s="72"/>
      <c r="D741" s="72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15"/>
    </row>
    <row r="742">
      <c r="A742" s="73"/>
      <c r="B742" s="69"/>
      <c r="C742" s="70"/>
      <c r="D742" s="70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15"/>
    </row>
    <row r="743">
      <c r="A743" s="74"/>
      <c r="B743" s="71"/>
      <c r="C743" s="72"/>
      <c r="D743" s="72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15"/>
    </row>
    <row r="744">
      <c r="A744" s="73"/>
      <c r="B744" s="69"/>
      <c r="C744" s="70"/>
      <c r="D744" s="70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15"/>
    </row>
    <row r="745">
      <c r="A745" s="74"/>
      <c r="B745" s="71"/>
      <c r="C745" s="72"/>
      <c r="D745" s="72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15"/>
    </row>
    <row r="746">
      <c r="A746" s="73"/>
      <c r="B746" s="69"/>
      <c r="C746" s="70"/>
      <c r="D746" s="70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15"/>
    </row>
    <row r="747">
      <c r="A747" s="74"/>
      <c r="B747" s="71"/>
      <c r="C747" s="72"/>
      <c r="D747" s="72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15"/>
    </row>
    <row r="748">
      <c r="A748" s="73"/>
      <c r="B748" s="69"/>
      <c r="C748" s="70"/>
      <c r="D748" s="70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15"/>
    </row>
    <row r="749">
      <c r="A749" s="74"/>
      <c r="B749" s="71"/>
      <c r="C749" s="72"/>
      <c r="D749" s="72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15"/>
    </row>
    <row r="750">
      <c r="A750" s="73"/>
      <c r="B750" s="69"/>
      <c r="C750" s="70"/>
      <c r="D750" s="70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15"/>
    </row>
    <row r="751">
      <c r="A751" s="65"/>
      <c r="B751" s="71"/>
      <c r="C751" s="72"/>
      <c r="D751" s="72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15"/>
    </row>
    <row r="752">
      <c r="A752" s="61"/>
      <c r="B752" s="69"/>
      <c r="C752" s="70"/>
      <c r="D752" s="70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15"/>
    </row>
    <row r="753">
      <c r="A753" s="65"/>
      <c r="B753" s="71"/>
      <c r="C753" s="72"/>
      <c r="D753" s="72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15"/>
    </row>
    <row r="754">
      <c r="A754" s="61"/>
      <c r="B754" s="69"/>
      <c r="C754" s="70"/>
      <c r="D754" s="70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15"/>
    </row>
    <row r="755">
      <c r="A755" s="65"/>
      <c r="B755" s="71"/>
      <c r="C755" s="72"/>
      <c r="D755" s="72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15"/>
    </row>
    <row r="756">
      <c r="A756" s="61"/>
      <c r="B756" s="69"/>
      <c r="C756" s="70"/>
      <c r="D756" s="70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15"/>
    </row>
    <row r="757">
      <c r="A757" s="65"/>
      <c r="B757" s="71"/>
      <c r="C757" s="72"/>
      <c r="D757" s="72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15"/>
    </row>
    <row r="758">
      <c r="A758" s="61"/>
      <c r="B758" s="69"/>
      <c r="C758" s="70"/>
      <c r="D758" s="70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15"/>
    </row>
    <row r="759">
      <c r="A759" s="65"/>
      <c r="B759" s="71"/>
      <c r="C759" s="72"/>
      <c r="D759" s="72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15"/>
    </row>
    <row r="760">
      <c r="A760" s="61"/>
      <c r="B760" s="69"/>
      <c r="C760" s="70"/>
      <c r="D760" s="70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15"/>
    </row>
    <row r="761">
      <c r="A761" s="65"/>
      <c r="B761" s="71"/>
      <c r="C761" s="72"/>
      <c r="D761" s="72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15"/>
    </row>
    <row r="762">
      <c r="A762" s="61"/>
      <c r="B762" s="69"/>
      <c r="C762" s="70"/>
      <c r="D762" s="70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15"/>
    </row>
    <row r="763">
      <c r="A763" s="65"/>
      <c r="B763" s="71"/>
      <c r="C763" s="72"/>
      <c r="D763" s="72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15"/>
    </row>
    <row r="764">
      <c r="A764" s="61"/>
      <c r="B764" s="69"/>
      <c r="C764" s="70"/>
      <c r="D764" s="70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15"/>
    </row>
    <row r="765">
      <c r="A765" s="65"/>
      <c r="B765" s="71"/>
      <c r="C765" s="72"/>
      <c r="D765" s="72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15"/>
    </row>
    <row r="766">
      <c r="A766" s="61"/>
      <c r="B766" s="69"/>
      <c r="C766" s="70"/>
      <c r="D766" s="70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15"/>
    </row>
    <row r="767">
      <c r="A767" s="65"/>
      <c r="B767" s="71"/>
      <c r="C767" s="72"/>
      <c r="D767" s="72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15"/>
    </row>
    <row r="768">
      <c r="A768" s="61"/>
      <c r="B768" s="69"/>
      <c r="C768" s="70"/>
      <c r="D768" s="70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15"/>
    </row>
    <row r="769">
      <c r="A769" s="65"/>
      <c r="B769" s="71"/>
      <c r="C769" s="72"/>
      <c r="D769" s="72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15"/>
    </row>
    <row r="770">
      <c r="A770" s="61"/>
      <c r="B770" s="69"/>
      <c r="C770" s="70"/>
      <c r="D770" s="70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15"/>
    </row>
    <row r="771">
      <c r="A771" s="65"/>
      <c r="B771" s="71"/>
      <c r="C771" s="72"/>
      <c r="D771" s="72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15"/>
    </row>
    <row r="772">
      <c r="A772" s="61"/>
      <c r="B772" s="69"/>
      <c r="C772" s="70"/>
      <c r="D772" s="70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15"/>
    </row>
    <row r="773">
      <c r="A773" s="65"/>
      <c r="B773" s="71"/>
      <c r="C773" s="72"/>
      <c r="D773" s="72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15"/>
    </row>
    <row r="774">
      <c r="A774" s="61"/>
      <c r="B774" s="69"/>
      <c r="C774" s="70"/>
      <c r="D774" s="70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15"/>
    </row>
    <row r="775">
      <c r="A775" s="65"/>
      <c r="B775" s="71"/>
      <c r="C775" s="72"/>
      <c r="D775" s="72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15"/>
    </row>
    <row r="776">
      <c r="A776" s="61"/>
      <c r="B776" s="69"/>
      <c r="C776" s="70"/>
      <c r="D776" s="70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15"/>
    </row>
    <row r="777">
      <c r="A777" s="65"/>
      <c r="B777" s="71"/>
      <c r="C777" s="72"/>
      <c r="D777" s="72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15"/>
    </row>
    <row r="778">
      <c r="A778" s="73"/>
      <c r="B778" s="69"/>
      <c r="C778" s="70"/>
      <c r="D778" s="70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15"/>
    </row>
    <row r="779">
      <c r="A779" s="74"/>
      <c r="B779" s="71"/>
      <c r="C779" s="72"/>
      <c r="D779" s="72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15"/>
    </row>
    <row r="780">
      <c r="A780" s="73"/>
      <c r="B780" s="69"/>
      <c r="C780" s="70"/>
      <c r="D780" s="70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15"/>
    </row>
    <row r="781">
      <c r="A781" s="74"/>
      <c r="B781" s="71"/>
      <c r="C781" s="72"/>
      <c r="D781" s="72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15"/>
    </row>
    <row r="782">
      <c r="A782" s="73"/>
      <c r="B782" s="69"/>
      <c r="C782" s="70"/>
      <c r="D782" s="70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15"/>
    </row>
    <row r="783">
      <c r="A783" s="74"/>
      <c r="B783" s="71"/>
      <c r="C783" s="72"/>
      <c r="D783" s="72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15"/>
    </row>
    <row r="784">
      <c r="A784" s="73"/>
      <c r="B784" s="69"/>
      <c r="C784" s="70"/>
      <c r="D784" s="70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15"/>
    </row>
    <row r="785">
      <c r="A785" s="74"/>
      <c r="B785" s="71"/>
      <c r="C785" s="72"/>
      <c r="D785" s="72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15"/>
    </row>
    <row r="786">
      <c r="A786" s="73"/>
      <c r="B786" s="69"/>
      <c r="C786" s="70"/>
      <c r="D786" s="70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15"/>
    </row>
    <row r="787">
      <c r="A787" s="74"/>
      <c r="B787" s="71"/>
      <c r="C787" s="72"/>
      <c r="D787" s="72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15"/>
    </row>
    <row r="788">
      <c r="A788" s="73"/>
      <c r="B788" s="69"/>
      <c r="C788" s="70"/>
      <c r="D788" s="70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15"/>
    </row>
    <row r="789">
      <c r="A789" s="74"/>
      <c r="B789" s="71"/>
      <c r="C789" s="72"/>
      <c r="D789" s="72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15"/>
    </row>
    <row r="790">
      <c r="A790" s="73"/>
      <c r="B790" s="69"/>
      <c r="C790" s="70"/>
      <c r="D790" s="70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15"/>
    </row>
    <row r="791">
      <c r="A791" s="74"/>
      <c r="B791" s="71"/>
      <c r="C791" s="72"/>
      <c r="D791" s="72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15"/>
    </row>
    <row r="792">
      <c r="A792" s="73"/>
      <c r="B792" s="69"/>
      <c r="C792" s="70"/>
      <c r="D792" s="70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15"/>
    </row>
    <row r="793">
      <c r="A793" s="74"/>
      <c r="B793" s="71"/>
      <c r="C793" s="72"/>
      <c r="D793" s="72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15"/>
    </row>
    <row r="794">
      <c r="A794" s="73"/>
      <c r="B794" s="69"/>
      <c r="C794" s="70"/>
      <c r="D794" s="70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15"/>
    </row>
    <row r="795">
      <c r="A795" s="74"/>
      <c r="B795" s="71"/>
      <c r="C795" s="72"/>
      <c r="D795" s="72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15"/>
    </row>
    <row r="796">
      <c r="A796" s="73"/>
      <c r="B796" s="69"/>
      <c r="C796" s="70"/>
      <c r="D796" s="70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15"/>
    </row>
    <row r="797">
      <c r="A797" s="65"/>
      <c r="B797" s="71"/>
      <c r="C797" s="72"/>
      <c r="D797" s="72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15"/>
    </row>
    <row r="798">
      <c r="A798" s="61"/>
      <c r="B798" s="69"/>
      <c r="C798" s="70"/>
      <c r="D798" s="70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15"/>
    </row>
    <row r="799">
      <c r="A799" s="65"/>
      <c r="B799" s="71"/>
      <c r="C799" s="72"/>
      <c r="D799" s="72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15"/>
    </row>
    <row r="800">
      <c r="A800" s="61"/>
      <c r="B800" s="69"/>
      <c r="C800" s="70"/>
      <c r="D800" s="70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15"/>
    </row>
    <row r="801">
      <c r="A801" s="65"/>
      <c r="B801" s="71"/>
      <c r="C801" s="72"/>
      <c r="D801" s="72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15"/>
    </row>
    <row r="802">
      <c r="A802" s="61"/>
      <c r="B802" s="69"/>
      <c r="C802" s="70"/>
      <c r="D802" s="70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15"/>
    </row>
    <row r="803">
      <c r="A803" s="65"/>
      <c r="B803" s="71"/>
      <c r="C803" s="72"/>
      <c r="D803" s="72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15"/>
    </row>
    <row r="804">
      <c r="A804" s="61"/>
      <c r="B804" s="69"/>
      <c r="C804" s="70"/>
      <c r="D804" s="70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15"/>
    </row>
    <row r="805">
      <c r="A805" s="65"/>
      <c r="B805" s="71"/>
      <c r="C805" s="72"/>
      <c r="D805" s="72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15"/>
    </row>
    <row r="806">
      <c r="A806" s="61"/>
      <c r="B806" s="69"/>
      <c r="C806" s="70"/>
      <c r="D806" s="70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15"/>
    </row>
    <row r="807">
      <c r="A807" s="65"/>
      <c r="B807" s="71"/>
      <c r="C807" s="72"/>
      <c r="D807" s="72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15"/>
    </row>
    <row r="808">
      <c r="A808" s="61"/>
      <c r="B808" s="69"/>
      <c r="C808" s="70"/>
      <c r="D808" s="70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15"/>
    </row>
    <row r="809">
      <c r="A809" s="65"/>
      <c r="B809" s="71"/>
      <c r="C809" s="72"/>
      <c r="D809" s="72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15"/>
    </row>
    <row r="810">
      <c r="A810" s="61"/>
      <c r="B810" s="69"/>
      <c r="C810" s="70"/>
      <c r="D810" s="70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15"/>
    </row>
    <row r="811">
      <c r="A811" s="65"/>
      <c r="B811" s="71"/>
      <c r="C811" s="72"/>
      <c r="D811" s="72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15"/>
    </row>
    <row r="812">
      <c r="A812" s="61"/>
      <c r="B812" s="69"/>
      <c r="C812" s="70"/>
      <c r="D812" s="70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15"/>
    </row>
    <row r="813">
      <c r="A813" s="65"/>
      <c r="B813" s="71"/>
      <c r="C813" s="72"/>
      <c r="D813" s="72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15"/>
    </row>
    <row r="814">
      <c r="A814" s="61"/>
      <c r="B814" s="69"/>
      <c r="C814" s="70"/>
      <c r="D814" s="70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15"/>
    </row>
    <row r="815">
      <c r="A815" s="74"/>
      <c r="B815" s="71"/>
      <c r="C815" s="72"/>
      <c r="D815" s="72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15"/>
    </row>
    <row r="816">
      <c r="A816" s="73"/>
      <c r="B816" s="69"/>
      <c r="C816" s="70"/>
      <c r="D816" s="70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15"/>
    </row>
    <row r="817">
      <c r="A817" s="74"/>
      <c r="B817" s="71"/>
      <c r="C817" s="72"/>
      <c r="D817" s="72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15"/>
    </row>
    <row r="818">
      <c r="A818" s="73"/>
      <c r="B818" s="69"/>
      <c r="C818" s="70"/>
      <c r="D818" s="70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15"/>
    </row>
    <row r="819">
      <c r="A819" s="74"/>
      <c r="B819" s="71"/>
      <c r="C819" s="72"/>
      <c r="D819" s="72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15"/>
    </row>
    <row r="820">
      <c r="A820" s="73"/>
      <c r="B820" s="69"/>
      <c r="C820" s="70"/>
      <c r="D820" s="70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15"/>
    </row>
    <row r="821">
      <c r="A821" s="74"/>
      <c r="B821" s="71"/>
      <c r="C821" s="72"/>
      <c r="D821" s="72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15"/>
    </row>
    <row r="822">
      <c r="A822" s="73"/>
      <c r="B822" s="69"/>
      <c r="C822" s="70"/>
      <c r="D822" s="70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15"/>
    </row>
    <row r="823">
      <c r="A823" s="74"/>
      <c r="B823" s="71"/>
      <c r="C823" s="72"/>
      <c r="D823" s="72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15"/>
    </row>
    <row r="824">
      <c r="A824" s="73"/>
      <c r="B824" s="69"/>
      <c r="C824" s="70"/>
      <c r="D824" s="70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15"/>
    </row>
    <row r="825">
      <c r="A825" s="74"/>
      <c r="B825" s="71"/>
      <c r="C825" s="72"/>
      <c r="D825" s="72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15"/>
    </row>
    <row r="826">
      <c r="A826" s="73"/>
      <c r="B826" s="69"/>
      <c r="C826" s="70"/>
      <c r="D826" s="70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15"/>
    </row>
    <row r="827">
      <c r="A827" s="74"/>
      <c r="B827" s="71"/>
      <c r="C827" s="72"/>
      <c r="D827" s="72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15"/>
    </row>
    <row r="828">
      <c r="A828" s="73"/>
      <c r="B828" s="69"/>
      <c r="C828" s="70"/>
      <c r="D828" s="70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15"/>
    </row>
    <row r="829">
      <c r="A829" s="74"/>
      <c r="B829" s="71"/>
      <c r="C829" s="72"/>
      <c r="D829" s="72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15"/>
    </row>
    <row r="830">
      <c r="A830" s="73"/>
      <c r="B830" s="69"/>
      <c r="C830" s="70"/>
      <c r="D830" s="70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15"/>
    </row>
    <row r="831">
      <c r="A831" s="74"/>
      <c r="B831" s="71"/>
      <c r="C831" s="72"/>
      <c r="D831" s="72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15"/>
    </row>
    <row r="832">
      <c r="A832" s="73"/>
      <c r="B832" s="69"/>
      <c r="C832" s="70"/>
      <c r="D832" s="70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15"/>
    </row>
    <row r="833">
      <c r="A833" s="74"/>
      <c r="B833" s="71"/>
      <c r="C833" s="72"/>
      <c r="D833" s="72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15"/>
    </row>
    <row r="834">
      <c r="A834" s="61"/>
      <c r="B834" s="69"/>
      <c r="C834" s="70"/>
      <c r="D834" s="70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15"/>
    </row>
    <row r="835">
      <c r="A835" s="65"/>
      <c r="B835" s="71"/>
      <c r="C835" s="72"/>
      <c r="D835" s="72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15"/>
    </row>
    <row r="836">
      <c r="A836" s="61"/>
      <c r="B836" s="69"/>
      <c r="C836" s="70"/>
      <c r="D836" s="70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15"/>
    </row>
    <row r="837">
      <c r="A837" s="65"/>
      <c r="B837" s="71"/>
      <c r="C837" s="72"/>
      <c r="D837" s="72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15"/>
    </row>
    <row r="838">
      <c r="A838" s="61"/>
      <c r="B838" s="69"/>
      <c r="C838" s="70"/>
      <c r="D838" s="70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15"/>
    </row>
    <row r="839">
      <c r="A839" s="65"/>
      <c r="B839" s="71"/>
      <c r="C839" s="72"/>
      <c r="D839" s="72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15"/>
    </row>
    <row r="840">
      <c r="A840" s="61"/>
      <c r="B840" s="69"/>
      <c r="C840" s="70"/>
      <c r="D840" s="70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15"/>
    </row>
    <row r="841">
      <c r="A841" s="65"/>
      <c r="B841" s="71"/>
      <c r="C841" s="72"/>
      <c r="D841" s="72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15"/>
    </row>
    <row r="842">
      <c r="A842" s="61"/>
      <c r="B842" s="69"/>
      <c r="C842" s="70"/>
      <c r="D842" s="70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15"/>
    </row>
    <row r="843">
      <c r="A843" s="65"/>
      <c r="B843" s="71"/>
      <c r="C843" s="72"/>
      <c r="D843" s="72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15"/>
    </row>
    <row r="844">
      <c r="A844" s="61"/>
      <c r="B844" s="69"/>
      <c r="C844" s="70"/>
      <c r="D844" s="70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15"/>
    </row>
    <row r="845">
      <c r="A845" s="65"/>
      <c r="B845" s="71"/>
      <c r="C845" s="72"/>
      <c r="D845" s="72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15"/>
    </row>
    <row r="846">
      <c r="A846" s="61"/>
      <c r="B846" s="69"/>
      <c r="C846" s="70"/>
      <c r="D846" s="70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15"/>
    </row>
    <row r="847">
      <c r="A847" s="65"/>
      <c r="B847" s="71"/>
      <c r="C847" s="72"/>
      <c r="D847" s="72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15"/>
    </row>
    <row r="848">
      <c r="A848" s="61"/>
      <c r="B848" s="69"/>
      <c r="C848" s="70"/>
      <c r="D848" s="70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15"/>
    </row>
    <row r="849">
      <c r="A849" s="65"/>
      <c r="B849" s="71"/>
      <c r="C849" s="72"/>
      <c r="D849" s="72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15"/>
    </row>
    <row r="850">
      <c r="A850" s="61"/>
      <c r="B850" s="69"/>
      <c r="C850" s="70"/>
      <c r="D850" s="70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15"/>
    </row>
    <row r="851">
      <c r="A851" s="65"/>
      <c r="B851" s="71"/>
      <c r="C851" s="72"/>
      <c r="D851" s="72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15"/>
    </row>
    <row r="852">
      <c r="A852" s="61"/>
      <c r="B852" s="69"/>
      <c r="C852" s="70"/>
      <c r="D852" s="70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15"/>
    </row>
    <row r="853">
      <c r="A853" s="65"/>
      <c r="B853" s="71"/>
      <c r="C853" s="72"/>
      <c r="D853" s="72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15"/>
    </row>
    <row r="854">
      <c r="A854" s="61"/>
      <c r="B854" s="69"/>
      <c r="C854" s="70"/>
      <c r="D854" s="70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15"/>
    </row>
    <row r="855">
      <c r="A855" s="65"/>
      <c r="B855" s="71"/>
      <c r="C855" s="72"/>
      <c r="D855" s="72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15"/>
    </row>
    <row r="856">
      <c r="A856" s="61"/>
      <c r="B856" s="69"/>
      <c r="C856" s="70"/>
      <c r="D856" s="70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15"/>
    </row>
    <row r="857">
      <c r="A857" s="65"/>
      <c r="B857" s="71"/>
      <c r="C857" s="72"/>
      <c r="D857" s="72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15"/>
    </row>
    <row r="858">
      <c r="A858" s="61"/>
      <c r="B858" s="69"/>
      <c r="C858" s="70"/>
      <c r="D858" s="70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15"/>
    </row>
    <row r="859">
      <c r="A859" s="65"/>
      <c r="B859" s="71"/>
      <c r="C859" s="72"/>
      <c r="D859" s="72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15"/>
    </row>
    <row r="860">
      <c r="A860" s="61"/>
      <c r="B860" s="69"/>
      <c r="C860" s="70"/>
      <c r="D860" s="70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15"/>
    </row>
    <row r="861">
      <c r="A861" s="74"/>
      <c r="B861" s="71"/>
      <c r="C861" s="72"/>
      <c r="D861" s="72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15"/>
    </row>
    <row r="862">
      <c r="A862" s="73"/>
      <c r="B862" s="69"/>
      <c r="C862" s="70"/>
      <c r="D862" s="70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15"/>
    </row>
    <row r="863">
      <c r="A863" s="74"/>
      <c r="B863" s="71"/>
      <c r="C863" s="72"/>
      <c r="D863" s="72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15"/>
    </row>
    <row r="864">
      <c r="A864" s="73"/>
      <c r="B864" s="69"/>
      <c r="C864" s="70"/>
      <c r="D864" s="70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15"/>
    </row>
    <row r="865">
      <c r="A865" s="74"/>
      <c r="B865" s="71"/>
      <c r="C865" s="72"/>
      <c r="D865" s="72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15"/>
    </row>
    <row r="866">
      <c r="A866" s="73"/>
      <c r="B866" s="69"/>
      <c r="C866" s="70"/>
      <c r="D866" s="70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15"/>
    </row>
    <row r="867">
      <c r="A867" s="74"/>
      <c r="B867" s="71"/>
      <c r="C867" s="72"/>
      <c r="D867" s="72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15"/>
    </row>
    <row r="868">
      <c r="A868" s="73"/>
      <c r="B868" s="69"/>
      <c r="C868" s="70"/>
      <c r="D868" s="70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15"/>
    </row>
    <row r="869">
      <c r="A869" s="74"/>
      <c r="B869" s="71"/>
      <c r="C869" s="72"/>
      <c r="D869" s="72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15"/>
    </row>
    <row r="870">
      <c r="A870" s="73"/>
      <c r="B870" s="69"/>
      <c r="C870" s="70"/>
      <c r="D870" s="70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15"/>
    </row>
    <row r="871">
      <c r="A871" s="74"/>
      <c r="B871" s="71"/>
      <c r="C871" s="72"/>
      <c r="D871" s="72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15"/>
    </row>
    <row r="872">
      <c r="A872" s="73"/>
      <c r="B872" s="69"/>
      <c r="C872" s="70"/>
      <c r="D872" s="70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15"/>
    </row>
    <row r="873">
      <c r="A873" s="74"/>
      <c r="B873" s="71"/>
      <c r="C873" s="72"/>
      <c r="D873" s="72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15"/>
    </row>
    <row r="874">
      <c r="A874" s="73"/>
      <c r="B874" s="69"/>
      <c r="C874" s="70"/>
      <c r="D874" s="70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15"/>
    </row>
    <row r="875">
      <c r="A875" s="74"/>
      <c r="B875" s="71"/>
      <c r="C875" s="72"/>
      <c r="D875" s="72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15"/>
    </row>
    <row r="876">
      <c r="A876" s="73"/>
      <c r="B876" s="69"/>
      <c r="C876" s="70"/>
      <c r="D876" s="70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15"/>
    </row>
    <row r="877">
      <c r="A877" s="74"/>
      <c r="B877" s="71"/>
      <c r="C877" s="72"/>
      <c r="D877" s="72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15"/>
    </row>
    <row r="878">
      <c r="A878" s="73"/>
      <c r="B878" s="69"/>
      <c r="C878" s="70"/>
      <c r="D878" s="70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15"/>
    </row>
    <row r="879">
      <c r="A879" s="74"/>
      <c r="B879" s="71"/>
      <c r="C879" s="72"/>
      <c r="D879" s="72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15"/>
    </row>
    <row r="880">
      <c r="A880" s="61"/>
      <c r="B880" s="69"/>
      <c r="C880" s="70"/>
      <c r="D880" s="70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15"/>
    </row>
    <row r="881">
      <c r="A881" s="65"/>
      <c r="B881" s="71"/>
      <c r="C881" s="72"/>
      <c r="D881" s="72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15"/>
    </row>
    <row r="882">
      <c r="A882" s="61"/>
      <c r="B882" s="69"/>
      <c r="C882" s="70"/>
      <c r="D882" s="70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15"/>
    </row>
    <row r="883">
      <c r="A883" s="65"/>
      <c r="B883" s="71"/>
      <c r="C883" s="72"/>
      <c r="D883" s="72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15"/>
    </row>
    <row r="884">
      <c r="A884" s="61"/>
      <c r="B884" s="69"/>
      <c r="C884" s="70"/>
      <c r="D884" s="70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15"/>
    </row>
    <row r="885">
      <c r="A885" s="65"/>
      <c r="B885" s="71"/>
      <c r="C885" s="72"/>
      <c r="D885" s="72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15"/>
    </row>
    <row r="886">
      <c r="A886" s="61"/>
      <c r="B886" s="69"/>
      <c r="C886" s="70"/>
      <c r="D886" s="70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15"/>
    </row>
    <row r="887">
      <c r="A887" s="65"/>
      <c r="B887" s="71"/>
      <c r="C887" s="72"/>
      <c r="D887" s="72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15"/>
    </row>
    <row r="888">
      <c r="A888" s="61"/>
      <c r="B888" s="69"/>
      <c r="C888" s="70"/>
      <c r="D888" s="70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15"/>
    </row>
    <row r="889">
      <c r="A889" s="65"/>
      <c r="B889" s="71"/>
      <c r="C889" s="72"/>
      <c r="D889" s="72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15"/>
    </row>
    <row r="890">
      <c r="A890" s="61"/>
      <c r="B890" s="69"/>
      <c r="C890" s="70"/>
      <c r="D890" s="70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15"/>
    </row>
    <row r="891">
      <c r="A891" s="65"/>
      <c r="B891" s="71"/>
      <c r="C891" s="72"/>
      <c r="D891" s="72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15"/>
    </row>
    <row r="892">
      <c r="A892" s="61"/>
      <c r="B892" s="69"/>
      <c r="C892" s="70"/>
      <c r="D892" s="70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15"/>
    </row>
    <row r="893">
      <c r="A893" s="65"/>
      <c r="B893" s="71"/>
      <c r="C893" s="72"/>
      <c r="D893" s="72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15"/>
    </row>
    <row r="894">
      <c r="A894" s="61"/>
      <c r="B894" s="69"/>
      <c r="C894" s="70"/>
      <c r="D894" s="70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15"/>
    </row>
    <row r="895">
      <c r="A895" s="65"/>
      <c r="B895" s="71"/>
      <c r="C895" s="72"/>
      <c r="D895" s="72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15"/>
    </row>
    <row r="896">
      <c r="A896" s="61"/>
      <c r="B896" s="69"/>
      <c r="C896" s="70"/>
      <c r="D896" s="70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15"/>
    </row>
    <row r="897">
      <c r="A897" s="65"/>
      <c r="B897" s="71"/>
      <c r="C897" s="72"/>
      <c r="D897" s="72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15"/>
    </row>
    <row r="898">
      <c r="A898" s="73"/>
      <c r="B898" s="69"/>
      <c r="C898" s="70"/>
      <c r="D898" s="70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15"/>
    </row>
    <row r="899">
      <c r="A899" s="74"/>
      <c r="B899" s="71"/>
      <c r="C899" s="72"/>
      <c r="D899" s="72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15"/>
    </row>
    <row r="900">
      <c r="A900" s="73"/>
      <c r="B900" s="69"/>
      <c r="C900" s="70"/>
      <c r="D900" s="70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15"/>
    </row>
    <row r="901">
      <c r="A901" s="74"/>
      <c r="B901" s="71"/>
      <c r="C901" s="72"/>
      <c r="D901" s="72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15"/>
    </row>
    <row r="902">
      <c r="A902" s="73"/>
      <c r="B902" s="69"/>
      <c r="C902" s="70"/>
      <c r="D902" s="70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15"/>
    </row>
    <row r="903">
      <c r="A903" s="74"/>
      <c r="B903" s="71"/>
      <c r="C903" s="72"/>
      <c r="D903" s="72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15"/>
    </row>
    <row r="904">
      <c r="A904" s="73"/>
      <c r="B904" s="69"/>
      <c r="C904" s="70"/>
      <c r="D904" s="70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15"/>
    </row>
    <row r="905">
      <c r="A905" s="74"/>
      <c r="B905" s="71"/>
      <c r="C905" s="72"/>
      <c r="D905" s="72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15"/>
    </row>
    <row r="906">
      <c r="A906" s="73"/>
      <c r="B906" s="69"/>
      <c r="C906" s="70"/>
      <c r="D906" s="70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15"/>
    </row>
    <row r="907">
      <c r="A907" s="74"/>
      <c r="B907" s="71"/>
      <c r="C907" s="72"/>
      <c r="D907" s="72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15"/>
    </row>
    <row r="908">
      <c r="A908" s="73"/>
      <c r="B908" s="69"/>
      <c r="C908" s="70"/>
      <c r="D908" s="70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15"/>
    </row>
    <row r="909">
      <c r="A909" s="74"/>
      <c r="B909" s="71"/>
      <c r="C909" s="72"/>
      <c r="D909" s="72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15"/>
    </row>
    <row r="910">
      <c r="A910" s="73"/>
      <c r="B910" s="69"/>
      <c r="C910" s="70"/>
      <c r="D910" s="70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15"/>
    </row>
    <row r="911">
      <c r="A911" s="74"/>
      <c r="B911" s="71"/>
      <c r="C911" s="72"/>
      <c r="D911" s="72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15"/>
    </row>
    <row r="912">
      <c r="A912" s="73"/>
      <c r="B912" s="69"/>
      <c r="C912" s="70"/>
      <c r="D912" s="70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15"/>
    </row>
    <row r="913">
      <c r="A913" s="74"/>
      <c r="B913" s="71"/>
      <c r="C913" s="72"/>
      <c r="D913" s="72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15"/>
    </row>
    <row r="914">
      <c r="A914" s="73"/>
      <c r="B914" s="69"/>
      <c r="C914" s="70"/>
      <c r="D914" s="70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15"/>
    </row>
    <row r="915">
      <c r="A915" s="74"/>
      <c r="B915" s="71"/>
      <c r="C915" s="72"/>
      <c r="D915" s="72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15"/>
    </row>
    <row r="916">
      <c r="A916" s="73"/>
      <c r="B916" s="69"/>
      <c r="C916" s="70"/>
      <c r="D916" s="70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15"/>
    </row>
    <row r="917">
      <c r="A917" s="65"/>
      <c r="B917" s="71"/>
      <c r="C917" s="72"/>
      <c r="D917" s="72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15"/>
    </row>
    <row r="918">
      <c r="A918" s="61"/>
      <c r="B918" s="69"/>
      <c r="C918" s="70"/>
      <c r="D918" s="70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15"/>
    </row>
    <row r="919">
      <c r="A919" s="65"/>
      <c r="B919" s="71"/>
      <c r="C919" s="72"/>
      <c r="D919" s="72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15"/>
    </row>
    <row r="920">
      <c r="A920" s="61"/>
      <c r="B920" s="69"/>
      <c r="C920" s="70"/>
      <c r="D920" s="70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15"/>
    </row>
    <row r="921">
      <c r="A921" s="65"/>
      <c r="B921" s="71"/>
      <c r="C921" s="72"/>
      <c r="D921" s="72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15"/>
    </row>
    <row r="922">
      <c r="A922" s="61"/>
      <c r="B922" s="69"/>
      <c r="C922" s="70"/>
      <c r="D922" s="70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15"/>
    </row>
    <row r="923">
      <c r="A923" s="65"/>
      <c r="B923" s="71"/>
      <c r="C923" s="72"/>
      <c r="D923" s="72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15"/>
    </row>
    <row r="924">
      <c r="A924" s="61"/>
      <c r="B924" s="69"/>
      <c r="C924" s="70"/>
      <c r="D924" s="70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15"/>
    </row>
    <row r="925">
      <c r="A925" s="65"/>
      <c r="B925" s="71"/>
      <c r="C925" s="72"/>
      <c r="D925" s="72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15"/>
    </row>
    <row r="926">
      <c r="A926" s="61"/>
      <c r="B926" s="69"/>
      <c r="C926" s="70"/>
      <c r="D926" s="70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15"/>
    </row>
    <row r="927">
      <c r="A927" s="65"/>
      <c r="B927" s="71"/>
      <c r="C927" s="72"/>
      <c r="D927" s="72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15"/>
    </row>
    <row r="928">
      <c r="A928" s="61"/>
      <c r="B928" s="69"/>
      <c r="C928" s="70"/>
      <c r="D928" s="70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15"/>
    </row>
    <row r="929">
      <c r="A929" s="65"/>
      <c r="B929" s="71"/>
      <c r="C929" s="72"/>
      <c r="D929" s="72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15"/>
    </row>
    <row r="930">
      <c r="A930" s="61"/>
      <c r="B930" s="69"/>
      <c r="C930" s="70"/>
      <c r="D930" s="70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15"/>
    </row>
    <row r="931">
      <c r="A931" s="65"/>
      <c r="B931" s="71"/>
      <c r="C931" s="72"/>
      <c r="D931" s="72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15"/>
    </row>
    <row r="932">
      <c r="A932" s="61"/>
      <c r="B932" s="69"/>
      <c r="C932" s="70"/>
      <c r="D932" s="70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15"/>
    </row>
    <row r="933">
      <c r="A933" s="65"/>
      <c r="B933" s="71"/>
      <c r="C933" s="72"/>
      <c r="D933" s="72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15"/>
    </row>
    <row r="934">
      <c r="A934" s="61"/>
      <c r="B934" s="69"/>
      <c r="C934" s="70"/>
      <c r="D934" s="70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15"/>
    </row>
    <row r="935">
      <c r="A935" s="65"/>
      <c r="B935" s="71"/>
      <c r="C935" s="72"/>
      <c r="D935" s="72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15"/>
    </row>
    <row r="936">
      <c r="A936" s="61"/>
      <c r="B936" s="69"/>
      <c r="C936" s="70"/>
      <c r="D936" s="70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15"/>
    </row>
    <row r="937">
      <c r="A937" s="65"/>
      <c r="B937" s="71"/>
      <c r="C937" s="72"/>
      <c r="D937" s="72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15"/>
    </row>
    <row r="938">
      <c r="A938" s="61"/>
      <c r="B938" s="69"/>
      <c r="C938" s="70"/>
      <c r="D938" s="70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15"/>
    </row>
    <row r="939">
      <c r="A939" s="65"/>
      <c r="B939" s="71"/>
      <c r="C939" s="72"/>
      <c r="D939" s="72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15"/>
    </row>
    <row r="940">
      <c r="A940" s="61"/>
      <c r="B940" s="69"/>
      <c r="C940" s="70"/>
      <c r="D940" s="70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15"/>
    </row>
    <row r="941">
      <c r="A941" s="65"/>
      <c r="B941" s="71"/>
      <c r="C941" s="72"/>
      <c r="D941" s="72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15"/>
    </row>
    <row r="942">
      <c r="A942" s="61"/>
      <c r="B942" s="69"/>
      <c r="C942" s="70"/>
      <c r="D942" s="70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15"/>
    </row>
    <row r="943">
      <c r="A943" s="65"/>
      <c r="B943" s="71"/>
      <c r="C943" s="72"/>
      <c r="D943" s="72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15"/>
    </row>
    <row r="944">
      <c r="A944" s="73"/>
      <c r="B944" s="69"/>
      <c r="C944" s="70"/>
      <c r="D944" s="70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15"/>
    </row>
    <row r="945">
      <c r="A945" s="74"/>
      <c r="B945" s="71"/>
      <c r="C945" s="72"/>
      <c r="D945" s="72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15"/>
    </row>
    <row r="946">
      <c r="A946" s="73"/>
      <c r="B946" s="69"/>
      <c r="C946" s="70"/>
      <c r="D946" s="70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15"/>
    </row>
    <row r="947">
      <c r="A947" s="74"/>
      <c r="B947" s="71"/>
      <c r="C947" s="72"/>
      <c r="D947" s="72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15"/>
    </row>
    <row r="948">
      <c r="A948" s="73"/>
      <c r="B948" s="69"/>
      <c r="C948" s="70"/>
      <c r="D948" s="70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15"/>
    </row>
    <row r="949">
      <c r="A949" s="74"/>
      <c r="B949" s="71"/>
      <c r="C949" s="72"/>
      <c r="D949" s="72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15"/>
    </row>
    <row r="950">
      <c r="A950" s="73"/>
      <c r="B950" s="69"/>
      <c r="C950" s="70"/>
      <c r="D950" s="70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15"/>
    </row>
    <row r="951">
      <c r="A951" s="74"/>
      <c r="B951" s="71"/>
      <c r="C951" s="72"/>
      <c r="D951" s="72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15"/>
    </row>
    <row r="952">
      <c r="A952" s="73"/>
      <c r="B952" s="69"/>
      <c r="C952" s="70"/>
      <c r="D952" s="70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15"/>
    </row>
    <row r="953">
      <c r="A953" s="74"/>
      <c r="B953" s="71"/>
      <c r="C953" s="72"/>
      <c r="D953" s="72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15"/>
    </row>
    <row r="954">
      <c r="A954" s="73"/>
      <c r="B954" s="69"/>
      <c r="C954" s="70"/>
      <c r="D954" s="70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15"/>
    </row>
    <row r="955">
      <c r="A955" s="74"/>
      <c r="B955" s="71"/>
      <c r="C955" s="72"/>
      <c r="D955" s="72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15"/>
    </row>
    <row r="956">
      <c r="A956" s="73"/>
      <c r="B956" s="69"/>
      <c r="C956" s="70"/>
      <c r="D956" s="70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15"/>
    </row>
    <row r="957">
      <c r="A957" s="74"/>
      <c r="B957" s="71"/>
      <c r="C957" s="72"/>
      <c r="D957" s="72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15"/>
    </row>
    <row r="958">
      <c r="A958" s="73"/>
      <c r="B958" s="69"/>
      <c r="C958" s="70"/>
      <c r="D958" s="70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15"/>
    </row>
    <row r="959">
      <c r="A959" s="74"/>
      <c r="B959" s="71"/>
      <c r="C959" s="72"/>
      <c r="D959" s="72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15"/>
    </row>
    <row r="960">
      <c r="A960" s="73"/>
      <c r="B960" s="69"/>
      <c r="C960" s="70"/>
      <c r="D960" s="70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15"/>
    </row>
    <row r="961">
      <c r="A961" s="74"/>
      <c r="B961" s="71"/>
      <c r="C961" s="72"/>
      <c r="D961" s="72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15"/>
    </row>
    <row r="962">
      <c r="A962" s="73"/>
      <c r="B962" s="69"/>
      <c r="C962" s="70"/>
      <c r="D962" s="70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15"/>
    </row>
    <row r="963">
      <c r="A963" s="65"/>
      <c r="B963" s="71"/>
      <c r="C963" s="72"/>
      <c r="D963" s="72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15"/>
    </row>
    <row r="964">
      <c r="A964" s="61"/>
      <c r="B964" s="69"/>
      <c r="C964" s="70"/>
      <c r="D964" s="70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15"/>
    </row>
    <row r="965">
      <c r="A965" s="65"/>
      <c r="B965" s="71"/>
      <c r="C965" s="72"/>
      <c r="D965" s="72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15"/>
    </row>
    <row r="966">
      <c r="A966" s="61"/>
      <c r="B966" s="69"/>
      <c r="C966" s="70"/>
      <c r="D966" s="70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15"/>
    </row>
    <row r="967">
      <c r="A967" s="65"/>
      <c r="B967" s="71"/>
      <c r="C967" s="72"/>
      <c r="D967" s="72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15"/>
    </row>
    <row r="968">
      <c r="A968" s="61"/>
      <c r="B968" s="69"/>
      <c r="C968" s="70"/>
      <c r="D968" s="70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15"/>
    </row>
    <row r="969">
      <c r="A969" s="65"/>
      <c r="B969" s="71"/>
      <c r="C969" s="72"/>
      <c r="D969" s="72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15"/>
    </row>
    <row r="970">
      <c r="A970" s="61"/>
      <c r="B970" s="69"/>
      <c r="C970" s="70"/>
      <c r="D970" s="70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15"/>
    </row>
    <row r="971">
      <c r="A971" s="65"/>
      <c r="B971" s="71"/>
      <c r="C971" s="72"/>
      <c r="D971" s="72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15"/>
    </row>
    <row r="972">
      <c r="A972" s="61"/>
      <c r="B972" s="69"/>
      <c r="C972" s="70"/>
      <c r="D972" s="70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15"/>
    </row>
    <row r="973">
      <c r="A973" s="65"/>
      <c r="B973" s="71"/>
      <c r="C973" s="72"/>
      <c r="D973" s="72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15"/>
    </row>
    <row r="974">
      <c r="A974" s="61"/>
      <c r="B974" s="69"/>
      <c r="C974" s="70"/>
      <c r="D974" s="70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15"/>
    </row>
    <row r="975">
      <c r="A975" s="65"/>
      <c r="B975" s="71"/>
      <c r="C975" s="72"/>
      <c r="D975" s="72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15"/>
    </row>
    <row r="976">
      <c r="A976" s="61"/>
      <c r="B976" s="69"/>
      <c r="C976" s="70"/>
      <c r="D976" s="70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15"/>
    </row>
    <row r="977">
      <c r="A977" s="65"/>
      <c r="B977" s="71"/>
      <c r="C977" s="72"/>
      <c r="D977" s="72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15"/>
    </row>
    <row r="978">
      <c r="A978" s="61"/>
      <c r="B978" s="69"/>
      <c r="C978" s="70"/>
      <c r="D978" s="70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15"/>
    </row>
    <row r="979">
      <c r="A979" s="65"/>
      <c r="B979" s="71"/>
      <c r="C979" s="72"/>
      <c r="D979" s="72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15"/>
    </row>
    <row r="980">
      <c r="A980" s="61"/>
      <c r="B980" s="69"/>
      <c r="C980" s="70"/>
      <c r="D980" s="70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15"/>
    </row>
    <row r="981">
      <c r="A981" s="74"/>
      <c r="B981" s="71"/>
      <c r="C981" s="72"/>
      <c r="D981" s="72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15"/>
    </row>
    <row r="982">
      <c r="A982" s="73"/>
      <c r="B982" s="69"/>
      <c r="C982" s="70"/>
      <c r="D982" s="70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15"/>
    </row>
    <row r="983">
      <c r="A983" s="74"/>
      <c r="B983" s="71"/>
      <c r="C983" s="72"/>
      <c r="D983" s="72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15"/>
    </row>
    <row r="984">
      <c r="A984" s="73"/>
      <c r="B984" s="69"/>
      <c r="C984" s="70"/>
      <c r="D984" s="70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15"/>
    </row>
    <row r="985">
      <c r="A985" s="74"/>
      <c r="B985" s="71"/>
      <c r="C985" s="72"/>
      <c r="D985" s="72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15"/>
    </row>
    <row r="986">
      <c r="A986" s="73"/>
      <c r="B986" s="69"/>
      <c r="C986" s="70"/>
      <c r="D986" s="70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15"/>
    </row>
    <row r="987">
      <c r="A987" s="74"/>
      <c r="B987" s="71"/>
      <c r="C987" s="72"/>
      <c r="D987" s="72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15"/>
    </row>
    <row r="988">
      <c r="A988" s="73"/>
      <c r="B988" s="69"/>
      <c r="C988" s="70"/>
      <c r="D988" s="70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15"/>
    </row>
    <row r="989">
      <c r="A989" s="74"/>
      <c r="B989" s="71"/>
      <c r="C989" s="72"/>
      <c r="D989" s="72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15"/>
    </row>
    <row r="990">
      <c r="A990" s="73"/>
      <c r="B990" s="69"/>
      <c r="C990" s="70"/>
      <c r="D990" s="70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15"/>
    </row>
    <row r="991">
      <c r="A991" s="74"/>
      <c r="B991" s="71"/>
      <c r="C991" s="72"/>
      <c r="D991" s="72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15"/>
    </row>
    <row r="992">
      <c r="A992" s="73"/>
      <c r="B992" s="69"/>
      <c r="C992" s="70"/>
      <c r="D992" s="70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15"/>
    </row>
    <row r="993">
      <c r="A993" s="74"/>
      <c r="B993" s="71"/>
      <c r="C993" s="72"/>
      <c r="D993" s="72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15"/>
    </row>
    <row r="994">
      <c r="A994" s="73"/>
      <c r="B994" s="69"/>
      <c r="C994" s="70"/>
      <c r="D994" s="70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15"/>
    </row>
    <row r="995">
      <c r="A995" s="74"/>
      <c r="B995" s="71"/>
      <c r="C995" s="72"/>
      <c r="D995" s="72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15"/>
    </row>
    <row r="996">
      <c r="A996" s="73"/>
      <c r="B996" s="69"/>
      <c r="C996" s="70"/>
      <c r="D996" s="70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15"/>
    </row>
    <row r="997">
      <c r="A997" s="74"/>
      <c r="B997" s="71"/>
      <c r="C997" s="72"/>
      <c r="D997" s="72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15"/>
    </row>
    <row r="998">
      <c r="A998" s="73"/>
      <c r="B998" s="69"/>
      <c r="C998" s="70"/>
      <c r="D998" s="70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15"/>
    </row>
    <row r="999">
      <c r="A999" s="74"/>
      <c r="B999" s="71"/>
      <c r="C999" s="72"/>
      <c r="D999" s="72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15"/>
    </row>
    <row r="1000">
      <c r="A1000" s="69"/>
      <c r="B1000" s="69"/>
      <c r="C1000" s="70"/>
      <c r="D1000" s="70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15"/>
    </row>
    <row r="1001">
      <c r="A1001" s="71"/>
      <c r="B1001" s="71"/>
      <c r="C1001" s="72"/>
      <c r="D1001" s="72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15"/>
    </row>
    <row r="1002">
      <c r="A1002" s="69"/>
      <c r="B1002" s="69"/>
      <c r="C1002" s="70"/>
      <c r="D1002" s="70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15"/>
    </row>
    <row r="1003">
      <c r="A1003" s="71"/>
      <c r="B1003" s="71"/>
      <c r="C1003" s="72"/>
      <c r="D1003" s="72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15"/>
    </row>
    <row r="1004">
      <c r="A1004" s="69"/>
      <c r="B1004" s="69"/>
      <c r="C1004" s="70"/>
      <c r="D1004" s="70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15"/>
    </row>
    <row r="1005">
      <c r="A1005" s="71"/>
      <c r="B1005" s="71"/>
      <c r="C1005" s="72"/>
      <c r="D1005" s="72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15"/>
    </row>
    <row r="1006">
      <c r="A1006" s="69"/>
      <c r="B1006" s="69"/>
      <c r="C1006" s="70"/>
      <c r="D1006" s="70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15"/>
    </row>
    <row r="1007">
      <c r="A1007" s="71"/>
      <c r="B1007" s="71"/>
      <c r="C1007" s="72"/>
      <c r="D1007" s="72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15"/>
    </row>
    <row r="1008">
      <c r="A1008" s="69"/>
      <c r="B1008" s="69"/>
      <c r="C1008" s="70"/>
      <c r="D1008" s="70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15"/>
    </row>
    <row r="1009">
      <c r="A1009" s="71"/>
      <c r="B1009" s="71"/>
      <c r="C1009" s="72"/>
      <c r="D1009" s="72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15"/>
    </row>
    <row r="1010">
      <c r="A1010" s="69"/>
      <c r="B1010" s="69"/>
      <c r="C1010" s="70"/>
      <c r="D1010" s="70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15"/>
    </row>
    <row r="1011">
      <c r="A1011" s="71"/>
      <c r="B1011" s="71"/>
      <c r="C1011" s="72"/>
      <c r="D1011" s="72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15"/>
    </row>
    <row r="1012">
      <c r="A1012" s="69"/>
      <c r="B1012" s="69"/>
      <c r="C1012" s="70"/>
      <c r="D1012" s="70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15"/>
    </row>
    <row r="1013">
      <c r="A1013" s="71"/>
      <c r="B1013" s="71"/>
      <c r="C1013" s="72"/>
      <c r="D1013" s="72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15"/>
    </row>
    <row r="1014">
      <c r="A1014" s="69"/>
      <c r="B1014" s="69"/>
      <c r="C1014" s="70"/>
      <c r="D1014" s="70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69"/>
      <c r="T1014" s="15"/>
    </row>
    <row r="1015">
      <c r="A1015" s="71"/>
      <c r="B1015" s="71"/>
      <c r="C1015" s="72"/>
      <c r="D1015" s="72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15"/>
    </row>
    <row r="1016">
      <c r="A1016" s="69"/>
      <c r="B1016" s="69"/>
      <c r="C1016" s="70"/>
      <c r="D1016" s="70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69"/>
      <c r="T1016" s="15"/>
    </row>
    <row r="1017">
      <c r="A1017" s="71"/>
      <c r="B1017" s="71"/>
      <c r="C1017" s="72"/>
      <c r="D1017" s="72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15"/>
    </row>
    <row r="1018">
      <c r="A1018" s="69"/>
      <c r="B1018" s="69"/>
      <c r="C1018" s="70"/>
      <c r="D1018" s="70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69"/>
      <c r="T1018" s="15"/>
    </row>
    <row r="1019">
      <c r="A1019" s="71"/>
      <c r="B1019" s="71"/>
      <c r="C1019" s="72"/>
      <c r="D1019" s="72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15"/>
    </row>
    <row r="1020">
      <c r="A1020" s="69"/>
      <c r="B1020" s="69"/>
      <c r="C1020" s="70"/>
      <c r="D1020" s="70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69"/>
      <c r="T1020" s="15"/>
    </row>
    <row r="1021">
      <c r="A1021" s="71"/>
      <c r="B1021" s="71"/>
      <c r="C1021" s="72"/>
      <c r="D1021" s="72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15"/>
    </row>
    <row r="1022">
      <c r="A1022" s="69"/>
      <c r="B1022" s="69"/>
      <c r="C1022" s="70"/>
      <c r="D1022" s="70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15"/>
    </row>
    <row r="1023">
      <c r="A1023" s="71"/>
      <c r="B1023" s="71"/>
      <c r="C1023" s="72"/>
      <c r="D1023" s="72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15"/>
    </row>
    <row r="1024">
      <c r="A1024" s="69"/>
      <c r="B1024" s="69"/>
      <c r="C1024" s="70"/>
      <c r="D1024" s="70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69"/>
      <c r="T1024" s="15"/>
    </row>
    <row r="1025">
      <c r="A1025" s="71"/>
      <c r="B1025" s="71"/>
      <c r="C1025" s="72"/>
      <c r="D1025" s="72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15"/>
    </row>
    <row r="1026">
      <c r="A1026" s="69"/>
      <c r="B1026" s="69"/>
      <c r="C1026" s="70"/>
      <c r="D1026" s="70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69"/>
      <c r="T1026" s="15"/>
    </row>
    <row r="1027">
      <c r="A1027" s="71"/>
      <c r="B1027" s="71"/>
      <c r="C1027" s="72"/>
      <c r="D1027" s="72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15"/>
    </row>
    <row r="1028">
      <c r="A1028" s="69"/>
      <c r="B1028" s="69"/>
      <c r="C1028" s="70"/>
      <c r="D1028" s="70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69"/>
      <c r="T1028" s="15"/>
    </row>
    <row r="1029">
      <c r="A1029" s="71"/>
      <c r="B1029" s="71"/>
      <c r="C1029" s="72"/>
      <c r="D1029" s="72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15"/>
    </row>
    <row r="1030">
      <c r="A1030" s="69"/>
      <c r="B1030" s="69"/>
      <c r="C1030" s="70"/>
      <c r="D1030" s="70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15"/>
    </row>
    <row r="1031">
      <c r="A1031" s="71"/>
      <c r="B1031" s="71"/>
      <c r="C1031" s="72"/>
      <c r="D1031" s="72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15"/>
    </row>
    <row r="1032">
      <c r="A1032" s="69"/>
      <c r="B1032" s="69"/>
      <c r="C1032" s="70"/>
      <c r="D1032" s="70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69"/>
      <c r="T1032" s="15"/>
    </row>
    <row r="1033">
      <c r="A1033" s="71"/>
      <c r="B1033" s="71"/>
      <c r="C1033" s="72"/>
      <c r="D1033" s="72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15"/>
    </row>
    <row r="1034">
      <c r="A1034" s="69"/>
      <c r="B1034" s="69"/>
      <c r="C1034" s="70"/>
      <c r="D1034" s="70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  <c r="T1034" s="15"/>
    </row>
    <row r="1035">
      <c r="A1035" s="71"/>
      <c r="B1035" s="71"/>
      <c r="C1035" s="72"/>
      <c r="D1035" s="72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15"/>
    </row>
    <row r="1036">
      <c r="A1036" s="69"/>
      <c r="B1036" s="69"/>
      <c r="C1036" s="70"/>
      <c r="D1036" s="70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  <c r="T1036" s="15"/>
    </row>
    <row r="1037">
      <c r="A1037" s="71"/>
      <c r="B1037" s="71"/>
      <c r="C1037" s="72"/>
      <c r="D1037" s="72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15"/>
    </row>
    <row r="1038">
      <c r="A1038" s="69"/>
      <c r="B1038" s="69"/>
      <c r="C1038" s="70"/>
      <c r="D1038" s="70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69"/>
      <c r="T1038" s="15"/>
    </row>
    <row r="1039">
      <c r="A1039" s="71"/>
      <c r="B1039" s="71"/>
      <c r="C1039" s="72"/>
      <c r="D1039" s="72"/>
      <c r="E1039" s="71"/>
      <c r="F1039" s="71"/>
      <c r="G1039" s="71"/>
      <c r="H1039" s="71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15"/>
    </row>
    <row r="1040">
      <c r="A1040" s="69"/>
      <c r="B1040" s="69"/>
      <c r="C1040" s="70"/>
      <c r="D1040" s="70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15"/>
    </row>
    <row r="1041">
      <c r="A1041" s="71"/>
      <c r="B1041" s="71"/>
      <c r="C1041" s="72"/>
      <c r="D1041" s="72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15"/>
    </row>
    <row r="1042">
      <c r="A1042" s="69"/>
      <c r="B1042" s="69"/>
      <c r="C1042" s="70"/>
      <c r="D1042" s="70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  <c r="T1042" s="15"/>
    </row>
    <row r="1043">
      <c r="A1043" s="71"/>
      <c r="B1043" s="71"/>
      <c r="C1043" s="72"/>
      <c r="D1043" s="72"/>
      <c r="E1043" s="71"/>
      <c r="F1043" s="71"/>
      <c r="G1043" s="71"/>
      <c r="H1043" s="71"/>
      <c r="I1043" s="71"/>
      <c r="J1043" s="71"/>
      <c r="K1043" s="71"/>
      <c r="L1043" s="71"/>
      <c r="M1043" s="71"/>
      <c r="N1043" s="71"/>
      <c r="O1043" s="71"/>
      <c r="P1043" s="71"/>
      <c r="Q1043" s="71"/>
      <c r="R1043" s="71"/>
      <c r="S1043" s="71"/>
      <c r="T1043" s="15"/>
    </row>
    <row r="1044">
      <c r="A1044" s="69"/>
      <c r="B1044" s="69"/>
      <c r="C1044" s="70"/>
      <c r="D1044" s="70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  <c r="T1044" s="15"/>
    </row>
    <row r="1045">
      <c r="A1045" s="71"/>
      <c r="B1045" s="71"/>
      <c r="C1045" s="72"/>
      <c r="D1045" s="72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1"/>
      <c r="P1045" s="71"/>
      <c r="Q1045" s="71"/>
      <c r="R1045" s="71"/>
      <c r="S1045" s="71"/>
      <c r="T1045" s="15"/>
    </row>
    <row r="1046">
      <c r="A1046" s="69"/>
      <c r="B1046" s="69"/>
      <c r="C1046" s="70"/>
      <c r="D1046" s="70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15"/>
    </row>
    <row r="1047">
      <c r="A1047" s="71"/>
      <c r="B1047" s="71"/>
      <c r="C1047" s="72"/>
      <c r="D1047" s="72"/>
      <c r="E1047" s="71"/>
      <c r="F1047" s="71"/>
      <c r="G1047" s="71"/>
      <c r="H1047" s="71"/>
      <c r="I1047" s="71"/>
      <c r="J1047" s="71"/>
      <c r="K1047" s="71"/>
      <c r="L1047" s="71"/>
      <c r="M1047" s="71"/>
      <c r="N1047" s="71"/>
      <c r="O1047" s="71"/>
      <c r="P1047" s="71"/>
      <c r="Q1047" s="71"/>
      <c r="R1047" s="71"/>
      <c r="S1047" s="71"/>
      <c r="T1047" s="15"/>
    </row>
    <row r="1048">
      <c r="A1048" s="69"/>
      <c r="B1048" s="69"/>
      <c r="C1048" s="70"/>
      <c r="D1048" s="70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69"/>
      <c r="T1048" s="15"/>
    </row>
    <row r="1049">
      <c r="A1049" s="71"/>
      <c r="B1049" s="71"/>
      <c r="C1049" s="72"/>
      <c r="D1049" s="72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15"/>
    </row>
    <row r="1050">
      <c r="A1050" s="69"/>
      <c r="B1050" s="69"/>
      <c r="C1050" s="70"/>
      <c r="D1050" s="70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  <c r="T1050" s="15"/>
    </row>
    <row r="1051">
      <c r="A1051" s="71"/>
      <c r="B1051" s="71"/>
      <c r="C1051" s="72"/>
      <c r="D1051" s="72"/>
      <c r="E1051" s="71"/>
      <c r="F1051" s="71"/>
      <c r="G1051" s="71"/>
      <c r="H1051" s="71"/>
      <c r="I1051" s="71"/>
      <c r="J1051" s="71"/>
      <c r="K1051" s="71"/>
      <c r="L1051" s="71"/>
      <c r="M1051" s="71"/>
      <c r="N1051" s="71"/>
      <c r="O1051" s="71"/>
      <c r="P1051" s="71"/>
      <c r="Q1051" s="71"/>
      <c r="R1051" s="71"/>
      <c r="S1051" s="71"/>
      <c r="T1051" s="15"/>
    </row>
    <row r="1052">
      <c r="A1052" s="69"/>
      <c r="B1052" s="69"/>
      <c r="C1052" s="70"/>
      <c r="D1052" s="70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69"/>
      <c r="T1052" s="15"/>
    </row>
    <row r="1053">
      <c r="A1053" s="71"/>
      <c r="B1053" s="71"/>
      <c r="C1053" s="72"/>
      <c r="D1053" s="72"/>
      <c r="E1053" s="71"/>
      <c r="F1053" s="71"/>
      <c r="G1053" s="71"/>
      <c r="H1053" s="71"/>
      <c r="I1053" s="71"/>
      <c r="J1053" s="71"/>
      <c r="K1053" s="71"/>
      <c r="L1053" s="71"/>
      <c r="M1053" s="71"/>
      <c r="N1053" s="71"/>
      <c r="O1053" s="71"/>
      <c r="P1053" s="71"/>
      <c r="Q1053" s="71"/>
      <c r="R1053" s="71"/>
      <c r="S1053" s="71"/>
      <c r="T1053" s="15"/>
    </row>
    <row r="1054">
      <c r="A1054" s="69"/>
      <c r="B1054" s="69"/>
      <c r="C1054" s="70"/>
      <c r="D1054" s="70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15"/>
    </row>
    <row r="1055">
      <c r="A1055" s="71"/>
      <c r="B1055" s="71"/>
      <c r="C1055" s="72"/>
      <c r="D1055" s="72"/>
      <c r="E1055" s="71"/>
      <c r="F1055" s="71"/>
      <c r="G1055" s="71"/>
      <c r="H1055" s="71"/>
      <c r="I1055" s="71"/>
      <c r="J1055" s="71"/>
      <c r="K1055" s="71"/>
      <c r="L1055" s="71"/>
      <c r="M1055" s="71"/>
      <c r="N1055" s="71"/>
      <c r="O1055" s="71"/>
      <c r="P1055" s="71"/>
      <c r="Q1055" s="71"/>
      <c r="R1055" s="71"/>
      <c r="S1055" s="71"/>
      <c r="T1055" s="15"/>
    </row>
    <row r="1056">
      <c r="A1056" s="69"/>
      <c r="B1056" s="69"/>
      <c r="C1056" s="70"/>
      <c r="D1056" s="70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69"/>
      <c r="T1056" s="15"/>
    </row>
    <row r="1057">
      <c r="A1057" s="71"/>
      <c r="B1057" s="71"/>
      <c r="C1057" s="72"/>
      <c r="D1057" s="72"/>
      <c r="E1057" s="71"/>
      <c r="F1057" s="71"/>
      <c r="G1057" s="71"/>
      <c r="H1057" s="71"/>
      <c r="I1057" s="71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15"/>
    </row>
    <row r="1058">
      <c r="A1058" s="69"/>
      <c r="B1058" s="69"/>
      <c r="C1058" s="70"/>
      <c r="D1058" s="70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15"/>
    </row>
    <row r="1059">
      <c r="A1059" s="71"/>
      <c r="B1059" s="71"/>
      <c r="C1059" s="72"/>
      <c r="D1059" s="72"/>
      <c r="E1059" s="71"/>
      <c r="F1059" s="71"/>
      <c r="G1059" s="71"/>
      <c r="H1059" s="71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15"/>
    </row>
    <row r="1060">
      <c r="A1060" s="69"/>
      <c r="B1060" s="69"/>
      <c r="C1060" s="70"/>
      <c r="D1060" s="70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  <c r="T1060" s="15"/>
    </row>
    <row r="1061">
      <c r="A1061" s="71"/>
      <c r="B1061" s="71"/>
      <c r="C1061" s="72"/>
      <c r="D1061" s="72"/>
      <c r="E1061" s="71"/>
      <c r="F1061" s="71"/>
      <c r="G1061" s="71"/>
      <c r="H1061" s="71"/>
      <c r="I1061" s="71"/>
      <c r="J1061" s="71"/>
      <c r="K1061" s="71"/>
      <c r="L1061" s="71"/>
      <c r="M1061" s="71"/>
      <c r="N1061" s="71"/>
      <c r="O1061" s="71"/>
      <c r="P1061" s="71"/>
      <c r="Q1061" s="71"/>
      <c r="R1061" s="71"/>
      <c r="S1061" s="71"/>
      <c r="T1061" s="15"/>
    </row>
    <row r="1062">
      <c r="A1062" s="69"/>
      <c r="B1062" s="69"/>
      <c r="C1062" s="70"/>
      <c r="D1062" s="70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69"/>
      <c r="T1062" s="15"/>
    </row>
    <row r="1063">
      <c r="A1063" s="71"/>
      <c r="B1063" s="71"/>
      <c r="C1063" s="72"/>
      <c r="D1063" s="72"/>
      <c r="E1063" s="71"/>
      <c r="F1063" s="71"/>
      <c r="G1063" s="71"/>
      <c r="H1063" s="71"/>
      <c r="I1063" s="71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15"/>
    </row>
    <row r="1064">
      <c r="A1064" s="69"/>
      <c r="B1064" s="69"/>
      <c r="C1064" s="70"/>
      <c r="D1064" s="70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69"/>
      <c r="T1064" s="15"/>
    </row>
    <row r="1065">
      <c r="A1065" s="71"/>
      <c r="B1065" s="71"/>
      <c r="C1065" s="72"/>
      <c r="D1065" s="72"/>
      <c r="E1065" s="71"/>
      <c r="F1065" s="71"/>
      <c r="G1065" s="71"/>
      <c r="H1065" s="71"/>
      <c r="I1065" s="71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15"/>
    </row>
    <row r="1066">
      <c r="A1066" s="69"/>
      <c r="B1066" s="69"/>
      <c r="C1066" s="70"/>
      <c r="D1066" s="70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  <c r="T1066" s="15"/>
    </row>
    <row r="1067">
      <c r="A1067" s="71"/>
      <c r="B1067" s="71"/>
      <c r="C1067" s="72"/>
      <c r="D1067" s="72"/>
      <c r="E1067" s="71"/>
      <c r="F1067" s="71"/>
      <c r="G1067" s="71"/>
      <c r="H1067" s="71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15"/>
    </row>
    <row r="1068">
      <c r="A1068" s="69"/>
      <c r="B1068" s="69"/>
      <c r="C1068" s="70"/>
      <c r="D1068" s="70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15"/>
    </row>
    <row r="1069">
      <c r="A1069" s="71"/>
      <c r="B1069" s="71"/>
      <c r="C1069" s="72"/>
      <c r="D1069" s="72"/>
      <c r="E1069" s="71"/>
      <c r="F1069" s="71"/>
      <c r="G1069" s="71"/>
      <c r="H1069" s="71"/>
      <c r="I1069" s="71"/>
      <c r="J1069" s="71"/>
      <c r="K1069" s="71"/>
      <c r="L1069" s="71"/>
      <c r="M1069" s="71"/>
      <c r="N1069" s="71"/>
      <c r="O1069" s="71"/>
      <c r="P1069" s="71"/>
      <c r="Q1069" s="71"/>
      <c r="R1069" s="71"/>
      <c r="S1069" s="71"/>
      <c r="T1069" s="15"/>
    </row>
    <row r="1070">
      <c r="A1070" s="69"/>
      <c r="B1070" s="69"/>
      <c r="C1070" s="70"/>
      <c r="D1070" s="70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  <c r="T1070" s="15"/>
    </row>
    <row r="1071">
      <c r="A1071" s="71"/>
      <c r="B1071" s="71"/>
      <c r="C1071" s="72"/>
      <c r="D1071" s="72"/>
      <c r="E1071" s="71"/>
      <c r="F1071" s="71"/>
      <c r="G1071" s="71"/>
      <c r="H1071" s="71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15"/>
    </row>
    <row r="1072">
      <c r="A1072" s="69"/>
      <c r="B1072" s="69"/>
      <c r="C1072" s="70"/>
      <c r="D1072" s="70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  <c r="T1072" s="15"/>
    </row>
    <row r="1073">
      <c r="A1073" s="71"/>
      <c r="B1073" s="71"/>
      <c r="C1073" s="72"/>
      <c r="D1073" s="72"/>
      <c r="E1073" s="71"/>
      <c r="F1073" s="71"/>
      <c r="G1073" s="71"/>
      <c r="H1073" s="71"/>
      <c r="I1073" s="71"/>
      <c r="J1073" s="71"/>
      <c r="K1073" s="71"/>
      <c r="L1073" s="71"/>
      <c r="M1073" s="71"/>
      <c r="N1073" s="71"/>
      <c r="O1073" s="71"/>
      <c r="P1073" s="71"/>
      <c r="Q1073" s="71"/>
      <c r="R1073" s="71"/>
      <c r="S1073" s="71"/>
      <c r="T1073" s="15"/>
    </row>
    <row r="1074">
      <c r="A1074" s="69"/>
      <c r="B1074" s="69"/>
      <c r="C1074" s="70"/>
      <c r="D1074" s="70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69"/>
      <c r="T1074" s="15"/>
    </row>
    <row r="1075">
      <c r="A1075" s="71"/>
      <c r="B1075" s="71"/>
      <c r="C1075" s="72"/>
      <c r="D1075" s="72"/>
      <c r="E1075" s="71"/>
      <c r="F1075" s="71"/>
      <c r="G1075" s="71"/>
      <c r="H1075" s="71"/>
      <c r="I1075" s="71"/>
      <c r="J1075" s="71"/>
      <c r="K1075" s="71"/>
      <c r="L1075" s="71"/>
      <c r="M1075" s="71"/>
      <c r="N1075" s="71"/>
      <c r="O1075" s="71"/>
      <c r="P1075" s="71"/>
      <c r="Q1075" s="71"/>
      <c r="R1075" s="71"/>
      <c r="S1075" s="71"/>
      <c r="T1075" s="15"/>
    </row>
    <row r="1076">
      <c r="A1076" s="69"/>
      <c r="B1076" s="69"/>
      <c r="C1076" s="70"/>
      <c r="D1076" s="70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15"/>
    </row>
    <row r="1077">
      <c r="A1077" s="71"/>
      <c r="B1077" s="71"/>
      <c r="C1077" s="72"/>
      <c r="D1077" s="72"/>
      <c r="E1077" s="71"/>
      <c r="F1077" s="71"/>
      <c r="G1077" s="71"/>
      <c r="H1077" s="71"/>
      <c r="I1077" s="71"/>
      <c r="J1077" s="71"/>
      <c r="K1077" s="71"/>
      <c r="L1077" s="71"/>
      <c r="M1077" s="71"/>
      <c r="N1077" s="71"/>
      <c r="O1077" s="71"/>
      <c r="P1077" s="71"/>
      <c r="Q1077" s="71"/>
      <c r="R1077" s="71"/>
      <c r="S1077" s="71"/>
      <c r="T1077" s="15"/>
    </row>
    <row r="1078">
      <c r="A1078" s="69"/>
      <c r="B1078" s="69"/>
      <c r="C1078" s="70"/>
      <c r="D1078" s="70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  <c r="T1078" s="15"/>
    </row>
    <row r="1079">
      <c r="A1079" s="71"/>
      <c r="B1079" s="71"/>
      <c r="C1079" s="72"/>
      <c r="D1079" s="72"/>
      <c r="E1079" s="71"/>
      <c r="F1079" s="71"/>
      <c r="G1079" s="71"/>
      <c r="H1079" s="71"/>
      <c r="I1079" s="71"/>
      <c r="J1079" s="71"/>
      <c r="K1079" s="71"/>
      <c r="L1079" s="71"/>
      <c r="M1079" s="71"/>
      <c r="N1079" s="71"/>
      <c r="O1079" s="71"/>
      <c r="P1079" s="71"/>
      <c r="Q1079" s="71"/>
      <c r="R1079" s="71"/>
      <c r="S1079" s="71"/>
      <c r="T1079" s="15"/>
    </row>
    <row r="1080">
      <c r="A1080" s="69"/>
      <c r="B1080" s="69"/>
      <c r="C1080" s="70"/>
      <c r="D1080" s="70"/>
      <c r="E1080" s="69"/>
      <c r="F1080" s="69"/>
      <c r="G1080" s="69"/>
      <c r="H1080" s="69"/>
      <c r="I1080" s="69"/>
      <c r="J1080" s="69"/>
      <c r="K1080" s="69"/>
      <c r="L1080" s="69"/>
      <c r="M1080" s="69"/>
      <c r="N1080" s="69"/>
      <c r="O1080" s="69"/>
      <c r="P1080" s="69"/>
      <c r="Q1080" s="69"/>
      <c r="R1080" s="69"/>
      <c r="S1080" s="69"/>
      <c r="T1080" s="15"/>
    </row>
    <row r="1081">
      <c r="A1081" s="71"/>
      <c r="B1081" s="71"/>
      <c r="C1081" s="72"/>
      <c r="D1081" s="72"/>
      <c r="E1081" s="71"/>
      <c r="F1081" s="71"/>
      <c r="G1081" s="71"/>
      <c r="H1081" s="71"/>
      <c r="I1081" s="71"/>
      <c r="J1081" s="71"/>
      <c r="K1081" s="71"/>
      <c r="L1081" s="71"/>
      <c r="M1081" s="71"/>
      <c r="N1081" s="71"/>
      <c r="O1081" s="71"/>
      <c r="P1081" s="71"/>
      <c r="Q1081" s="71"/>
      <c r="R1081" s="71"/>
      <c r="S1081" s="71"/>
      <c r="T1081" s="15"/>
    </row>
    <row r="1082">
      <c r="A1082" s="69"/>
      <c r="B1082" s="69"/>
      <c r="C1082" s="70"/>
      <c r="D1082" s="70"/>
      <c r="E1082" s="69"/>
      <c r="F1082" s="69"/>
      <c r="G1082" s="69"/>
      <c r="H1082" s="69"/>
      <c r="I1082" s="69"/>
      <c r="J1082" s="69"/>
      <c r="K1082" s="69"/>
      <c r="L1082" s="69"/>
      <c r="M1082" s="69"/>
      <c r="N1082" s="69"/>
      <c r="O1082" s="69"/>
      <c r="P1082" s="69"/>
      <c r="Q1082" s="69"/>
      <c r="R1082" s="69"/>
      <c r="S1082" s="69"/>
      <c r="T1082" s="15"/>
    </row>
    <row r="1083">
      <c r="A1083" s="71"/>
      <c r="B1083" s="71"/>
      <c r="C1083" s="72"/>
      <c r="D1083" s="72"/>
      <c r="E1083" s="71"/>
      <c r="F1083" s="71"/>
      <c r="G1083" s="71"/>
      <c r="H1083" s="71"/>
      <c r="I1083" s="71"/>
      <c r="J1083" s="71"/>
      <c r="K1083" s="71"/>
      <c r="L1083" s="71"/>
      <c r="M1083" s="71"/>
      <c r="N1083" s="71"/>
      <c r="O1083" s="71"/>
      <c r="P1083" s="71"/>
      <c r="Q1083" s="71"/>
      <c r="R1083" s="71"/>
      <c r="S1083" s="71"/>
      <c r="T1083" s="15"/>
    </row>
    <row r="1084">
      <c r="A1084" s="69"/>
      <c r="B1084" s="69"/>
      <c r="C1084" s="70"/>
      <c r="D1084" s="70"/>
      <c r="E1084" s="69"/>
      <c r="F1084" s="69"/>
      <c r="G1084" s="69"/>
      <c r="H1084" s="69"/>
      <c r="I1084" s="69"/>
      <c r="J1084" s="69"/>
      <c r="K1084" s="69"/>
      <c r="L1084" s="69"/>
      <c r="M1084" s="69"/>
      <c r="N1084" s="69"/>
      <c r="O1084" s="69"/>
      <c r="P1084" s="69"/>
      <c r="Q1084" s="69"/>
      <c r="R1084" s="69"/>
      <c r="S1084" s="69"/>
      <c r="T1084" s="15"/>
    </row>
    <row r="1085">
      <c r="A1085" s="71"/>
      <c r="B1085" s="71"/>
      <c r="C1085" s="72"/>
      <c r="D1085" s="72"/>
      <c r="E1085" s="71"/>
      <c r="F1085" s="71"/>
      <c r="G1085" s="71"/>
      <c r="H1085" s="71"/>
      <c r="I1085" s="71"/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15"/>
    </row>
    <row r="1086">
      <c r="A1086" s="69"/>
      <c r="B1086" s="69"/>
      <c r="C1086" s="70"/>
      <c r="D1086" s="70"/>
      <c r="E1086" s="69"/>
      <c r="F1086" s="69"/>
      <c r="G1086" s="69"/>
      <c r="H1086" s="69"/>
      <c r="I1086" s="69"/>
      <c r="J1086" s="69"/>
      <c r="K1086" s="69"/>
      <c r="L1086" s="69"/>
      <c r="M1086" s="69"/>
      <c r="N1086" s="69"/>
      <c r="O1086" s="69"/>
      <c r="P1086" s="69"/>
      <c r="Q1086" s="69"/>
      <c r="R1086" s="69"/>
      <c r="S1086" s="69"/>
      <c r="T1086" s="15"/>
    </row>
    <row r="1087">
      <c r="A1087" s="71"/>
      <c r="B1087" s="71"/>
      <c r="C1087" s="72"/>
      <c r="D1087" s="72"/>
      <c r="E1087" s="71"/>
      <c r="F1087" s="71"/>
      <c r="G1087" s="71"/>
      <c r="H1087" s="71"/>
      <c r="I1087" s="71"/>
      <c r="J1087" s="71"/>
      <c r="K1087" s="71"/>
      <c r="L1087" s="71"/>
      <c r="M1087" s="71"/>
      <c r="N1087" s="71"/>
      <c r="O1087" s="71"/>
      <c r="P1087" s="71"/>
      <c r="Q1087" s="71"/>
      <c r="R1087" s="71"/>
      <c r="S1087" s="71"/>
      <c r="T1087" s="15"/>
    </row>
    <row r="1088">
      <c r="A1088" s="69"/>
      <c r="B1088" s="69"/>
      <c r="C1088" s="70"/>
      <c r="D1088" s="70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69"/>
      <c r="T1088" s="15"/>
    </row>
    <row r="1089">
      <c r="A1089" s="71"/>
      <c r="B1089" s="71"/>
      <c r="C1089" s="72"/>
      <c r="D1089" s="72"/>
      <c r="E1089" s="71"/>
      <c r="F1089" s="71"/>
      <c r="G1089" s="71"/>
      <c r="H1089" s="71"/>
      <c r="I1089" s="71"/>
      <c r="J1089" s="71"/>
      <c r="K1089" s="71"/>
      <c r="L1089" s="71"/>
      <c r="M1089" s="71"/>
      <c r="N1089" s="71"/>
      <c r="O1089" s="71"/>
      <c r="P1089" s="71"/>
      <c r="Q1089" s="71"/>
      <c r="R1089" s="71"/>
      <c r="S1089" s="71"/>
      <c r="T1089" s="15"/>
    </row>
    <row r="1090">
      <c r="A1090" s="69"/>
      <c r="B1090" s="69"/>
      <c r="C1090" s="70"/>
      <c r="D1090" s="70"/>
      <c r="E1090" s="69"/>
      <c r="F1090" s="69"/>
      <c r="G1090" s="69"/>
      <c r="H1090" s="69"/>
      <c r="I1090" s="69"/>
      <c r="J1090" s="69"/>
      <c r="K1090" s="69"/>
      <c r="L1090" s="69"/>
      <c r="M1090" s="69"/>
      <c r="N1090" s="69"/>
      <c r="O1090" s="69"/>
      <c r="P1090" s="69"/>
      <c r="Q1090" s="69"/>
      <c r="R1090" s="69"/>
      <c r="S1090" s="69"/>
      <c r="T1090" s="15"/>
    </row>
    <row r="1091">
      <c r="A1091" s="71"/>
      <c r="B1091" s="71"/>
      <c r="C1091" s="72"/>
      <c r="D1091" s="72"/>
      <c r="E1091" s="71"/>
      <c r="F1091" s="71"/>
      <c r="G1091" s="71"/>
      <c r="H1091" s="71"/>
      <c r="I1091" s="71"/>
      <c r="J1091" s="71"/>
      <c r="K1091" s="71"/>
      <c r="L1091" s="71"/>
      <c r="M1091" s="71"/>
      <c r="N1091" s="71"/>
      <c r="O1091" s="71"/>
      <c r="P1091" s="71"/>
      <c r="Q1091" s="71"/>
      <c r="R1091" s="71"/>
      <c r="S1091" s="71"/>
      <c r="T1091" s="15"/>
    </row>
    <row r="1092">
      <c r="A1092" s="69"/>
      <c r="B1092" s="69"/>
      <c r="C1092" s="70"/>
      <c r="D1092" s="70"/>
      <c r="E1092" s="69"/>
      <c r="F1092" s="69"/>
      <c r="G1092" s="69"/>
      <c r="H1092" s="69"/>
      <c r="I1092" s="69"/>
      <c r="J1092" s="69"/>
      <c r="K1092" s="69"/>
      <c r="L1092" s="69"/>
      <c r="M1092" s="69"/>
      <c r="N1092" s="69"/>
      <c r="O1092" s="69"/>
      <c r="P1092" s="69"/>
      <c r="Q1092" s="69"/>
      <c r="R1092" s="69"/>
      <c r="S1092" s="69"/>
      <c r="T1092" s="15"/>
    </row>
    <row r="1093">
      <c r="A1093" s="71"/>
      <c r="B1093" s="71"/>
      <c r="C1093" s="72"/>
      <c r="D1093" s="72"/>
      <c r="E1093" s="71"/>
      <c r="F1093" s="71"/>
      <c r="G1093" s="71"/>
      <c r="H1093" s="71"/>
      <c r="I1093" s="71"/>
      <c r="J1093" s="71"/>
      <c r="K1093" s="71"/>
      <c r="L1093" s="71"/>
      <c r="M1093" s="71"/>
      <c r="N1093" s="71"/>
      <c r="O1093" s="71"/>
      <c r="P1093" s="71"/>
      <c r="Q1093" s="71"/>
      <c r="R1093" s="71"/>
      <c r="S1093" s="71"/>
      <c r="T1093" s="15"/>
    </row>
    <row r="1094">
      <c r="A1094" s="69"/>
      <c r="B1094" s="69"/>
      <c r="C1094" s="70"/>
      <c r="D1094" s="70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  <c r="T1094" s="15"/>
    </row>
    <row r="1095">
      <c r="A1095" s="71"/>
      <c r="B1095" s="71"/>
      <c r="C1095" s="72"/>
      <c r="D1095" s="72"/>
      <c r="E1095" s="71"/>
      <c r="F1095" s="71"/>
      <c r="G1095" s="71"/>
      <c r="H1095" s="71"/>
      <c r="I1095" s="71"/>
      <c r="J1095" s="71"/>
      <c r="K1095" s="71"/>
      <c r="L1095" s="71"/>
      <c r="M1095" s="71"/>
      <c r="N1095" s="71"/>
      <c r="O1095" s="71"/>
      <c r="P1095" s="71"/>
      <c r="Q1095" s="71"/>
      <c r="R1095" s="71"/>
      <c r="S1095" s="71"/>
      <c r="T1095" s="15"/>
    </row>
    <row r="1096">
      <c r="A1096" s="69"/>
      <c r="B1096" s="69"/>
      <c r="C1096" s="70"/>
      <c r="D1096" s="70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69"/>
      <c r="T1096" s="15"/>
    </row>
    <row r="1097">
      <c r="A1097" s="71"/>
      <c r="B1097" s="71"/>
      <c r="C1097" s="72"/>
      <c r="D1097" s="72"/>
      <c r="E1097" s="71"/>
      <c r="F1097" s="71"/>
      <c r="G1097" s="71"/>
      <c r="H1097" s="71"/>
      <c r="I1097" s="71"/>
      <c r="J1097" s="71"/>
      <c r="K1097" s="71"/>
      <c r="L1097" s="71"/>
      <c r="M1097" s="71"/>
      <c r="N1097" s="71"/>
      <c r="O1097" s="71"/>
      <c r="P1097" s="71"/>
      <c r="Q1097" s="71"/>
      <c r="R1097" s="71"/>
      <c r="S1097" s="71"/>
      <c r="T1097" s="15"/>
    </row>
    <row r="1098">
      <c r="A1098" s="69"/>
      <c r="B1098" s="69"/>
      <c r="C1098" s="70"/>
      <c r="D1098" s="70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  <c r="T1098" s="15"/>
    </row>
    <row r="1099">
      <c r="A1099" s="71"/>
      <c r="B1099" s="71"/>
      <c r="C1099" s="72"/>
      <c r="D1099" s="72"/>
      <c r="E1099" s="71"/>
      <c r="F1099" s="71"/>
      <c r="G1099" s="71"/>
      <c r="H1099" s="71"/>
      <c r="I1099" s="71"/>
      <c r="J1099" s="71"/>
      <c r="K1099" s="71"/>
      <c r="L1099" s="71"/>
      <c r="M1099" s="71"/>
      <c r="N1099" s="71"/>
      <c r="O1099" s="71"/>
      <c r="P1099" s="71"/>
      <c r="Q1099" s="71"/>
      <c r="R1099" s="71"/>
      <c r="S1099" s="71"/>
      <c r="T1099" s="15"/>
    </row>
    <row r="1100">
      <c r="A1100" s="69"/>
      <c r="B1100" s="69"/>
      <c r="C1100" s="70"/>
      <c r="D1100" s="70"/>
      <c r="E1100" s="69"/>
      <c r="F1100" s="69"/>
      <c r="G1100" s="69"/>
      <c r="H1100" s="69"/>
      <c r="I1100" s="69"/>
      <c r="J1100" s="69"/>
      <c r="K1100" s="69"/>
      <c r="L1100" s="69"/>
      <c r="M1100" s="69"/>
      <c r="N1100" s="69"/>
      <c r="O1100" s="69"/>
      <c r="P1100" s="69"/>
      <c r="Q1100" s="69"/>
      <c r="R1100" s="69"/>
      <c r="S1100" s="69"/>
      <c r="T1100" s="15"/>
    </row>
    <row r="1101">
      <c r="A1101" s="71"/>
      <c r="B1101" s="71"/>
      <c r="C1101" s="72"/>
      <c r="D1101" s="72"/>
      <c r="E1101" s="71"/>
      <c r="F1101" s="71"/>
      <c r="G1101" s="71"/>
      <c r="H1101" s="71"/>
      <c r="I1101" s="71"/>
      <c r="J1101" s="71"/>
      <c r="K1101" s="71"/>
      <c r="L1101" s="71"/>
      <c r="M1101" s="71"/>
      <c r="N1101" s="71"/>
      <c r="O1101" s="71"/>
      <c r="P1101" s="71"/>
      <c r="Q1101" s="71"/>
      <c r="R1101" s="71"/>
      <c r="S1101" s="71"/>
      <c r="T1101" s="15"/>
    </row>
    <row r="1102">
      <c r="A1102" s="69"/>
      <c r="B1102" s="69"/>
      <c r="C1102" s="70"/>
      <c r="D1102" s="70"/>
      <c r="E1102" s="69"/>
      <c r="F1102" s="69"/>
      <c r="G1102" s="69"/>
      <c r="H1102" s="69"/>
      <c r="I1102" s="69"/>
      <c r="J1102" s="69"/>
      <c r="K1102" s="69"/>
      <c r="L1102" s="69"/>
      <c r="M1102" s="69"/>
      <c r="N1102" s="69"/>
      <c r="O1102" s="69"/>
      <c r="P1102" s="69"/>
      <c r="Q1102" s="69"/>
      <c r="R1102" s="69"/>
      <c r="S1102" s="69"/>
      <c r="T1102" s="15"/>
    </row>
    <row r="1103">
      <c r="A1103" s="71"/>
      <c r="B1103" s="71"/>
      <c r="C1103" s="72"/>
      <c r="D1103" s="72"/>
      <c r="E1103" s="71"/>
      <c r="F1103" s="71"/>
      <c r="G1103" s="71"/>
      <c r="H1103" s="71"/>
      <c r="I1103" s="71"/>
      <c r="J1103" s="71"/>
      <c r="K1103" s="71"/>
      <c r="L1103" s="71"/>
      <c r="M1103" s="71"/>
      <c r="N1103" s="71"/>
      <c r="O1103" s="71"/>
      <c r="P1103" s="71"/>
      <c r="Q1103" s="71"/>
      <c r="R1103" s="71"/>
      <c r="S1103" s="71"/>
      <c r="T1103" s="15"/>
    </row>
    <row r="1104">
      <c r="A1104" s="69"/>
      <c r="B1104" s="69"/>
      <c r="C1104" s="70"/>
      <c r="D1104" s="70"/>
      <c r="E1104" s="69"/>
      <c r="F1104" s="69"/>
      <c r="G1104" s="69"/>
      <c r="H1104" s="69"/>
      <c r="I1104" s="69"/>
      <c r="J1104" s="69"/>
      <c r="K1104" s="69"/>
      <c r="L1104" s="69"/>
      <c r="M1104" s="69"/>
      <c r="N1104" s="69"/>
      <c r="O1104" s="69"/>
      <c r="P1104" s="69"/>
      <c r="Q1104" s="69"/>
      <c r="R1104" s="69"/>
      <c r="S1104" s="69"/>
      <c r="T1104" s="15"/>
    </row>
    <row r="1105">
      <c r="A1105" s="71"/>
      <c r="B1105" s="71"/>
      <c r="C1105" s="72"/>
      <c r="D1105" s="72"/>
      <c r="E1105" s="71"/>
      <c r="F1105" s="71"/>
      <c r="G1105" s="71"/>
      <c r="H1105" s="71"/>
      <c r="I1105" s="71"/>
      <c r="J1105" s="71"/>
      <c r="K1105" s="71"/>
      <c r="L1105" s="71"/>
      <c r="M1105" s="71"/>
      <c r="N1105" s="71"/>
      <c r="O1105" s="71"/>
      <c r="P1105" s="71"/>
      <c r="Q1105" s="71"/>
      <c r="R1105" s="71"/>
      <c r="S1105" s="71"/>
      <c r="T1105" s="15"/>
    </row>
    <row r="1106">
      <c r="A1106" s="69"/>
      <c r="B1106" s="69"/>
      <c r="C1106" s="70"/>
      <c r="D1106" s="70"/>
      <c r="E1106" s="69"/>
      <c r="F1106" s="69"/>
      <c r="G1106" s="69"/>
      <c r="H1106" s="69"/>
      <c r="I1106" s="69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15"/>
    </row>
    <row r="1107">
      <c r="A1107" s="71"/>
      <c r="B1107" s="71"/>
      <c r="C1107" s="72"/>
      <c r="D1107" s="72"/>
      <c r="E1107" s="71"/>
      <c r="F1107" s="71"/>
      <c r="G1107" s="71"/>
      <c r="H1107" s="71"/>
      <c r="I1107" s="71"/>
      <c r="J1107" s="71"/>
      <c r="K1107" s="71"/>
      <c r="L1107" s="71"/>
      <c r="M1107" s="71"/>
      <c r="N1107" s="71"/>
      <c r="O1107" s="71"/>
      <c r="P1107" s="71"/>
      <c r="Q1107" s="71"/>
      <c r="R1107" s="71"/>
      <c r="S1107" s="71"/>
      <c r="T1107" s="15"/>
    </row>
    <row r="1108">
      <c r="A1108" s="69"/>
      <c r="B1108" s="69"/>
      <c r="C1108" s="70"/>
      <c r="D1108" s="70"/>
      <c r="E1108" s="69"/>
      <c r="F1108" s="69"/>
      <c r="G1108" s="69"/>
      <c r="H1108" s="69"/>
      <c r="I1108" s="69"/>
      <c r="J1108" s="69"/>
      <c r="K1108" s="69"/>
      <c r="L1108" s="69"/>
      <c r="M1108" s="69"/>
      <c r="N1108" s="69"/>
      <c r="O1108" s="69"/>
      <c r="P1108" s="69"/>
      <c r="Q1108" s="69"/>
      <c r="R1108" s="69"/>
      <c r="S1108" s="69"/>
      <c r="T1108" s="15"/>
    </row>
    <row r="1109">
      <c r="A1109" s="71"/>
      <c r="B1109" s="71"/>
      <c r="C1109" s="72"/>
      <c r="D1109" s="72"/>
      <c r="E1109" s="71"/>
      <c r="F1109" s="71"/>
      <c r="G1109" s="71"/>
      <c r="H1109" s="71"/>
      <c r="I1109" s="71"/>
      <c r="J1109" s="71"/>
      <c r="K1109" s="71"/>
      <c r="L1109" s="71"/>
      <c r="M1109" s="71"/>
      <c r="N1109" s="71"/>
      <c r="O1109" s="71"/>
      <c r="P1109" s="71"/>
      <c r="Q1109" s="71"/>
      <c r="R1109" s="71"/>
      <c r="S1109" s="71"/>
      <c r="T1109" s="15"/>
    </row>
    <row r="1110">
      <c r="A1110" s="69"/>
      <c r="B1110" s="69"/>
      <c r="C1110" s="70"/>
      <c r="D1110" s="70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69"/>
      <c r="T1110" s="15"/>
    </row>
    <row r="1111">
      <c r="A1111" s="71"/>
      <c r="B1111" s="71"/>
      <c r="C1111" s="72"/>
      <c r="D1111" s="72"/>
      <c r="E1111" s="71"/>
      <c r="F1111" s="71"/>
      <c r="G1111" s="71"/>
      <c r="H1111" s="71"/>
      <c r="I1111" s="71"/>
      <c r="J1111" s="71"/>
      <c r="K1111" s="71"/>
      <c r="L1111" s="71"/>
      <c r="M1111" s="71"/>
      <c r="N1111" s="71"/>
      <c r="O1111" s="71"/>
      <c r="P1111" s="71"/>
      <c r="Q1111" s="71"/>
      <c r="R1111" s="71"/>
      <c r="S1111" s="71"/>
      <c r="T1111" s="15"/>
    </row>
    <row r="1112">
      <c r="A1112" s="69"/>
      <c r="B1112" s="69"/>
      <c r="C1112" s="70"/>
      <c r="D1112" s="70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  <c r="T1112" s="15"/>
    </row>
    <row r="1113">
      <c r="A1113" s="71"/>
      <c r="B1113" s="71"/>
      <c r="C1113" s="72"/>
      <c r="D1113" s="72"/>
      <c r="E1113" s="71"/>
      <c r="F1113" s="71"/>
      <c r="G1113" s="71"/>
      <c r="H1113" s="71"/>
      <c r="I1113" s="71"/>
      <c r="J1113" s="71"/>
      <c r="K1113" s="71"/>
      <c r="L1113" s="71"/>
      <c r="M1113" s="71"/>
      <c r="N1113" s="71"/>
      <c r="O1113" s="71"/>
      <c r="P1113" s="71"/>
      <c r="Q1113" s="71"/>
      <c r="R1113" s="71"/>
      <c r="S1113" s="71"/>
      <c r="T1113" s="15"/>
    </row>
    <row r="1114">
      <c r="A1114" s="69"/>
      <c r="B1114" s="69"/>
      <c r="C1114" s="70"/>
      <c r="D1114" s="70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69"/>
      <c r="T1114" s="15"/>
    </row>
    <row r="1115">
      <c r="A1115" s="71"/>
      <c r="B1115" s="71"/>
      <c r="C1115" s="72"/>
      <c r="D1115" s="72"/>
      <c r="E1115" s="71"/>
      <c r="F1115" s="71"/>
      <c r="G1115" s="71"/>
      <c r="H1115" s="71"/>
      <c r="I1115" s="71"/>
      <c r="J1115" s="71"/>
      <c r="K1115" s="71"/>
      <c r="L1115" s="71"/>
      <c r="M1115" s="71"/>
      <c r="N1115" s="71"/>
      <c r="O1115" s="71"/>
      <c r="P1115" s="71"/>
      <c r="Q1115" s="71"/>
      <c r="R1115" s="71"/>
      <c r="S1115" s="71"/>
      <c r="T1115" s="15"/>
    </row>
    <row r="1116">
      <c r="A1116" s="69"/>
      <c r="B1116" s="69"/>
      <c r="C1116" s="70"/>
      <c r="D1116" s="70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69"/>
      <c r="T1116" s="15"/>
    </row>
    <row r="1117">
      <c r="A1117" s="71"/>
      <c r="B1117" s="71"/>
      <c r="C1117" s="72"/>
      <c r="D1117" s="72"/>
      <c r="E1117" s="71"/>
      <c r="F1117" s="71"/>
      <c r="G1117" s="71"/>
      <c r="H1117" s="71"/>
      <c r="I1117" s="71"/>
      <c r="J1117" s="71"/>
      <c r="K1117" s="71"/>
      <c r="L1117" s="71"/>
      <c r="M1117" s="71"/>
      <c r="N1117" s="71"/>
      <c r="O1117" s="71"/>
      <c r="P1117" s="71"/>
      <c r="Q1117" s="71"/>
      <c r="R1117" s="71"/>
      <c r="S1117" s="71"/>
      <c r="T1117" s="15"/>
    </row>
    <row r="1118">
      <c r="A1118" s="69"/>
      <c r="B1118" s="69"/>
      <c r="C1118" s="70"/>
      <c r="D1118" s="70"/>
      <c r="E1118" s="69"/>
      <c r="F1118" s="69"/>
      <c r="G1118" s="69"/>
      <c r="H1118" s="69"/>
      <c r="I1118" s="69"/>
      <c r="J1118" s="69"/>
      <c r="K1118" s="69"/>
      <c r="L1118" s="69"/>
      <c r="M1118" s="69"/>
      <c r="N1118" s="69"/>
      <c r="O1118" s="69"/>
      <c r="P1118" s="69"/>
      <c r="Q1118" s="69"/>
      <c r="R1118" s="69"/>
      <c r="S1118" s="69"/>
      <c r="T1118" s="15"/>
    </row>
    <row r="1119">
      <c r="A1119" s="71"/>
      <c r="B1119" s="71"/>
      <c r="C1119" s="72"/>
      <c r="D1119" s="72"/>
      <c r="E1119" s="71"/>
      <c r="F1119" s="71"/>
      <c r="G1119" s="71"/>
      <c r="H1119" s="71"/>
      <c r="I1119" s="71"/>
      <c r="J1119" s="71"/>
      <c r="K1119" s="71"/>
      <c r="L1119" s="71"/>
      <c r="M1119" s="71"/>
      <c r="N1119" s="71"/>
      <c r="O1119" s="71"/>
      <c r="P1119" s="71"/>
      <c r="Q1119" s="71"/>
      <c r="R1119" s="71"/>
      <c r="S1119" s="71"/>
      <c r="T1119" s="15"/>
    </row>
    <row r="1120">
      <c r="A1120" s="69"/>
      <c r="B1120" s="69"/>
      <c r="C1120" s="70"/>
      <c r="D1120" s="70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/>
      <c r="P1120" s="69"/>
      <c r="Q1120" s="69"/>
      <c r="R1120" s="69"/>
      <c r="S1120" s="69"/>
      <c r="T1120" s="15"/>
    </row>
    <row r="1121">
      <c r="A1121" s="71"/>
      <c r="B1121" s="71"/>
      <c r="C1121" s="72"/>
      <c r="D1121" s="72"/>
      <c r="E1121" s="71"/>
      <c r="F1121" s="71"/>
      <c r="G1121" s="71"/>
      <c r="H1121" s="71"/>
      <c r="I1121" s="71"/>
      <c r="J1121" s="71"/>
      <c r="K1121" s="71"/>
      <c r="L1121" s="71"/>
      <c r="M1121" s="71"/>
      <c r="N1121" s="71"/>
      <c r="O1121" s="71"/>
      <c r="P1121" s="71"/>
      <c r="Q1121" s="71"/>
      <c r="R1121" s="71"/>
      <c r="S1121" s="71"/>
      <c r="T1121" s="15"/>
    </row>
    <row r="1122">
      <c r="A1122" s="69"/>
      <c r="B1122" s="69"/>
      <c r="C1122" s="70"/>
      <c r="D1122" s="70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/>
      <c r="O1122" s="69"/>
      <c r="P1122" s="69"/>
      <c r="Q1122" s="69"/>
      <c r="R1122" s="69"/>
      <c r="S1122" s="69"/>
      <c r="T1122" s="15"/>
    </row>
    <row r="1123">
      <c r="A1123" s="71"/>
      <c r="B1123" s="71"/>
      <c r="C1123" s="72"/>
      <c r="D1123" s="72"/>
      <c r="E1123" s="71"/>
      <c r="F1123" s="71"/>
      <c r="G1123" s="71"/>
      <c r="H1123" s="71"/>
      <c r="I1123" s="71"/>
      <c r="J1123" s="71"/>
      <c r="K1123" s="71"/>
      <c r="L1123" s="71"/>
      <c r="M1123" s="71"/>
      <c r="N1123" s="71"/>
      <c r="O1123" s="71"/>
      <c r="P1123" s="71"/>
      <c r="Q1123" s="71"/>
      <c r="R1123" s="71"/>
      <c r="S1123" s="71"/>
      <c r="T1123" s="15"/>
    </row>
    <row r="1124">
      <c r="A1124" s="69"/>
      <c r="B1124" s="69"/>
      <c r="C1124" s="70"/>
      <c r="D1124" s="70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/>
      <c r="P1124" s="69"/>
      <c r="Q1124" s="69"/>
      <c r="R1124" s="69"/>
      <c r="S1124" s="69"/>
      <c r="T1124" s="15"/>
    </row>
    <row r="1125">
      <c r="A1125" s="71"/>
      <c r="B1125" s="71"/>
      <c r="C1125" s="72"/>
      <c r="D1125" s="72"/>
      <c r="E1125" s="71"/>
      <c r="F1125" s="71"/>
      <c r="G1125" s="71"/>
      <c r="H1125" s="71"/>
      <c r="I1125" s="71"/>
      <c r="J1125" s="71"/>
      <c r="K1125" s="71"/>
      <c r="L1125" s="71"/>
      <c r="M1125" s="71"/>
      <c r="N1125" s="71"/>
      <c r="O1125" s="71"/>
      <c r="P1125" s="71"/>
      <c r="Q1125" s="71"/>
      <c r="R1125" s="71"/>
      <c r="S1125" s="71"/>
      <c r="T1125" s="15"/>
    </row>
    <row r="1126">
      <c r="A1126" s="69"/>
      <c r="B1126" s="69"/>
      <c r="C1126" s="70"/>
      <c r="D1126" s="70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/>
      <c r="P1126" s="69"/>
      <c r="Q1126" s="69"/>
      <c r="R1126" s="69"/>
      <c r="S1126" s="69"/>
      <c r="T1126" s="15"/>
    </row>
    <row r="1127">
      <c r="A1127" s="71"/>
      <c r="B1127" s="71"/>
      <c r="C1127" s="72"/>
      <c r="D1127" s="72"/>
      <c r="E1127" s="71"/>
      <c r="F1127" s="71"/>
      <c r="G1127" s="71"/>
      <c r="H1127" s="71"/>
      <c r="I1127" s="71"/>
      <c r="J1127" s="71"/>
      <c r="K1127" s="71"/>
      <c r="L1127" s="71"/>
      <c r="M1127" s="71"/>
      <c r="N1127" s="71"/>
      <c r="O1127" s="71"/>
      <c r="P1127" s="71"/>
      <c r="Q1127" s="71"/>
      <c r="R1127" s="71"/>
      <c r="S1127" s="71"/>
      <c r="T1127" s="15"/>
    </row>
    <row r="1128">
      <c r="A1128" s="69"/>
      <c r="B1128" s="69"/>
      <c r="C1128" s="70"/>
      <c r="D1128" s="70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69"/>
      <c r="T1128" s="15"/>
    </row>
    <row r="1129">
      <c r="A1129" s="71"/>
      <c r="B1129" s="71"/>
      <c r="C1129" s="72"/>
      <c r="D1129" s="72"/>
      <c r="E1129" s="71"/>
      <c r="F1129" s="71"/>
      <c r="G1129" s="71"/>
      <c r="H1129" s="71"/>
      <c r="I1129" s="71"/>
      <c r="J1129" s="71"/>
      <c r="K1129" s="71"/>
      <c r="L1129" s="71"/>
      <c r="M1129" s="71"/>
      <c r="N1129" s="71"/>
      <c r="O1129" s="71"/>
      <c r="P1129" s="71"/>
      <c r="Q1129" s="71"/>
      <c r="R1129" s="71"/>
      <c r="S1129" s="71"/>
      <c r="T1129" s="15"/>
    </row>
    <row r="1130">
      <c r="A1130" s="69"/>
      <c r="B1130" s="69"/>
      <c r="C1130" s="70"/>
      <c r="D1130" s="70"/>
      <c r="E1130" s="69"/>
      <c r="F1130" s="69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  <c r="T1130" s="15"/>
    </row>
    <row r="1131">
      <c r="A1131" s="71"/>
      <c r="B1131" s="71"/>
      <c r="C1131" s="72"/>
      <c r="D1131" s="72"/>
      <c r="E1131" s="71"/>
      <c r="F1131" s="71"/>
      <c r="G1131" s="71"/>
      <c r="H1131" s="71"/>
      <c r="I1131" s="71"/>
      <c r="J1131" s="71"/>
      <c r="K1131" s="71"/>
      <c r="L1131" s="71"/>
      <c r="M1131" s="71"/>
      <c r="N1131" s="71"/>
      <c r="O1131" s="71"/>
      <c r="P1131" s="71"/>
      <c r="Q1131" s="71"/>
      <c r="R1131" s="71"/>
      <c r="S1131" s="71"/>
      <c r="T1131" s="15"/>
    </row>
    <row r="1132">
      <c r="A1132" s="69"/>
      <c r="B1132" s="69"/>
      <c r="C1132" s="70"/>
      <c r="D1132" s="70"/>
      <c r="E1132" s="69"/>
      <c r="F1132" s="69"/>
      <c r="G1132" s="69"/>
      <c r="H1132" s="69"/>
      <c r="I1132" s="69"/>
      <c r="J1132" s="69"/>
      <c r="K1132" s="69"/>
      <c r="L1132" s="69"/>
      <c r="M1132" s="69"/>
      <c r="N1132" s="69"/>
      <c r="O1132" s="69"/>
      <c r="P1132" s="69"/>
      <c r="Q1132" s="69"/>
      <c r="R1132" s="69"/>
      <c r="S1132" s="69"/>
      <c r="T1132" s="15"/>
    </row>
    <row r="1133">
      <c r="A1133" s="71"/>
      <c r="B1133" s="71"/>
      <c r="C1133" s="72"/>
      <c r="D1133" s="72"/>
      <c r="E1133" s="71"/>
      <c r="F1133" s="71"/>
      <c r="G1133" s="71"/>
      <c r="H1133" s="71"/>
      <c r="I1133" s="71"/>
      <c r="J1133" s="71"/>
      <c r="K1133" s="71"/>
      <c r="L1133" s="71"/>
      <c r="M1133" s="71"/>
      <c r="N1133" s="71"/>
      <c r="O1133" s="71"/>
      <c r="P1133" s="71"/>
      <c r="Q1133" s="71"/>
      <c r="R1133" s="71"/>
      <c r="S1133" s="71"/>
      <c r="T1133" s="15"/>
    </row>
    <row r="1134">
      <c r="A1134" s="69"/>
      <c r="B1134" s="69"/>
      <c r="C1134" s="70"/>
      <c r="D1134" s="70"/>
      <c r="E1134" s="69"/>
      <c r="F1134" s="69"/>
      <c r="G1134" s="69"/>
      <c r="H1134" s="69"/>
      <c r="I1134" s="69"/>
      <c r="J1134" s="69"/>
      <c r="K1134" s="69"/>
      <c r="L1134" s="69"/>
      <c r="M1134" s="69"/>
      <c r="N1134" s="69"/>
      <c r="O1134" s="69"/>
      <c r="P1134" s="69"/>
      <c r="Q1134" s="69"/>
      <c r="R1134" s="69"/>
      <c r="S1134" s="69"/>
      <c r="T1134" s="15"/>
    </row>
    <row r="1135">
      <c r="A1135" s="71"/>
      <c r="B1135" s="71"/>
      <c r="C1135" s="72"/>
      <c r="D1135" s="72"/>
      <c r="E1135" s="71"/>
      <c r="F1135" s="71"/>
      <c r="G1135" s="71"/>
      <c r="H1135" s="71"/>
      <c r="I1135" s="71"/>
      <c r="J1135" s="71"/>
      <c r="K1135" s="71"/>
      <c r="L1135" s="71"/>
      <c r="M1135" s="71"/>
      <c r="N1135" s="71"/>
      <c r="O1135" s="71"/>
      <c r="P1135" s="71"/>
      <c r="Q1135" s="71"/>
      <c r="R1135" s="71"/>
      <c r="S1135" s="71"/>
      <c r="T1135" s="15"/>
    </row>
    <row r="1136">
      <c r="A1136" s="69"/>
      <c r="B1136" s="69"/>
      <c r="C1136" s="70"/>
      <c r="D1136" s="70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69"/>
      <c r="T1136" s="15"/>
    </row>
    <row r="1137">
      <c r="A1137" s="71"/>
      <c r="B1137" s="71"/>
      <c r="C1137" s="72"/>
      <c r="D1137" s="72"/>
      <c r="E1137" s="71"/>
      <c r="F1137" s="71"/>
      <c r="G1137" s="71"/>
      <c r="H1137" s="71"/>
      <c r="I1137" s="71"/>
      <c r="J1137" s="71"/>
      <c r="K1137" s="71"/>
      <c r="L1137" s="71"/>
      <c r="M1137" s="71"/>
      <c r="N1137" s="71"/>
      <c r="O1137" s="71"/>
      <c r="P1137" s="71"/>
      <c r="Q1137" s="71"/>
      <c r="R1137" s="71"/>
      <c r="S1137" s="71"/>
      <c r="T1137" s="15"/>
    </row>
    <row r="1138">
      <c r="A1138" s="69"/>
      <c r="B1138" s="69"/>
      <c r="C1138" s="70"/>
      <c r="D1138" s="70"/>
      <c r="E1138" s="69"/>
      <c r="F1138" s="69"/>
      <c r="G1138" s="69"/>
      <c r="H1138" s="69"/>
      <c r="I1138" s="69"/>
      <c r="J1138" s="69"/>
      <c r="K1138" s="69"/>
      <c r="L1138" s="69"/>
      <c r="M1138" s="69"/>
      <c r="N1138" s="69"/>
      <c r="O1138" s="69"/>
      <c r="P1138" s="69"/>
      <c r="Q1138" s="69"/>
      <c r="R1138" s="69"/>
      <c r="S1138" s="69"/>
      <c r="T1138" s="15"/>
    </row>
    <row r="1139">
      <c r="A1139" s="71"/>
      <c r="B1139" s="71"/>
      <c r="C1139" s="72"/>
      <c r="D1139" s="72"/>
      <c r="E1139" s="71"/>
      <c r="F1139" s="71"/>
      <c r="G1139" s="71"/>
      <c r="H1139" s="71"/>
      <c r="I1139" s="71"/>
      <c r="J1139" s="71"/>
      <c r="K1139" s="71"/>
      <c r="L1139" s="71"/>
      <c r="M1139" s="71"/>
      <c r="N1139" s="71"/>
      <c r="O1139" s="71"/>
      <c r="P1139" s="71"/>
      <c r="Q1139" s="71"/>
      <c r="R1139" s="71"/>
      <c r="S1139" s="71"/>
      <c r="T1139" s="15"/>
    </row>
    <row r="1140">
      <c r="A1140" s="69"/>
      <c r="B1140" s="69"/>
      <c r="C1140" s="70"/>
      <c r="D1140" s="70"/>
      <c r="E1140" s="69"/>
      <c r="F1140" s="69"/>
      <c r="G1140" s="69"/>
      <c r="H1140" s="69"/>
      <c r="I1140" s="69"/>
      <c r="J1140" s="69"/>
      <c r="K1140" s="69"/>
      <c r="L1140" s="69"/>
      <c r="M1140" s="69"/>
      <c r="N1140" s="69"/>
      <c r="O1140" s="69"/>
      <c r="P1140" s="69"/>
      <c r="Q1140" s="69"/>
      <c r="R1140" s="69"/>
      <c r="S1140" s="69"/>
      <c r="T1140" s="15"/>
    </row>
    <row r="1141">
      <c r="A1141" s="71"/>
      <c r="B1141" s="71"/>
      <c r="C1141" s="72"/>
      <c r="D1141" s="72"/>
      <c r="E1141" s="71"/>
      <c r="F1141" s="71"/>
      <c r="G1141" s="71"/>
      <c r="H1141" s="71"/>
      <c r="I1141" s="71"/>
      <c r="J1141" s="71"/>
      <c r="K1141" s="71"/>
      <c r="L1141" s="71"/>
      <c r="M1141" s="71"/>
      <c r="N1141" s="71"/>
      <c r="O1141" s="71"/>
      <c r="P1141" s="71"/>
      <c r="Q1141" s="71"/>
      <c r="R1141" s="71"/>
      <c r="S1141" s="71"/>
      <c r="T1141" s="15"/>
    </row>
    <row r="1142">
      <c r="A1142" s="69"/>
      <c r="B1142" s="69"/>
      <c r="C1142" s="70"/>
      <c r="D1142" s="70"/>
      <c r="E1142" s="69"/>
      <c r="F1142" s="69"/>
      <c r="G1142" s="69"/>
      <c r="H1142" s="69"/>
      <c r="I1142" s="69"/>
      <c r="J1142" s="69"/>
      <c r="K1142" s="69"/>
      <c r="L1142" s="69"/>
      <c r="M1142" s="69"/>
      <c r="N1142" s="69"/>
      <c r="O1142" s="69"/>
      <c r="P1142" s="69"/>
      <c r="Q1142" s="69"/>
      <c r="R1142" s="69"/>
      <c r="S1142" s="69"/>
      <c r="T1142" s="15"/>
    </row>
    <row r="1143">
      <c r="A1143" s="71"/>
      <c r="B1143" s="71"/>
      <c r="C1143" s="72"/>
      <c r="D1143" s="72"/>
      <c r="E1143" s="71"/>
      <c r="F1143" s="71"/>
      <c r="G1143" s="71"/>
      <c r="H1143" s="71"/>
      <c r="I1143" s="71"/>
      <c r="J1143" s="71"/>
      <c r="K1143" s="71"/>
      <c r="L1143" s="71"/>
      <c r="M1143" s="71"/>
      <c r="N1143" s="71"/>
      <c r="O1143" s="71"/>
      <c r="P1143" s="71"/>
      <c r="Q1143" s="71"/>
      <c r="R1143" s="71"/>
      <c r="S1143" s="71"/>
      <c r="T1143" s="15"/>
    </row>
    <row r="1144">
      <c r="A1144" s="69"/>
      <c r="B1144" s="69"/>
      <c r="C1144" s="70"/>
      <c r="D1144" s="70"/>
      <c r="E1144" s="69"/>
      <c r="F1144" s="69"/>
      <c r="G1144" s="69"/>
      <c r="H1144" s="69"/>
      <c r="I1144" s="69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15"/>
    </row>
    <row r="1145">
      <c r="A1145" s="71"/>
      <c r="B1145" s="71"/>
      <c r="C1145" s="72"/>
      <c r="D1145" s="72"/>
      <c r="E1145" s="71"/>
      <c r="F1145" s="71"/>
      <c r="G1145" s="71"/>
      <c r="H1145" s="71"/>
      <c r="I1145" s="71"/>
      <c r="J1145" s="71"/>
      <c r="K1145" s="71"/>
      <c r="L1145" s="71"/>
      <c r="M1145" s="71"/>
      <c r="N1145" s="71"/>
      <c r="O1145" s="71"/>
      <c r="P1145" s="71"/>
      <c r="Q1145" s="71"/>
      <c r="R1145" s="71"/>
      <c r="S1145" s="71"/>
      <c r="T1145" s="15"/>
    </row>
    <row r="1146">
      <c r="A1146" s="69"/>
      <c r="B1146" s="69"/>
      <c r="C1146" s="70"/>
      <c r="D1146" s="70"/>
      <c r="E1146" s="69"/>
      <c r="F1146" s="69"/>
      <c r="G1146" s="69"/>
      <c r="H1146" s="69"/>
      <c r="I1146" s="69"/>
      <c r="J1146" s="69"/>
      <c r="K1146" s="69"/>
      <c r="L1146" s="69"/>
      <c r="M1146" s="69"/>
      <c r="N1146" s="69"/>
      <c r="O1146" s="69"/>
      <c r="P1146" s="69"/>
      <c r="Q1146" s="69"/>
      <c r="R1146" s="69"/>
      <c r="S1146" s="69"/>
      <c r="T1146" s="15"/>
    </row>
    <row r="1147">
      <c r="A1147" s="71"/>
      <c r="B1147" s="71"/>
      <c r="C1147" s="72"/>
      <c r="D1147" s="72"/>
      <c r="E1147" s="71"/>
      <c r="F1147" s="71"/>
      <c r="G1147" s="71"/>
      <c r="H1147" s="71"/>
      <c r="I1147" s="71"/>
      <c r="J1147" s="71"/>
      <c r="K1147" s="71"/>
      <c r="L1147" s="71"/>
      <c r="M1147" s="71"/>
      <c r="N1147" s="71"/>
      <c r="O1147" s="71"/>
      <c r="P1147" s="71"/>
      <c r="Q1147" s="71"/>
      <c r="R1147" s="71"/>
      <c r="S1147" s="71"/>
      <c r="T1147" s="15"/>
    </row>
    <row r="1148">
      <c r="A1148" s="69"/>
      <c r="B1148" s="69"/>
      <c r="C1148" s="70"/>
      <c r="D1148" s="70"/>
      <c r="E1148" s="69"/>
      <c r="F1148" s="69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69"/>
      <c r="T1148" s="15"/>
    </row>
    <row r="1149">
      <c r="A1149" s="71"/>
      <c r="B1149" s="71"/>
      <c r="C1149" s="72"/>
      <c r="D1149" s="72"/>
      <c r="E1149" s="71"/>
      <c r="F1149" s="71"/>
      <c r="G1149" s="71"/>
      <c r="H1149" s="71"/>
      <c r="I1149" s="71"/>
      <c r="J1149" s="71"/>
      <c r="K1149" s="71"/>
      <c r="L1149" s="71"/>
      <c r="M1149" s="71"/>
      <c r="N1149" s="71"/>
      <c r="O1149" s="71"/>
      <c r="P1149" s="71"/>
      <c r="Q1149" s="71"/>
      <c r="R1149" s="71"/>
      <c r="S1149" s="71"/>
      <c r="T1149" s="15"/>
    </row>
    <row r="1150">
      <c r="A1150" s="69"/>
      <c r="B1150" s="69"/>
      <c r="C1150" s="70"/>
      <c r="D1150" s="70"/>
      <c r="E1150" s="69"/>
      <c r="F1150" s="69"/>
      <c r="G1150" s="69"/>
      <c r="H1150" s="69"/>
      <c r="I1150" s="69"/>
      <c r="J1150" s="69"/>
      <c r="K1150" s="69"/>
      <c r="L1150" s="69"/>
      <c r="M1150" s="69"/>
      <c r="N1150" s="69"/>
      <c r="O1150" s="69"/>
      <c r="P1150" s="69"/>
      <c r="Q1150" s="69"/>
      <c r="R1150" s="69"/>
      <c r="S1150" s="69"/>
      <c r="T1150" s="15"/>
    </row>
    <row r="1151">
      <c r="A1151" s="71"/>
      <c r="B1151" s="71"/>
      <c r="C1151" s="72"/>
      <c r="D1151" s="72"/>
      <c r="E1151" s="71"/>
      <c r="F1151" s="71"/>
      <c r="G1151" s="71"/>
      <c r="H1151" s="71"/>
      <c r="I1151" s="71"/>
      <c r="J1151" s="71"/>
      <c r="K1151" s="71"/>
      <c r="L1151" s="71"/>
      <c r="M1151" s="71"/>
      <c r="N1151" s="71"/>
      <c r="O1151" s="71"/>
      <c r="P1151" s="71"/>
      <c r="Q1151" s="71"/>
      <c r="R1151" s="71"/>
      <c r="S1151" s="71"/>
      <c r="T1151" s="15"/>
    </row>
    <row r="1152">
      <c r="A1152" s="69"/>
      <c r="B1152" s="69"/>
      <c r="C1152" s="70"/>
      <c r="D1152" s="70"/>
      <c r="E1152" s="69"/>
      <c r="F1152" s="69"/>
      <c r="G1152" s="69"/>
      <c r="H1152" s="69"/>
      <c r="I1152" s="69"/>
      <c r="J1152" s="69"/>
      <c r="K1152" s="69"/>
      <c r="L1152" s="69"/>
      <c r="M1152" s="69"/>
      <c r="N1152" s="69"/>
      <c r="O1152" s="69"/>
      <c r="P1152" s="69"/>
      <c r="Q1152" s="69"/>
      <c r="R1152" s="69"/>
      <c r="S1152" s="69"/>
      <c r="T1152" s="15"/>
    </row>
    <row r="1153">
      <c r="A1153" s="71"/>
      <c r="B1153" s="71"/>
      <c r="C1153" s="72"/>
      <c r="D1153" s="72"/>
      <c r="E1153" s="71"/>
      <c r="F1153" s="71"/>
      <c r="G1153" s="71"/>
      <c r="H1153" s="71"/>
      <c r="I1153" s="71"/>
      <c r="J1153" s="71"/>
      <c r="K1153" s="71"/>
      <c r="L1153" s="71"/>
      <c r="M1153" s="71"/>
      <c r="N1153" s="71"/>
      <c r="O1153" s="71"/>
      <c r="P1153" s="71"/>
      <c r="Q1153" s="71"/>
      <c r="R1153" s="71"/>
      <c r="S1153" s="71"/>
      <c r="T1153" s="15"/>
    </row>
    <row r="1154">
      <c r="A1154" s="69"/>
      <c r="B1154" s="69"/>
      <c r="C1154" s="70"/>
      <c r="D1154" s="70"/>
      <c r="E1154" s="69"/>
      <c r="F1154" s="69"/>
      <c r="G1154" s="69"/>
      <c r="H1154" s="69"/>
      <c r="I1154" s="69"/>
      <c r="J1154" s="69"/>
      <c r="K1154" s="69"/>
      <c r="L1154" s="69"/>
      <c r="M1154" s="69"/>
      <c r="N1154" s="69"/>
      <c r="O1154" s="69"/>
      <c r="P1154" s="69"/>
      <c r="Q1154" s="69"/>
      <c r="R1154" s="69"/>
      <c r="S1154" s="69"/>
      <c r="T1154" s="15"/>
    </row>
    <row r="1155">
      <c r="A1155" s="71"/>
      <c r="B1155" s="71"/>
      <c r="C1155" s="72"/>
      <c r="D1155" s="72"/>
      <c r="E1155" s="71"/>
      <c r="F1155" s="71"/>
      <c r="G1155" s="71"/>
      <c r="H1155" s="71"/>
      <c r="I1155" s="71"/>
      <c r="J1155" s="71"/>
      <c r="K1155" s="71"/>
      <c r="L1155" s="71"/>
      <c r="M1155" s="71"/>
      <c r="N1155" s="71"/>
      <c r="O1155" s="71"/>
      <c r="P1155" s="71"/>
      <c r="Q1155" s="71"/>
      <c r="R1155" s="71"/>
      <c r="S1155" s="71"/>
      <c r="T1155" s="15"/>
    </row>
    <row r="1156">
      <c r="A1156" s="69"/>
      <c r="B1156" s="69"/>
      <c r="C1156" s="70"/>
      <c r="D1156" s="70"/>
      <c r="E1156" s="69"/>
      <c r="F1156" s="69"/>
      <c r="G1156" s="69"/>
      <c r="H1156" s="69"/>
      <c r="I1156" s="69"/>
      <c r="J1156" s="69"/>
      <c r="K1156" s="69"/>
      <c r="L1156" s="69"/>
      <c r="M1156" s="69"/>
      <c r="N1156" s="69"/>
      <c r="O1156" s="69"/>
      <c r="P1156" s="69"/>
      <c r="Q1156" s="69"/>
      <c r="R1156" s="69"/>
      <c r="S1156" s="69"/>
      <c r="T1156" s="15"/>
    </row>
    <row r="1157">
      <c r="A1157" s="71"/>
      <c r="B1157" s="71"/>
      <c r="C1157" s="72"/>
      <c r="D1157" s="72"/>
      <c r="E1157" s="71"/>
      <c r="F1157" s="71"/>
      <c r="G1157" s="71"/>
      <c r="H1157" s="71"/>
      <c r="I1157" s="71"/>
      <c r="J1157" s="71"/>
      <c r="K1157" s="71"/>
      <c r="L1157" s="71"/>
      <c r="M1157" s="71"/>
      <c r="N1157" s="71"/>
      <c r="O1157" s="71"/>
      <c r="P1157" s="71"/>
      <c r="Q1157" s="71"/>
      <c r="R1157" s="71"/>
      <c r="S1157" s="71"/>
      <c r="T1157" s="15"/>
    </row>
    <row r="1158">
      <c r="A1158" s="69"/>
      <c r="B1158" s="69"/>
      <c r="C1158" s="70"/>
      <c r="D1158" s="70"/>
      <c r="E1158" s="69"/>
      <c r="F1158" s="69"/>
      <c r="G1158" s="69"/>
      <c r="H1158" s="69"/>
      <c r="I1158" s="69"/>
      <c r="J1158" s="69"/>
      <c r="K1158" s="69"/>
      <c r="L1158" s="69"/>
      <c r="M1158" s="69"/>
      <c r="N1158" s="69"/>
      <c r="O1158" s="69"/>
      <c r="P1158" s="69"/>
      <c r="Q1158" s="69"/>
      <c r="R1158" s="69"/>
      <c r="S1158" s="69"/>
      <c r="T1158" s="15"/>
    </row>
    <row r="1159">
      <c r="A1159" s="71"/>
      <c r="B1159" s="71"/>
      <c r="C1159" s="72"/>
      <c r="D1159" s="72"/>
      <c r="E1159" s="71"/>
      <c r="F1159" s="71"/>
      <c r="G1159" s="71"/>
      <c r="H1159" s="71"/>
      <c r="I1159" s="71"/>
      <c r="J1159" s="71"/>
      <c r="K1159" s="71"/>
      <c r="L1159" s="71"/>
      <c r="M1159" s="71"/>
      <c r="N1159" s="71"/>
      <c r="O1159" s="71"/>
      <c r="P1159" s="71"/>
      <c r="Q1159" s="71"/>
      <c r="R1159" s="71"/>
      <c r="S1159" s="71"/>
      <c r="T1159" s="15"/>
    </row>
    <row r="1160">
      <c r="A1160" s="69"/>
      <c r="B1160" s="69"/>
      <c r="C1160" s="70"/>
      <c r="D1160" s="70"/>
      <c r="E1160" s="69"/>
      <c r="F1160" s="69"/>
      <c r="G1160" s="69"/>
      <c r="H1160" s="69"/>
      <c r="I1160" s="69"/>
      <c r="J1160" s="69"/>
      <c r="K1160" s="69"/>
      <c r="L1160" s="69"/>
      <c r="M1160" s="69"/>
      <c r="N1160" s="69"/>
      <c r="O1160" s="69"/>
      <c r="P1160" s="69"/>
      <c r="Q1160" s="69"/>
      <c r="R1160" s="69"/>
      <c r="S1160" s="69"/>
      <c r="T1160" s="15"/>
    </row>
    <row r="1161">
      <c r="A1161" s="71"/>
      <c r="B1161" s="71"/>
      <c r="C1161" s="72"/>
      <c r="D1161" s="72"/>
      <c r="E1161" s="71"/>
      <c r="F1161" s="71"/>
      <c r="G1161" s="71"/>
      <c r="H1161" s="71"/>
      <c r="I1161" s="71"/>
      <c r="J1161" s="71"/>
      <c r="K1161" s="71"/>
      <c r="L1161" s="71"/>
      <c r="M1161" s="71"/>
      <c r="N1161" s="71"/>
      <c r="O1161" s="71"/>
      <c r="P1161" s="71"/>
      <c r="Q1161" s="71"/>
      <c r="R1161" s="71"/>
      <c r="S1161" s="71"/>
      <c r="T1161" s="15"/>
    </row>
    <row r="1162">
      <c r="A1162" s="69"/>
      <c r="B1162" s="69"/>
      <c r="C1162" s="70"/>
      <c r="D1162" s="70"/>
      <c r="E1162" s="69"/>
      <c r="F1162" s="69"/>
      <c r="G1162" s="69"/>
      <c r="H1162" s="69"/>
      <c r="I1162" s="69"/>
      <c r="J1162" s="69"/>
      <c r="K1162" s="69"/>
      <c r="L1162" s="69"/>
      <c r="M1162" s="69"/>
      <c r="N1162" s="69"/>
      <c r="O1162" s="69"/>
      <c r="P1162" s="69"/>
      <c r="Q1162" s="69"/>
      <c r="R1162" s="69"/>
      <c r="S1162" s="69"/>
      <c r="T1162" s="15"/>
    </row>
    <row r="1163">
      <c r="A1163" s="71"/>
      <c r="B1163" s="71"/>
      <c r="C1163" s="72"/>
      <c r="D1163" s="72"/>
      <c r="E1163" s="71"/>
      <c r="F1163" s="71"/>
      <c r="G1163" s="71"/>
      <c r="H1163" s="71"/>
      <c r="I1163" s="71"/>
      <c r="J1163" s="71"/>
      <c r="K1163" s="71"/>
      <c r="L1163" s="71"/>
      <c r="M1163" s="71"/>
      <c r="N1163" s="71"/>
      <c r="O1163" s="71"/>
      <c r="P1163" s="71"/>
      <c r="Q1163" s="71"/>
      <c r="R1163" s="71"/>
      <c r="S1163" s="71"/>
      <c r="T1163" s="15"/>
    </row>
    <row r="1164">
      <c r="A1164" s="69"/>
      <c r="B1164" s="69"/>
      <c r="C1164" s="70"/>
      <c r="D1164" s="70"/>
      <c r="E1164" s="69"/>
      <c r="F1164" s="69"/>
      <c r="G1164" s="69"/>
      <c r="H1164" s="69"/>
      <c r="I1164" s="69"/>
      <c r="J1164" s="69"/>
      <c r="K1164" s="69"/>
      <c r="L1164" s="69"/>
      <c r="M1164" s="69"/>
      <c r="N1164" s="69"/>
      <c r="O1164" s="69"/>
      <c r="P1164" s="69"/>
      <c r="Q1164" s="69"/>
      <c r="R1164" s="69"/>
      <c r="S1164" s="69"/>
      <c r="T1164" s="15"/>
    </row>
    <row r="1165">
      <c r="A1165" s="71"/>
      <c r="B1165" s="71"/>
      <c r="C1165" s="72"/>
      <c r="D1165" s="72"/>
      <c r="E1165" s="71"/>
      <c r="F1165" s="71"/>
      <c r="G1165" s="71"/>
      <c r="H1165" s="71"/>
      <c r="I1165" s="71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15"/>
    </row>
    <row r="1166">
      <c r="A1166" s="69"/>
      <c r="B1166" s="69"/>
      <c r="C1166" s="70"/>
      <c r="D1166" s="70"/>
      <c r="E1166" s="69"/>
      <c r="F1166" s="69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/>
      <c r="T1166" s="15"/>
    </row>
    <row r="1167">
      <c r="A1167" s="71"/>
      <c r="B1167" s="71"/>
      <c r="C1167" s="72"/>
      <c r="D1167" s="72"/>
      <c r="E1167" s="71"/>
      <c r="F1167" s="71"/>
      <c r="G1167" s="71"/>
      <c r="H1167" s="71"/>
      <c r="I1167" s="71"/>
      <c r="J1167" s="71"/>
      <c r="K1167" s="71"/>
      <c r="L1167" s="71"/>
      <c r="M1167" s="71"/>
      <c r="N1167" s="71"/>
      <c r="O1167" s="71"/>
      <c r="P1167" s="71"/>
      <c r="Q1167" s="71"/>
      <c r="R1167" s="71"/>
      <c r="S1167" s="71"/>
      <c r="T1167" s="15"/>
    </row>
    <row r="1168">
      <c r="A1168" s="69"/>
      <c r="B1168" s="69"/>
      <c r="C1168" s="70"/>
      <c r="D1168" s="70"/>
      <c r="E1168" s="69"/>
      <c r="F1168" s="69"/>
      <c r="G1168" s="69"/>
      <c r="H1168" s="69"/>
      <c r="I1168" s="69"/>
      <c r="J1168" s="69"/>
      <c r="K1168" s="69"/>
      <c r="L1168" s="69"/>
      <c r="M1168" s="69"/>
      <c r="N1168" s="69"/>
      <c r="O1168" s="69"/>
      <c r="P1168" s="69"/>
      <c r="Q1168" s="69"/>
      <c r="R1168" s="69"/>
      <c r="S1168" s="69"/>
      <c r="T1168" s="15"/>
    </row>
    <row r="1169">
      <c r="A1169" s="71"/>
      <c r="B1169" s="71"/>
      <c r="C1169" s="72"/>
      <c r="D1169" s="72"/>
      <c r="E1169" s="71"/>
      <c r="F1169" s="71"/>
      <c r="G1169" s="71"/>
      <c r="H1169" s="71"/>
      <c r="I1169" s="71"/>
      <c r="J1169" s="71"/>
      <c r="K1169" s="71"/>
      <c r="L1169" s="71"/>
      <c r="M1169" s="71"/>
      <c r="N1169" s="71"/>
      <c r="O1169" s="71"/>
      <c r="P1169" s="71"/>
      <c r="Q1169" s="71"/>
      <c r="R1169" s="71"/>
      <c r="S1169" s="71"/>
      <c r="T1169" s="15"/>
    </row>
    <row r="1170">
      <c r="A1170" s="69"/>
      <c r="B1170" s="69"/>
      <c r="C1170" s="70"/>
      <c r="D1170" s="70"/>
      <c r="E1170" s="69"/>
      <c r="F1170" s="69"/>
      <c r="G1170" s="69"/>
      <c r="H1170" s="69"/>
      <c r="I1170" s="69"/>
      <c r="J1170" s="69"/>
      <c r="K1170" s="69"/>
      <c r="L1170" s="69"/>
      <c r="M1170" s="69"/>
      <c r="N1170" s="69"/>
      <c r="O1170" s="69"/>
      <c r="P1170" s="69"/>
      <c r="Q1170" s="69"/>
      <c r="R1170" s="69"/>
      <c r="S1170" s="69"/>
      <c r="T1170" s="15"/>
    </row>
    <row r="1171">
      <c r="A1171" s="71"/>
      <c r="B1171" s="71"/>
      <c r="C1171" s="72"/>
      <c r="D1171" s="72"/>
      <c r="E1171" s="71"/>
      <c r="F1171" s="71"/>
      <c r="G1171" s="71"/>
      <c r="H1171" s="71"/>
      <c r="I1171" s="71"/>
      <c r="J1171" s="71"/>
      <c r="K1171" s="71"/>
      <c r="L1171" s="71"/>
      <c r="M1171" s="71"/>
      <c r="N1171" s="71"/>
      <c r="O1171" s="71"/>
      <c r="P1171" s="71"/>
      <c r="Q1171" s="71"/>
      <c r="R1171" s="71"/>
      <c r="S1171" s="71"/>
      <c r="T1171" s="15"/>
    </row>
    <row r="1172">
      <c r="A1172" s="69"/>
      <c r="B1172" s="69"/>
      <c r="C1172" s="70"/>
      <c r="D1172" s="70"/>
      <c r="E1172" s="69"/>
      <c r="F1172" s="69"/>
      <c r="G1172" s="69"/>
      <c r="H1172" s="69"/>
      <c r="I1172" s="69"/>
      <c r="J1172" s="69"/>
      <c r="K1172" s="69"/>
      <c r="L1172" s="69"/>
      <c r="M1172" s="69"/>
      <c r="N1172" s="69"/>
      <c r="O1172" s="69"/>
      <c r="P1172" s="69"/>
      <c r="Q1172" s="69"/>
      <c r="R1172" s="69"/>
      <c r="S1172" s="69"/>
      <c r="T1172" s="15"/>
    </row>
    <row r="1173">
      <c r="A1173" s="71"/>
      <c r="B1173" s="71"/>
      <c r="C1173" s="72"/>
      <c r="D1173" s="72"/>
      <c r="E1173" s="71"/>
      <c r="F1173" s="71"/>
      <c r="G1173" s="71"/>
      <c r="H1173" s="71"/>
      <c r="I1173" s="71"/>
      <c r="J1173" s="71"/>
      <c r="K1173" s="71"/>
      <c r="L1173" s="71"/>
      <c r="M1173" s="71"/>
      <c r="N1173" s="71"/>
      <c r="O1173" s="71"/>
      <c r="P1173" s="71"/>
      <c r="Q1173" s="71"/>
      <c r="R1173" s="71"/>
      <c r="S1173" s="71"/>
      <c r="T1173" s="15"/>
    </row>
    <row r="1174">
      <c r="A1174" s="69"/>
      <c r="B1174" s="69"/>
      <c r="C1174" s="70"/>
      <c r="D1174" s="70"/>
      <c r="E1174" s="69"/>
      <c r="F1174" s="69"/>
      <c r="G1174" s="69"/>
      <c r="H1174" s="69"/>
      <c r="I1174" s="69"/>
      <c r="J1174" s="69"/>
      <c r="K1174" s="69"/>
      <c r="L1174" s="69"/>
      <c r="M1174" s="69"/>
      <c r="N1174" s="69"/>
      <c r="O1174" s="69"/>
      <c r="P1174" s="69"/>
      <c r="Q1174" s="69"/>
      <c r="R1174" s="69"/>
      <c r="S1174" s="69"/>
      <c r="T1174" s="15"/>
    </row>
    <row r="1175">
      <c r="A1175" s="71"/>
      <c r="B1175" s="71"/>
      <c r="C1175" s="72"/>
      <c r="D1175" s="72"/>
      <c r="E1175" s="71"/>
      <c r="F1175" s="71"/>
      <c r="G1175" s="71"/>
      <c r="H1175" s="71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15"/>
    </row>
    <row r="1176">
      <c r="A1176" s="69"/>
      <c r="B1176" s="69"/>
      <c r="C1176" s="70"/>
      <c r="D1176" s="70"/>
      <c r="E1176" s="69"/>
      <c r="F1176" s="69"/>
      <c r="G1176" s="69"/>
      <c r="H1176" s="69"/>
      <c r="I1176" s="69"/>
      <c r="J1176" s="69"/>
      <c r="K1176" s="69"/>
      <c r="L1176" s="69"/>
      <c r="M1176" s="69"/>
      <c r="N1176" s="69"/>
      <c r="O1176" s="69"/>
      <c r="P1176" s="69"/>
      <c r="Q1176" s="69"/>
      <c r="R1176" s="69"/>
      <c r="S1176" s="69"/>
      <c r="T1176" s="15"/>
    </row>
    <row r="1177">
      <c r="A1177" s="71"/>
      <c r="B1177" s="71"/>
      <c r="C1177" s="72"/>
      <c r="D1177" s="72"/>
      <c r="E1177" s="71"/>
      <c r="F1177" s="71"/>
      <c r="G1177" s="71"/>
      <c r="H1177" s="71"/>
      <c r="I1177" s="71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15"/>
    </row>
    <row r="1178">
      <c r="A1178" s="69"/>
      <c r="B1178" s="69"/>
      <c r="C1178" s="70"/>
      <c r="D1178" s="70"/>
      <c r="E1178" s="69"/>
      <c r="F1178" s="69"/>
      <c r="G1178" s="69"/>
      <c r="H1178" s="69"/>
      <c r="I1178" s="69"/>
      <c r="J1178" s="69"/>
      <c r="K1178" s="69"/>
      <c r="L1178" s="69"/>
      <c r="M1178" s="69"/>
      <c r="N1178" s="69"/>
      <c r="O1178" s="69"/>
      <c r="P1178" s="69"/>
      <c r="Q1178" s="69"/>
      <c r="R1178" s="69"/>
      <c r="S1178" s="69"/>
      <c r="T1178" s="15"/>
    </row>
    <row r="1179">
      <c r="A1179" s="71"/>
      <c r="B1179" s="71"/>
      <c r="C1179" s="72"/>
      <c r="D1179" s="72"/>
      <c r="E1179" s="71"/>
      <c r="F1179" s="71"/>
      <c r="G1179" s="71"/>
      <c r="H1179" s="71"/>
      <c r="I1179" s="71"/>
      <c r="J1179" s="71"/>
      <c r="K1179" s="71"/>
      <c r="L1179" s="71"/>
      <c r="M1179" s="71"/>
      <c r="N1179" s="71"/>
      <c r="O1179" s="71"/>
      <c r="P1179" s="71"/>
      <c r="Q1179" s="71"/>
      <c r="R1179" s="71"/>
      <c r="S1179" s="71"/>
      <c r="T1179" s="15"/>
    </row>
    <row r="1180">
      <c r="A1180" s="69"/>
      <c r="B1180" s="69"/>
      <c r="C1180" s="70"/>
      <c r="D1180" s="70"/>
      <c r="E1180" s="69"/>
      <c r="F1180" s="69"/>
      <c r="G1180" s="69"/>
      <c r="H1180" s="69"/>
      <c r="I1180" s="69"/>
      <c r="J1180" s="69"/>
      <c r="K1180" s="69"/>
      <c r="L1180" s="69"/>
      <c r="M1180" s="69"/>
      <c r="N1180" s="69"/>
      <c r="O1180" s="69"/>
      <c r="P1180" s="69"/>
      <c r="Q1180" s="69"/>
      <c r="R1180" s="69"/>
      <c r="S1180" s="69"/>
      <c r="T1180" s="15"/>
    </row>
    <row r="1181">
      <c r="A1181" s="71"/>
      <c r="B1181" s="71"/>
      <c r="C1181" s="72"/>
      <c r="D1181" s="72"/>
      <c r="E1181" s="71"/>
      <c r="F1181" s="71"/>
      <c r="G1181" s="71"/>
      <c r="H1181" s="71"/>
      <c r="I1181" s="71"/>
      <c r="J1181" s="71"/>
      <c r="K1181" s="71"/>
      <c r="L1181" s="71"/>
      <c r="M1181" s="71"/>
      <c r="N1181" s="71"/>
      <c r="O1181" s="71"/>
      <c r="P1181" s="71"/>
      <c r="Q1181" s="71"/>
      <c r="R1181" s="71"/>
      <c r="S1181" s="71"/>
      <c r="T1181" s="15"/>
    </row>
    <row r="1182">
      <c r="A1182" s="69"/>
      <c r="B1182" s="69"/>
      <c r="C1182" s="70"/>
      <c r="D1182" s="70"/>
      <c r="E1182" s="69"/>
      <c r="F1182" s="69"/>
      <c r="G1182" s="69"/>
      <c r="H1182" s="69"/>
      <c r="I1182" s="69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15"/>
    </row>
    <row r="1183">
      <c r="A1183" s="71"/>
      <c r="B1183" s="71"/>
      <c r="C1183" s="72"/>
      <c r="D1183" s="72"/>
      <c r="E1183" s="71"/>
      <c r="F1183" s="71"/>
      <c r="G1183" s="71"/>
      <c r="H1183" s="71"/>
      <c r="I1183" s="71"/>
      <c r="J1183" s="71"/>
      <c r="K1183" s="71"/>
      <c r="L1183" s="71"/>
      <c r="M1183" s="71"/>
      <c r="N1183" s="71"/>
      <c r="O1183" s="71"/>
      <c r="P1183" s="71"/>
      <c r="Q1183" s="71"/>
      <c r="R1183" s="71"/>
      <c r="S1183" s="71"/>
      <c r="T1183" s="15"/>
    </row>
    <row r="1184">
      <c r="A1184" s="69"/>
      <c r="B1184" s="69"/>
      <c r="C1184" s="70"/>
      <c r="D1184" s="70"/>
      <c r="E1184" s="69"/>
      <c r="F1184" s="69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  <c r="T1184" s="15"/>
    </row>
    <row r="1185">
      <c r="A1185" s="71"/>
      <c r="B1185" s="71"/>
      <c r="C1185" s="72"/>
      <c r="D1185" s="72"/>
      <c r="E1185" s="71"/>
      <c r="F1185" s="71"/>
      <c r="G1185" s="71"/>
      <c r="H1185" s="71"/>
      <c r="I1185" s="71"/>
      <c r="J1185" s="71"/>
      <c r="K1185" s="71"/>
      <c r="L1185" s="71"/>
      <c r="M1185" s="71"/>
      <c r="N1185" s="71"/>
      <c r="O1185" s="71"/>
      <c r="P1185" s="71"/>
      <c r="Q1185" s="71"/>
      <c r="R1185" s="71"/>
      <c r="S1185" s="71"/>
      <c r="T1185" s="15"/>
    </row>
    <row r="1186">
      <c r="A1186" s="69"/>
      <c r="B1186" s="69"/>
      <c r="C1186" s="70"/>
      <c r="D1186" s="70"/>
      <c r="E1186" s="69"/>
      <c r="F1186" s="69"/>
      <c r="G1186" s="69"/>
      <c r="H1186" s="69"/>
      <c r="I1186" s="69"/>
      <c r="J1186" s="69"/>
      <c r="K1186" s="69"/>
      <c r="L1186" s="69"/>
      <c r="M1186" s="69"/>
      <c r="N1186" s="69"/>
      <c r="O1186" s="69"/>
      <c r="P1186" s="69"/>
      <c r="Q1186" s="69"/>
      <c r="R1186" s="69"/>
      <c r="S1186" s="69"/>
      <c r="T1186" s="15"/>
    </row>
    <row r="1187">
      <c r="A1187" s="71"/>
      <c r="B1187" s="71"/>
      <c r="C1187" s="72"/>
      <c r="D1187" s="72"/>
      <c r="E1187" s="71"/>
      <c r="F1187" s="71"/>
      <c r="G1187" s="71"/>
      <c r="H1187" s="71"/>
      <c r="I1187" s="71"/>
      <c r="J1187" s="71"/>
      <c r="K1187" s="71"/>
      <c r="L1187" s="71"/>
      <c r="M1187" s="71"/>
      <c r="N1187" s="71"/>
      <c r="O1187" s="71"/>
      <c r="P1187" s="71"/>
      <c r="Q1187" s="71"/>
      <c r="R1187" s="71"/>
      <c r="S1187" s="71"/>
      <c r="T1187" s="15"/>
    </row>
    <row r="1188">
      <c r="A1188" s="69"/>
      <c r="B1188" s="69"/>
      <c r="C1188" s="70"/>
      <c r="D1188" s="70"/>
      <c r="E1188" s="69"/>
      <c r="F1188" s="69"/>
      <c r="G1188" s="69"/>
      <c r="H1188" s="69"/>
      <c r="I1188" s="69"/>
      <c r="J1188" s="69"/>
      <c r="K1188" s="69"/>
      <c r="L1188" s="69"/>
      <c r="M1188" s="69"/>
      <c r="N1188" s="69"/>
      <c r="O1188" s="69"/>
      <c r="P1188" s="69"/>
      <c r="Q1188" s="69"/>
      <c r="R1188" s="69"/>
      <c r="S1188" s="69"/>
      <c r="T1188" s="15"/>
    </row>
    <row r="1189">
      <c r="A1189" s="71"/>
      <c r="B1189" s="71"/>
      <c r="C1189" s="72"/>
      <c r="D1189" s="72"/>
      <c r="E1189" s="71"/>
      <c r="F1189" s="71"/>
      <c r="G1189" s="71"/>
      <c r="H1189" s="71"/>
      <c r="I1189" s="71"/>
      <c r="J1189" s="71"/>
      <c r="K1189" s="71"/>
      <c r="L1189" s="71"/>
      <c r="M1189" s="71"/>
      <c r="N1189" s="71"/>
      <c r="O1189" s="71"/>
      <c r="P1189" s="71"/>
      <c r="Q1189" s="71"/>
      <c r="R1189" s="71"/>
      <c r="S1189" s="71"/>
      <c r="T1189" s="15"/>
    </row>
    <row r="1190">
      <c r="A1190" s="69"/>
      <c r="B1190" s="69"/>
      <c r="C1190" s="70"/>
      <c r="D1190" s="70"/>
      <c r="E1190" s="69"/>
      <c r="F1190" s="69"/>
      <c r="G1190" s="69"/>
      <c r="H1190" s="69"/>
      <c r="I1190" s="69"/>
      <c r="J1190" s="69"/>
      <c r="K1190" s="69"/>
      <c r="L1190" s="69"/>
      <c r="M1190" s="69"/>
      <c r="N1190" s="69"/>
      <c r="O1190" s="69"/>
      <c r="P1190" s="69"/>
      <c r="Q1190" s="69"/>
      <c r="R1190" s="69"/>
      <c r="S1190" s="69"/>
      <c r="T1190" s="15"/>
    </row>
    <row r="1191">
      <c r="A1191" s="71"/>
      <c r="B1191" s="71"/>
      <c r="C1191" s="72"/>
      <c r="D1191" s="72"/>
      <c r="E1191" s="71"/>
      <c r="F1191" s="71"/>
      <c r="G1191" s="71"/>
      <c r="H1191" s="71"/>
      <c r="I1191" s="71"/>
      <c r="J1191" s="71"/>
      <c r="K1191" s="71"/>
      <c r="L1191" s="71"/>
      <c r="M1191" s="71"/>
      <c r="N1191" s="71"/>
      <c r="O1191" s="71"/>
      <c r="P1191" s="71"/>
      <c r="Q1191" s="71"/>
      <c r="R1191" s="71"/>
      <c r="S1191" s="71"/>
      <c r="T1191" s="15"/>
    </row>
    <row r="1192">
      <c r="A1192" s="69"/>
      <c r="B1192" s="69"/>
      <c r="C1192" s="70"/>
      <c r="D1192" s="70"/>
      <c r="E1192" s="69"/>
      <c r="F1192" s="69"/>
      <c r="G1192" s="69"/>
      <c r="H1192" s="69"/>
      <c r="I1192" s="69"/>
      <c r="J1192" s="69"/>
      <c r="K1192" s="69"/>
      <c r="L1192" s="69"/>
      <c r="M1192" s="69"/>
      <c r="N1192" s="69"/>
      <c r="O1192" s="69"/>
      <c r="P1192" s="69"/>
      <c r="Q1192" s="69"/>
      <c r="R1192" s="69"/>
      <c r="S1192" s="69"/>
      <c r="T1192" s="15"/>
    </row>
    <row r="1193">
      <c r="A1193" s="71"/>
      <c r="B1193" s="71"/>
      <c r="C1193" s="72"/>
      <c r="D1193" s="72"/>
      <c r="E1193" s="71"/>
      <c r="F1193" s="71"/>
      <c r="G1193" s="71"/>
      <c r="H1193" s="71"/>
      <c r="I1193" s="71"/>
      <c r="J1193" s="71"/>
      <c r="K1193" s="71"/>
      <c r="L1193" s="71"/>
      <c r="M1193" s="71"/>
      <c r="N1193" s="71"/>
      <c r="O1193" s="71"/>
      <c r="P1193" s="71"/>
      <c r="Q1193" s="71"/>
      <c r="R1193" s="71"/>
      <c r="S1193" s="71"/>
      <c r="T1193" s="15"/>
    </row>
    <row r="1194">
      <c r="A1194" s="69"/>
      <c r="B1194" s="69"/>
      <c r="C1194" s="70"/>
      <c r="D1194" s="70"/>
      <c r="E1194" s="69"/>
      <c r="F1194" s="69"/>
      <c r="G1194" s="69"/>
      <c r="H1194" s="69"/>
      <c r="I1194" s="69"/>
      <c r="J1194" s="69"/>
      <c r="K1194" s="69"/>
      <c r="L1194" s="69"/>
      <c r="M1194" s="69"/>
      <c r="N1194" s="69"/>
      <c r="O1194" s="69"/>
      <c r="P1194" s="69"/>
      <c r="Q1194" s="69"/>
      <c r="R1194" s="69"/>
      <c r="S1194" s="69"/>
      <c r="T1194" s="15"/>
    </row>
    <row r="1195">
      <c r="A1195" s="71"/>
      <c r="B1195" s="71"/>
      <c r="C1195" s="72"/>
      <c r="D1195" s="72"/>
      <c r="E1195" s="71"/>
      <c r="F1195" s="71"/>
      <c r="G1195" s="71"/>
      <c r="H1195" s="71"/>
      <c r="I1195" s="71"/>
      <c r="J1195" s="71"/>
      <c r="K1195" s="71"/>
      <c r="L1195" s="71"/>
      <c r="M1195" s="71"/>
      <c r="N1195" s="71"/>
      <c r="O1195" s="71"/>
      <c r="P1195" s="71"/>
      <c r="Q1195" s="71"/>
      <c r="R1195" s="71"/>
      <c r="S1195" s="71"/>
      <c r="T1195" s="15"/>
    </row>
    <row r="1196">
      <c r="A1196" s="69"/>
      <c r="B1196" s="69"/>
      <c r="C1196" s="70"/>
      <c r="D1196" s="70"/>
      <c r="E1196" s="69"/>
      <c r="F1196" s="69"/>
      <c r="G1196" s="69"/>
      <c r="H1196" s="69"/>
      <c r="I1196" s="69"/>
      <c r="J1196" s="69"/>
      <c r="K1196" s="69"/>
      <c r="L1196" s="69"/>
      <c r="M1196" s="69"/>
      <c r="N1196" s="69"/>
      <c r="O1196" s="69"/>
      <c r="P1196" s="69"/>
      <c r="Q1196" s="69"/>
      <c r="R1196" s="69"/>
      <c r="S1196" s="69"/>
      <c r="T1196" s="15"/>
    </row>
    <row r="1197">
      <c r="A1197" s="71"/>
      <c r="B1197" s="71"/>
      <c r="C1197" s="72"/>
      <c r="D1197" s="72"/>
      <c r="E1197" s="71"/>
      <c r="F1197" s="71"/>
      <c r="G1197" s="71"/>
      <c r="H1197" s="71"/>
      <c r="I1197" s="71"/>
      <c r="J1197" s="71"/>
      <c r="K1197" s="71"/>
      <c r="L1197" s="71"/>
      <c r="M1197" s="71"/>
      <c r="N1197" s="71"/>
      <c r="O1197" s="71"/>
      <c r="P1197" s="71"/>
      <c r="Q1197" s="71"/>
      <c r="R1197" s="71"/>
      <c r="S1197" s="71"/>
      <c r="T1197" s="15"/>
    </row>
    <row r="1198">
      <c r="A1198" s="69"/>
      <c r="B1198" s="69"/>
      <c r="C1198" s="70"/>
      <c r="D1198" s="70"/>
      <c r="E1198" s="69"/>
      <c r="F1198" s="69"/>
      <c r="G1198" s="69"/>
      <c r="H1198" s="69"/>
      <c r="I1198" s="69"/>
      <c r="J1198" s="69"/>
      <c r="K1198" s="69"/>
      <c r="L1198" s="69"/>
      <c r="M1198" s="69"/>
      <c r="N1198" s="69"/>
      <c r="O1198" s="69"/>
      <c r="P1198" s="69"/>
      <c r="Q1198" s="69"/>
      <c r="R1198" s="69"/>
      <c r="S1198" s="69"/>
      <c r="T1198" s="15"/>
    </row>
    <row r="1199">
      <c r="A1199" s="71"/>
      <c r="B1199" s="71"/>
      <c r="C1199" s="72"/>
      <c r="D1199" s="72"/>
      <c r="E1199" s="71"/>
      <c r="F1199" s="71"/>
      <c r="G1199" s="71"/>
      <c r="H1199" s="71"/>
      <c r="I1199" s="71"/>
      <c r="J1199" s="71"/>
      <c r="K1199" s="71"/>
      <c r="L1199" s="71"/>
      <c r="M1199" s="71"/>
      <c r="N1199" s="71"/>
      <c r="O1199" s="71"/>
      <c r="P1199" s="71"/>
      <c r="Q1199" s="71"/>
      <c r="R1199" s="71"/>
      <c r="S1199" s="71"/>
      <c r="T1199" s="15"/>
    </row>
    <row r="1200">
      <c r="A1200" s="69"/>
      <c r="B1200" s="69"/>
      <c r="C1200" s="70"/>
      <c r="D1200" s="70"/>
      <c r="E1200" s="69"/>
      <c r="F1200" s="69"/>
      <c r="G1200" s="69"/>
      <c r="H1200" s="69"/>
      <c r="I1200" s="69"/>
      <c r="J1200" s="69"/>
      <c r="K1200" s="69"/>
      <c r="L1200" s="69"/>
      <c r="M1200" s="69"/>
      <c r="N1200" s="69"/>
      <c r="O1200" s="69"/>
      <c r="P1200" s="69"/>
      <c r="Q1200" s="69"/>
      <c r="R1200" s="69"/>
      <c r="S1200" s="69"/>
      <c r="T1200" s="15"/>
    </row>
    <row r="1201">
      <c r="A1201" s="71"/>
      <c r="B1201" s="71"/>
      <c r="C1201" s="72"/>
      <c r="D1201" s="72"/>
      <c r="E1201" s="71"/>
      <c r="F1201" s="71"/>
      <c r="G1201" s="71"/>
      <c r="H1201" s="71"/>
      <c r="I1201" s="71"/>
      <c r="J1201" s="71"/>
      <c r="K1201" s="71"/>
      <c r="L1201" s="71"/>
      <c r="M1201" s="71"/>
      <c r="N1201" s="71"/>
      <c r="O1201" s="71"/>
      <c r="P1201" s="71"/>
      <c r="Q1201" s="71"/>
      <c r="R1201" s="71"/>
      <c r="S1201" s="71"/>
      <c r="T1201" s="15"/>
    </row>
    <row r="1202">
      <c r="A1202" s="69"/>
      <c r="B1202" s="69"/>
      <c r="C1202" s="70"/>
      <c r="D1202" s="70"/>
      <c r="E1202" s="69"/>
      <c r="F1202" s="69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69"/>
      <c r="T1202" s="15"/>
    </row>
    <row r="1203">
      <c r="A1203" s="71"/>
      <c r="B1203" s="71"/>
      <c r="C1203" s="72"/>
      <c r="D1203" s="72"/>
      <c r="E1203" s="71"/>
      <c r="F1203" s="71"/>
      <c r="G1203" s="71"/>
      <c r="H1203" s="71"/>
      <c r="I1203" s="71"/>
      <c r="J1203" s="71"/>
      <c r="K1203" s="71"/>
      <c r="L1203" s="71"/>
      <c r="M1203" s="71"/>
      <c r="N1203" s="71"/>
      <c r="O1203" s="71"/>
      <c r="P1203" s="71"/>
      <c r="Q1203" s="71"/>
      <c r="R1203" s="71"/>
      <c r="S1203" s="71"/>
      <c r="T1203" s="15"/>
    </row>
    <row r="1204">
      <c r="A1204" s="69"/>
      <c r="B1204" s="69"/>
      <c r="C1204" s="70"/>
      <c r="D1204" s="70"/>
      <c r="E1204" s="69"/>
      <c r="F1204" s="69"/>
      <c r="G1204" s="69"/>
      <c r="H1204" s="69"/>
      <c r="I1204" s="69"/>
      <c r="J1204" s="69"/>
      <c r="K1204" s="69"/>
      <c r="L1204" s="69"/>
      <c r="M1204" s="69"/>
      <c r="N1204" s="69"/>
      <c r="O1204" s="69"/>
      <c r="P1204" s="69"/>
      <c r="Q1204" s="69"/>
      <c r="R1204" s="69"/>
      <c r="S1204" s="69"/>
      <c r="T1204" s="15"/>
    </row>
    <row r="1205">
      <c r="A1205" s="71"/>
      <c r="B1205" s="71"/>
      <c r="C1205" s="72"/>
      <c r="D1205" s="72"/>
      <c r="E1205" s="71"/>
      <c r="F1205" s="71"/>
      <c r="G1205" s="71"/>
      <c r="H1205" s="71"/>
      <c r="I1205" s="71"/>
      <c r="J1205" s="71"/>
      <c r="K1205" s="71"/>
      <c r="L1205" s="71"/>
      <c r="M1205" s="71"/>
      <c r="N1205" s="71"/>
      <c r="O1205" s="71"/>
      <c r="P1205" s="71"/>
      <c r="Q1205" s="71"/>
      <c r="R1205" s="71"/>
      <c r="S1205" s="71"/>
      <c r="T1205" s="15"/>
    </row>
    <row r="1206">
      <c r="A1206" s="69"/>
      <c r="B1206" s="69"/>
      <c r="C1206" s="70"/>
      <c r="D1206" s="70"/>
      <c r="E1206" s="69"/>
      <c r="F1206" s="69"/>
      <c r="G1206" s="69"/>
      <c r="H1206" s="69"/>
      <c r="I1206" s="69"/>
      <c r="J1206" s="69"/>
      <c r="K1206" s="69"/>
      <c r="L1206" s="69"/>
      <c r="M1206" s="69"/>
      <c r="N1206" s="69"/>
      <c r="O1206" s="69"/>
      <c r="P1206" s="69"/>
      <c r="Q1206" s="69"/>
      <c r="R1206" s="69"/>
      <c r="S1206" s="69"/>
      <c r="T1206" s="15"/>
    </row>
    <row r="1207">
      <c r="A1207" s="71"/>
      <c r="B1207" s="71"/>
      <c r="C1207" s="72"/>
      <c r="D1207" s="72"/>
      <c r="E1207" s="71"/>
      <c r="F1207" s="71"/>
      <c r="G1207" s="71"/>
      <c r="H1207" s="71"/>
      <c r="I1207" s="71"/>
      <c r="J1207" s="71"/>
      <c r="K1207" s="71"/>
      <c r="L1207" s="71"/>
      <c r="M1207" s="71"/>
      <c r="N1207" s="71"/>
      <c r="O1207" s="71"/>
      <c r="P1207" s="71"/>
      <c r="Q1207" s="71"/>
      <c r="R1207" s="71"/>
      <c r="S1207" s="71"/>
      <c r="T1207" s="15"/>
    </row>
    <row r="1208">
      <c r="A1208" s="69"/>
      <c r="B1208" s="69"/>
      <c r="C1208" s="70"/>
      <c r="D1208" s="70"/>
      <c r="E1208" s="69"/>
      <c r="F1208" s="69"/>
      <c r="G1208" s="69"/>
      <c r="H1208" s="69"/>
      <c r="I1208" s="69"/>
      <c r="J1208" s="69"/>
      <c r="K1208" s="69"/>
      <c r="L1208" s="69"/>
      <c r="M1208" s="69"/>
      <c r="N1208" s="69"/>
      <c r="O1208" s="69"/>
      <c r="P1208" s="69"/>
      <c r="Q1208" s="69"/>
      <c r="R1208" s="69"/>
      <c r="S1208" s="69"/>
      <c r="T1208" s="15"/>
    </row>
    <row r="1209">
      <c r="A1209" s="71"/>
      <c r="B1209" s="71"/>
      <c r="C1209" s="72"/>
      <c r="D1209" s="72"/>
      <c r="E1209" s="71"/>
      <c r="F1209" s="71"/>
      <c r="G1209" s="71"/>
      <c r="H1209" s="71"/>
      <c r="I1209" s="71"/>
      <c r="J1209" s="71"/>
      <c r="K1209" s="71"/>
      <c r="L1209" s="71"/>
      <c r="M1209" s="71"/>
      <c r="N1209" s="71"/>
      <c r="O1209" s="71"/>
      <c r="P1209" s="71"/>
      <c r="Q1209" s="71"/>
      <c r="R1209" s="71"/>
      <c r="S1209" s="71"/>
      <c r="T1209" s="15"/>
    </row>
    <row r="1210">
      <c r="A1210" s="69"/>
      <c r="B1210" s="69"/>
      <c r="C1210" s="70"/>
      <c r="D1210" s="70"/>
      <c r="E1210" s="69"/>
      <c r="F1210" s="69"/>
      <c r="G1210" s="69"/>
      <c r="H1210" s="69"/>
      <c r="I1210" s="69"/>
      <c r="J1210" s="69"/>
      <c r="K1210" s="69"/>
      <c r="L1210" s="69"/>
      <c r="M1210" s="69"/>
      <c r="N1210" s="69"/>
      <c r="O1210" s="69"/>
      <c r="P1210" s="69"/>
      <c r="Q1210" s="69"/>
      <c r="R1210" s="69"/>
      <c r="S1210" s="69"/>
      <c r="T1210" s="15"/>
    </row>
    <row r="1211">
      <c r="A1211" s="71"/>
      <c r="B1211" s="71"/>
      <c r="C1211" s="72"/>
      <c r="D1211" s="72"/>
      <c r="E1211" s="71"/>
      <c r="F1211" s="71"/>
      <c r="G1211" s="71"/>
      <c r="H1211" s="71"/>
      <c r="I1211" s="71"/>
      <c r="J1211" s="71"/>
      <c r="K1211" s="71"/>
      <c r="L1211" s="71"/>
      <c r="M1211" s="71"/>
      <c r="N1211" s="71"/>
      <c r="O1211" s="71"/>
      <c r="P1211" s="71"/>
      <c r="Q1211" s="71"/>
      <c r="R1211" s="71"/>
      <c r="S1211" s="71"/>
      <c r="T1211" s="15"/>
    </row>
    <row r="1212">
      <c r="A1212" s="69"/>
      <c r="B1212" s="69"/>
      <c r="C1212" s="70"/>
      <c r="D1212" s="70"/>
      <c r="E1212" s="69"/>
      <c r="F1212" s="69"/>
      <c r="G1212" s="69"/>
      <c r="H1212" s="69"/>
      <c r="I1212" s="69"/>
      <c r="J1212" s="69"/>
      <c r="K1212" s="69"/>
      <c r="L1212" s="69"/>
      <c r="M1212" s="69"/>
      <c r="N1212" s="69"/>
      <c r="O1212" s="69"/>
      <c r="P1212" s="69"/>
      <c r="Q1212" s="69"/>
      <c r="R1212" s="69"/>
      <c r="S1212" s="69"/>
      <c r="T1212" s="15"/>
    </row>
    <row r="1213">
      <c r="A1213" s="71"/>
      <c r="B1213" s="71"/>
      <c r="C1213" s="72"/>
      <c r="D1213" s="72"/>
      <c r="E1213" s="71"/>
      <c r="F1213" s="71"/>
      <c r="G1213" s="71"/>
      <c r="H1213" s="71"/>
      <c r="I1213" s="71"/>
      <c r="J1213" s="71"/>
      <c r="K1213" s="71"/>
      <c r="L1213" s="71"/>
      <c r="M1213" s="71"/>
      <c r="N1213" s="71"/>
      <c r="O1213" s="71"/>
      <c r="P1213" s="71"/>
      <c r="Q1213" s="71"/>
      <c r="R1213" s="71"/>
      <c r="S1213" s="71"/>
      <c r="T1213" s="15"/>
    </row>
    <row r="1214">
      <c r="A1214" s="69"/>
      <c r="B1214" s="69"/>
      <c r="C1214" s="70"/>
      <c r="D1214" s="70"/>
      <c r="E1214" s="69"/>
      <c r="F1214" s="69"/>
      <c r="G1214" s="69"/>
      <c r="H1214" s="69"/>
      <c r="I1214" s="69"/>
      <c r="J1214" s="69"/>
      <c r="K1214" s="69"/>
      <c r="L1214" s="69"/>
      <c r="M1214" s="69"/>
      <c r="N1214" s="69"/>
      <c r="O1214" s="69"/>
      <c r="P1214" s="69"/>
      <c r="Q1214" s="69"/>
      <c r="R1214" s="69"/>
      <c r="S1214" s="69"/>
      <c r="T1214" s="15"/>
    </row>
    <row r="1215">
      <c r="A1215" s="71"/>
      <c r="B1215" s="71"/>
      <c r="C1215" s="72"/>
      <c r="D1215" s="72"/>
      <c r="E1215" s="71"/>
      <c r="F1215" s="71"/>
      <c r="G1215" s="71"/>
      <c r="H1215" s="71"/>
      <c r="I1215" s="71"/>
      <c r="J1215" s="71"/>
      <c r="K1215" s="71"/>
      <c r="L1215" s="71"/>
      <c r="M1215" s="71"/>
      <c r="N1215" s="71"/>
      <c r="O1215" s="71"/>
      <c r="P1215" s="71"/>
      <c r="Q1215" s="71"/>
      <c r="R1215" s="71"/>
      <c r="S1215" s="71"/>
      <c r="T1215" s="15"/>
    </row>
    <row r="1216">
      <c r="A1216" s="69"/>
      <c r="B1216" s="69"/>
      <c r="C1216" s="70"/>
      <c r="D1216" s="70"/>
      <c r="E1216" s="69"/>
      <c r="F1216" s="69"/>
      <c r="G1216" s="69"/>
      <c r="H1216" s="69"/>
      <c r="I1216" s="69"/>
      <c r="J1216" s="69"/>
      <c r="K1216" s="69"/>
      <c r="L1216" s="69"/>
      <c r="M1216" s="69"/>
      <c r="N1216" s="69"/>
      <c r="O1216" s="69"/>
      <c r="P1216" s="69"/>
      <c r="Q1216" s="69"/>
      <c r="R1216" s="69"/>
      <c r="S1216" s="69"/>
      <c r="T1216" s="15"/>
    </row>
    <row r="1217">
      <c r="A1217" s="71"/>
      <c r="B1217" s="71"/>
      <c r="C1217" s="72"/>
      <c r="D1217" s="72"/>
      <c r="E1217" s="71"/>
      <c r="F1217" s="71"/>
      <c r="G1217" s="71"/>
      <c r="H1217" s="71"/>
      <c r="I1217" s="71"/>
      <c r="J1217" s="71"/>
      <c r="K1217" s="71"/>
      <c r="L1217" s="71"/>
      <c r="M1217" s="71"/>
      <c r="N1217" s="71"/>
      <c r="O1217" s="71"/>
      <c r="P1217" s="71"/>
      <c r="Q1217" s="71"/>
      <c r="R1217" s="71"/>
      <c r="S1217" s="71"/>
      <c r="T1217" s="15"/>
    </row>
    <row r="1218">
      <c r="A1218" s="69"/>
      <c r="B1218" s="69"/>
      <c r="C1218" s="70"/>
      <c r="D1218" s="70"/>
      <c r="E1218" s="69"/>
      <c r="F1218" s="69"/>
      <c r="G1218" s="69"/>
      <c r="H1218" s="69"/>
      <c r="I1218" s="69"/>
      <c r="J1218" s="69"/>
      <c r="K1218" s="69"/>
      <c r="L1218" s="69"/>
      <c r="M1218" s="69"/>
      <c r="N1218" s="69"/>
      <c r="O1218" s="69"/>
      <c r="P1218" s="69"/>
      <c r="Q1218" s="69"/>
      <c r="R1218" s="69"/>
      <c r="S1218" s="69"/>
      <c r="T1218" s="15"/>
    </row>
    <row r="1219">
      <c r="A1219" s="71"/>
      <c r="B1219" s="71"/>
      <c r="C1219" s="72"/>
      <c r="D1219" s="72"/>
      <c r="E1219" s="71"/>
      <c r="F1219" s="71"/>
      <c r="G1219" s="71"/>
      <c r="H1219" s="71"/>
      <c r="I1219" s="71"/>
      <c r="J1219" s="71"/>
      <c r="K1219" s="71"/>
      <c r="L1219" s="71"/>
      <c r="M1219" s="71"/>
      <c r="N1219" s="71"/>
      <c r="O1219" s="71"/>
      <c r="P1219" s="71"/>
      <c r="Q1219" s="71"/>
      <c r="R1219" s="71"/>
      <c r="S1219" s="71"/>
      <c r="T1219" s="15"/>
    </row>
    <row r="1220">
      <c r="A1220" s="69"/>
      <c r="B1220" s="69"/>
      <c r="C1220" s="70"/>
      <c r="D1220" s="70"/>
      <c r="E1220" s="69"/>
      <c r="F1220" s="69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15"/>
    </row>
    <row r="1221">
      <c r="A1221" s="71"/>
      <c r="B1221" s="71"/>
      <c r="C1221" s="72"/>
      <c r="D1221" s="72"/>
      <c r="E1221" s="71"/>
      <c r="F1221" s="71"/>
      <c r="G1221" s="71"/>
      <c r="H1221" s="71"/>
      <c r="I1221" s="71"/>
      <c r="J1221" s="71"/>
      <c r="K1221" s="71"/>
      <c r="L1221" s="71"/>
      <c r="M1221" s="71"/>
      <c r="N1221" s="71"/>
      <c r="O1221" s="71"/>
      <c r="P1221" s="71"/>
      <c r="Q1221" s="71"/>
      <c r="R1221" s="71"/>
      <c r="S1221" s="71"/>
      <c r="T1221" s="15"/>
    </row>
    <row r="1222">
      <c r="A1222" s="69"/>
      <c r="B1222" s="69"/>
      <c r="C1222" s="70"/>
      <c r="D1222" s="70"/>
      <c r="E1222" s="69"/>
      <c r="F1222" s="69"/>
      <c r="G1222" s="69"/>
      <c r="H1222" s="69"/>
      <c r="I1222" s="69"/>
      <c r="J1222" s="69"/>
      <c r="K1222" s="69"/>
      <c r="L1222" s="69"/>
      <c r="M1222" s="69"/>
      <c r="N1222" s="69"/>
      <c r="O1222" s="69"/>
      <c r="P1222" s="69"/>
      <c r="Q1222" s="69"/>
      <c r="R1222" s="69"/>
      <c r="S1222" s="69"/>
      <c r="T1222" s="15"/>
    </row>
    <row r="1223">
      <c r="A1223" s="71"/>
      <c r="B1223" s="71"/>
      <c r="C1223" s="72"/>
      <c r="D1223" s="72"/>
      <c r="E1223" s="71"/>
      <c r="F1223" s="71"/>
      <c r="G1223" s="71"/>
      <c r="H1223" s="71"/>
      <c r="I1223" s="71"/>
      <c r="J1223" s="71"/>
      <c r="K1223" s="71"/>
      <c r="L1223" s="71"/>
      <c r="M1223" s="71"/>
      <c r="N1223" s="71"/>
      <c r="O1223" s="71"/>
      <c r="P1223" s="71"/>
      <c r="Q1223" s="71"/>
      <c r="R1223" s="71"/>
      <c r="S1223" s="71"/>
      <c r="T1223" s="15"/>
    </row>
    <row r="1224">
      <c r="A1224" s="69"/>
      <c r="B1224" s="69"/>
      <c r="C1224" s="70"/>
      <c r="D1224" s="70"/>
      <c r="E1224" s="69"/>
      <c r="F1224" s="69"/>
      <c r="G1224" s="69"/>
      <c r="H1224" s="69"/>
      <c r="I1224" s="69"/>
      <c r="J1224" s="69"/>
      <c r="K1224" s="69"/>
      <c r="L1224" s="69"/>
      <c r="M1224" s="69"/>
      <c r="N1224" s="69"/>
      <c r="O1224" s="69"/>
      <c r="P1224" s="69"/>
      <c r="Q1224" s="69"/>
      <c r="R1224" s="69"/>
      <c r="S1224" s="69"/>
      <c r="T1224" s="15"/>
    </row>
    <row r="1225">
      <c r="A1225" s="71"/>
      <c r="B1225" s="71"/>
      <c r="C1225" s="72"/>
      <c r="D1225" s="72"/>
      <c r="E1225" s="71"/>
      <c r="F1225" s="71"/>
      <c r="G1225" s="71"/>
      <c r="H1225" s="71"/>
      <c r="I1225" s="71"/>
      <c r="J1225" s="71"/>
      <c r="K1225" s="71"/>
      <c r="L1225" s="71"/>
      <c r="M1225" s="71"/>
      <c r="N1225" s="71"/>
      <c r="O1225" s="71"/>
      <c r="P1225" s="71"/>
      <c r="Q1225" s="71"/>
      <c r="R1225" s="71"/>
      <c r="S1225" s="71"/>
      <c r="T1225" s="15"/>
    </row>
    <row r="1226">
      <c r="A1226" s="69"/>
      <c r="B1226" s="69"/>
      <c r="C1226" s="70"/>
      <c r="D1226" s="70"/>
      <c r="E1226" s="69"/>
      <c r="F1226" s="69"/>
      <c r="G1226" s="69"/>
      <c r="H1226" s="69"/>
      <c r="I1226" s="69"/>
      <c r="J1226" s="69"/>
      <c r="K1226" s="69"/>
      <c r="L1226" s="69"/>
      <c r="M1226" s="69"/>
      <c r="N1226" s="69"/>
      <c r="O1226" s="69"/>
      <c r="P1226" s="69"/>
      <c r="Q1226" s="69"/>
      <c r="R1226" s="69"/>
      <c r="S1226" s="69"/>
      <c r="T1226" s="15"/>
    </row>
    <row r="1227">
      <c r="A1227" s="71"/>
      <c r="B1227" s="71"/>
      <c r="C1227" s="72"/>
      <c r="D1227" s="72"/>
      <c r="E1227" s="71"/>
      <c r="F1227" s="71"/>
      <c r="G1227" s="71"/>
      <c r="H1227" s="71"/>
      <c r="I1227" s="71"/>
      <c r="J1227" s="71"/>
      <c r="K1227" s="71"/>
      <c r="L1227" s="71"/>
      <c r="M1227" s="71"/>
      <c r="N1227" s="71"/>
      <c r="O1227" s="71"/>
      <c r="P1227" s="71"/>
      <c r="Q1227" s="71"/>
      <c r="R1227" s="71"/>
      <c r="S1227" s="71"/>
      <c r="T1227" s="15"/>
    </row>
    <row r="1228">
      <c r="A1228" s="69"/>
      <c r="B1228" s="69"/>
      <c r="C1228" s="70"/>
      <c r="D1228" s="70"/>
      <c r="E1228" s="69"/>
      <c r="F1228" s="69"/>
      <c r="G1228" s="69"/>
      <c r="H1228" s="69"/>
      <c r="I1228" s="69"/>
      <c r="J1228" s="69"/>
      <c r="K1228" s="69"/>
      <c r="L1228" s="69"/>
      <c r="M1228" s="69"/>
      <c r="N1228" s="69"/>
      <c r="O1228" s="69"/>
      <c r="P1228" s="69"/>
      <c r="Q1228" s="69"/>
      <c r="R1228" s="69"/>
      <c r="S1228" s="69"/>
      <c r="T1228" s="15"/>
    </row>
    <row r="1229">
      <c r="A1229" s="71"/>
      <c r="B1229" s="71"/>
      <c r="C1229" s="72"/>
      <c r="D1229" s="72"/>
      <c r="E1229" s="71"/>
      <c r="F1229" s="71"/>
      <c r="G1229" s="71"/>
      <c r="H1229" s="71"/>
      <c r="I1229" s="71"/>
      <c r="J1229" s="71"/>
      <c r="K1229" s="71"/>
      <c r="L1229" s="71"/>
      <c r="M1229" s="71"/>
      <c r="N1229" s="71"/>
      <c r="O1229" s="71"/>
      <c r="P1229" s="71"/>
      <c r="Q1229" s="71"/>
      <c r="R1229" s="71"/>
      <c r="S1229" s="71"/>
      <c r="T1229" s="15"/>
    </row>
    <row r="1230">
      <c r="A1230" s="69"/>
      <c r="B1230" s="69"/>
      <c r="C1230" s="70"/>
      <c r="D1230" s="70"/>
      <c r="E1230" s="69"/>
      <c r="F1230" s="69"/>
      <c r="G1230" s="69"/>
      <c r="H1230" s="69"/>
      <c r="I1230" s="69"/>
      <c r="J1230" s="69"/>
      <c r="K1230" s="69"/>
      <c r="L1230" s="69"/>
      <c r="M1230" s="69"/>
      <c r="N1230" s="69"/>
      <c r="O1230" s="69"/>
      <c r="P1230" s="69"/>
      <c r="Q1230" s="69"/>
      <c r="R1230" s="69"/>
      <c r="S1230" s="69"/>
      <c r="T1230" s="15"/>
    </row>
    <row r="1231">
      <c r="A1231" s="71"/>
      <c r="B1231" s="71"/>
      <c r="C1231" s="72"/>
      <c r="D1231" s="72"/>
      <c r="E1231" s="71"/>
      <c r="F1231" s="71"/>
      <c r="G1231" s="71"/>
      <c r="H1231" s="71"/>
      <c r="I1231" s="71"/>
      <c r="J1231" s="71"/>
      <c r="K1231" s="71"/>
      <c r="L1231" s="71"/>
      <c r="M1231" s="71"/>
      <c r="N1231" s="71"/>
      <c r="O1231" s="71"/>
      <c r="P1231" s="71"/>
      <c r="Q1231" s="71"/>
      <c r="R1231" s="71"/>
      <c r="S1231" s="71"/>
      <c r="T1231" s="15"/>
    </row>
    <row r="1232">
      <c r="A1232" s="69"/>
      <c r="B1232" s="69"/>
      <c r="C1232" s="70"/>
      <c r="D1232" s="70"/>
      <c r="E1232" s="69"/>
      <c r="F1232" s="69"/>
      <c r="G1232" s="69"/>
      <c r="H1232" s="69"/>
      <c r="I1232" s="69"/>
      <c r="J1232" s="69"/>
      <c r="K1232" s="69"/>
      <c r="L1232" s="69"/>
      <c r="M1232" s="69"/>
      <c r="N1232" s="69"/>
      <c r="O1232" s="69"/>
      <c r="P1232" s="69"/>
      <c r="Q1232" s="69"/>
      <c r="R1232" s="69"/>
      <c r="S1232" s="69"/>
      <c r="T1232" s="15"/>
    </row>
    <row r="1233">
      <c r="A1233" s="71"/>
      <c r="B1233" s="71"/>
      <c r="C1233" s="72"/>
      <c r="D1233" s="72"/>
      <c r="E1233" s="71"/>
      <c r="F1233" s="71"/>
      <c r="G1233" s="71"/>
      <c r="H1233" s="71"/>
      <c r="I1233" s="71"/>
      <c r="J1233" s="71"/>
      <c r="K1233" s="71"/>
      <c r="L1233" s="71"/>
      <c r="M1233" s="71"/>
      <c r="N1233" s="71"/>
      <c r="O1233" s="71"/>
      <c r="P1233" s="71"/>
      <c r="Q1233" s="71"/>
      <c r="R1233" s="71"/>
      <c r="S1233" s="71"/>
      <c r="T1233" s="15"/>
    </row>
    <row r="1234">
      <c r="A1234" s="69"/>
      <c r="B1234" s="69"/>
      <c r="C1234" s="70"/>
      <c r="D1234" s="70"/>
      <c r="E1234" s="69"/>
      <c r="F1234" s="69"/>
      <c r="G1234" s="69"/>
      <c r="H1234" s="69"/>
      <c r="I1234" s="69"/>
      <c r="J1234" s="69"/>
      <c r="K1234" s="69"/>
      <c r="L1234" s="69"/>
      <c r="M1234" s="69"/>
      <c r="N1234" s="69"/>
      <c r="O1234" s="69"/>
      <c r="P1234" s="69"/>
      <c r="Q1234" s="69"/>
      <c r="R1234" s="69"/>
      <c r="S1234" s="69"/>
      <c r="T1234" s="15"/>
    </row>
    <row r="1235">
      <c r="A1235" s="71"/>
      <c r="B1235" s="71"/>
      <c r="C1235" s="72"/>
      <c r="D1235" s="72"/>
      <c r="E1235" s="71"/>
      <c r="F1235" s="71"/>
      <c r="G1235" s="71"/>
      <c r="H1235" s="71"/>
      <c r="I1235" s="71"/>
      <c r="J1235" s="71"/>
      <c r="K1235" s="71"/>
      <c r="L1235" s="71"/>
      <c r="M1235" s="71"/>
      <c r="N1235" s="71"/>
      <c r="O1235" s="71"/>
      <c r="P1235" s="71"/>
      <c r="Q1235" s="71"/>
      <c r="R1235" s="71"/>
      <c r="S1235" s="71"/>
      <c r="T1235" s="15"/>
    </row>
    <row r="1236">
      <c r="A1236" s="69"/>
      <c r="B1236" s="69"/>
      <c r="C1236" s="70"/>
      <c r="D1236" s="70"/>
      <c r="E1236" s="69"/>
      <c r="F1236" s="69"/>
      <c r="G1236" s="69"/>
      <c r="H1236" s="69"/>
      <c r="I1236" s="69"/>
      <c r="J1236" s="69"/>
      <c r="K1236" s="69"/>
      <c r="L1236" s="69"/>
      <c r="M1236" s="69"/>
      <c r="N1236" s="69"/>
      <c r="O1236" s="69"/>
      <c r="P1236" s="69"/>
      <c r="Q1236" s="69"/>
      <c r="R1236" s="69"/>
      <c r="S1236" s="69"/>
      <c r="T1236" s="15"/>
    </row>
    <row r="1237">
      <c r="A1237" s="71"/>
      <c r="B1237" s="71"/>
      <c r="C1237" s="72"/>
      <c r="D1237" s="72"/>
      <c r="E1237" s="71"/>
      <c r="F1237" s="71"/>
      <c r="G1237" s="71"/>
      <c r="H1237" s="71"/>
      <c r="I1237" s="71"/>
      <c r="J1237" s="71"/>
      <c r="K1237" s="71"/>
      <c r="L1237" s="71"/>
      <c r="M1237" s="71"/>
      <c r="N1237" s="71"/>
      <c r="O1237" s="71"/>
      <c r="P1237" s="71"/>
      <c r="Q1237" s="71"/>
      <c r="R1237" s="71"/>
      <c r="S1237" s="71"/>
      <c r="T1237" s="15"/>
    </row>
    <row r="1238">
      <c r="A1238" s="69"/>
      <c r="B1238" s="69"/>
      <c r="C1238" s="70"/>
      <c r="D1238" s="70"/>
      <c r="E1238" s="69"/>
      <c r="F1238" s="69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69"/>
      <c r="T1238" s="15"/>
    </row>
    <row r="1239">
      <c r="A1239" s="71"/>
      <c r="B1239" s="71"/>
      <c r="C1239" s="72"/>
      <c r="D1239" s="72"/>
      <c r="E1239" s="71"/>
      <c r="F1239" s="71"/>
      <c r="G1239" s="71"/>
      <c r="H1239" s="71"/>
      <c r="I1239" s="71"/>
      <c r="J1239" s="71"/>
      <c r="K1239" s="71"/>
      <c r="L1239" s="71"/>
      <c r="M1239" s="71"/>
      <c r="N1239" s="71"/>
      <c r="O1239" s="71"/>
      <c r="P1239" s="71"/>
      <c r="Q1239" s="71"/>
      <c r="R1239" s="71"/>
      <c r="S1239" s="71"/>
      <c r="T1239" s="15"/>
    </row>
    <row r="1240">
      <c r="A1240" s="69"/>
      <c r="B1240" s="69"/>
      <c r="C1240" s="70"/>
      <c r="D1240" s="70"/>
      <c r="E1240" s="69"/>
      <c r="F1240" s="69"/>
      <c r="G1240" s="69"/>
      <c r="H1240" s="69"/>
      <c r="I1240" s="69"/>
      <c r="J1240" s="69"/>
      <c r="K1240" s="69"/>
      <c r="L1240" s="69"/>
      <c r="M1240" s="69"/>
      <c r="N1240" s="69"/>
      <c r="O1240" s="69"/>
      <c r="P1240" s="69"/>
      <c r="Q1240" s="69"/>
      <c r="R1240" s="69"/>
      <c r="S1240" s="69"/>
      <c r="T1240" s="15"/>
    </row>
    <row r="1241">
      <c r="A1241" s="71"/>
      <c r="B1241" s="71"/>
      <c r="C1241" s="72"/>
      <c r="D1241" s="72"/>
      <c r="E1241" s="71"/>
      <c r="F1241" s="71"/>
      <c r="G1241" s="71"/>
      <c r="H1241" s="71"/>
      <c r="I1241" s="71"/>
      <c r="J1241" s="71"/>
      <c r="K1241" s="71"/>
      <c r="L1241" s="71"/>
      <c r="M1241" s="71"/>
      <c r="N1241" s="71"/>
      <c r="O1241" s="71"/>
      <c r="P1241" s="71"/>
      <c r="Q1241" s="71"/>
      <c r="R1241" s="71"/>
      <c r="S1241" s="71"/>
      <c r="T1241" s="15"/>
    </row>
    <row r="1242">
      <c r="A1242" s="69"/>
      <c r="B1242" s="69"/>
      <c r="C1242" s="70"/>
      <c r="D1242" s="70"/>
      <c r="E1242" s="69"/>
      <c r="F1242" s="69"/>
      <c r="G1242" s="69"/>
      <c r="H1242" s="69"/>
      <c r="I1242" s="69"/>
      <c r="J1242" s="69"/>
      <c r="K1242" s="69"/>
      <c r="L1242" s="69"/>
      <c r="M1242" s="69"/>
      <c r="N1242" s="69"/>
      <c r="O1242" s="69"/>
      <c r="P1242" s="69"/>
      <c r="Q1242" s="69"/>
      <c r="R1242" s="69"/>
      <c r="S1242" s="69"/>
      <c r="T1242" s="15"/>
    </row>
    <row r="1243">
      <c r="A1243" s="71"/>
      <c r="B1243" s="71"/>
      <c r="C1243" s="72"/>
      <c r="D1243" s="72"/>
      <c r="E1243" s="71"/>
      <c r="F1243" s="71"/>
      <c r="G1243" s="71"/>
      <c r="H1243" s="71"/>
      <c r="I1243" s="71"/>
      <c r="J1243" s="71"/>
      <c r="K1243" s="71"/>
      <c r="L1243" s="71"/>
      <c r="M1243" s="71"/>
      <c r="N1243" s="71"/>
      <c r="O1243" s="71"/>
      <c r="P1243" s="71"/>
      <c r="Q1243" s="71"/>
      <c r="R1243" s="71"/>
      <c r="S1243" s="71"/>
      <c r="T1243" s="15"/>
    </row>
    <row r="1244">
      <c r="A1244" s="69"/>
      <c r="B1244" s="69"/>
      <c r="C1244" s="70"/>
      <c r="D1244" s="70"/>
      <c r="E1244" s="69"/>
      <c r="F1244" s="69"/>
      <c r="G1244" s="69"/>
      <c r="H1244" s="69"/>
      <c r="I1244" s="69"/>
      <c r="J1244" s="69"/>
      <c r="K1244" s="69"/>
      <c r="L1244" s="69"/>
      <c r="M1244" s="69"/>
      <c r="N1244" s="69"/>
      <c r="O1244" s="69"/>
      <c r="P1244" s="69"/>
      <c r="Q1244" s="69"/>
      <c r="R1244" s="69"/>
      <c r="S1244" s="69"/>
      <c r="T1244" s="15"/>
    </row>
    <row r="1245">
      <c r="A1245" s="71"/>
      <c r="B1245" s="71"/>
      <c r="C1245" s="72"/>
      <c r="D1245" s="72"/>
      <c r="E1245" s="71"/>
      <c r="F1245" s="71"/>
      <c r="G1245" s="71"/>
      <c r="H1245" s="71"/>
      <c r="I1245" s="71"/>
      <c r="J1245" s="71"/>
      <c r="K1245" s="71"/>
      <c r="L1245" s="71"/>
      <c r="M1245" s="71"/>
      <c r="N1245" s="71"/>
      <c r="O1245" s="71"/>
      <c r="P1245" s="71"/>
      <c r="Q1245" s="71"/>
      <c r="R1245" s="71"/>
      <c r="S1245" s="71"/>
      <c r="T1245" s="15"/>
    </row>
    <row r="1246">
      <c r="A1246" s="69"/>
      <c r="B1246" s="69"/>
      <c r="C1246" s="70"/>
      <c r="D1246" s="70"/>
      <c r="E1246" s="69"/>
      <c r="F1246" s="69"/>
      <c r="G1246" s="69"/>
      <c r="H1246" s="69"/>
      <c r="I1246" s="69"/>
      <c r="J1246" s="69"/>
      <c r="K1246" s="69"/>
      <c r="L1246" s="69"/>
      <c r="M1246" s="69"/>
      <c r="N1246" s="69"/>
      <c r="O1246" s="69"/>
      <c r="P1246" s="69"/>
      <c r="Q1246" s="69"/>
      <c r="R1246" s="69"/>
      <c r="S1246" s="69"/>
      <c r="T1246" s="15"/>
    </row>
    <row r="1247">
      <c r="A1247" s="71"/>
      <c r="B1247" s="71"/>
      <c r="C1247" s="72"/>
      <c r="D1247" s="72"/>
      <c r="E1247" s="71"/>
      <c r="F1247" s="71"/>
      <c r="G1247" s="71"/>
      <c r="H1247" s="71"/>
      <c r="I1247" s="71"/>
      <c r="J1247" s="71"/>
      <c r="K1247" s="71"/>
      <c r="L1247" s="71"/>
      <c r="M1247" s="71"/>
      <c r="N1247" s="71"/>
      <c r="O1247" s="71"/>
      <c r="P1247" s="71"/>
      <c r="Q1247" s="71"/>
      <c r="R1247" s="71"/>
      <c r="S1247" s="71"/>
      <c r="T1247" s="15"/>
    </row>
    <row r="1248">
      <c r="A1248" s="69"/>
      <c r="B1248" s="69"/>
      <c r="C1248" s="70"/>
      <c r="D1248" s="70"/>
      <c r="E1248" s="69"/>
      <c r="F1248" s="69"/>
      <c r="G1248" s="69"/>
      <c r="H1248" s="69"/>
      <c r="I1248" s="69"/>
      <c r="J1248" s="69"/>
      <c r="K1248" s="69"/>
      <c r="L1248" s="69"/>
      <c r="M1248" s="69"/>
      <c r="N1248" s="69"/>
      <c r="O1248" s="69"/>
      <c r="P1248" s="69"/>
      <c r="Q1248" s="69"/>
      <c r="R1248" s="69"/>
      <c r="S1248" s="69"/>
      <c r="T1248" s="15"/>
    </row>
    <row r="1249">
      <c r="A1249" s="71"/>
      <c r="B1249" s="71"/>
      <c r="C1249" s="72"/>
      <c r="D1249" s="72"/>
      <c r="E1249" s="71"/>
      <c r="F1249" s="71"/>
      <c r="G1249" s="71"/>
      <c r="H1249" s="71"/>
      <c r="I1249" s="71"/>
      <c r="J1249" s="71"/>
      <c r="K1249" s="71"/>
      <c r="L1249" s="71"/>
      <c r="M1249" s="71"/>
      <c r="N1249" s="71"/>
      <c r="O1249" s="71"/>
      <c r="P1249" s="71"/>
      <c r="Q1249" s="71"/>
      <c r="R1249" s="71"/>
      <c r="S1249" s="71"/>
      <c r="T1249" s="15"/>
    </row>
    <row r="1250">
      <c r="A1250" s="69"/>
      <c r="B1250" s="69"/>
      <c r="C1250" s="70"/>
      <c r="D1250" s="70"/>
      <c r="E1250" s="69"/>
      <c r="F1250" s="69"/>
      <c r="G1250" s="69"/>
      <c r="H1250" s="69"/>
      <c r="I1250" s="69"/>
      <c r="J1250" s="69"/>
      <c r="K1250" s="69"/>
      <c r="L1250" s="69"/>
      <c r="M1250" s="69"/>
      <c r="N1250" s="69"/>
      <c r="O1250" s="69"/>
      <c r="P1250" s="69"/>
      <c r="Q1250" s="69"/>
      <c r="R1250" s="69"/>
      <c r="S1250" s="69"/>
      <c r="T1250" s="15"/>
    </row>
    <row r="1251">
      <c r="A1251" s="71"/>
      <c r="B1251" s="71"/>
      <c r="C1251" s="72"/>
      <c r="D1251" s="72"/>
      <c r="E1251" s="71"/>
      <c r="F1251" s="71"/>
      <c r="G1251" s="71"/>
      <c r="H1251" s="71"/>
      <c r="I1251" s="71"/>
      <c r="J1251" s="71"/>
      <c r="K1251" s="71"/>
      <c r="L1251" s="71"/>
      <c r="M1251" s="71"/>
      <c r="N1251" s="71"/>
      <c r="O1251" s="71"/>
      <c r="P1251" s="71"/>
      <c r="Q1251" s="71"/>
      <c r="R1251" s="71"/>
      <c r="S1251" s="71"/>
      <c r="T1251" s="15"/>
    </row>
    <row r="1252">
      <c r="A1252" s="69"/>
      <c r="B1252" s="69"/>
      <c r="C1252" s="70"/>
      <c r="D1252" s="70"/>
      <c r="E1252" s="69"/>
      <c r="F1252" s="69"/>
      <c r="G1252" s="69"/>
      <c r="H1252" s="69"/>
      <c r="I1252" s="69"/>
      <c r="J1252" s="69"/>
      <c r="K1252" s="69"/>
      <c r="L1252" s="69"/>
      <c r="M1252" s="69"/>
      <c r="N1252" s="69"/>
      <c r="O1252" s="69"/>
      <c r="P1252" s="69"/>
      <c r="Q1252" s="69"/>
      <c r="R1252" s="69"/>
      <c r="S1252" s="69"/>
      <c r="T1252" s="15"/>
    </row>
    <row r="1253">
      <c r="A1253" s="71"/>
      <c r="B1253" s="71"/>
      <c r="C1253" s="72"/>
      <c r="D1253" s="72"/>
      <c r="E1253" s="71"/>
      <c r="F1253" s="71"/>
      <c r="G1253" s="71"/>
      <c r="H1253" s="71"/>
      <c r="I1253" s="71"/>
      <c r="J1253" s="71"/>
      <c r="K1253" s="71"/>
      <c r="L1253" s="71"/>
      <c r="M1253" s="71"/>
      <c r="N1253" s="71"/>
      <c r="O1253" s="71"/>
      <c r="P1253" s="71"/>
      <c r="Q1253" s="71"/>
      <c r="R1253" s="71"/>
      <c r="S1253" s="71"/>
      <c r="T1253" s="15"/>
    </row>
    <row r="1254">
      <c r="A1254" s="69"/>
      <c r="B1254" s="69"/>
      <c r="C1254" s="70"/>
      <c r="D1254" s="70"/>
      <c r="E1254" s="69"/>
      <c r="F1254" s="69"/>
      <c r="G1254" s="69"/>
      <c r="H1254" s="69"/>
      <c r="I1254" s="69"/>
      <c r="J1254" s="69"/>
      <c r="K1254" s="69"/>
      <c r="L1254" s="69"/>
      <c r="M1254" s="69"/>
      <c r="N1254" s="69"/>
      <c r="O1254" s="69"/>
      <c r="P1254" s="69"/>
      <c r="Q1254" s="69"/>
      <c r="R1254" s="69"/>
      <c r="S1254" s="69"/>
      <c r="T1254" s="15"/>
    </row>
    <row r="1255">
      <c r="A1255" s="71"/>
      <c r="B1255" s="71"/>
      <c r="C1255" s="72"/>
      <c r="D1255" s="72"/>
      <c r="E1255" s="71"/>
      <c r="F1255" s="71"/>
      <c r="G1255" s="71"/>
      <c r="H1255" s="71"/>
      <c r="I1255" s="71"/>
      <c r="J1255" s="71"/>
      <c r="K1255" s="71"/>
      <c r="L1255" s="71"/>
      <c r="M1255" s="71"/>
      <c r="N1255" s="71"/>
      <c r="O1255" s="71"/>
      <c r="P1255" s="71"/>
      <c r="Q1255" s="71"/>
      <c r="R1255" s="71"/>
      <c r="S1255" s="71"/>
      <c r="T1255" s="15"/>
    </row>
    <row r="1256">
      <c r="A1256" s="69"/>
      <c r="B1256" s="69"/>
      <c r="C1256" s="70"/>
      <c r="D1256" s="70"/>
      <c r="E1256" s="69"/>
      <c r="F1256" s="69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69"/>
      <c r="T1256" s="15"/>
    </row>
    <row r="1257">
      <c r="A1257" s="71"/>
      <c r="B1257" s="71"/>
      <c r="C1257" s="72"/>
      <c r="D1257" s="72"/>
      <c r="E1257" s="71"/>
      <c r="F1257" s="71"/>
      <c r="G1257" s="71"/>
      <c r="H1257" s="71"/>
      <c r="I1257" s="71"/>
      <c r="J1257" s="71"/>
      <c r="K1257" s="71"/>
      <c r="L1257" s="71"/>
      <c r="M1257" s="71"/>
      <c r="N1257" s="71"/>
      <c r="O1257" s="71"/>
      <c r="P1257" s="71"/>
      <c r="Q1257" s="71"/>
      <c r="R1257" s="71"/>
      <c r="S1257" s="71"/>
      <c r="T1257" s="15"/>
    </row>
    <row r="1258">
      <c r="A1258" s="69"/>
      <c r="B1258" s="69"/>
      <c r="C1258" s="70"/>
      <c r="D1258" s="70"/>
      <c r="E1258" s="69"/>
      <c r="F1258" s="69"/>
      <c r="G1258" s="69"/>
      <c r="H1258" s="69"/>
      <c r="I1258" s="69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15"/>
    </row>
    <row r="1259">
      <c r="A1259" s="71"/>
      <c r="B1259" s="71"/>
      <c r="C1259" s="72"/>
      <c r="D1259" s="72"/>
      <c r="E1259" s="71"/>
      <c r="F1259" s="71"/>
      <c r="G1259" s="71"/>
      <c r="H1259" s="71"/>
      <c r="I1259" s="71"/>
      <c r="J1259" s="71"/>
      <c r="K1259" s="71"/>
      <c r="L1259" s="71"/>
      <c r="M1259" s="71"/>
      <c r="N1259" s="71"/>
      <c r="O1259" s="71"/>
      <c r="P1259" s="71"/>
      <c r="Q1259" s="71"/>
      <c r="R1259" s="71"/>
      <c r="S1259" s="71"/>
      <c r="T1259" s="15"/>
    </row>
    <row r="1260">
      <c r="A1260" s="69"/>
      <c r="B1260" s="69"/>
      <c r="C1260" s="70"/>
      <c r="D1260" s="70"/>
      <c r="E1260" s="69"/>
      <c r="F1260" s="69"/>
      <c r="G1260" s="69"/>
      <c r="H1260" s="69"/>
      <c r="I1260" s="69"/>
      <c r="J1260" s="69"/>
      <c r="K1260" s="69"/>
      <c r="L1260" s="69"/>
      <c r="M1260" s="69"/>
      <c r="N1260" s="69"/>
      <c r="O1260" s="69"/>
      <c r="P1260" s="69"/>
      <c r="Q1260" s="69"/>
      <c r="R1260" s="69"/>
      <c r="S1260" s="69"/>
      <c r="T1260" s="15"/>
    </row>
    <row r="1261">
      <c r="A1261" s="71"/>
      <c r="B1261" s="71"/>
      <c r="C1261" s="72"/>
      <c r="D1261" s="72"/>
      <c r="E1261" s="71"/>
      <c r="F1261" s="71"/>
      <c r="G1261" s="71"/>
      <c r="H1261" s="71"/>
      <c r="I1261" s="71"/>
      <c r="J1261" s="71"/>
      <c r="K1261" s="71"/>
      <c r="L1261" s="71"/>
      <c r="M1261" s="71"/>
      <c r="N1261" s="71"/>
      <c r="O1261" s="71"/>
      <c r="P1261" s="71"/>
      <c r="Q1261" s="71"/>
      <c r="R1261" s="71"/>
      <c r="S1261" s="71"/>
      <c r="T1261" s="15"/>
    </row>
    <row r="1262">
      <c r="A1262" s="69"/>
      <c r="B1262" s="69"/>
      <c r="C1262" s="70"/>
      <c r="D1262" s="70"/>
      <c r="E1262" s="69"/>
      <c r="F1262" s="69"/>
      <c r="G1262" s="69"/>
      <c r="H1262" s="69"/>
      <c r="I1262" s="69"/>
      <c r="J1262" s="69"/>
      <c r="K1262" s="69"/>
      <c r="L1262" s="69"/>
      <c r="M1262" s="69"/>
      <c r="N1262" s="69"/>
      <c r="O1262" s="69"/>
      <c r="P1262" s="69"/>
      <c r="Q1262" s="69"/>
      <c r="R1262" s="69"/>
      <c r="S1262" s="69"/>
      <c r="T1262" s="15"/>
    </row>
    <row r="1263">
      <c r="A1263" s="71"/>
      <c r="B1263" s="71"/>
      <c r="C1263" s="72"/>
      <c r="D1263" s="72"/>
      <c r="E1263" s="71"/>
      <c r="F1263" s="71"/>
      <c r="G1263" s="71"/>
      <c r="H1263" s="71"/>
      <c r="I1263" s="71"/>
      <c r="J1263" s="71"/>
      <c r="K1263" s="71"/>
      <c r="L1263" s="71"/>
      <c r="M1263" s="71"/>
      <c r="N1263" s="71"/>
      <c r="O1263" s="71"/>
      <c r="P1263" s="71"/>
      <c r="Q1263" s="71"/>
      <c r="R1263" s="71"/>
      <c r="S1263" s="71"/>
      <c r="T1263" s="15"/>
    </row>
    <row r="1264">
      <c r="A1264" s="69"/>
      <c r="B1264" s="69"/>
      <c r="C1264" s="70"/>
      <c r="D1264" s="70"/>
      <c r="E1264" s="69"/>
      <c r="F1264" s="69"/>
      <c r="G1264" s="69"/>
      <c r="H1264" s="69"/>
      <c r="I1264" s="69"/>
      <c r="J1264" s="69"/>
      <c r="K1264" s="69"/>
      <c r="L1264" s="69"/>
      <c r="M1264" s="69"/>
      <c r="N1264" s="69"/>
      <c r="O1264" s="69"/>
      <c r="P1264" s="69"/>
      <c r="Q1264" s="69"/>
      <c r="R1264" s="69"/>
      <c r="S1264" s="69"/>
      <c r="T1264" s="15"/>
    </row>
    <row r="1265">
      <c r="A1265" s="71"/>
      <c r="B1265" s="71"/>
      <c r="C1265" s="72"/>
      <c r="D1265" s="72"/>
      <c r="E1265" s="71"/>
      <c r="F1265" s="71"/>
      <c r="G1265" s="71"/>
      <c r="H1265" s="71"/>
      <c r="I1265" s="71"/>
      <c r="J1265" s="71"/>
      <c r="K1265" s="71"/>
      <c r="L1265" s="71"/>
      <c r="M1265" s="71"/>
      <c r="N1265" s="71"/>
      <c r="O1265" s="71"/>
      <c r="P1265" s="71"/>
      <c r="Q1265" s="71"/>
      <c r="R1265" s="71"/>
      <c r="S1265" s="71"/>
      <c r="T1265" s="15"/>
    </row>
    <row r="1266">
      <c r="A1266" s="69"/>
      <c r="B1266" s="69"/>
      <c r="C1266" s="70"/>
      <c r="D1266" s="70"/>
      <c r="E1266" s="69"/>
      <c r="F1266" s="69"/>
      <c r="G1266" s="69"/>
      <c r="H1266" s="69"/>
      <c r="I1266" s="69"/>
      <c r="J1266" s="69"/>
      <c r="K1266" s="69"/>
      <c r="L1266" s="69"/>
      <c r="M1266" s="69"/>
      <c r="N1266" s="69"/>
      <c r="O1266" s="69"/>
      <c r="P1266" s="69"/>
      <c r="Q1266" s="69"/>
      <c r="R1266" s="69"/>
      <c r="S1266" s="69"/>
      <c r="T1266" s="15"/>
    </row>
    <row r="1267">
      <c r="A1267" s="71"/>
      <c r="B1267" s="71"/>
      <c r="C1267" s="72"/>
      <c r="D1267" s="72"/>
      <c r="E1267" s="71"/>
      <c r="F1267" s="71"/>
      <c r="G1267" s="71"/>
      <c r="H1267" s="71"/>
      <c r="I1267" s="71"/>
      <c r="J1267" s="71"/>
      <c r="K1267" s="71"/>
      <c r="L1267" s="71"/>
      <c r="M1267" s="71"/>
      <c r="N1267" s="71"/>
      <c r="O1267" s="71"/>
      <c r="P1267" s="71"/>
      <c r="Q1267" s="71"/>
      <c r="R1267" s="71"/>
      <c r="S1267" s="71"/>
      <c r="T1267" s="15"/>
    </row>
    <row r="1268">
      <c r="A1268" s="69"/>
      <c r="B1268" s="69"/>
      <c r="C1268" s="70"/>
      <c r="D1268" s="70"/>
      <c r="E1268" s="69"/>
      <c r="F1268" s="69"/>
      <c r="G1268" s="69"/>
      <c r="H1268" s="69"/>
      <c r="I1268" s="69"/>
      <c r="J1268" s="69"/>
      <c r="K1268" s="69"/>
      <c r="L1268" s="69"/>
      <c r="M1268" s="69"/>
      <c r="N1268" s="69"/>
      <c r="O1268" s="69"/>
      <c r="P1268" s="69"/>
      <c r="Q1268" s="69"/>
      <c r="R1268" s="69"/>
      <c r="S1268" s="69"/>
      <c r="T1268" s="15"/>
    </row>
    <row r="1269">
      <c r="A1269" s="71"/>
      <c r="B1269" s="71"/>
      <c r="C1269" s="72"/>
      <c r="D1269" s="72"/>
      <c r="E1269" s="71"/>
      <c r="F1269" s="71"/>
      <c r="G1269" s="71"/>
      <c r="H1269" s="71"/>
      <c r="I1269" s="71"/>
      <c r="J1269" s="71"/>
      <c r="K1269" s="71"/>
      <c r="L1269" s="71"/>
      <c r="M1269" s="71"/>
      <c r="N1269" s="71"/>
      <c r="O1269" s="71"/>
      <c r="P1269" s="71"/>
      <c r="Q1269" s="71"/>
      <c r="R1269" s="71"/>
      <c r="S1269" s="71"/>
      <c r="T1269" s="15"/>
    </row>
    <row r="1270">
      <c r="A1270" s="69"/>
      <c r="B1270" s="69"/>
      <c r="C1270" s="70"/>
      <c r="D1270" s="70"/>
      <c r="E1270" s="69"/>
      <c r="F1270" s="69"/>
      <c r="G1270" s="69"/>
      <c r="H1270" s="69"/>
      <c r="I1270" s="69"/>
      <c r="J1270" s="69"/>
      <c r="K1270" s="69"/>
      <c r="L1270" s="69"/>
      <c r="M1270" s="69"/>
      <c r="N1270" s="69"/>
      <c r="O1270" s="69"/>
      <c r="P1270" s="69"/>
      <c r="Q1270" s="69"/>
      <c r="R1270" s="69"/>
      <c r="S1270" s="69"/>
      <c r="T1270" s="15"/>
    </row>
    <row r="1271">
      <c r="A1271" s="71"/>
      <c r="B1271" s="71"/>
      <c r="C1271" s="72"/>
      <c r="D1271" s="72"/>
      <c r="E1271" s="71"/>
      <c r="F1271" s="71"/>
      <c r="G1271" s="71"/>
      <c r="H1271" s="71"/>
      <c r="I1271" s="71"/>
      <c r="J1271" s="71"/>
      <c r="K1271" s="71"/>
      <c r="L1271" s="71"/>
      <c r="M1271" s="71"/>
      <c r="N1271" s="71"/>
      <c r="O1271" s="71"/>
      <c r="P1271" s="71"/>
      <c r="Q1271" s="71"/>
      <c r="R1271" s="71"/>
      <c r="S1271" s="71"/>
      <c r="T1271" s="15"/>
    </row>
    <row r="1272">
      <c r="A1272" s="69"/>
      <c r="B1272" s="69"/>
      <c r="C1272" s="70"/>
      <c r="D1272" s="70"/>
      <c r="E1272" s="69"/>
      <c r="F1272" s="69"/>
      <c r="G1272" s="69"/>
      <c r="H1272" s="69"/>
      <c r="I1272" s="69"/>
      <c r="J1272" s="69"/>
      <c r="K1272" s="69"/>
      <c r="L1272" s="69"/>
      <c r="M1272" s="69"/>
      <c r="N1272" s="69"/>
      <c r="O1272" s="69"/>
      <c r="P1272" s="69"/>
      <c r="Q1272" s="69"/>
      <c r="R1272" s="69"/>
      <c r="S1272" s="69"/>
      <c r="T1272" s="15"/>
    </row>
    <row r="1273">
      <c r="A1273" s="71"/>
      <c r="B1273" s="71"/>
      <c r="C1273" s="72"/>
      <c r="D1273" s="72"/>
      <c r="E1273" s="71"/>
      <c r="F1273" s="71"/>
      <c r="G1273" s="71"/>
      <c r="H1273" s="71"/>
      <c r="I1273" s="71"/>
      <c r="J1273" s="71"/>
      <c r="K1273" s="71"/>
      <c r="L1273" s="71"/>
      <c r="M1273" s="71"/>
      <c r="N1273" s="71"/>
      <c r="O1273" s="71"/>
      <c r="P1273" s="71"/>
      <c r="Q1273" s="71"/>
      <c r="R1273" s="71"/>
      <c r="S1273" s="71"/>
      <c r="T1273" s="15"/>
    </row>
    <row r="1274">
      <c r="A1274" s="69"/>
      <c r="B1274" s="69"/>
      <c r="C1274" s="70"/>
      <c r="D1274" s="70"/>
      <c r="E1274" s="69"/>
      <c r="F1274" s="69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69"/>
      <c r="T1274" s="15"/>
    </row>
    <row r="1275">
      <c r="A1275" s="71"/>
      <c r="B1275" s="71"/>
      <c r="C1275" s="72"/>
      <c r="D1275" s="72"/>
      <c r="E1275" s="71"/>
      <c r="F1275" s="71"/>
      <c r="G1275" s="71"/>
      <c r="H1275" s="71"/>
      <c r="I1275" s="71"/>
      <c r="J1275" s="71"/>
      <c r="K1275" s="71"/>
      <c r="L1275" s="71"/>
      <c r="M1275" s="71"/>
      <c r="N1275" s="71"/>
      <c r="O1275" s="71"/>
      <c r="P1275" s="71"/>
      <c r="Q1275" s="71"/>
      <c r="R1275" s="71"/>
      <c r="S1275" s="71"/>
      <c r="T1275" s="15"/>
    </row>
    <row r="1276">
      <c r="A1276" s="69"/>
      <c r="B1276" s="69"/>
      <c r="C1276" s="70"/>
      <c r="D1276" s="70"/>
      <c r="E1276" s="69"/>
      <c r="F1276" s="69"/>
      <c r="G1276" s="69"/>
      <c r="H1276" s="69"/>
      <c r="I1276" s="69"/>
      <c r="J1276" s="69"/>
      <c r="K1276" s="69"/>
      <c r="L1276" s="69"/>
      <c r="M1276" s="69"/>
      <c r="N1276" s="69"/>
      <c r="O1276" s="69"/>
      <c r="P1276" s="69"/>
      <c r="Q1276" s="69"/>
      <c r="R1276" s="69"/>
      <c r="S1276" s="69"/>
      <c r="T1276" s="15"/>
    </row>
    <row r="1277">
      <c r="A1277" s="71"/>
      <c r="B1277" s="71"/>
      <c r="C1277" s="72"/>
      <c r="D1277" s="72"/>
      <c r="E1277" s="71"/>
      <c r="F1277" s="71"/>
      <c r="G1277" s="71"/>
      <c r="H1277" s="71"/>
      <c r="I1277" s="71"/>
      <c r="J1277" s="71"/>
      <c r="K1277" s="71"/>
      <c r="L1277" s="71"/>
      <c r="M1277" s="71"/>
      <c r="N1277" s="71"/>
      <c r="O1277" s="71"/>
      <c r="P1277" s="71"/>
      <c r="Q1277" s="71"/>
      <c r="R1277" s="71"/>
      <c r="S1277" s="71"/>
      <c r="T1277" s="15"/>
    </row>
    <row r="1278">
      <c r="A1278" s="69"/>
      <c r="B1278" s="69"/>
      <c r="C1278" s="70"/>
      <c r="D1278" s="70"/>
      <c r="E1278" s="69"/>
      <c r="F1278" s="69"/>
      <c r="G1278" s="69"/>
      <c r="H1278" s="69"/>
      <c r="I1278" s="69"/>
      <c r="J1278" s="69"/>
      <c r="K1278" s="69"/>
      <c r="L1278" s="69"/>
      <c r="M1278" s="69"/>
      <c r="N1278" s="69"/>
      <c r="O1278" s="69"/>
      <c r="P1278" s="69"/>
      <c r="Q1278" s="69"/>
      <c r="R1278" s="69"/>
      <c r="S1278" s="69"/>
      <c r="T1278" s="15"/>
    </row>
    <row r="1279">
      <c r="A1279" s="71"/>
      <c r="B1279" s="71"/>
      <c r="C1279" s="72"/>
      <c r="D1279" s="72"/>
      <c r="E1279" s="71"/>
      <c r="F1279" s="71"/>
      <c r="G1279" s="71"/>
      <c r="H1279" s="71"/>
      <c r="I1279" s="71"/>
      <c r="J1279" s="71"/>
      <c r="K1279" s="71"/>
      <c r="L1279" s="71"/>
      <c r="M1279" s="71"/>
      <c r="N1279" s="71"/>
      <c r="O1279" s="71"/>
      <c r="P1279" s="71"/>
      <c r="Q1279" s="71"/>
      <c r="R1279" s="71"/>
      <c r="S1279" s="71"/>
      <c r="T1279" s="15"/>
    </row>
    <row r="1280">
      <c r="A1280" s="69"/>
      <c r="B1280" s="69"/>
      <c r="C1280" s="70"/>
      <c r="D1280" s="70"/>
      <c r="E1280" s="69"/>
      <c r="F1280" s="69"/>
      <c r="G1280" s="69"/>
      <c r="H1280" s="69"/>
      <c r="I1280" s="69"/>
      <c r="J1280" s="69"/>
      <c r="K1280" s="69"/>
      <c r="L1280" s="69"/>
      <c r="M1280" s="69"/>
      <c r="N1280" s="69"/>
      <c r="O1280" s="69"/>
      <c r="P1280" s="69"/>
      <c r="Q1280" s="69"/>
      <c r="R1280" s="69"/>
      <c r="S1280" s="69"/>
      <c r="T1280" s="15"/>
    </row>
    <row r="1281">
      <c r="A1281" s="71"/>
      <c r="B1281" s="71"/>
      <c r="C1281" s="72"/>
      <c r="D1281" s="72"/>
      <c r="E1281" s="71"/>
      <c r="F1281" s="71"/>
      <c r="G1281" s="71"/>
      <c r="H1281" s="71"/>
      <c r="I1281" s="71"/>
      <c r="J1281" s="71"/>
      <c r="K1281" s="71"/>
      <c r="L1281" s="71"/>
      <c r="M1281" s="71"/>
      <c r="N1281" s="71"/>
      <c r="O1281" s="71"/>
      <c r="P1281" s="71"/>
      <c r="Q1281" s="71"/>
      <c r="R1281" s="71"/>
      <c r="S1281" s="71"/>
      <c r="T1281" s="15"/>
    </row>
    <row r="1282">
      <c r="A1282" s="69"/>
      <c r="B1282" s="69"/>
      <c r="C1282" s="70"/>
      <c r="D1282" s="70"/>
      <c r="E1282" s="69"/>
      <c r="F1282" s="69"/>
      <c r="G1282" s="69"/>
      <c r="H1282" s="69"/>
      <c r="I1282" s="69"/>
      <c r="J1282" s="69"/>
      <c r="K1282" s="69"/>
      <c r="L1282" s="69"/>
      <c r="M1282" s="69"/>
      <c r="N1282" s="69"/>
      <c r="O1282" s="69"/>
      <c r="P1282" s="69"/>
      <c r="Q1282" s="69"/>
      <c r="R1282" s="69"/>
      <c r="S1282" s="69"/>
      <c r="T1282" s="15"/>
    </row>
    <row r="1283">
      <c r="A1283" s="71"/>
      <c r="B1283" s="71"/>
      <c r="C1283" s="72"/>
      <c r="D1283" s="72"/>
      <c r="E1283" s="71"/>
      <c r="F1283" s="71"/>
      <c r="G1283" s="71"/>
      <c r="H1283" s="71"/>
      <c r="I1283" s="71"/>
      <c r="J1283" s="71"/>
      <c r="K1283" s="71"/>
      <c r="L1283" s="71"/>
      <c r="M1283" s="71"/>
      <c r="N1283" s="71"/>
      <c r="O1283" s="71"/>
      <c r="P1283" s="71"/>
      <c r="Q1283" s="71"/>
      <c r="R1283" s="71"/>
      <c r="S1283" s="71"/>
      <c r="T1283" s="15"/>
    </row>
    <row r="1284">
      <c r="A1284" s="69"/>
      <c r="B1284" s="69"/>
      <c r="C1284" s="70"/>
      <c r="D1284" s="70"/>
      <c r="E1284" s="69"/>
      <c r="F1284" s="69"/>
      <c r="G1284" s="69"/>
      <c r="H1284" s="69"/>
      <c r="I1284" s="69"/>
      <c r="J1284" s="69"/>
      <c r="K1284" s="69"/>
      <c r="L1284" s="69"/>
      <c r="M1284" s="69"/>
      <c r="N1284" s="69"/>
      <c r="O1284" s="69"/>
      <c r="P1284" s="69"/>
      <c r="Q1284" s="69"/>
      <c r="R1284" s="69"/>
      <c r="S1284" s="69"/>
      <c r="T1284" s="15"/>
    </row>
    <row r="1285">
      <c r="A1285" s="71"/>
      <c r="B1285" s="71"/>
      <c r="C1285" s="72"/>
      <c r="D1285" s="72"/>
      <c r="E1285" s="71"/>
      <c r="F1285" s="71"/>
      <c r="G1285" s="71"/>
      <c r="H1285" s="71"/>
      <c r="I1285" s="71"/>
      <c r="J1285" s="71"/>
      <c r="K1285" s="71"/>
      <c r="L1285" s="71"/>
      <c r="M1285" s="71"/>
      <c r="N1285" s="71"/>
      <c r="O1285" s="71"/>
      <c r="P1285" s="71"/>
      <c r="Q1285" s="71"/>
      <c r="R1285" s="71"/>
      <c r="S1285" s="71"/>
      <c r="T1285" s="15"/>
    </row>
    <row r="1286">
      <c r="A1286" s="69"/>
      <c r="B1286" s="69"/>
      <c r="C1286" s="70"/>
      <c r="D1286" s="70"/>
      <c r="E1286" s="69"/>
      <c r="F1286" s="69"/>
      <c r="G1286" s="69"/>
      <c r="H1286" s="69"/>
      <c r="I1286" s="69"/>
      <c r="J1286" s="69"/>
      <c r="K1286" s="69"/>
      <c r="L1286" s="69"/>
      <c r="M1286" s="69"/>
      <c r="N1286" s="69"/>
      <c r="O1286" s="69"/>
      <c r="P1286" s="69"/>
      <c r="Q1286" s="69"/>
      <c r="R1286" s="69"/>
      <c r="S1286" s="69"/>
      <c r="T1286" s="15"/>
    </row>
    <row r="1287">
      <c r="A1287" s="71"/>
      <c r="B1287" s="71"/>
      <c r="C1287" s="72"/>
      <c r="D1287" s="72"/>
      <c r="E1287" s="71"/>
      <c r="F1287" s="71"/>
      <c r="G1287" s="71"/>
      <c r="H1287" s="71"/>
      <c r="I1287" s="71"/>
      <c r="J1287" s="71"/>
      <c r="K1287" s="71"/>
      <c r="L1287" s="71"/>
      <c r="M1287" s="71"/>
      <c r="N1287" s="71"/>
      <c r="O1287" s="71"/>
      <c r="P1287" s="71"/>
      <c r="Q1287" s="71"/>
      <c r="R1287" s="71"/>
      <c r="S1287" s="71"/>
      <c r="T1287" s="15"/>
    </row>
    <row r="1288">
      <c r="A1288" s="69"/>
      <c r="B1288" s="69"/>
      <c r="C1288" s="70"/>
      <c r="D1288" s="70"/>
      <c r="E1288" s="69"/>
      <c r="F1288" s="69"/>
      <c r="G1288" s="69"/>
      <c r="H1288" s="69"/>
      <c r="I1288" s="69"/>
      <c r="J1288" s="69"/>
      <c r="K1288" s="69"/>
      <c r="L1288" s="69"/>
      <c r="M1288" s="69"/>
      <c r="N1288" s="69"/>
      <c r="O1288" s="69"/>
      <c r="P1288" s="69"/>
      <c r="Q1288" s="69"/>
      <c r="R1288" s="69"/>
      <c r="S1288" s="69"/>
      <c r="T1288" s="15"/>
    </row>
    <row r="1289">
      <c r="A1289" s="71"/>
      <c r="B1289" s="71"/>
      <c r="C1289" s="72"/>
      <c r="D1289" s="72"/>
      <c r="E1289" s="71"/>
      <c r="F1289" s="71"/>
      <c r="G1289" s="71"/>
      <c r="H1289" s="71"/>
      <c r="I1289" s="71"/>
      <c r="J1289" s="71"/>
      <c r="K1289" s="71"/>
      <c r="L1289" s="71"/>
      <c r="M1289" s="71"/>
      <c r="N1289" s="71"/>
      <c r="O1289" s="71"/>
      <c r="P1289" s="71"/>
      <c r="Q1289" s="71"/>
      <c r="R1289" s="71"/>
      <c r="S1289" s="71"/>
      <c r="T1289" s="15"/>
    </row>
    <row r="1290">
      <c r="A1290" s="69"/>
      <c r="B1290" s="69"/>
      <c r="C1290" s="70"/>
      <c r="D1290" s="70"/>
      <c r="E1290" s="69"/>
      <c r="F1290" s="69"/>
      <c r="G1290" s="69"/>
      <c r="H1290" s="69"/>
      <c r="I1290" s="69"/>
      <c r="J1290" s="69"/>
      <c r="K1290" s="69"/>
      <c r="L1290" s="69"/>
      <c r="M1290" s="69"/>
      <c r="N1290" s="69"/>
      <c r="O1290" s="69"/>
      <c r="P1290" s="69"/>
      <c r="Q1290" s="69"/>
      <c r="R1290" s="69"/>
      <c r="S1290" s="69"/>
      <c r="T1290" s="15"/>
    </row>
    <row r="1291">
      <c r="A1291" s="71"/>
      <c r="B1291" s="71"/>
      <c r="C1291" s="72"/>
      <c r="D1291" s="72"/>
      <c r="E1291" s="71"/>
      <c r="F1291" s="71"/>
      <c r="G1291" s="71"/>
      <c r="H1291" s="71"/>
      <c r="I1291" s="71"/>
      <c r="J1291" s="71"/>
      <c r="K1291" s="71"/>
      <c r="L1291" s="71"/>
      <c r="M1291" s="71"/>
      <c r="N1291" s="71"/>
      <c r="O1291" s="71"/>
      <c r="P1291" s="71"/>
      <c r="Q1291" s="71"/>
      <c r="R1291" s="71"/>
      <c r="S1291" s="71"/>
      <c r="T1291" s="15"/>
    </row>
    <row r="1292">
      <c r="A1292" s="69"/>
      <c r="B1292" s="69"/>
      <c r="C1292" s="70"/>
      <c r="D1292" s="70"/>
      <c r="E1292" s="69"/>
      <c r="F1292" s="69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69"/>
      <c r="T1292" s="15"/>
    </row>
    <row r="1293">
      <c r="A1293" s="71"/>
      <c r="B1293" s="71"/>
      <c r="C1293" s="72"/>
      <c r="D1293" s="72"/>
      <c r="E1293" s="71"/>
      <c r="F1293" s="71"/>
      <c r="G1293" s="71"/>
      <c r="H1293" s="71"/>
      <c r="I1293" s="71"/>
      <c r="J1293" s="71"/>
      <c r="K1293" s="71"/>
      <c r="L1293" s="71"/>
      <c r="M1293" s="71"/>
      <c r="N1293" s="71"/>
      <c r="O1293" s="71"/>
      <c r="P1293" s="71"/>
      <c r="Q1293" s="71"/>
      <c r="R1293" s="71"/>
      <c r="S1293" s="71"/>
      <c r="T1293" s="15"/>
    </row>
    <row r="1294">
      <c r="A1294" s="69"/>
      <c r="B1294" s="69"/>
      <c r="C1294" s="70"/>
      <c r="D1294" s="70"/>
      <c r="E1294" s="69"/>
      <c r="F1294" s="69"/>
      <c r="G1294" s="69"/>
      <c r="H1294" s="69"/>
      <c r="I1294" s="69"/>
      <c r="J1294" s="69"/>
      <c r="K1294" s="69"/>
      <c r="L1294" s="69"/>
      <c r="M1294" s="69"/>
      <c r="N1294" s="69"/>
      <c r="O1294" s="69"/>
      <c r="P1294" s="69"/>
      <c r="Q1294" s="69"/>
      <c r="R1294" s="69"/>
      <c r="S1294" s="69"/>
      <c r="T1294" s="15"/>
    </row>
    <row r="1295">
      <c r="A1295" s="71"/>
      <c r="B1295" s="71"/>
      <c r="C1295" s="72"/>
      <c r="D1295" s="72"/>
      <c r="E1295" s="71"/>
      <c r="F1295" s="71"/>
      <c r="G1295" s="71"/>
      <c r="H1295" s="71"/>
      <c r="I1295" s="71"/>
      <c r="J1295" s="71"/>
      <c r="K1295" s="71"/>
      <c r="L1295" s="71"/>
      <c r="M1295" s="71"/>
      <c r="N1295" s="71"/>
      <c r="O1295" s="71"/>
      <c r="P1295" s="71"/>
      <c r="Q1295" s="71"/>
      <c r="R1295" s="71"/>
      <c r="S1295" s="71"/>
      <c r="T1295" s="15"/>
    </row>
    <row r="1296">
      <c r="A1296" s="69"/>
      <c r="B1296" s="69"/>
      <c r="C1296" s="70"/>
      <c r="D1296" s="70"/>
      <c r="E1296" s="69"/>
      <c r="F1296" s="69"/>
      <c r="G1296" s="69"/>
      <c r="H1296" s="69"/>
      <c r="I1296" s="69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15"/>
    </row>
    <row r="1297">
      <c r="A1297" s="71"/>
      <c r="B1297" s="71"/>
      <c r="C1297" s="72"/>
      <c r="D1297" s="72"/>
      <c r="E1297" s="71"/>
      <c r="F1297" s="71"/>
      <c r="G1297" s="71"/>
      <c r="H1297" s="71"/>
      <c r="I1297" s="71"/>
      <c r="J1297" s="71"/>
      <c r="K1297" s="71"/>
      <c r="L1297" s="71"/>
      <c r="M1297" s="71"/>
      <c r="N1297" s="71"/>
      <c r="O1297" s="71"/>
      <c r="P1297" s="71"/>
      <c r="Q1297" s="71"/>
      <c r="R1297" s="71"/>
      <c r="S1297" s="71"/>
      <c r="T1297" s="15"/>
    </row>
    <row r="1298">
      <c r="A1298" s="69"/>
      <c r="B1298" s="69"/>
      <c r="C1298" s="70"/>
      <c r="D1298" s="70"/>
      <c r="E1298" s="69"/>
      <c r="F1298" s="69"/>
      <c r="G1298" s="69"/>
      <c r="H1298" s="69"/>
      <c r="I1298" s="69"/>
      <c r="J1298" s="69"/>
      <c r="K1298" s="69"/>
      <c r="L1298" s="69"/>
      <c r="M1298" s="69"/>
      <c r="N1298" s="69"/>
      <c r="O1298" s="69"/>
      <c r="P1298" s="69"/>
      <c r="Q1298" s="69"/>
      <c r="R1298" s="69"/>
      <c r="S1298" s="69"/>
      <c r="T1298" s="15"/>
    </row>
    <row r="1299">
      <c r="A1299" s="71"/>
      <c r="B1299" s="71"/>
      <c r="C1299" s="72"/>
      <c r="D1299" s="72"/>
      <c r="E1299" s="71"/>
      <c r="F1299" s="71"/>
      <c r="G1299" s="71"/>
      <c r="H1299" s="71"/>
      <c r="I1299" s="71"/>
      <c r="J1299" s="71"/>
      <c r="K1299" s="71"/>
      <c r="L1299" s="71"/>
      <c r="M1299" s="71"/>
      <c r="N1299" s="71"/>
      <c r="O1299" s="71"/>
      <c r="P1299" s="71"/>
      <c r="Q1299" s="71"/>
      <c r="R1299" s="71"/>
      <c r="S1299" s="71"/>
      <c r="T1299" s="15"/>
    </row>
    <row r="1300">
      <c r="A1300" s="69"/>
      <c r="B1300" s="69"/>
      <c r="C1300" s="70"/>
      <c r="D1300" s="70"/>
      <c r="E1300" s="69"/>
      <c r="F1300" s="69"/>
      <c r="G1300" s="69"/>
      <c r="H1300" s="69"/>
      <c r="I1300" s="69"/>
      <c r="J1300" s="69"/>
      <c r="K1300" s="69"/>
      <c r="L1300" s="69"/>
      <c r="M1300" s="69"/>
      <c r="N1300" s="69"/>
      <c r="O1300" s="69"/>
      <c r="P1300" s="69"/>
      <c r="Q1300" s="69"/>
      <c r="R1300" s="69"/>
      <c r="S1300" s="69"/>
      <c r="T1300" s="15"/>
    </row>
    <row r="1301">
      <c r="A1301" s="71"/>
      <c r="B1301" s="71"/>
      <c r="C1301" s="72"/>
      <c r="D1301" s="72"/>
      <c r="E1301" s="71"/>
      <c r="F1301" s="71"/>
      <c r="G1301" s="71"/>
      <c r="H1301" s="71"/>
      <c r="I1301" s="71"/>
      <c r="J1301" s="71"/>
      <c r="K1301" s="71"/>
      <c r="L1301" s="71"/>
      <c r="M1301" s="71"/>
      <c r="N1301" s="71"/>
      <c r="O1301" s="71"/>
      <c r="P1301" s="71"/>
      <c r="Q1301" s="71"/>
      <c r="R1301" s="71"/>
      <c r="S1301" s="71"/>
      <c r="T1301" s="15"/>
    </row>
    <row r="1302">
      <c r="A1302" s="69"/>
      <c r="B1302" s="69"/>
      <c r="C1302" s="70"/>
      <c r="D1302" s="70"/>
      <c r="E1302" s="69"/>
      <c r="F1302" s="69"/>
      <c r="G1302" s="69"/>
      <c r="H1302" s="69"/>
      <c r="I1302" s="69"/>
      <c r="J1302" s="69"/>
      <c r="K1302" s="69"/>
      <c r="L1302" s="69"/>
      <c r="M1302" s="69"/>
      <c r="N1302" s="69"/>
      <c r="O1302" s="69"/>
      <c r="P1302" s="69"/>
      <c r="Q1302" s="69"/>
      <c r="R1302" s="69"/>
      <c r="S1302" s="69"/>
      <c r="T1302" s="15"/>
    </row>
    <row r="1303">
      <c r="A1303" s="71"/>
      <c r="B1303" s="71"/>
      <c r="C1303" s="72"/>
      <c r="D1303" s="72"/>
      <c r="E1303" s="71"/>
      <c r="F1303" s="71"/>
      <c r="G1303" s="71"/>
      <c r="H1303" s="71"/>
      <c r="I1303" s="71"/>
      <c r="J1303" s="71"/>
      <c r="K1303" s="71"/>
      <c r="L1303" s="71"/>
      <c r="M1303" s="71"/>
      <c r="N1303" s="71"/>
      <c r="O1303" s="71"/>
      <c r="P1303" s="71"/>
      <c r="Q1303" s="71"/>
      <c r="R1303" s="71"/>
      <c r="S1303" s="71"/>
      <c r="T1303" s="15"/>
    </row>
    <row r="1304">
      <c r="A1304" s="69"/>
      <c r="B1304" s="69"/>
      <c r="C1304" s="70"/>
      <c r="D1304" s="70"/>
      <c r="E1304" s="69"/>
      <c r="F1304" s="69"/>
      <c r="G1304" s="69"/>
      <c r="H1304" s="69"/>
      <c r="I1304" s="69"/>
      <c r="J1304" s="69"/>
      <c r="K1304" s="69"/>
      <c r="L1304" s="69"/>
      <c r="M1304" s="69"/>
      <c r="N1304" s="69"/>
      <c r="O1304" s="69"/>
      <c r="P1304" s="69"/>
      <c r="Q1304" s="69"/>
      <c r="R1304" s="69"/>
      <c r="S1304" s="69"/>
      <c r="T1304" s="15"/>
    </row>
    <row r="1305">
      <c r="A1305" s="71"/>
      <c r="B1305" s="71"/>
      <c r="C1305" s="72"/>
      <c r="D1305" s="72"/>
      <c r="E1305" s="71"/>
      <c r="F1305" s="71"/>
      <c r="G1305" s="71"/>
      <c r="H1305" s="71"/>
      <c r="I1305" s="71"/>
      <c r="J1305" s="71"/>
      <c r="K1305" s="71"/>
      <c r="L1305" s="71"/>
      <c r="M1305" s="71"/>
      <c r="N1305" s="71"/>
      <c r="O1305" s="71"/>
      <c r="P1305" s="71"/>
      <c r="Q1305" s="71"/>
      <c r="R1305" s="71"/>
      <c r="S1305" s="71"/>
      <c r="T1305" s="15"/>
    </row>
    <row r="1306">
      <c r="A1306" s="69"/>
      <c r="B1306" s="69"/>
      <c r="C1306" s="70"/>
      <c r="D1306" s="70"/>
      <c r="E1306" s="69"/>
      <c r="F1306" s="69"/>
      <c r="G1306" s="69"/>
      <c r="H1306" s="69"/>
      <c r="I1306" s="69"/>
      <c r="J1306" s="69"/>
      <c r="K1306" s="69"/>
      <c r="L1306" s="69"/>
      <c r="M1306" s="69"/>
      <c r="N1306" s="69"/>
      <c r="O1306" s="69"/>
      <c r="P1306" s="69"/>
      <c r="Q1306" s="69"/>
      <c r="R1306" s="69"/>
      <c r="S1306" s="69"/>
      <c r="T1306" s="15"/>
    </row>
    <row r="1307">
      <c r="A1307" s="71"/>
      <c r="B1307" s="71"/>
      <c r="C1307" s="72"/>
      <c r="D1307" s="72"/>
      <c r="E1307" s="71"/>
      <c r="F1307" s="71"/>
      <c r="G1307" s="71"/>
      <c r="H1307" s="71"/>
      <c r="I1307" s="71"/>
      <c r="J1307" s="71"/>
      <c r="K1307" s="71"/>
      <c r="L1307" s="71"/>
      <c r="M1307" s="71"/>
      <c r="N1307" s="71"/>
      <c r="O1307" s="71"/>
      <c r="P1307" s="71"/>
      <c r="Q1307" s="71"/>
      <c r="R1307" s="71"/>
      <c r="S1307" s="71"/>
      <c r="T1307" s="15"/>
    </row>
    <row r="1308">
      <c r="A1308" s="69"/>
      <c r="B1308" s="69"/>
      <c r="C1308" s="70"/>
      <c r="D1308" s="70"/>
      <c r="E1308" s="69"/>
      <c r="F1308" s="69"/>
      <c r="G1308" s="69"/>
      <c r="H1308" s="69"/>
      <c r="I1308" s="69"/>
      <c r="J1308" s="69"/>
      <c r="K1308" s="69"/>
      <c r="L1308" s="69"/>
      <c r="M1308" s="69"/>
      <c r="N1308" s="69"/>
      <c r="O1308" s="69"/>
      <c r="P1308" s="69"/>
      <c r="Q1308" s="69"/>
      <c r="R1308" s="69"/>
      <c r="S1308" s="69"/>
      <c r="T1308" s="15"/>
    </row>
    <row r="1309">
      <c r="A1309" s="71"/>
      <c r="B1309" s="71"/>
      <c r="C1309" s="72"/>
      <c r="D1309" s="72"/>
      <c r="E1309" s="71"/>
      <c r="F1309" s="71"/>
      <c r="G1309" s="71"/>
      <c r="H1309" s="71"/>
      <c r="I1309" s="71"/>
      <c r="J1309" s="71"/>
      <c r="K1309" s="71"/>
      <c r="L1309" s="71"/>
      <c r="M1309" s="71"/>
      <c r="N1309" s="71"/>
      <c r="O1309" s="71"/>
      <c r="P1309" s="71"/>
      <c r="Q1309" s="71"/>
      <c r="R1309" s="71"/>
      <c r="S1309" s="71"/>
      <c r="T1309" s="15"/>
    </row>
    <row r="1310">
      <c r="A1310" s="69"/>
      <c r="B1310" s="69"/>
      <c r="C1310" s="70"/>
      <c r="D1310" s="70"/>
      <c r="E1310" s="69"/>
      <c r="F1310" s="69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69"/>
      <c r="T1310" s="15"/>
    </row>
    <row r="1311">
      <c r="A1311" s="71"/>
      <c r="B1311" s="71"/>
      <c r="C1311" s="72"/>
      <c r="D1311" s="72"/>
      <c r="E1311" s="71"/>
      <c r="F1311" s="71"/>
      <c r="G1311" s="71"/>
      <c r="H1311" s="71"/>
      <c r="I1311" s="71"/>
      <c r="J1311" s="71"/>
      <c r="K1311" s="71"/>
      <c r="L1311" s="71"/>
      <c r="M1311" s="71"/>
      <c r="N1311" s="71"/>
      <c r="O1311" s="71"/>
      <c r="P1311" s="71"/>
      <c r="Q1311" s="71"/>
      <c r="R1311" s="71"/>
      <c r="S1311" s="71"/>
      <c r="T1311" s="15"/>
    </row>
    <row r="1312">
      <c r="A1312" s="69"/>
      <c r="B1312" s="69"/>
      <c r="C1312" s="70"/>
      <c r="D1312" s="70"/>
      <c r="E1312" s="69"/>
      <c r="F1312" s="69"/>
      <c r="G1312" s="69"/>
      <c r="H1312" s="69"/>
      <c r="I1312" s="69"/>
      <c r="J1312" s="69"/>
      <c r="K1312" s="69"/>
      <c r="L1312" s="69"/>
      <c r="M1312" s="69"/>
      <c r="N1312" s="69"/>
      <c r="O1312" s="69"/>
      <c r="P1312" s="69"/>
      <c r="Q1312" s="69"/>
      <c r="R1312" s="69"/>
      <c r="S1312" s="69"/>
      <c r="T1312" s="15"/>
    </row>
    <row r="1313">
      <c r="A1313" s="71"/>
      <c r="B1313" s="71"/>
      <c r="C1313" s="72"/>
      <c r="D1313" s="72"/>
      <c r="E1313" s="71"/>
      <c r="F1313" s="71"/>
      <c r="G1313" s="71"/>
      <c r="H1313" s="71"/>
      <c r="I1313" s="71"/>
      <c r="J1313" s="71"/>
      <c r="K1313" s="71"/>
      <c r="L1313" s="71"/>
      <c r="M1313" s="71"/>
      <c r="N1313" s="71"/>
      <c r="O1313" s="71"/>
      <c r="P1313" s="71"/>
      <c r="Q1313" s="71"/>
      <c r="R1313" s="71"/>
      <c r="S1313" s="71"/>
      <c r="T1313" s="15"/>
    </row>
    <row r="1314">
      <c r="A1314" s="69"/>
      <c r="B1314" s="69"/>
      <c r="C1314" s="70"/>
      <c r="D1314" s="70"/>
      <c r="E1314" s="69"/>
      <c r="F1314" s="69"/>
      <c r="G1314" s="69"/>
      <c r="H1314" s="69"/>
      <c r="I1314" s="69"/>
      <c r="J1314" s="69"/>
      <c r="K1314" s="69"/>
      <c r="L1314" s="69"/>
      <c r="M1314" s="69"/>
      <c r="N1314" s="69"/>
      <c r="O1314" s="69"/>
      <c r="P1314" s="69"/>
      <c r="Q1314" s="69"/>
      <c r="R1314" s="69"/>
      <c r="S1314" s="69"/>
      <c r="T1314" s="15"/>
    </row>
    <row r="1315">
      <c r="A1315" s="71"/>
      <c r="B1315" s="71"/>
      <c r="C1315" s="72"/>
      <c r="D1315" s="72"/>
      <c r="E1315" s="71"/>
      <c r="F1315" s="71"/>
      <c r="G1315" s="71"/>
      <c r="H1315" s="71"/>
      <c r="I1315" s="71"/>
      <c r="J1315" s="71"/>
      <c r="K1315" s="71"/>
      <c r="L1315" s="71"/>
      <c r="M1315" s="71"/>
      <c r="N1315" s="71"/>
      <c r="O1315" s="71"/>
      <c r="P1315" s="71"/>
      <c r="Q1315" s="71"/>
      <c r="R1315" s="71"/>
      <c r="S1315" s="71"/>
      <c r="T1315" s="15"/>
    </row>
    <row r="1316">
      <c r="A1316" s="69"/>
      <c r="B1316" s="69"/>
      <c r="C1316" s="70"/>
      <c r="D1316" s="70"/>
      <c r="E1316" s="69"/>
      <c r="F1316" s="69"/>
      <c r="G1316" s="69"/>
      <c r="H1316" s="69"/>
      <c r="I1316" s="69"/>
      <c r="J1316" s="69"/>
      <c r="K1316" s="69"/>
      <c r="L1316" s="69"/>
      <c r="M1316" s="69"/>
      <c r="N1316" s="69"/>
      <c r="O1316" s="69"/>
      <c r="P1316" s="69"/>
      <c r="Q1316" s="69"/>
      <c r="R1316" s="69"/>
      <c r="S1316" s="69"/>
      <c r="T1316" s="15"/>
    </row>
    <row r="1317">
      <c r="A1317" s="71"/>
      <c r="B1317" s="71"/>
      <c r="C1317" s="72"/>
      <c r="D1317" s="72"/>
      <c r="E1317" s="71"/>
      <c r="F1317" s="71"/>
      <c r="G1317" s="71"/>
      <c r="H1317" s="71"/>
      <c r="I1317" s="71"/>
      <c r="J1317" s="71"/>
      <c r="K1317" s="71"/>
      <c r="L1317" s="71"/>
      <c r="M1317" s="71"/>
      <c r="N1317" s="71"/>
      <c r="O1317" s="71"/>
      <c r="P1317" s="71"/>
      <c r="Q1317" s="71"/>
      <c r="R1317" s="71"/>
      <c r="S1317" s="71"/>
      <c r="T1317" s="15"/>
    </row>
    <row r="1318">
      <c r="A1318" s="69"/>
      <c r="B1318" s="69"/>
      <c r="C1318" s="70"/>
      <c r="D1318" s="70"/>
      <c r="E1318" s="69"/>
      <c r="F1318" s="69"/>
      <c r="G1318" s="69"/>
      <c r="H1318" s="69"/>
      <c r="I1318" s="69"/>
      <c r="J1318" s="69"/>
      <c r="K1318" s="69"/>
      <c r="L1318" s="69"/>
      <c r="M1318" s="69"/>
      <c r="N1318" s="69"/>
      <c r="O1318" s="69"/>
      <c r="P1318" s="69"/>
      <c r="Q1318" s="69"/>
      <c r="R1318" s="69"/>
      <c r="S1318" s="69"/>
      <c r="T1318" s="15"/>
    </row>
    <row r="1319">
      <c r="A1319" s="71"/>
      <c r="B1319" s="71"/>
      <c r="C1319" s="72"/>
      <c r="D1319" s="72"/>
      <c r="E1319" s="71"/>
      <c r="F1319" s="71"/>
      <c r="G1319" s="71"/>
      <c r="H1319" s="71"/>
      <c r="I1319" s="71"/>
      <c r="J1319" s="71"/>
      <c r="K1319" s="71"/>
      <c r="L1319" s="71"/>
      <c r="M1319" s="71"/>
      <c r="N1319" s="71"/>
      <c r="O1319" s="71"/>
      <c r="P1319" s="71"/>
      <c r="Q1319" s="71"/>
      <c r="R1319" s="71"/>
      <c r="S1319" s="71"/>
      <c r="T1319" s="15"/>
    </row>
    <row r="1320">
      <c r="A1320" s="69"/>
      <c r="B1320" s="69"/>
      <c r="C1320" s="70"/>
      <c r="D1320" s="70"/>
      <c r="E1320" s="69"/>
      <c r="F1320" s="69"/>
      <c r="G1320" s="69"/>
      <c r="H1320" s="69"/>
      <c r="I1320" s="69"/>
      <c r="J1320" s="69"/>
      <c r="K1320" s="69"/>
      <c r="L1320" s="69"/>
      <c r="M1320" s="69"/>
      <c r="N1320" s="69"/>
      <c r="O1320" s="69"/>
      <c r="P1320" s="69"/>
      <c r="Q1320" s="69"/>
      <c r="R1320" s="69"/>
      <c r="S1320" s="69"/>
      <c r="T1320" s="15"/>
    </row>
    <row r="1321">
      <c r="A1321" s="71"/>
      <c r="B1321" s="71"/>
      <c r="C1321" s="72"/>
      <c r="D1321" s="72"/>
      <c r="E1321" s="71"/>
      <c r="F1321" s="71"/>
      <c r="G1321" s="71"/>
      <c r="H1321" s="71"/>
      <c r="I1321" s="71"/>
      <c r="J1321" s="71"/>
      <c r="K1321" s="71"/>
      <c r="L1321" s="71"/>
      <c r="M1321" s="71"/>
      <c r="N1321" s="71"/>
      <c r="O1321" s="71"/>
      <c r="P1321" s="71"/>
      <c r="Q1321" s="71"/>
      <c r="R1321" s="71"/>
      <c r="S1321" s="71"/>
      <c r="T1321" s="15"/>
    </row>
    <row r="1322">
      <c r="A1322" s="69"/>
      <c r="B1322" s="69"/>
      <c r="C1322" s="70"/>
      <c r="D1322" s="70"/>
      <c r="E1322" s="69"/>
      <c r="F1322" s="69"/>
      <c r="G1322" s="69"/>
      <c r="H1322" s="69"/>
      <c r="I1322" s="69"/>
      <c r="J1322" s="69"/>
      <c r="K1322" s="69"/>
      <c r="L1322" s="69"/>
      <c r="M1322" s="69"/>
      <c r="N1322" s="69"/>
      <c r="O1322" s="69"/>
      <c r="P1322" s="69"/>
      <c r="Q1322" s="69"/>
      <c r="R1322" s="69"/>
      <c r="S1322" s="69"/>
      <c r="T1322" s="15"/>
    </row>
    <row r="1323">
      <c r="A1323" s="71"/>
      <c r="B1323" s="71"/>
      <c r="C1323" s="72"/>
      <c r="D1323" s="72"/>
      <c r="E1323" s="71"/>
      <c r="F1323" s="71"/>
      <c r="G1323" s="71"/>
      <c r="H1323" s="71"/>
      <c r="I1323" s="71"/>
      <c r="J1323" s="71"/>
      <c r="K1323" s="71"/>
      <c r="L1323" s="71"/>
      <c r="M1323" s="71"/>
      <c r="N1323" s="71"/>
      <c r="O1323" s="71"/>
      <c r="P1323" s="71"/>
      <c r="Q1323" s="71"/>
      <c r="R1323" s="71"/>
      <c r="S1323" s="71"/>
      <c r="T1323" s="15"/>
    </row>
    <row r="1324">
      <c r="A1324" s="69"/>
      <c r="B1324" s="69"/>
      <c r="C1324" s="70"/>
      <c r="D1324" s="70"/>
      <c r="E1324" s="69"/>
      <c r="F1324" s="69"/>
      <c r="G1324" s="69"/>
      <c r="H1324" s="69"/>
      <c r="I1324" s="69"/>
      <c r="J1324" s="69"/>
      <c r="K1324" s="69"/>
      <c r="L1324" s="69"/>
      <c r="M1324" s="69"/>
      <c r="N1324" s="69"/>
      <c r="O1324" s="69"/>
      <c r="P1324" s="69"/>
      <c r="Q1324" s="69"/>
      <c r="R1324" s="69"/>
      <c r="S1324" s="69"/>
      <c r="T1324" s="15"/>
    </row>
    <row r="1325">
      <c r="A1325" s="71"/>
      <c r="B1325" s="71"/>
      <c r="C1325" s="72"/>
      <c r="D1325" s="72"/>
      <c r="E1325" s="71"/>
      <c r="F1325" s="71"/>
      <c r="G1325" s="71"/>
      <c r="H1325" s="71"/>
      <c r="I1325" s="71"/>
      <c r="J1325" s="71"/>
      <c r="K1325" s="71"/>
      <c r="L1325" s="71"/>
      <c r="M1325" s="71"/>
      <c r="N1325" s="71"/>
      <c r="O1325" s="71"/>
      <c r="P1325" s="71"/>
      <c r="Q1325" s="71"/>
      <c r="R1325" s="71"/>
      <c r="S1325" s="71"/>
      <c r="T1325" s="15"/>
    </row>
    <row r="1326">
      <c r="A1326" s="69"/>
      <c r="B1326" s="69"/>
      <c r="C1326" s="70"/>
      <c r="D1326" s="70"/>
      <c r="E1326" s="69"/>
      <c r="F1326" s="69"/>
      <c r="G1326" s="69"/>
      <c r="H1326" s="69"/>
      <c r="I1326" s="69"/>
      <c r="J1326" s="69"/>
      <c r="K1326" s="69"/>
      <c r="L1326" s="69"/>
      <c r="M1326" s="69"/>
      <c r="N1326" s="69"/>
      <c r="O1326" s="69"/>
      <c r="P1326" s="69"/>
      <c r="Q1326" s="69"/>
      <c r="R1326" s="69"/>
      <c r="S1326" s="69"/>
      <c r="T1326" s="15"/>
    </row>
    <row r="1327">
      <c r="A1327" s="71"/>
      <c r="B1327" s="71"/>
      <c r="C1327" s="72"/>
      <c r="D1327" s="72"/>
      <c r="E1327" s="71"/>
      <c r="F1327" s="71"/>
      <c r="G1327" s="71"/>
      <c r="H1327" s="71"/>
      <c r="I1327" s="71"/>
      <c r="J1327" s="71"/>
      <c r="K1327" s="71"/>
      <c r="L1327" s="71"/>
      <c r="M1327" s="71"/>
      <c r="N1327" s="71"/>
      <c r="O1327" s="71"/>
      <c r="P1327" s="71"/>
      <c r="Q1327" s="71"/>
      <c r="R1327" s="71"/>
      <c r="S1327" s="71"/>
      <c r="T1327" s="15"/>
    </row>
    <row r="1328">
      <c r="A1328" s="69"/>
      <c r="B1328" s="69"/>
      <c r="C1328" s="70"/>
      <c r="D1328" s="70"/>
      <c r="E1328" s="69"/>
      <c r="F1328" s="69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69"/>
      <c r="T1328" s="15"/>
    </row>
    <row r="1329">
      <c r="A1329" s="71"/>
      <c r="B1329" s="71"/>
      <c r="C1329" s="72"/>
      <c r="D1329" s="72"/>
      <c r="E1329" s="71"/>
      <c r="F1329" s="71"/>
      <c r="G1329" s="71"/>
      <c r="H1329" s="71"/>
      <c r="I1329" s="71"/>
      <c r="J1329" s="71"/>
      <c r="K1329" s="71"/>
      <c r="L1329" s="71"/>
      <c r="M1329" s="71"/>
      <c r="N1329" s="71"/>
      <c r="O1329" s="71"/>
      <c r="P1329" s="71"/>
      <c r="Q1329" s="71"/>
      <c r="R1329" s="71"/>
      <c r="S1329" s="71"/>
      <c r="T1329" s="15"/>
    </row>
    <row r="1330">
      <c r="A1330" s="69"/>
      <c r="B1330" s="69"/>
      <c r="C1330" s="70"/>
      <c r="D1330" s="70"/>
      <c r="E1330" s="69"/>
      <c r="F1330" s="69"/>
      <c r="G1330" s="69"/>
      <c r="H1330" s="69"/>
      <c r="I1330" s="69"/>
      <c r="J1330" s="69"/>
      <c r="K1330" s="69"/>
      <c r="L1330" s="69"/>
      <c r="M1330" s="69"/>
      <c r="N1330" s="69"/>
      <c r="O1330" s="69"/>
      <c r="P1330" s="69"/>
      <c r="Q1330" s="69"/>
      <c r="R1330" s="69"/>
      <c r="S1330" s="69"/>
      <c r="T1330" s="15"/>
    </row>
    <row r="1331">
      <c r="A1331" s="71"/>
      <c r="B1331" s="71"/>
      <c r="C1331" s="72"/>
      <c r="D1331" s="72"/>
      <c r="E1331" s="71"/>
      <c r="F1331" s="71"/>
      <c r="G1331" s="71"/>
      <c r="H1331" s="71"/>
      <c r="I1331" s="71"/>
      <c r="J1331" s="71"/>
      <c r="K1331" s="71"/>
      <c r="L1331" s="71"/>
      <c r="M1331" s="71"/>
      <c r="N1331" s="71"/>
      <c r="O1331" s="71"/>
      <c r="P1331" s="71"/>
      <c r="Q1331" s="71"/>
      <c r="R1331" s="71"/>
      <c r="S1331" s="71"/>
      <c r="T1331" s="15"/>
    </row>
    <row r="1332">
      <c r="A1332" s="69"/>
      <c r="B1332" s="69"/>
      <c r="C1332" s="70"/>
      <c r="D1332" s="70"/>
      <c r="E1332" s="69"/>
      <c r="F1332" s="69"/>
      <c r="G1332" s="69"/>
      <c r="H1332" s="69"/>
      <c r="I1332" s="69"/>
      <c r="J1332" s="69"/>
      <c r="K1332" s="69"/>
      <c r="L1332" s="69"/>
      <c r="M1332" s="69"/>
      <c r="N1332" s="69"/>
      <c r="O1332" s="69"/>
      <c r="P1332" s="69"/>
      <c r="Q1332" s="69"/>
      <c r="R1332" s="69"/>
      <c r="S1332" s="69"/>
      <c r="T1332" s="15"/>
    </row>
    <row r="1333">
      <c r="A1333" s="71"/>
      <c r="B1333" s="71"/>
      <c r="C1333" s="72"/>
      <c r="D1333" s="72"/>
      <c r="E1333" s="71"/>
      <c r="F1333" s="71"/>
      <c r="G1333" s="71"/>
      <c r="H1333" s="71"/>
      <c r="I1333" s="71"/>
      <c r="J1333" s="71"/>
      <c r="K1333" s="71"/>
      <c r="L1333" s="71"/>
      <c r="M1333" s="71"/>
      <c r="N1333" s="71"/>
      <c r="O1333" s="71"/>
      <c r="P1333" s="71"/>
      <c r="Q1333" s="71"/>
      <c r="R1333" s="71"/>
      <c r="S1333" s="71"/>
      <c r="T1333" s="15"/>
    </row>
    <row r="1334">
      <c r="A1334" s="69"/>
      <c r="B1334" s="69"/>
      <c r="C1334" s="70"/>
      <c r="D1334" s="70"/>
      <c r="E1334" s="69"/>
      <c r="F1334" s="69"/>
      <c r="G1334" s="69"/>
      <c r="H1334" s="69"/>
      <c r="I1334" s="69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15"/>
    </row>
    <row r="1335">
      <c r="A1335" s="71"/>
      <c r="B1335" s="71"/>
      <c r="C1335" s="72"/>
      <c r="D1335" s="72"/>
      <c r="E1335" s="71"/>
      <c r="F1335" s="71"/>
      <c r="G1335" s="71"/>
      <c r="H1335" s="71"/>
      <c r="I1335" s="71"/>
      <c r="J1335" s="71"/>
      <c r="K1335" s="71"/>
      <c r="L1335" s="71"/>
      <c r="M1335" s="71"/>
      <c r="N1335" s="71"/>
      <c r="O1335" s="71"/>
      <c r="P1335" s="71"/>
      <c r="Q1335" s="71"/>
      <c r="R1335" s="71"/>
      <c r="S1335" s="71"/>
      <c r="T1335" s="15"/>
    </row>
    <row r="1336">
      <c r="A1336" s="69"/>
      <c r="B1336" s="69"/>
      <c r="C1336" s="70"/>
      <c r="D1336" s="70"/>
      <c r="E1336" s="69"/>
      <c r="F1336" s="69"/>
      <c r="G1336" s="69"/>
      <c r="H1336" s="69"/>
      <c r="I1336" s="69"/>
      <c r="J1336" s="69"/>
      <c r="K1336" s="69"/>
      <c r="L1336" s="69"/>
      <c r="M1336" s="69"/>
      <c r="N1336" s="69"/>
      <c r="O1336" s="69"/>
      <c r="P1336" s="69"/>
      <c r="Q1336" s="69"/>
      <c r="R1336" s="69"/>
      <c r="S1336" s="69"/>
      <c r="T1336" s="15"/>
    </row>
    <row r="1337">
      <c r="A1337" s="71"/>
      <c r="B1337" s="71"/>
      <c r="C1337" s="72"/>
      <c r="D1337" s="72"/>
      <c r="E1337" s="71"/>
      <c r="F1337" s="71"/>
      <c r="G1337" s="71"/>
      <c r="H1337" s="71"/>
      <c r="I1337" s="71"/>
      <c r="J1337" s="71"/>
      <c r="K1337" s="71"/>
      <c r="L1337" s="71"/>
      <c r="M1337" s="71"/>
      <c r="N1337" s="71"/>
      <c r="O1337" s="71"/>
      <c r="P1337" s="71"/>
      <c r="Q1337" s="71"/>
      <c r="R1337" s="71"/>
      <c r="S1337" s="71"/>
      <c r="T1337" s="15"/>
    </row>
    <row r="1338">
      <c r="A1338" s="69"/>
      <c r="B1338" s="69"/>
      <c r="C1338" s="70"/>
      <c r="D1338" s="70"/>
      <c r="E1338" s="69"/>
      <c r="F1338" s="69"/>
      <c r="G1338" s="69"/>
      <c r="H1338" s="69"/>
      <c r="I1338" s="69"/>
      <c r="J1338" s="69"/>
      <c r="K1338" s="69"/>
      <c r="L1338" s="69"/>
      <c r="M1338" s="69"/>
      <c r="N1338" s="69"/>
      <c r="O1338" s="69"/>
      <c r="P1338" s="69"/>
      <c r="Q1338" s="69"/>
      <c r="R1338" s="69"/>
      <c r="S1338" s="69"/>
      <c r="T1338" s="15"/>
    </row>
    <row r="1339">
      <c r="A1339" s="71"/>
      <c r="B1339" s="71"/>
      <c r="C1339" s="72"/>
      <c r="D1339" s="72"/>
      <c r="E1339" s="71"/>
      <c r="F1339" s="71"/>
      <c r="G1339" s="71"/>
      <c r="H1339" s="71"/>
      <c r="I1339" s="71"/>
      <c r="J1339" s="71"/>
      <c r="K1339" s="71"/>
      <c r="L1339" s="71"/>
      <c r="M1339" s="71"/>
      <c r="N1339" s="71"/>
      <c r="O1339" s="71"/>
      <c r="P1339" s="71"/>
      <c r="Q1339" s="71"/>
      <c r="R1339" s="71"/>
      <c r="S1339" s="71"/>
      <c r="T1339" s="15"/>
    </row>
    <row r="1340">
      <c r="A1340" s="69"/>
      <c r="B1340" s="69"/>
      <c r="C1340" s="70"/>
      <c r="D1340" s="70"/>
      <c r="E1340" s="69"/>
      <c r="F1340" s="69"/>
      <c r="G1340" s="69"/>
      <c r="H1340" s="69"/>
      <c r="I1340" s="69"/>
      <c r="J1340" s="69"/>
      <c r="K1340" s="69"/>
      <c r="L1340" s="69"/>
      <c r="M1340" s="69"/>
      <c r="N1340" s="69"/>
      <c r="O1340" s="69"/>
      <c r="P1340" s="69"/>
      <c r="Q1340" s="69"/>
      <c r="R1340" s="69"/>
      <c r="S1340" s="69"/>
      <c r="T1340" s="15"/>
    </row>
    <row r="1341">
      <c r="A1341" s="71"/>
      <c r="B1341" s="71"/>
      <c r="C1341" s="72"/>
      <c r="D1341" s="72"/>
      <c r="E1341" s="71"/>
      <c r="F1341" s="71"/>
      <c r="G1341" s="71"/>
      <c r="H1341" s="71"/>
      <c r="I1341" s="71"/>
      <c r="J1341" s="71"/>
      <c r="K1341" s="71"/>
      <c r="L1341" s="71"/>
      <c r="M1341" s="71"/>
      <c r="N1341" s="71"/>
      <c r="O1341" s="71"/>
      <c r="P1341" s="71"/>
      <c r="Q1341" s="71"/>
      <c r="R1341" s="71"/>
      <c r="S1341" s="71"/>
      <c r="T1341" s="15"/>
    </row>
    <row r="1342">
      <c r="A1342" s="69"/>
      <c r="B1342" s="69"/>
      <c r="C1342" s="70"/>
      <c r="D1342" s="70"/>
      <c r="E1342" s="69"/>
      <c r="F1342" s="69"/>
      <c r="G1342" s="69"/>
      <c r="H1342" s="69"/>
      <c r="I1342" s="69"/>
      <c r="J1342" s="69"/>
      <c r="K1342" s="69"/>
      <c r="L1342" s="69"/>
      <c r="M1342" s="69"/>
      <c r="N1342" s="69"/>
      <c r="O1342" s="69"/>
      <c r="P1342" s="69"/>
      <c r="Q1342" s="69"/>
      <c r="R1342" s="69"/>
      <c r="S1342" s="69"/>
      <c r="T1342" s="15"/>
    </row>
    <row r="1343">
      <c r="A1343" s="71"/>
      <c r="B1343" s="71"/>
      <c r="C1343" s="72"/>
      <c r="D1343" s="72"/>
      <c r="E1343" s="71"/>
      <c r="F1343" s="71"/>
      <c r="G1343" s="71"/>
      <c r="H1343" s="71"/>
      <c r="I1343" s="71"/>
      <c r="J1343" s="71"/>
      <c r="K1343" s="71"/>
      <c r="L1343" s="71"/>
      <c r="M1343" s="71"/>
      <c r="N1343" s="71"/>
      <c r="O1343" s="71"/>
      <c r="P1343" s="71"/>
      <c r="Q1343" s="71"/>
      <c r="R1343" s="71"/>
      <c r="S1343" s="71"/>
      <c r="T1343" s="15"/>
    </row>
    <row r="1344">
      <c r="A1344" s="69"/>
      <c r="B1344" s="69"/>
      <c r="C1344" s="70"/>
      <c r="D1344" s="70"/>
      <c r="E1344" s="69"/>
      <c r="F1344" s="69"/>
      <c r="G1344" s="69"/>
      <c r="H1344" s="69"/>
      <c r="I1344" s="69"/>
      <c r="J1344" s="69"/>
      <c r="K1344" s="69"/>
      <c r="L1344" s="69"/>
      <c r="M1344" s="69"/>
      <c r="N1344" s="69"/>
      <c r="O1344" s="69"/>
      <c r="P1344" s="69"/>
      <c r="Q1344" s="69"/>
      <c r="R1344" s="69"/>
      <c r="S1344" s="69"/>
      <c r="T1344" s="15"/>
    </row>
    <row r="1345">
      <c r="A1345" s="71"/>
      <c r="B1345" s="71"/>
      <c r="C1345" s="72"/>
      <c r="D1345" s="72"/>
      <c r="E1345" s="71"/>
      <c r="F1345" s="71"/>
      <c r="G1345" s="71"/>
      <c r="H1345" s="71"/>
      <c r="I1345" s="71"/>
      <c r="J1345" s="71"/>
      <c r="K1345" s="71"/>
      <c r="L1345" s="71"/>
      <c r="M1345" s="71"/>
      <c r="N1345" s="71"/>
      <c r="O1345" s="71"/>
      <c r="P1345" s="71"/>
      <c r="Q1345" s="71"/>
      <c r="R1345" s="71"/>
      <c r="S1345" s="71"/>
      <c r="T1345" s="15"/>
    </row>
    <row r="1346">
      <c r="A1346" s="69"/>
      <c r="B1346" s="69"/>
      <c r="C1346" s="70"/>
      <c r="D1346" s="70"/>
      <c r="E1346" s="69"/>
      <c r="F1346" s="69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  <c r="T1346" s="15"/>
    </row>
    <row r="1347">
      <c r="A1347" s="71"/>
      <c r="B1347" s="71"/>
      <c r="C1347" s="72"/>
      <c r="D1347" s="72"/>
      <c r="E1347" s="71"/>
      <c r="F1347" s="71"/>
      <c r="G1347" s="71"/>
      <c r="H1347" s="71"/>
      <c r="I1347" s="71"/>
      <c r="J1347" s="71"/>
      <c r="K1347" s="71"/>
      <c r="L1347" s="71"/>
      <c r="M1347" s="71"/>
      <c r="N1347" s="71"/>
      <c r="O1347" s="71"/>
      <c r="P1347" s="71"/>
      <c r="Q1347" s="71"/>
      <c r="R1347" s="71"/>
      <c r="S1347" s="71"/>
      <c r="T1347" s="15"/>
    </row>
    <row r="1348">
      <c r="A1348" s="69"/>
      <c r="B1348" s="69"/>
      <c r="C1348" s="70"/>
      <c r="D1348" s="70"/>
      <c r="E1348" s="69"/>
      <c r="F1348" s="69"/>
      <c r="G1348" s="69"/>
      <c r="H1348" s="69"/>
      <c r="I1348" s="69"/>
      <c r="J1348" s="69"/>
      <c r="K1348" s="69"/>
      <c r="L1348" s="69"/>
      <c r="M1348" s="69"/>
      <c r="N1348" s="69"/>
      <c r="O1348" s="69"/>
      <c r="P1348" s="69"/>
      <c r="Q1348" s="69"/>
      <c r="R1348" s="69"/>
      <c r="S1348" s="69"/>
      <c r="T1348" s="15"/>
    </row>
    <row r="1349">
      <c r="A1349" s="71"/>
      <c r="B1349" s="71"/>
      <c r="C1349" s="72"/>
      <c r="D1349" s="72"/>
      <c r="E1349" s="71"/>
      <c r="F1349" s="71"/>
      <c r="G1349" s="71"/>
      <c r="H1349" s="71"/>
      <c r="I1349" s="71"/>
      <c r="J1349" s="71"/>
      <c r="K1349" s="71"/>
      <c r="L1349" s="71"/>
      <c r="M1349" s="71"/>
      <c r="N1349" s="71"/>
      <c r="O1349" s="71"/>
      <c r="P1349" s="71"/>
      <c r="Q1349" s="71"/>
      <c r="R1349" s="71"/>
      <c r="S1349" s="71"/>
      <c r="T1349" s="15"/>
    </row>
    <row r="1350">
      <c r="A1350" s="69"/>
      <c r="B1350" s="69"/>
      <c r="C1350" s="70"/>
      <c r="D1350" s="70"/>
      <c r="E1350" s="69"/>
      <c r="F1350" s="69"/>
      <c r="G1350" s="69"/>
      <c r="H1350" s="69"/>
      <c r="I1350" s="69"/>
      <c r="J1350" s="69"/>
      <c r="K1350" s="69"/>
      <c r="L1350" s="69"/>
      <c r="M1350" s="69"/>
      <c r="N1350" s="69"/>
      <c r="O1350" s="69"/>
      <c r="P1350" s="69"/>
      <c r="Q1350" s="69"/>
      <c r="R1350" s="69"/>
      <c r="S1350" s="69"/>
      <c r="T1350" s="15"/>
    </row>
    <row r="1351">
      <c r="A1351" s="71"/>
      <c r="B1351" s="71"/>
      <c r="C1351" s="72"/>
      <c r="D1351" s="72"/>
      <c r="E1351" s="71"/>
      <c r="F1351" s="71"/>
      <c r="G1351" s="71"/>
      <c r="H1351" s="71"/>
      <c r="I1351" s="71"/>
      <c r="J1351" s="71"/>
      <c r="K1351" s="71"/>
      <c r="L1351" s="71"/>
      <c r="M1351" s="71"/>
      <c r="N1351" s="71"/>
      <c r="O1351" s="71"/>
      <c r="P1351" s="71"/>
      <c r="Q1351" s="71"/>
      <c r="R1351" s="71"/>
      <c r="S1351" s="71"/>
      <c r="T1351" s="15"/>
    </row>
    <row r="1352">
      <c r="A1352" s="69"/>
      <c r="B1352" s="69"/>
      <c r="C1352" s="70"/>
      <c r="D1352" s="70"/>
      <c r="E1352" s="69"/>
      <c r="F1352" s="69"/>
      <c r="G1352" s="69"/>
      <c r="H1352" s="69"/>
      <c r="I1352" s="69"/>
      <c r="J1352" s="69"/>
      <c r="K1352" s="69"/>
      <c r="L1352" s="69"/>
      <c r="M1352" s="69"/>
      <c r="N1352" s="69"/>
      <c r="O1352" s="69"/>
      <c r="P1352" s="69"/>
      <c r="Q1352" s="69"/>
      <c r="R1352" s="69"/>
      <c r="S1352" s="69"/>
      <c r="T1352" s="15"/>
    </row>
    <row r="1353">
      <c r="A1353" s="71"/>
      <c r="B1353" s="71"/>
      <c r="C1353" s="72"/>
      <c r="D1353" s="72"/>
      <c r="E1353" s="71"/>
      <c r="F1353" s="71"/>
      <c r="G1353" s="71"/>
      <c r="H1353" s="71"/>
      <c r="I1353" s="71"/>
      <c r="J1353" s="71"/>
      <c r="K1353" s="71"/>
      <c r="L1353" s="71"/>
      <c r="M1353" s="71"/>
      <c r="N1353" s="71"/>
      <c r="O1353" s="71"/>
      <c r="P1353" s="71"/>
      <c r="Q1353" s="71"/>
      <c r="R1353" s="71"/>
      <c r="S1353" s="71"/>
      <c r="T1353" s="15"/>
    </row>
    <row r="1354">
      <c r="A1354" s="69"/>
      <c r="B1354" s="69"/>
      <c r="C1354" s="70"/>
      <c r="D1354" s="70"/>
      <c r="E1354" s="69"/>
      <c r="F1354" s="69"/>
      <c r="G1354" s="69"/>
      <c r="H1354" s="69"/>
      <c r="I1354" s="69"/>
      <c r="J1354" s="69"/>
      <c r="K1354" s="69"/>
      <c r="L1354" s="69"/>
      <c r="M1354" s="69"/>
      <c r="N1354" s="69"/>
      <c r="O1354" s="69"/>
      <c r="P1354" s="69"/>
      <c r="Q1354" s="69"/>
      <c r="R1354" s="69"/>
      <c r="S1354" s="69"/>
      <c r="T1354" s="15"/>
    </row>
    <row r="1355">
      <c r="A1355" s="71"/>
      <c r="B1355" s="71"/>
      <c r="C1355" s="72"/>
      <c r="D1355" s="72"/>
      <c r="E1355" s="71"/>
      <c r="F1355" s="71"/>
      <c r="G1355" s="71"/>
      <c r="H1355" s="71"/>
      <c r="I1355" s="71"/>
      <c r="J1355" s="71"/>
      <c r="K1355" s="71"/>
      <c r="L1355" s="71"/>
      <c r="M1355" s="71"/>
      <c r="N1355" s="71"/>
      <c r="O1355" s="71"/>
      <c r="P1355" s="71"/>
      <c r="Q1355" s="71"/>
      <c r="R1355" s="71"/>
      <c r="S1355" s="71"/>
      <c r="T1355" s="15"/>
    </row>
    <row r="1356">
      <c r="A1356" s="69"/>
      <c r="B1356" s="69"/>
      <c r="C1356" s="70"/>
      <c r="D1356" s="70"/>
      <c r="E1356" s="69"/>
      <c r="F1356" s="69"/>
      <c r="G1356" s="69"/>
      <c r="H1356" s="69"/>
      <c r="I1356" s="69"/>
      <c r="J1356" s="69"/>
      <c r="K1356" s="69"/>
      <c r="L1356" s="69"/>
      <c r="M1356" s="69"/>
      <c r="N1356" s="69"/>
      <c r="O1356" s="69"/>
      <c r="P1356" s="69"/>
      <c r="Q1356" s="69"/>
      <c r="R1356" s="69"/>
      <c r="S1356" s="69"/>
      <c r="T1356" s="15"/>
    </row>
    <row r="1357">
      <c r="A1357" s="71"/>
      <c r="B1357" s="71"/>
      <c r="C1357" s="72"/>
      <c r="D1357" s="72"/>
      <c r="E1357" s="71"/>
      <c r="F1357" s="71"/>
      <c r="G1357" s="71"/>
      <c r="H1357" s="71"/>
      <c r="I1357" s="71"/>
      <c r="J1357" s="71"/>
      <c r="K1357" s="71"/>
      <c r="L1357" s="71"/>
      <c r="M1357" s="71"/>
      <c r="N1357" s="71"/>
      <c r="O1357" s="71"/>
      <c r="P1357" s="71"/>
      <c r="Q1357" s="71"/>
      <c r="R1357" s="71"/>
      <c r="S1357" s="71"/>
      <c r="T1357" s="15"/>
    </row>
    <row r="1358">
      <c r="A1358" s="69"/>
      <c r="B1358" s="69"/>
      <c r="C1358" s="70"/>
      <c r="D1358" s="70"/>
      <c r="E1358" s="69"/>
      <c r="F1358" s="69"/>
      <c r="G1358" s="69"/>
      <c r="H1358" s="69"/>
      <c r="I1358" s="69"/>
      <c r="J1358" s="69"/>
      <c r="K1358" s="69"/>
      <c r="L1358" s="69"/>
      <c r="M1358" s="69"/>
      <c r="N1358" s="69"/>
      <c r="O1358" s="69"/>
      <c r="P1358" s="69"/>
      <c r="Q1358" s="69"/>
      <c r="R1358" s="69"/>
      <c r="S1358" s="69"/>
      <c r="T1358" s="15"/>
    </row>
    <row r="1359">
      <c r="A1359" s="71"/>
      <c r="B1359" s="71"/>
      <c r="C1359" s="72"/>
      <c r="D1359" s="72"/>
      <c r="E1359" s="71"/>
      <c r="F1359" s="71"/>
      <c r="G1359" s="71"/>
      <c r="H1359" s="71"/>
      <c r="I1359" s="71"/>
      <c r="J1359" s="71"/>
      <c r="K1359" s="71"/>
      <c r="L1359" s="71"/>
      <c r="M1359" s="71"/>
      <c r="N1359" s="71"/>
      <c r="O1359" s="71"/>
      <c r="P1359" s="71"/>
      <c r="Q1359" s="71"/>
      <c r="R1359" s="71"/>
      <c r="S1359" s="71"/>
      <c r="T1359" s="15"/>
    </row>
    <row r="1360">
      <c r="A1360" s="69"/>
      <c r="B1360" s="69"/>
      <c r="C1360" s="70"/>
      <c r="D1360" s="70"/>
      <c r="E1360" s="69"/>
      <c r="F1360" s="69"/>
      <c r="G1360" s="69"/>
      <c r="H1360" s="69"/>
      <c r="I1360" s="69"/>
      <c r="J1360" s="69"/>
      <c r="K1360" s="69"/>
      <c r="L1360" s="69"/>
      <c r="M1360" s="69"/>
      <c r="N1360" s="69"/>
      <c r="O1360" s="69"/>
      <c r="P1360" s="69"/>
      <c r="Q1360" s="69"/>
      <c r="R1360" s="69"/>
      <c r="S1360" s="69"/>
      <c r="T1360" s="15"/>
    </row>
    <row r="1361">
      <c r="A1361" s="71"/>
      <c r="B1361" s="71"/>
      <c r="C1361" s="72"/>
      <c r="D1361" s="72"/>
      <c r="E1361" s="71"/>
      <c r="F1361" s="71"/>
      <c r="G1361" s="71"/>
      <c r="H1361" s="71"/>
      <c r="I1361" s="71"/>
      <c r="J1361" s="71"/>
      <c r="K1361" s="71"/>
      <c r="L1361" s="71"/>
      <c r="M1361" s="71"/>
      <c r="N1361" s="71"/>
      <c r="O1361" s="71"/>
      <c r="P1361" s="71"/>
      <c r="Q1361" s="71"/>
      <c r="R1361" s="71"/>
      <c r="S1361" s="71"/>
      <c r="T1361" s="15"/>
    </row>
    <row r="1362">
      <c r="A1362" s="69"/>
      <c r="B1362" s="69"/>
      <c r="C1362" s="70"/>
      <c r="D1362" s="70"/>
      <c r="E1362" s="69"/>
      <c r="F1362" s="69"/>
      <c r="G1362" s="69"/>
      <c r="H1362" s="69"/>
      <c r="I1362" s="69"/>
      <c r="J1362" s="69"/>
      <c r="K1362" s="69"/>
      <c r="L1362" s="69"/>
      <c r="M1362" s="69"/>
      <c r="N1362" s="69"/>
      <c r="O1362" s="69"/>
      <c r="P1362" s="69"/>
      <c r="Q1362" s="69"/>
      <c r="R1362" s="69"/>
      <c r="S1362" s="69"/>
      <c r="T1362" s="15"/>
    </row>
    <row r="1363">
      <c r="A1363" s="71"/>
      <c r="B1363" s="71"/>
      <c r="C1363" s="72"/>
      <c r="D1363" s="72"/>
      <c r="E1363" s="71"/>
      <c r="F1363" s="71"/>
      <c r="G1363" s="71"/>
      <c r="H1363" s="71"/>
      <c r="I1363" s="71"/>
      <c r="J1363" s="71"/>
      <c r="K1363" s="71"/>
      <c r="L1363" s="71"/>
      <c r="M1363" s="71"/>
      <c r="N1363" s="71"/>
      <c r="O1363" s="71"/>
      <c r="P1363" s="71"/>
      <c r="Q1363" s="71"/>
      <c r="R1363" s="71"/>
      <c r="S1363" s="71"/>
      <c r="T1363" s="15"/>
    </row>
    <row r="1364">
      <c r="A1364" s="69"/>
      <c r="B1364" s="69"/>
      <c r="C1364" s="70"/>
      <c r="D1364" s="70"/>
      <c r="E1364" s="69"/>
      <c r="F1364" s="69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69"/>
      <c r="T1364" s="15"/>
    </row>
    <row r="1365">
      <c r="A1365" s="71"/>
      <c r="B1365" s="71"/>
      <c r="C1365" s="72"/>
      <c r="D1365" s="72"/>
      <c r="E1365" s="71"/>
      <c r="F1365" s="71"/>
      <c r="G1365" s="71"/>
      <c r="H1365" s="71"/>
      <c r="I1365" s="71"/>
      <c r="J1365" s="71"/>
      <c r="K1365" s="71"/>
      <c r="L1365" s="71"/>
      <c r="M1365" s="71"/>
      <c r="N1365" s="71"/>
      <c r="O1365" s="71"/>
      <c r="P1365" s="71"/>
      <c r="Q1365" s="71"/>
      <c r="R1365" s="71"/>
      <c r="S1365" s="71"/>
      <c r="T1365" s="15"/>
    </row>
    <row r="1366">
      <c r="A1366" s="69"/>
      <c r="B1366" s="69"/>
      <c r="C1366" s="70"/>
      <c r="D1366" s="70"/>
      <c r="E1366" s="69"/>
      <c r="F1366" s="69"/>
      <c r="G1366" s="69"/>
      <c r="H1366" s="69"/>
      <c r="I1366" s="69"/>
      <c r="J1366" s="69"/>
      <c r="K1366" s="69"/>
      <c r="L1366" s="69"/>
      <c r="M1366" s="69"/>
      <c r="N1366" s="69"/>
      <c r="O1366" s="69"/>
      <c r="P1366" s="69"/>
      <c r="Q1366" s="69"/>
      <c r="R1366" s="69"/>
      <c r="S1366" s="69"/>
      <c r="T1366" s="15"/>
    </row>
    <row r="1367">
      <c r="A1367" s="71"/>
      <c r="B1367" s="71"/>
      <c r="C1367" s="72"/>
      <c r="D1367" s="72"/>
      <c r="E1367" s="71"/>
      <c r="F1367" s="71"/>
      <c r="G1367" s="71"/>
      <c r="H1367" s="71"/>
      <c r="I1367" s="71"/>
      <c r="J1367" s="71"/>
      <c r="K1367" s="71"/>
      <c r="L1367" s="71"/>
      <c r="M1367" s="71"/>
      <c r="N1367" s="71"/>
      <c r="O1367" s="71"/>
      <c r="P1367" s="71"/>
      <c r="Q1367" s="71"/>
      <c r="R1367" s="71"/>
      <c r="S1367" s="71"/>
      <c r="T1367" s="15"/>
    </row>
    <row r="1368">
      <c r="A1368" s="69"/>
      <c r="B1368" s="69"/>
      <c r="C1368" s="70"/>
      <c r="D1368" s="70"/>
      <c r="E1368" s="69"/>
      <c r="F1368" s="69"/>
      <c r="G1368" s="69"/>
      <c r="H1368" s="69"/>
      <c r="I1368" s="69"/>
      <c r="J1368" s="69"/>
      <c r="K1368" s="69"/>
      <c r="L1368" s="69"/>
      <c r="M1368" s="69"/>
      <c r="N1368" s="69"/>
      <c r="O1368" s="69"/>
      <c r="P1368" s="69"/>
      <c r="Q1368" s="69"/>
      <c r="R1368" s="69"/>
      <c r="S1368" s="69"/>
      <c r="T1368" s="15"/>
    </row>
    <row r="1369">
      <c r="A1369" s="71"/>
      <c r="B1369" s="71"/>
      <c r="C1369" s="72"/>
      <c r="D1369" s="72"/>
      <c r="E1369" s="71"/>
      <c r="F1369" s="71"/>
      <c r="G1369" s="71"/>
      <c r="H1369" s="71"/>
      <c r="I1369" s="71"/>
      <c r="J1369" s="71"/>
      <c r="K1369" s="71"/>
      <c r="L1369" s="71"/>
      <c r="M1369" s="71"/>
      <c r="N1369" s="71"/>
      <c r="O1369" s="71"/>
      <c r="P1369" s="71"/>
      <c r="Q1369" s="71"/>
      <c r="R1369" s="71"/>
      <c r="S1369" s="71"/>
      <c r="T1369" s="15"/>
    </row>
    <row r="1370">
      <c r="A1370" s="69"/>
      <c r="B1370" s="69"/>
      <c r="C1370" s="70"/>
      <c r="D1370" s="70"/>
      <c r="E1370" s="69"/>
      <c r="F1370" s="69"/>
      <c r="G1370" s="69"/>
      <c r="H1370" s="69"/>
      <c r="I1370" s="69"/>
      <c r="J1370" s="69"/>
      <c r="K1370" s="69"/>
      <c r="L1370" s="69"/>
      <c r="M1370" s="69"/>
      <c r="N1370" s="69"/>
      <c r="O1370" s="69"/>
      <c r="P1370" s="69"/>
      <c r="Q1370" s="69"/>
      <c r="R1370" s="69"/>
      <c r="S1370" s="69"/>
      <c r="T1370" s="15"/>
    </row>
    <row r="1371">
      <c r="A1371" s="71"/>
      <c r="B1371" s="71"/>
      <c r="C1371" s="72"/>
      <c r="D1371" s="72"/>
      <c r="E1371" s="71"/>
      <c r="F1371" s="71"/>
      <c r="G1371" s="71"/>
      <c r="H1371" s="71"/>
      <c r="I1371" s="71"/>
      <c r="J1371" s="71"/>
      <c r="K1371" s="71"/>
      <c r="L1371" s="71"/>
      <c r="M1371" s="71"/>
      <c r="N1371" s="71"/>
      <c r="O1371" s="71"/>
      <c r="P1371" s="71"/>
      <c r="Q1371" s="71"/>
      <c r="R1371" s="71"/>
      <c r="S1371" s="71"/>
      <c r="T1371" s="15"/>
    </row>
    <row r="1372">
      <c r="A1372" s="69"/>
      <c r="B1372" s="69"/>
      <c r="C1372" s="70"/>
      <c r="D1372" s="70"/>
      <c r="E1372" s="69"/>
      <c r="F1372" s="69"/>
      <c r="G1372" s="69"/>
      <c r="H1372" s="69"/>
      <c r="I1372" s="69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15"/>
    </row>
    <row r="1373">
      <c r="A1373" s="71"/>
      <c r="B1373" s="71"/>
      <c r="C1373" s="72"/>
      <c r="D1373" s="72"/>
      <c r="E1373" s="71"/>
      <c r="F1373" s="71"/>
      <c r="G1373" s="71"/>
      <c r="H1373" s="71"/>
      <c r="I1373" s="71"/>
      <c r="J1373" s="71"/>
      <c r="K1373" s="71"/>
      <c r="L1373" s="71"/>
      <c r="M1373" s="71"/>
      <c r="N1373" s="71"/>
      <c r="O1373" s="71"/>
      <c r="P1373" s="71"/>
      <c r="Q1373" s="71"/>
      <c r="R1373" s="71"/>
      <c r="S1373" s="71"/>
      <c r="T1373" s="15"/>
    </row>
    <row r="1374">
      <c r="A1374" s="69"/>
      <c r="B1374" s="69"/>
      <c r="C1374" s="70"/>
      <c r="D1374" s="70"/>
      <c r="E1374" s="69"/>
      <c r="F1374" s="69"/>
      <c r="G1374" s="69"/>
      <c r="H1374" s="69"/>
      <c r="I1374" s="69"/>
      <c r="J1374" s="69"/>
      <c r="K1374" s="69"/>
      <c r="L1374" s="69"/>
      <c r="M1374" s="69"/>
      <c r="N1374" s="69"/>
      <c r="O1374" s="69"/>
      <c r="P1374" s="69"/>
      <c r="Q1374" s="69"/>
      <c r="R1374" s="69"/>
      <c r="S1374" s="69"/>
      <c r="T1374" s="15"/>
    </row>
    <row r="1375">
      <c r="A1375" s="71"/>
      <c r="B1375" s="71"/>
      <c r="C1375" s="72"/>
      <c r="D1375" s="72"/>
      <c r="E1375" s="71"/>
      <c r="F1375" s="71"/>
      <c r="G1375" s="71"/>
      <c r="H1375" s="71"/>
      <c r="I1375" s="71"/>
      <c r="J1375" s="71"/>
      <c r="K1375" s="71"/>
      <c r="L1375" s="71"/>
      <c r="M1375" s="71"/>
      <c r="N1375" s="71"/>
      <c r="O1375" s="71"/>
      <c r="P1375" s="71"/>
      <c r="Q1375" s="71"/>
      <c r="R1375" s="71"/>
      <c r="S1375" s="71"/>
      <c r="T1375" s="15"/>
    </row>
    <row r="1376">
      <c r="A1376" s="69"/>
      <c r="B1376" s="69"/>
      <c r="C1376" s="70"/>
      <c r="D1376" s="70"/>
      <c r="E1376" s="69"/>
      <c r="F1376" s="69"/>
      <c r="G1376" s="69"/>
      <c r="H1376" s="69"/>
      <c r="I1376" s="69"/>
      <c r="J1376" s="69"/>
      <c r="K1376" s="69"/>
      <c r="L1376" s="69"/>
      <c r="M1376" s="69"/>
      <c r="N1376" s="69"/>
      <c r="O1376" s="69"/>
      <c r="P1376" s="69"/>
      <c r="Q1376" s="69"/>
      <c r="R1376" s="69"/>
      <c r="S1376" s="69"/>
      <c r="T1376" s="15"/>
    </row>
    <row r="1377">
      <c r="A1377" s="71"/>
      <c r="B1377" s="71"/>
      <c r="C1377" s="72"/>
      <c r="D1377" s="72"/>
      <c r="E1377" s="71"/>
      <c r="F1377" s="71"/>
      <c r="G1377" s="71"/>
      <c r="H1377" s="71"/>
      <c r="I1377" s="71"/>
      <c r="J1377" s="71"/>
      <c r="K1377" s="71"/>
      <c r="L1377" s="71"/>
      <c r="M1377" s="71"/>
      <c r="N1377" s="71"/>
      <c r="O1377" s="71"/>
      <c r="P1377" s="71"/>
      <c r="Q1377" s="71"/>
      <c r="R1377" s="71"/>
      <c r="S1377" s="71"/>
      <c r="T1377" s="15"/>
    </row>
    <row r="1378">
      <c r="A1378" s="69"/>
      <c r="B1378" s="69"/>
      <c r="C1378" s="70"/>
      <c r="D1378" s="70"/>
      <c r="E1378" s="69"/>
      <c r="F1378" s="69"/>
      <c r="G1378" s="69"/>
      <c r="H1378" s="69"/>
      <c r="I1378" s="69"/>
      <c r="J1378" s="69"/>
      <c r="K1378" s="69"/>
      <c r="L1378" s="69"/>
      <c r="M1378" s="69"/>
      <c r="N1378" s="69"/>
      <c r="O1378" s="69"/>
      <c r="P1378" s="69"/>
      <c r="Q1378" s="69"/>
      <c r="R1378" s="69"/>
      <c r="S1378" s="69"/>
      <c r="T1378" s="15"/>
    </row>
    <row r="1379">
      <c r="A1379" s="71"/>
      <c r="B1379" s="71"/>
      <c r="C1379" s="72"/>
      <c r="D1379" s="72"/>
      <c r="E1379" s="71"/>
      <c r="F1379" s="71"/>
      <c r="G1379" s="71"/>
      <c r="H1379" s="71"/>
      <c r="I1379" s="71"/>
      <c r="J1379" s="71"/>
      <c r="K1379" s="71"/>
      <c r="L1379" s="71"/>
      <c r="M1379" s="71"/>
      <c r="N1379" s="71"/>
      <c r="O1379" s="71"/>
      <c r="P1379" s="71"/>
      <c r="Q1379" s="71"/>
      <c r="R1379" s="71"/>
      <c r="S1379" s="71"/>
      <c r="T1379" s="15"/>
    </row>
    <row r="1380">
      <c r="A1380" s="69"/>
      <c r="B1380" s="69"/>
      <c r="C1380" s="70"/>
      <c r="D1380" s="70"/>
      <c r="E1380" s="69"/>
      <c r="F1380" s="69"/>
      <c r="G1380" s="69"/>
      <c r="H1380" s="69"/>
      <c r="I1380" s="69"/>
      <c r="J1380" s="69"/>
      <c r="K1380" s="69"/>
      <c r="L1380" s="69"/>
      <c r="M1380" s="69"/>
      <c r="N1380" s="69"/>
      <c r="O1380" s="69"/>
      <c r="P1380" s="69"/>
      <c r="Q1380" s="69"/>
      <c r="R1380" s="69"/>
      <c r="S1380" s="69"/>
      <c r="T1380" s="15"/>
    </row>
    <row r="1381">
      <c r="A1381" s="71"/>
      <c r="B1381" s="71"/>
      <c r="C1381" s="72"/>
      <c r="D1381" s="72"/>
      <c r="E1381" s="71"/>
      <c r="F1381" s="71"/>
      <c r="G1381" s="71"/>
      <c r="H1381" s="71"/>
      <c r="I1381" s="71"/>
      <c r="J1381" s="71"/>
      <c r="K1381" s="71"/>
      <c r="L1381" s="71"/>
      <c r="M1381" s="71"/>
      <c r="N1381" s="71"/>
      <c r="O1381" s="71"/>
      <c r="P1381" s="71"/>
      <c r="Q1381" s="71"/>
      <c r="R1381" s="71"/>
      <c r="S1381" s="71"/>
      <c r="T1381" s="15"/>
    </row>
    <row r="1382">
      <c r="A1382" s="69"/>
      <c r="B1382" s="69"/>
      <c r="C1382" s="70"/>
      <c r="D1382" s="70"/>
      <c r="E1382" s="69"/>
      <c r="F1382" s="69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69"/>
      <c r="T1382" s="15"/>
    </row>
    <row r="1383">
      <c r="A1383" s="71"/>
      <c r="B1383" s="71"/>
      <c r="C1383" s="72"/>
      <c r="D1383" s="72"/>
      <c r="E1383" s="71"/>
      <c r="F1383" s="71"/>
      <c r="G1383" s="71"/>
      <c r="H1383" s="71"/>
      <c r="I1383" s="71"/>
      <c r="J1383" s="71"/>
      <c r="K1383" s="71"/>
      <c r="L1383" s="71"/>
      <c r="M1383" s="71"/>
      <c r="N1383" s="71"/>
      <c r="O1383" s="71"/>
      <c r="P1383" s="71"/>
      <c r="Q1383" s="71"/>
      <c r="R1383" s="71"/>
      <c r="S1383" s="71"/>
      <c r="T1383" s="15"/>
    </row>
    <row r="1384">
      <c r="A1384" s="69"/>
      <c r="B1384" s="69"/>
      <c r="C1384" s="70"/>
      <c r="D1384" s="70"/>
      <c r="E1384" s="69"/>
      <c r="F1384" s="69"/>
      <c r="G1384" s="69"/>
      <c r="H1384" s="69"/>
      <c r="I1384" s="69"/>
      <c r="J1384" s="69"/>
      <c r="K1384" s="69"/>
      <c r="L1384" s="69"/>
      <c r="M1384" s="69"/>
      <c r="N1384" s="69"/>
      <c r="O1384" s="69"/>
      <c r="P1384" s="69"/>
      <c r="Q1384" s="69"/>
      <c r="R1384" s="69"/>
      <c r="S1384" s="69"/>
      <c r="T1384" s="15"/>
    </row>
    <row r="1385">
      <c r="A1385" s="71"/>
      <c r="B1385" s="71"/>
      <c r="C1385" s="72"/>
      <c r="D1385" s="72"/>
      <c r="E1385" s="71"/>
      <c r="F1385" s="71"/>
      <c r="G1385" s="71"/>
      <c r="H1385" s="71"/>
      <c r="I1385" s="71"/>
      <c r="J1385" s="71"/>
      <c r="K1385" s="71"/>
      <c r="L1385" s="71"/>
      <c r="M1385" s="71"/>
      <c r="N1385" s="71"/>
      <c r="O1385" s="71"/>
      <c r="P1385" s="71"/>
      <c r="Q1385" s="71"/>
      <c r="R1385" s="71"/>
      <c r="S1385" s="71"/>
      <c r="T1385" s="15"/>
    </row>
    <row r="1386">
      <c r="A1386" s="69"/>
      <c r="B1386" s="69"/>
      <c r="C1386" s="70"/>
      <c r="D1386" s="70"/>
      <c r="E1386" s="69"/>
      <c r="F1386" s="69"/>
      <c r="G1386" s="69"/>
      <c r="H1386" s="69"/>
      <c r="I1386" s="69"/>
      <c r="J1386" s="69"/>
      <c r="K1386" s="69"/>
      <c r="L1386" s="69"/>
      <c r="M1386" s="69"/>
      <c r="N1386" s="69"/>
      <c r="O1386" s="69"/>
      <c r="P1386" s="69"/>
      <c r="Q1386" s="69"/>
      <c r="R1386" s="69"/>
      <c r="S1386" s="69"/>
      <c r="T1386" s="15"/>
    </row>
    <row r="1387">
      <c r="A1387" s="71"/>
      <c r="B1387" s="71"/>
      <c r="C1387" s="72"/>
      <c r="D1387" s="72"/>
      <c r="E1387" s="71"/>
      <c r="F1387" s="71"/>
      <c r="G1387" s="71"/>
      <c r="H1387" s="71"/>
      <c r="I1387" s="71"/>
      <c r="J1387" s="71"/>
      <c r="K1387" s="71"/>
      <c r="L1387" s="71"/>
      <c r="M1387" s="71"/>
      <c r="N1387" s="71"/>
      <c r="O1387" s="71"/>
      <c r="P1387" s="71"/>
      <c r="Q1387" s="71"/>
      <c r="R1387" s="71"/>
      <c r="S1387" s="71"/>
      <c r="T1387" s="15"/>
    </row>
    <row r="1388">
      <c r="A1388" s="69"/>
      <c r="B1388" s="69"/>
      <c r="C1388" s="70"/>
      <c r="D1388" s="70"/>
      <c r="E1388" s="69"/>
      <c r="F1388" s="69"/>
      <c r="G1388" s="69"/>
      <c r="H1388" s="69"/>
      <c r="I1388" s="69"/>
      <c r="J1388" s="69"/>
      <c r="K1388" s="69"/>
      <c r="L1388" s="69"/>
      <c r="M1388" s="69"/>
      <c r="N1388" s="69"/>
      <c r="O1388" s="69"/>
      <c r="P1388" s="69"/>
      <c r="Q1388" s="69"/>
      <c r="R1388" s="69"/>
      <c r="S1388" s="69"/>
      <c r="T1388" s="15"/>
    </row>
    <row r="1389">
      <c r="A1389" s="71"/>
      <c r="B1389" s="71"/>
      <c r="C1389" s="72"/>
      <c r="D1389" s="72"/>
      <c r="E1389" s="71"/>
      <c r="F1389" s="71"/>
      <c r="G1389" s="71"/>
      <c r="H1389" s="71"/>
      <c r="I1389" s="71"/>
      <c r="J1389" s="71"/>
      <c r="K1389" s="71"/>
      <c r="L1389" s="71"/>
      <c r="M1389" s="71"/>
      <c r="N1389" s="71"/>
      <c r="O1389" s="71"/>
      <c r="P1389" s="71"/>
      <c r="Q1389" s="71"/>
      <c r="R1389" s="71"/>
      <c r="S1389" s="71"/>
      <c r="T1389" s="15"/>
    </row>
    <row r="1390">
      <c r="A1390" s="69"/>
      <c r="B1390" s="69"/>
      <c r="C1390" s="70"/>
      <c r="D1390" s="70"/>
      <c r="E1390" s="69"/>
      <c r="F1390" s="69"/>
      <c r="G1390" s="69"/>
      <c r="H1390" s="69"/>
      <c r="I1390" s="69"/>
      <c r="J1390" s="69"/>
      <c r="K1390" s="69"/>
      <c r="L1390" s="69"/>
      <c r="M1390" s="69"/>
      <c r="N1390" s="69"/>
      <c r="O1390" s="69"/>
      <c r="P1390" s="69"/>
      <c r="Q1390" s="69"/>
      <c r="R1390" s="69"/>
      <c r="S1390" s="69"/>
      <c r="T1390" s="15"/>
    </row>
    <row r="1391">
      <c r="A1391" s="71"/>
      <c r="B1391" s="71"/>
      <c r="C1391" s="72"/>
      <c r="D1391" s="72"/>
      <c r="E1391" s="71"/>
      <c r="F1391" s="71"/>
      <c r="G1391" s="71"/>
      <c r="H1391" s="71"/>
      <c r="I1391" s="71"/>
      <c r="J1391" s="71"/>
      <c r="K1391" s="71"/>
      <c r="L1391" s="71"/>
      <c r="M1391" s="71"/>
      <c r="N1391" s="71"/>
      <c r="O1391" s="71"/>
      <c r="P1391" s="71"/>
      <c r="Q1391" s="71"/>
      <c r="R1391" s="71"/>
      <c r="S1391" s="71"/>
      <c r="T1391" s="15"/>
    </row>
    <row r="1392">
      <c r="A1392" s="69"/>
      <c r="B1392" s="69"/>
      <c r="C1392" s="70"/>
      <c r="D1392" s="70"/>
      <c r="E1392" s="69"/>
      <c r="F1392" s="69"/>
      <c r="G1392" s="69"/>
      <c r="H1392" s="69"/>
      <c r="I1392" s="69"/>
      <c r="J1392" s="69"/>
      <c r="K1392" s="69"/>
      <c r="L1392" s="69"/>
      <c r="M1392" s="69"/>
      <c r="N1392" s="69"/>
      <c r="O1392" s="69"/>
      <c r="P1392" s="69"/>
      <c r="Q1392" s="69"/>
      <c r="R1392" s="69"/>
      <c r="S1392" s="69"/>
      <c r="T1392" s="15"/>
    </row>
    <row r="1393">
      <c r="A1393" s="71"/>
      <c r="B1393" s="71"/>
      <c r="C1393" s="72"/>
      <c r="D1393" s="72"/>
      <c r="E1393" s="71"/>
      <c r="F1393" s="71"/>
      <c r="G1393" s="71"/>
      <c r="H1393" s="71"/>
      <c r="I1393" s="71"/>
      <c r="J1393" s="71"/>
      <c r="K1393" s="71"/>
      <c r="L1393" s="71"/>
      <c r="M1393" s="71"/>
      <c r="N1393" s="71"/>
      <c r="O1393" s="71"/>
      <c r="P1393" s="71"/>
      <c r="Q1393" s="71"/>
      <c r="R1393" s="71"/>
      <c r="S1393" s="71"/>
      <c r="T1393" s="15"/>
    </row>
    <row r="1394">
      <c r="A1394" s="69"/>
      <c r="B1394" s="69"/>
      <c r="C1394" s="70"/>
      <c r="D1394" s="70"/>
      <c r="E1394" s="69"/>
      <c r="F1394" s="69"/>
      <c r="G1394" s="69"/>
      <c r="H1394" s="69"/>
      <c r="I1394" s="69"/>
      <c r="J1394" s="69"/>
      <c r="K1394" s="69"/>
      <c r="L1394" s="69"/>
      <c r="M1394" s="69"/>
      <c r="N1394" s="69"/>
      <c r="O1394" s="69"/>
      <c r="P1394" s="69"/>
      <c r="Q1394" s="69"/>
      <c r="R1394" s="69"/>
      <c r="S1394" s="69"/>
      <c r="T1394" s="15"/>
    </row>
    <row r="1395">
      <c r="A1395" s="71"/>
      <c r="B1395" s="71"/>
      <c r="C1395" s="72"/>
      <c r="D1395" s="72"/>
      <c r="E1395" s="71"/>
      <c r="F1395" s="71"/>
      <c r="G1395" s="71"/>
      <c r="H1395" s="71"/>
      <c r="I1395" s="71"/>
      <c r="J1395" s="71"/>
      <c r="K1395" s="71"/>
      <c r="L1395" s="71"/>
      <c r="M1395" s="71"/>
      <c r="N1395" s="71"/>
      <c r="O1395" s="71"/>
      <c r="P1395" s="71"/>
      <c r="Q1395" s="71"/>
      <c r="R1395" s="71"/>
      <c r="S1395" s="71"/>
      <c r="T1395" s="15"/>
    </row>
    <row r="1396">
      <c r="A1396" s="69"/>
      <c r="B1396" s="69"/>
      <c r="C1396" s="70"/>
      <c r="D1396" s="70"/>
      <c r="E1396" s="69"/>
      <c r="F1396" s="69"/>
      <c r="G1396" s="69"/>
      <c r="H1396" s="69"/>
      <c r="I1396" s="69"/>
      <c r="J1396" s="69"/>
      <c r="K1396" s="69"/>
      <c r="L1396" s="69"/>
      <c r="M1396" s="69"/>
      <c r="N1396" s="69"/>
      <c r="O1396" s="69"/>
      <c r="P1396" s="69"/>
      <c r="Q1396" s="69"/>
      <c r="R1396" s="69"/>
      <c r="S1396" s="69"/>
      <c r="T1396" s="15"/>
    </row>
    <row r="1397">
      <c r="A1397" s="71"/>
      <c r="B1397" s="71"/>
      <c r="C1397" s="72"/>
      <c r="D1397" s="72"/>
      <c r="E1397" s="71"/>
      <c r="F1397" s="71"/>
      <c r="G1397" s="71"/>
      <c r="H1397" s="71"/>
      <c r="I1397" s="71"/>
      <c r="J1397" s="71"/>
      <c r="K1397" s="71"/>
      <c r="L1397" s="71"/>
      <c r="M1397" s="71"/>
      <c r="N1397" s="71"/>
      <c r="O1397" s="71"/>
      <c r="P1397" s="71"/>
      <c r="Q1397" s="71"/>
      <c r="R1397" s="71"/>
      <c r="S1397" s="71"/>
      <c r="T1397" s="15"/>
    </row>
    <row r="1398">
      <c r="A1398" s="69"/>
      <c r="B1398" s="69"/>
      <c r="C1398" s="70"/>
      <c r="D1398" s="70"/>
      <c r="E1398" s="69"/>
      <c r="F1398" s="69"/>
      <c r="G1398" s="69"/>
      <c r="H1398" s="69"/>
      <c r="I1398" s="69"/>
      <c r="J1398" s="69"/>
      <c r="K1398" s="69"/>
      <c r="L1398" s="69"/>
      <c r="M1398" s="69"/>
      <c r="N1398" s="69"/>
      <c r="O1398" s="69"/>
      <c r="P1398" s="69"/>
      <c r="Q1398" s="69"/>
      <c r="R1398" s="69"/>
      <c r="S1398" s="69"/>
      <c r="T1398" s="15"/>
    </row>
    <row r="1399">
      <c r="A1399" s="71"/>
      <c r="B1399" s="71"/>
      <c r="C1399" s="72"/>
      <c r="D1399" s="72"/>
      <c r="E1399" s="71"/>
      <c r="F1399" s="71"/>
      <c r="G1399" s="71"/>
      <c r="H1399" s="71"/>
      <c r="I1399" s="71"/>
      <c r="J1399" s="71"/>
      <c r="K1399" s="71"/>
      <c r="L1399" s="71"/>
      <c r="M1399" s="71"/>
      <c r="N1399" s="71"/>
      <c r="O1399" s="71"/>
      <c r="P1399" s="71"/>
      <c r="Q1399" s="71"/>
      <c r="R1399" s="71"/>
      <c r="S1399" s="71"/>
      <c r="T1399" s="15"/>
    </row>
    <row r="1400">
      <c r="A1400" s="69"/>
      <c r="B1400" s="69"/>
      <c r="C1400" s="70"/>
      <c r="D1400" s="70"/>
      <c r="E1400" s="69"/>
      <c r="F1400" s="69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  <c r="T1400" s="15"/>
    </row>
    <row r="1401">
      <c r="A1401" s="71"/>
      <c r="B1401" s="71"/>
      <c r="C1401" s="72"/>
      <c r="D1401" s="72"/>
      <c r="E1401" s="71"/>
      <c r="F1401" s="71"/>
      <c r="G1401" s="71"/>
      <c r="H1401" s="71"/>
      <c r="I1401" s="71"/>
      <c r="J1401" s="71"/>
      <c r="K1401" s="71"/>
      <c r="L1401" s="71"/>
      <c r="M1401" s="71"/>
      <c r="N1401" s="71"/>
      <c r="O1401" s="71"/>
      <c r="P1401" s="71"/>
      <c r="Q1401" s="71"/>
      <c r="R1401" s="71"/>
      <c r="S1401" s="71"/>
      <c r="T1401" s="15"/>
    </row>
    <row r="1402">
      <c r="A1402" s="69"/>
      <c r="B1402" s="69"/>
      <c r="C1402" s="70"/>
      <c r="D1402" s="70"/>
      <c r="E1402" s="69"/>
      <c r="F1402" s="69"/>
      <c r="G1402" s="69"/>
      <c r="H1402" s="69"/>
      <c r="I1402" s="69"/>
      <c r="J1402" s="69"/>
      <c r="K1402" s="69"/>
      <c r="L1402" s="69"/>
      <c r="M1402" s="69"/>
      <c r="N1402" s="69"/>
      <c r="O1402" s="69"/>
      <c r="P1402" s="69"/>
      <c r="Q1402" s="69"/>
      <c r="R1402" s="69"/>
      <c r="S1402" s="69"/>
      <c r="T1402" s="15"/>
    </row>
    <row r="1403">
      <c r="A1403" s="71"/>
      <c r="B1403" s="71"/>
      <c r="C1403" s="72"/>
      <c r="D1403" s="72"/>
      <c r="E1403" s="71"/>
      <c r="F1403" s="71"/>
      <c r="G1403" s="71"/>
      <c r="H1403" s="71"/>
      <c r="I1403" s="71"/>
      <c r="J1403" s="71"/>
      <c r="K1403" s="71"/>
      <c r="L1403" s="71"/>
      <c r="M1403" s="71"/>
      <c r="N1403" s="71"/>
      <c r="O1403" s="71"/>
      <c r="P1403" s="71"/>
      <c r="Q1403" s="71"/>
      <c r="R1403" s="71"/>
      <c r="S1403" s="71"/>
      <c r="T1403" s="15"/>
    </row>
    <row r="1404">
      <c r="A1404" s="69"/>
      <c r="B1404" s="69"/>
      <c r="C1404" s="70"/>
      <c r="D1404" s="70"/>
      <c r="E1404" s="69"/>
      <c r="F1404" s="69"/>
      <c r="G1404" s="69"/>
      <c r="H1404" s="69"/>
      <c r="I1404" s="69"/>
      <c r="J1404" s="69"/>
      <c r="K1404" s="69"/>
      <c r="L1404" s="69"/>
      <c r="M1404" s="69"/>
      <c r="N1404" s="69"/>
      <c r="O1404" s="69"/>
      <c r="P1404" s="69"/>
      <c r="Q1404" s="69"/>
      <c r="R1404" s="69"/>
      <c r="S1404" s="69"/>
      <c r="T1404" s="15"/>
    </row>
    <row r="1405">
      <c r="A1405" s="71"/>
      <c r="B1405" s="71"/>
      <c r="C1405" s="72"/>
      <c r="D1405" s="72"/>
      <c r="E1405" s="71"/>
      <c r="F1405" s="71"/>
      <c r="G1405" s="71"/>
      <c r="H1405" s="71"/>
      <c r="I1405" s="71"/>
      <c r="J1405" s="71"/>
      <c r="K1405" s="71"/>
      <c r="L1405" s="71"/>
      <c r="M1405" s="71"/>
      <c r="N1405" s="71"/>
      <c r="O1405" s="71"/>
      <c r="P1405" s="71"/>
      <c r="Q1405" s="71"/>
      <c r="R1405" s="71"/>
      <c r="S1405" s="71"/>
      <c r="T1405" s="15"/>
    </row>
    <row r="1406">
      <c r="A1406" s="69"/>
      <c r="B1406" s="69"/>
      <c r="C1406" s="70"/>
      <c r="D1406" s="70"/>
      <c r="E1406" s="69"/>
      <c r="F1406" s="69"/>
      <c r="G1406" s="69"/>
      <c r="H1406" s="69"/>
      <c r="I1406" s="69"/>
      <c r="J1406" s="69"/>
      <c r="K1406" s="69"/>
      <c r="L1406" s="69"/>
      <c r="M1406" s="69"/>
      <c r="N1406" s="69"/>
      <c r="O1406" s="69"/>
      <c r="P1406" s="69"/>
      <c r="Q1406" s="69"/>
      <c r="R1406" s="69"/>
      <c r="S1406" s="69"/>
      <c r="T1406" s="15"/>
    </row>
    <row r="1407">
      <c r="A1407" s="71"/>
      <c r="B1407" s="71"/>
      <c r="C1407" s="72"/>
      <c r="D1407" s="72"/>
      <c r="E1407" s="71"/>
      <c r="F1407" s="71"/>
      <c r="G1407" s="71"/>
      <c r="H1407" s="71"/>
      <c r="I1407" s="71"/>
      <c r="J1407" s="71"/>
      <c r="K1407" s="71"/>
      <c r="L1407" s="71"/>
      <c r="M1407" s="71"/>
      <c r="N1407" s="71"/>
      <c r="O1407" s="71"/>
      <c r="P1407" s="71"/>
      <c r="Q1407" s="71"/>
      <c r="R1407" s="71"/>
      <c r="S1407" s="71"/>
      <c r="T1407" s="15"/>
    </row>
    <row r="1408">
      <c r="A1408" s="69"/>
      <c r="B1408" s="69"/>
      <c r="C1408" s="70"/>
      <c r="D1408" s="70"/>
      <c r="E1408" s="69"/>
      <c r="F1408" s="69"/>
      <c r="G1408" s="69"/>
      <c r="H1408" s="69"/>
      <c r="I1408" s="69"/>
      <c r="J1408" s="69"/>
      <c r="K1408" s="69"/>
      <c r="L1408" s="69"/>
      <c r="M1408" s="69"/>
      <c r="N1408" s="69"/>
      <c r="O1408" s="69"/>
      <c r="P1408" s="69"/>
      <c r="Q1408" s="69"/>
      <c r="R1408" s="69"/>
      <c r="S1408" s="69"/>
      <c r="T1408" s="15"/>
    </row>
    <row r="1409">
      <c r="A1409" s="71"/>
      <c r="B1409" s="71"/>
      <c r="C1409" s="72"/>
      <c r="D1409" s="72"/>
      <c r="E1409" s="71"/>
      <c r="F1409" s="71"/>
      <c r="G1409" s="71"/>
      <c r="H1409" s="71"/>
      <c r="I1409" s="71"/>
      <c r="J1409" s="71"/>
      <c r="K1409" s="71"/>
      <c r="L1409" s="71"/>
      <c r="M1409" s="71"/>
      <c r="N1409" s="71"/>
      <c r="O1409" s="71"/>
      <c r="P1409" s="71"/>
      <c r="Q1409" s="71"/>
      <c r="R1409" s="71"/>
      <c r="S1409" s="71"/>
      <c r="T1409" s="15"/>
    </row>
    <row r="1410">
      <c r="A1410" s="69"/>
      <c r="B1410" s="69"/>
      <c r="C1410" s="70"/>
      <c r="D1410" s="70"/>
      <c r="E1410" s="69"/>
      <c r="F1410" s="69"/>
      <c r="G1410" s="69"/>
      <c r="H1410" s="69"/>
      <c r="I1410" s="69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15"/>
    </row>
    <row r="1411">
      <c r="A1411" s="71"/>
      <c r="B1411" s="71"/>
      <c r="C1411" s="72"/>
      <c r="D1411" s="72"/>
      <c r="E1411" s="71"/>
      <c r="F1411" s="71"/>
      <c r="G1411" s="71"/>
      <c r="H1411" s="71"/>
      <c r="I1411" s="71"/>
      <c r="J1411" s="71"/>
      <c r="K1411" s="71"/>
      <c r="L1411" s="71"/>
      <c r="M1411" s="71"/>
      <c r="N1411" s="71"/>
      <c r="O1411" s="71"/>
      <c r="P1411" s="71"/>
      <c r="Q1411" s="71"/>
      <c r="R1411" s="71"/>
      <c r="S1411" s="71"/>
      <c r="T1411" s="15"/>
    </row>
    <row r="1412">
      <c r="A1412" s="69"/>
      <c r="B1412" s="69"/>
      <c r="C1412" s="70"/>
      <c r="D1412" s="70"/>
      <c r="E1412" s="69"/>
      <c r="F1412" s="69"/>
      <c r="G1412" s="69"/>
      <c r="H1412" s="69"/>
      <c r="I1412" s="69"/>
      <c r="J1412" s="69"/>
      <c r="K1412" s="69"/>
      <c r="L1412" s="69"/>
      <c r="M1412" s="69"/>
      <c r="N1412" s="69"/>
      <c r="O1412" s="69"/>
      <c r="P1412" s="69"/>
      <c r="Q1412" s="69"/>
      <c r="R1412" s="69"/>
      <c r="S1412" s="69"/>
      <c r="T1412" s="15"/>
    </row>
    <row r="1413">
      <c r="A1413" s="71"/>
      <c r="B1413" s="71"/>
      <c r="C1413" s="72"/>
      <c r="D1413" s="72"/>
      <c r="E1413" s="71"/>
      <c r="F1413" s="71"/>
      <c r="G1413" s="71"/>
      <c r="H1413" s="71"/>
      <c r="I1413" s="71"/>
      <c r="J1413" s="71"/>
      <c r="K1413" s="71"/>
      <c r="L1413" s="71"/>
      <c r="M1413" s="71"/>
      <c r="N1413" s="71"/>
      <c r="O1413" s="71"/>
      <c r="P1413" s="71"/>
      <c r="Q1413" s="71"/>
      <c r="R1413" s="71"/>
      <c r="S1413" s="71"/>
      <c r="T1413" s="15"/>
    </row>
    <row r="1414">
      <c r="A1414" s="69"/>
      <c r="B1414" s="69"/>
      <c r="C1414" s="70"/>
      <c r="D1414" s="70"/>
      <c r="E1414" s="69"/>
      <c r="F1414" s="69"/>
      <c r="G1414" s="69"/>
      <c r="H1414" s="69"/>
      <c r="I1414" s="69"/>
      <c r="J1414" s="69"/>
      <c r="K1414" s="69"/>
      <c r="L1414" s="69"/>
      <c r="M1414" s="69"/>
      <c r="N1414" s="69"/>
      <c r="O1414" s="69"/>
      <c r="P1414" s="69"/>
      <c r="Q1414" s="69"/>
      <c r="R1414" s="69"/>
      <c r="S1414" s="69"/>
      <c r="T1414" s="15"/>
    </row>
    <row r="1415">
      <c r="A1415" s="71"/>
      <c r="B1415" s="71"/>
      <c r="C1415" s="72"/>
      <c r="D1415" s="72"/>
      <c r="E1415" s="71"/>
      <c r="F1415" s="71"/>
      <c r="G1415" s="71"/>
      <c r="H1415" s="71"/>
      <c r="I1415" s="71"/>
      <c r="J1415" s="71"/>
      <c r="K1415" s="71"/>
      <c r="L1415" s="71"/>
      <c r="M1415" s="71"/>
      <c r="N1415" s="71"/>
      <c r="O1415" s="71"/>
      <c r="P1415" s="71"/>
      <c r="Q1415" s="71"/>
      <c r="R1415" s="71"/>
      <c r="S1415" s="71"/>
      <c r="T1415" s="15"/>
    </row>
    <row r="1416">
      <c r="A1416" s="69"/>
      <c r="B1416" s="69"/>
      <c r="C1416" s="70"/>
      <c r="D1416" s="70"/>
      <c r="E1416" s="69"/>
      <c r="F1416" s="69"/>
      <c r="G1416" s="69"/>
      <c r="H1416" s="69"/>
      <c r="I1416" s="69"/>
      <c r="J1416" s="69"/>
      <c r="K1416" s="69"/>
      <c r="L1416" s="69"/>
      <c r="M1416" s="69"/>
      <c r="N1416" s="69"/>
      <c r="O1416" s="69"/>
      <c r="P1416" s="69"/>
      <c r="Q1416" s="69"/>
      <c r="R1416" s="69"/>
      <c r="S1416" s="69"/>
      <c r="T1416" s="15"/>
    </row>
    <row r="1417">
      <c r="A1417" s="71"/>
      <c r="B1417" s="71"/>
      <c r="C1417" s="72"/>
      <c r="D1417" s="72"/>
      <c r="E1417" s="71"/>
      <c r="F1417" s="71"/>
      <c r="G1417" s="71"/>
      <c r="H1417" s="71"/>
      <c r="I1417" s="71"/>
      <c r="J1417" s="71"/>
      <c r="K1417" s="71"/>
      <c r="L1417" s="71"/>
      <c r="M1417" s="71"/>
      <c r="N1417" s="71"/>
      <c r="O1417" s="71"/>
      <c r="P1417" s="71"/>
      <c r="Q1417" s="71"/>
      <c r="R1417" s="71"/>
      <c r="S1417" s="71"/>
      <c r="T1417" s="15"/>
    </row>
    <row r="1418">
      <c r="A1418" s="69"/>
      <c r="B1418" s="69"/>
      <c r="C1418" s="70"/>
      <c r="D1418" s="70"/>
      <c r="E1418" s="69"/>
      <c r="F1418" s="69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69"/>
      <c r="T1418" s="15"/>
    </row>
    <row r="1419">
      <c r="A1419" s="71"/>
      <c r="B1419" s="71"/>
      <c r="C1419" s="72"/>
      <c r="D1419" s="72"/>
      <c r="E1419" s="71"/>
      <c r="F1419" s="71"/>
      <c r="G1419" s="71"/>
      <c r="H1419" s="71"/>
      <c r="I1419" s="71"/>
      <c r="J1419" s="71"/>
      <c r="K1419" s="71"/>
      <c r="L1419" s="71"/>
      <c r="M1419" s="71"/>
      <c r="N1419" s="71"/>
      <c r="O1419" s="71"/>
      <c r="P1419" s="71"/>
      <c r="Q1419" s="71"/>
      <c r="R1419" s="71"/>
      <c r="S1419" s="71"/>
      <c r="T1419" s="15"/>
    </row>
    <row r="1420">
      <c r="A1420" s="69"/>
      <c r="B1420" s="69"/>
      <c r="C1420" s="70"/>
      <c r="D1420" s="70"/>
      <c r="E1420" s="69"/>
      <c r="F1420" s="69"/>
      <c r="G1420" s="69"/>
      <c r="H1420" s="69"/>
      <c r="I1420" s="69"/>
      <c r="J1420" s="69"/>
      <c r="K1420" s="69"/>
      <c r="L1420" s="69"/>
      <c r="M1420" s="69"/>
      <c r="N1420" s="69"/>
      <c r="O1420" s="69"/>
      <c r="P1420" s="69"/>
      <c r="Q1420" s="69"/>
      <c r="R1420" s="69"/>
      <c r="S1420" s="69"/>
      <c r="T1420" s="15"/>
    </row>
    <row r="1421">
      <c r="A1421" s="71"/>
      <c r="B1421" s="71"/>
      <c r="C1421" s="72"/>
      <c r="D1421" s="72"/>
      <c r="E1421" s="71"/>
      <c r="F1421" s="71"/>
      <c r="G1421" s="71"/>
      <c r="H1421" s="71"/>
      <c r="I1421" s="71"/>
      <c r="J1421" s="71"/>
      <c r="K1421" s="71"/>
      <c r="L1421" s="71"/>
      <c r="M1421" s="71"/>
      <c r="N1421" s="71"/>
      <c r="O1421" s="71"/>
      <c r="P1421" s="71"/>
      <c r="Q1421" s="71"/>
      <c r="R1421" s="71"/>
      <c r="S1421" s="71"/>
      <c r="T1421" s="15"/>
    </row>
    <row r="1422">
      <c r="A1422" s="69"/>
      <c r="B1422" s="69"/>
      <c r="C1422" s="70"/>
      <c r="D1422" s="70"/>
      <c r="E1422" s="69"/>
      <c r="F1422" s="69"/>
      <c r="G1422" s="69"/>
      <c r="H1422" s="69"/>
      <c r="I1422" s="69"/>
      <c r="J1422" s="69"/>
      <c r="K1422" s="69"/>
      <c r="L1422" s="69"/>
      <c r="M1422" s="69"/>
      <c r="N1422" s="69"/>
      <c r="O1422" s="69"/>
      <c r="P1422" s="69"/>
      <c r="Q1422" s="69"/>
      <c r="R1422" s="69"/>
      <c r="S1422" s="69"/>
      <c r="T1422" s="15"/>
    </row>
    <row r="1423">
      <c r="A1423" s="71"/>
      <c r="B1423" s="71"/>
      <c r="C1423" s="72"/>
      <c r="D1423" s="72"/>
      <c r="E1423" s="71"/>
      <c r="F1423" s="71"/>
      <c r="G1423" s="71"/>
      <c r="H1423" s="71"/>
      <c r="I1423" s="71"/>
      <c r="J1423" s="71"/>
      <c r="K1423" s="71"/>
      <c r="L1423" s="71"/>
      <c r="M1423" s="71"/>
      <c r="N1423" s="71"/>
      <c r="O1423" s="71"/>
      <c r="P1423" s="71"/>
      <c r="Q1423" s="71"/>
      <c r="R1423" s="71"/>
      <c r="S1423" s="71"/>
      <c r="T1423" s="15"/>
    </row>
    <row r="1424">
      <c r="A1424" s="69"/>
      <c r="B1424" s="69"/>
      <c r="C1424" s="70"/>
      <c r="D1424" s="70"/>
      <c r="E1424" s="69"/>
      <c r="F1424" s="69"/>
      <c r="G1424" s="69"/>
      <c r="H1424" s="69"/>
      <c r="I1424" s="69"/>
      <c r="J1424" s="69"/>
      <c r="K1424" s="69"/>
      <c r="L1424" s="69"/>
      <c r="M1424" s="69"/>
      <c r="N1424" s="69"/>
      <c r="O1424" s="69"/>
      <c r="P1424" s="69"/>
      <c r="Q1424" s="69"/>
      <c r="R1424" s="69"/>
      <c r="S1424" s="69"/>
      <c r="T1424" s="15"/>
    </row>
    <row r="1425">
      <c r="A1425" s="71"/>
      <c r="B1425" s="71"/>
      <c r="C1425" s="72"/>
      <c r="D1425" s="72"/>
      <c r="E1425" s="71"/>
      <c r="F1425" s="71"/>
      <c r="G1425" s="71"/>
      <c r="H1425" s="71"/>
      <c r="I1425" s="71"/>
      <c r="J1425" s="71"/>
      <c r="K1425" s="71"/>
      <c r="L1425" s="71"/>
      <c r="M1425" s="71"/>
      <c r="N1425" s="71"/>
      <c r="O1425" s="71"/>
      <c r="P1425" s="71"/>
      <c r="Q1425" s="71"/>
      <c r="R1425" s="71"/>
      <c r="S1425" s="71"/>
      <c r="T1425" s="15"/>
    </row>
    <row r="1426">
      <c r="A1426" s="69"/>
      <c r="B1426" s="69"/>
      <c r="C1426" s="70"/>
      <c r="D1426" s="70"/>
      <c r="E1426" s="69"/>
      <c r="F1426" s="69"/>
      <c r="G1426" s="69"/>
      <c r="H1426" s="69"/>
      <c r="I1426" s="69"/>
      <c r="J1426" s="69"/>
      <c r="K1426" s="69"/>
      <c r="L1426" s="69"/>
      <c r="M1426" s="69"/>
      <c r="N1426" s="69"/>
      <c r="O1426" s="69"/>
      <c r="P1426" s="69"/>
      <c r="Q1426" s="69"/>
      <c r="R1426" s="69"/>
      <c r="S1426" s="69"/>
      <c r="T1426" s="15"/>
    </row>
    <row r="1427">
      <c r="A1427" s="71"/>
      <c r="B1427" s="71"/>
      <c r="C1427" s="72"/>
      <c r="D1427" s="72"/>
      <c r="E1427" s="71"/>
      <c r="F1427" s="71"/>
      <c r="G1427" s="71"/>
      <c r="H1427" s="71"/>
      <c r="I1427" s="71"/>
      <c r="J1427" s="71"/>
      <c r="K1427" s="71"/>
      <c r="L1427" s="71"/>
      <c r="M1427" s="71"/>
      <c r="N1427" s="71"/>
      <c r="O1427" s="71"/>
      <c r="P1427" s="71"/>
      <c r="Q1427" s="71"/>
      <c r="R1427" s="71"/>
      <c r="S1427" s="71"/>
      <c r="T1427" s="15"/>
    </row>
    <row r="1428">
      <c r="A1428" s="69"/>
      <c r="B1428" s="69"/>
      <c r="C1428" s="70"/>
      <c r="D1428" s="70"/>
      <c r="E1428" s="69"/>
      <c r="F1428" s="69"/>
      <c r="G1428" s="69"/>
      <c r="H1428" s="69"/>
      <c r="I1428" s="69"/>
      <c r="J1428" s="69"/>
      <c r="K1428" s="69"/>
      <c r="L1428" s="69"/>
      <c r="M1428" s="69"/>
      <c r="N1428" s="69"/>
      <c r="O1428" s="69"/>
      <c r="P1428" s="69"/>
      <c r="Q1428" s="69"/>
      <c r="R1428" s="69"/>
      <c r="S1428" s="69"/>
      <c r="T1428" s="15"/>
    </row>
    <row r="1429">
      <c r="A1429" s="71"/>
      <c r="B1429" s="71"/>
      <c r="C1429" s="72"/>
      <c r="D1429" s="72"/>
      <c r="E1429" s="71"/>
      <c r="F1429" s="71"/>
      <c r="G1429" s="71"/>
      <c r="H1429" s="71"/>
      <c r="I1429" s="71"/>
      <c r="J1429" s="71"/>
      <c r="K1429" s="71"/>
      <c r="L1429" s="71"/>
      <c r="M1429" s="71"/>
      <c r="N1429" s="71"/>
      <c r="O1429" s="71"/>
      <c r="P1429" s="71"/>
      <c r="Q1429" s="71"/>
      <c r="R1429" s="71"/>
      <c r="S1429" s="71"/>
      <c r="T1429" s="15"/>
    </row>
    <row r="1430">
      <c r="A1430" s="69"/>
      <c r="B1430" s="69"/>
      <c r="C1430" s="70"/>
      <c r="D1430" s="70"/>
      <c r="E1430" s="69"/>
      <c r="F1430" s="69"/>
      <c r="G1430" s="69"/>
      <c r="H1430" s="69"/>
      <c r="I1430" s="69"/>
      <c r="J1430" s="69"/>
      <c r="K1430" s="69"/>
      <c r="L1430" s="69"/>
      <c r="M1430" s="69"/>
      <c r="N1430" s="69"/>
      <c r="O1430" s="69"/>
      <c r="P1430" s="69"/>
      <c r="Q1430" s="69"/>
      <c r="R1430" s="69"/>
      <c r="S1430" s="69"/>
      <c r="T1430" s="15"/>
    </row>
    <row r="1431">
      <c r="A1431" s="71"/>
      <c r="B1431" s="71"/>
      <c r="C1431" s="72"/>
      <c r="D1431" s="72"/>
      <c r="E1431" s="71"/>
      <c r="F1431" s="71"/>
      <c r="G1431" s="71"/>
      <c r="H1431" s="71"/>
      <c r="I1431" s="71"/>
      <c r="J1431" s="71"/>
      <c r="K1431" s="71"/>
      <c r="L1431" s="71"/>
      <c r="M1431" s="71"/>
      <c r="N1431" s="71"/>
      <c r="O1431" s="71"/>
      <c r="P1431" s="71"/>
      <c r="Q1431" s="71"/>
      <c r="R1431" s="71"/>
      <c r="S1431" s="71"/>
      <c r="T1431" s="15"/>
    </row>
    <row r="1432">
      <c r="A1432" s="69"/>
      <c r="B1432" s="69"/>
      <c r="C1432" s="70"/>
      <c r="D1432" s="70"/>
      <c r="E1432" s="69"/>
      <c r="F1432" s="69"/>
      <c r="G1432" s="69"/>
      <c r="H1432" s="69"/>
      <c r="I1432" s="69"/>
      <c r="J1432" s="69"/>
      <c r="K1432" s="69"/>
      <c r="L1432" s="69"/>
      <c r="M1432" s="69"/>
      <c r="N1432" s="69"/>
      <c r="O1432" s="69"/>
      <c r="P1432" s="69"/>
      <c r="Q1432" s="69"/>
      <c r="R1432" s="69"/>
      <c r="S1432" s="69"/>
      <c r="T1432" s="15"/>
    </row>
    <row r="1433">
      <c r="A1433" s="71"/>
      <c r="B1433" s="71"/>
      <c r="C1433" s="72"/>
      <c r="D1433" s="72"/>
      <c r="E1433" s="71"/>
      <c r="F1433" s="71"/>
      <c r="G1433" s="71"/>
      <c r="H1433" s="71"/>
      <c r="I1433" s="71"/>
      <c r="J1433" s="71"/>
      <c r="K1433" s="71"/>
      <c r="L1433" s="71"/>
      <c r="M1433" s="71"/>
      <c r="N1433" s="71"/>
      <c r="O1433" s="71"/>
      <c r="P1433" s="71"/>
      <c r="Q1433" s="71"/>
      <c r="R1433" s="71"/>
      <c r="S1433" s="71"/>
      <c r="T1433" s="15"/>
    </row>
    <row r="1434">
      <c r="A1434" s="69"/>
      <c r="B1434" s="69"/>
      <c r="C1434" s="70"/>
      <c r="D1434" s="70"/>
      <c r="E1434" s="69"/>
      <c r="F1434" s="69"/>
      <c r="G1434" s="69"/>
      <c r="H1434" s="69"/>
      <c r="I1434" s="69"/>
      <c r="J1434" s="69"/>
      <c r="K1434" s="69"/>
      <c r="L1434" s="69"/>
      <c r="M1434" s="69"/>
      <c r="N1434" s="69"/>
      <c r="O1434" s="69"/>
      <c r="P1434" s="69"/>
      <c r="Q1434" s="69"/>
      <c r="R1434" s="69"/>
      <c r="S1434" s="69"/>
      <c r="T1434" s="15"/>
    </row>
    <row r="1435">
      <c r="A1435" s="71"/>
      <c r="B1435" s="71"/>
      <c r="C1435" s="72"/>
      <c r="D1435" s="72"/>
      <c r="E1435" s="71"/>
      <c r="F1435" s="71"/>
      <c r="G1435" s="71"/>
      <c r="H1435" s="71"/>
      <c r="I1435" s="71"/>
      <c r="J1435" s="71"/>
      <c r="K1435" s="71"/>
      <c r="L1435" s="71"/>
      <c r="M1435" s="71"/>
      <c r="N1435" s="71"/>
      <c r="O1435" s="71"/>
      <c r="P1435" s="71"/>
      <c r="Q1435" s="71"/>
      <c r="R1435" s="71"/>
      <c r="S1435" s="71"/>
      <c r="T1435" s="15"/>
    </row>
    <row r="1436">
      <c r="A1436" s="69"/>
      <c r="B1436" s="69"/>
      <c r="C1436" s="70"/>
      <c r="D1436" s="70"/>
      <c r="E1436" s="69"/>
      <c r="F1436" s="69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  <c r="T1436" s="15"/>
    </row>
    <row r="1437">
      <c r="A1437" s="71"/>
      <c r="B1437" s="71"/>
      <c r="C1437" s="72"/>
      <c r="D1437" s="72"/>
      <c r="E1437" s="71"/>
      <c r="F1437" s="71"/>
      <c r="G1437" s="71"/>
      <c r="H1437" s="71"/>
      <c r="I1437" s="71"/>
      <c r="J1437" s="71"/>
      <c r="K1437" s="71"/>
      <c r="L1437" s="71"/>
      <c r="M1437" s="71"/>
      <c r="N1437" s="71"/>
      <c r="O1437" s="71"/>
      <c r="P1437" s="71"/>
      <c r="Q1437" s="71"/>
      <c r="R1437" s="71"/>
      <c r="S1437" s="71"/>
      <c r="T1437" s="15"/>
    </row>
    <row r="1438">
      <c r="A1438" s="69"/>
      <c r="B1438" s="69"/>
      <c r="C1438" s="70"/>
      <c r="D1438" s="70"/>
      <c r="E1438" s="69"/>
      <c r="F1438" s="69"/>
      <c r="G1438" s="69"/>
      <c r="H1438" s="69"/>
      <c r="I1438" s="69"/>
      <c r="J1438" s="69"/>
      <c r="K1438" s="69"/>
      <c r="L1438" s="69"/>
      <c r="M1438" s="69"/>
      <c r="N1438" s="69"/>
      <c r="O1438" s="69"/>
      <c r="P1438" s="69"/>
      <c r="Q1438" s="69"/>
      <c r="R1438" s="69"/>
      <c r="S1438" s="69"/>
      <c r="T1438" s="15"/>
    </row>
    <row r="1439">
      <c r="A1439" s="71"/>
      <c r="B1439" s="71"/>
      <c r="C1439" s="72"/>
      <c r="D1439" s="72"/>
      <c r="E1439" s="71"/>
      <c r="F1439" s="71"/>
      <c r="G1439" s="71"/>
      <c r="H1439" s="71"/>
      <c r="I1439" s="71"/>
      <c r="J1439" s="71"/>
      <c r="K1439" s="71"/>
      <c r="L1439" s="71"/>
      <c r="M1439" s="71"/>
      <c r="N1439" s="71"/>
      <c r="O1439" s="71"/>
      <c r="P1439" s="71"/>
      <c r="Q1439" s="71"/>
      <c r="R1439" s="71"/>
      <c r="S1439" s="71"/>
      <c r="T1439" s="15"/>
    </row>
    <row r="1440">
      <c r="A1440" s="69"/>
      <c r="B1440" s="69"/>
      <c r="C1440" s="70"/>
      <c r="D1440" s="70"/>
      <c r="E1440" s="69"/>
      <c r="F1440" s="69"/>
      <c r="G1440" s="69"/>
      <c r="H1440" s="69"/>
      <c r="I1440" s="69"/>
      <c r="J1440" s="69"/>
      <c r="K1440" s="69"/>
      <c r="L1440" s="69"/>
      <c r="M1440" s="69"/>
      <c r="N1440" s="69"/>
      <c r="O1440" s="69"/>
      <c r="P1440" s="69"/>
      <c r="Q1440" s="69"/>
      <c r="R1440" s="69"/>
      <c r="S1440" s="69"/>
      <c r="T1440" s="15"/>
    </row>
    <row r="1441">
      <c r="A1441" s="71"/>
      <c r="B1441" s="71"/>
      <c r="C1441" s="72"/>
      <c r="D1441" s="72"/>
      <c r="E1441" s="71"/>
      <c r="F1441" s="71"/>
      <c r="G1441" s="71"/>
      <c r="H1441" s="71"/>
      <c r="I1441" s="71"/>
      <c r="J1441" s="71"/>
      <c r="K1441" s="71"/>
      <c r="L1441" s="71"/>
      <c r="M1441" s="71"/>
      <c r="N1441" s="71"/>
      <c r="O1441" s="71"/>
      <c r="P1441" s="71"/>
      <c r="Q1441" s="71"/>
      <c r="R1441" s="71"/>
      <c r="S1441" s="71"/>
      <c r="T1441" s="15"/>
    </row>
    <row r="1442">
      <c r="A1442" s="69"/>
      <c r="B1442" s="69"/>
      <c r="C1442" s="70"/>
      <c r="D1442" s="70"/>
      <c r="E1442" s="69"/>
      <c r="F1442" s="69"/>
      <c r="G1442" s="69"/>
      <c r="H1442" s="69"/>
      <c r="I1442" s="69"/>
      <c r="J1442" s="69"/>
      <c r="K1442" s="69"/>
      <c r="L1442" s="69"/>
      <c r="M1442" s="69"/>
      <c r="N1442" s="69"/>
      <c r="O1442" s="69"/>
      <c r="P1442" s="69"/>
      <c r="Q1442" s="69"/>
      <c r="R1442" s="69"/>
      <c r="S1442" s="69"/>
      <c r="T1442" s="15"/>
    </row>
    <row r="1443">
      <c r="A1443" s="71"/>
      <c r="B1443" s="71"/>
      <c r="C1443" s="72"/>
      <c r="D1443" s="72"/>
      <c r="E1443" s="71"/>
      <c r="F1443" s="71"/>
      <c r="G1443" s="71"/>
      <c r="H1443" s="71"/>
      <c r="I1443" s="71"/>
      <c r="J1443" s="71"/>
      <c r="K1443" s="71"/>
      <c r="L1443" s="71"/>
      <c r="M1443" s="71"/>
      <c r="N1443" s="71"/>
      <c r="O1443" s="71"/>
      <c r="P1443" s="71"/>
      <c r="Q1443" s="71"/>
      <c r="R1443" s="71"/>
      <c r="S1443" s="71"/>
      <c r="T1443" s="15"/>
    </row>
    <row r="1444">
      <c r="A1444" s="69"/>
      <c r="B1444" s="69"/>
      <c r="C1444" s="70"/>
      <c r="D1444" s="70"/>
      <c r="E1444" s="69"/>
      <c r="F1444" s="69"/>
      <c r="G1444" s="69"/>
      <c r="H1444" s="69"/>
      <c r="I1444" s="69"/>
      <c r="J1444" s="69"/>
      <c r="K1444" s="69"/>
      <c r="L1444" s="69"/>
      <c r="M1444" s="69"/>
      <c r="N1444" s="69"/>
      <c r="O1444" s="69"/>
      <c r="P1444" s="69"/>
      <c r="Q1444" s="69"/>
      <c r="R1444" s="69"/>
      <c r="S1444" s="69"/>
      <c r="T1444" s="15"/>
    </row>
    <row r="1445">
      <c r="A1445" s="71"/>
      <c r="B1445" s="71"/>
      <c r="C1445" s="72"/>
      <c r="D1445" s="72"/>
      <c r="E1445" s="71"/>
      <c r="F1445" s="71"/>
      <c r="G1445" s="71"/>
      <c r="H1445" s="71"/>
      <c r="I1445" s="71"/>
      <c r="J1445" s="71"/>
      <c r="K1445" s="71"/>
      <c r="L1445" s="71"/>
      <c r="M1445" s="71"/>
      <c r="N1445" s="71"/>
      <c r="O1445" s="71"/>
      <c r="P1445" s="71"/>
      <c r="Q1445" s="71"/>
      <c r="R1445" s="71"/>
      <c r="S1445" s="71"/>
      <c r="T1445" s="15"/>
    </row>
    <row r="1446">
      <c r="A1446" s="69"/>
      <c r="B1446" s="69"/>
      <c r="C1446" s="70"/>
      <c r="D1446" s="70"/>
      <c r="E1446" s="69"/>
      <c r="F1446" s="69"/>
      <c r="G1446" s="69"/>
      <c r="H1446" s="69"/>
      <c r="I1446" s="69"/>
      <c r="J1446" s="69"/>
      <c r="K1446" s="69"/>
      <c r="L1446" s="69"/>
      <c r="M1446" s="69"/>
      <c r="N1446" s="69"/>
      <c r="O1446" s="69"/>
      <c r="P1446" s="69"/>
      <c r="Q1446" s="69"/>
      <c r="R1446" s="69"/>
      <c r="S1446" s="69"/>
      <c r="T1446" s="15"/>
    </row>
    <row r="1447">
      <c r="A1447" s="71"/>
      <c r="B1447" s="71"/>
      <c r="C1447" s="72"/>
      <c r="D1447" s="72"/>
      <c r="E1447" s="71"/>
      <c r="F1447" s="71"/>
      <c r="G1447" s="71"/>
      <c r="H1447" s="71"/>
      <c r="I1447" s="71"/>
      <c r="J1447" s="71"/>
      <c r="K1447" s="71"/>
      <c r="L1447" s="71"/>
      <c r="M1447" s="71"/>
      <c r="N1447" s="71"/>
      <c r="O1447" s="71"/>
      <c r="P1447" s="71"/>
      <c r="Q1447" s="71"/>
      <c r="R1447" s="71"/>
      <c r="S1447" s="71"/>
      <c r="T1447" s="15"/>
    </row>
    <row r="1448">
      <c r="A1448" s="69"/>
      <c r="B1448" s="69"/>
      <c r="C1448" s="70"/>
      <c r="D1448" s="70"/>
      <c r="E1448" s="69"/>
      <c r="F1448" s="69"/>
      <c r="G1448" s="69"/>
      <c r="H1448" s="69"/>
      <c r="I1448" s="69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15"/>
    </row>
    <row r="1449">
      <c r="A1449" s="71"/>
      <c r="B1449" s="71"/>
      <c r="C1449" s="72"/>
      <c r="D1449" s="72"/>
      <c r="E1449" s="71"/>
      <c r="F1449" s="71"/>
      <c r="G1449" s="71"/>
      <c r="H1449" s="71"/>
      <c r="I1449" s="71"/>
      <c r="J1449" s="71"/>
      <c r="K1449" s="71"/>
      <c r="L1449" s="71"/>
      <c r="M1449" s="71"/>
      <c r="N1449" s="71"/>
      <c r="O1449" s="71"/>
      <c r="P1449" s="71"/>
      <c r="Q1449" s="71"/>
      <c r="R1449" s="71"/>
      <c r="S1449" s="71"/>
      <c r="T1449" s="15"/>
    </row>
    <row r="1450">
      <c r="A1450" s="69"/>
      <c r="B1450" s="69"/>
      <c r="C1450" s="70"/>
      <c r="D1450" s="70"/>
      <c r="E1450" s="69"/>
      <c r="F1450" s="69"/>
      <c r="G1450" s="69"/>
      <c r="H1450" s="69"/>
      <c r="I1450" s="69"/>
      <c r="J1450" s="69"/>
      <c r="K1450" s="69"/>
      <c r="L1450" s="69"/>
      <c r="M1450" s="69"/>
      <c r="N1450" s="69"/>
      <c r="O1450" s="69"/>
      <c r="P1450" s="69"/>
      <c r="Q1450" s="69"/>
      <c r="R1450" s="69"/>
      <c r="S1450" s="69"/>
      <c r="T1450" s="15"/>
    </row>
    <row r="1451">
      <c r="A1451" s="71"/>
      <c r="B1451" s="71"/>
      <c r="C1451" s="72"/>
      <c r="D1451" s="72"/>
      <c r="E1451" s="71"/>
      <c r="F1451" s="71"/>
      <c r="G1451" s="71"/>
      <c r="H1451" s="71"/>
      <c r="I1451" s="71"/>
      <c r="J1451" s="71"/>
      <c r="K1451" s="71"/>
      <c r="L1451" s="71"/>
      <c r="M1451" s="71"/>
      <c r="N1451" s="71"/>
      <c r="O1451" s="71"/>
      <c r="P1451" s="71"/>
      <c r="Q1451" s="71"/>
      <c r="R1451" s="71"/>
      <c r="S1451" s="71"/>
      <c r="T1451" s="15"/>
    </row>
    <row r="1452">
      <c r="A1452" s="69"/>
      <c r="B1452" s="69"/>
      <c r="C1452" s="70"/>
      <c r="D1452" s="70"/>
      <c r="E1452" s="69"/>
      <c r="F1452" s="69"/>
      <c r="G1452" s="69"/>
      <c r="H1452" s="69"/>
      <c r="I1452" s="69"/>
      <c r="J1452" s="69"/>
      <c r="K1452" s="69"/>
      <c r="L1452" s="69"/>
      <c r="M1452" s="69"/>
      <c r="N1452" s="69"/>
      <c r="O1452" s="69"/>
      <c r="P1452" s="69"/>
      <c r="Q1452" s="69"/>
      <c r="R1452" s="69"/>
      <c r="S1452" s="69"/>
      <c r="T1452" s="15"/>
    </row>
    <row r="1453">
      <c r="A1453" s="71"/>
      <c r="B1453" s="71"/>
      <c r="C1453" s="72"/>
      <c r="D1453" s="72"/>
      <c r="E1453" s="71"/>
      <c r="F1453" s="71"/>
      <c r="G1453" s="71"/>
      <c r="H1453" s="71"/>
      <c r="I1453" s="71"/>
      <c r="J1453" s="71"/>
      <c r="K1453" s="71"/>
      <c r="L1453" s="71"/>
      <c r="M1453" s="71"/>
      <c r="N1453" s="71"/>
      <c r="O1453" s="71"/>
      <c r="P1453" s="71"/>
      <c r="Q1453" s="71"/>
      <c r="R1453" s="71"/>
      <c r="S1453" s="71"/>
      <c r="T1453" s="15"/>
    </row>
    <row r="1454">
      <c r="A1454" s="69"/>
      <c r="B1454" s="69"/>
      <c r="C1454" s="70"/>
      <c r="D1454" s="70"/>
      <c r="E1454" s="69"/>
      <c r="F1454" s="69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  <c r="T1454" s="15"/>
    </row>
    <row r="1455">
      <c r="A1455" s="71"/>
      <c r="B1455" s="71"/>
      <c r="C1455" s="72"/>
      <c r="D1455" s="72"/>
      <c r="E1455" s="71"/>
      <c r="F1455" s="71"/>
      <c r="G1455" s="71"/>
      <c r="H1455" s="71"/>
      <c r="I1455" s="71"/>
      <c r="J1455" s="71"/>
      <c r="K1455" s="71"/>
      <c r="L1455" s="71"/>
      <c r="M1455" s="71"/>
      <c r="N1455" s="71"/>
      <c r="O1455" s="71"/>
      <c r="P1455" s="71"/>
      <c r="Q1455" s="71"/>
      <c r="R1455" s="71"/>
      <c r="S1455" s="71"/>
      <c r="T1455" s="15"/>
    </row>
    <row r="1456">
      <c r="A1456" s="69"/>
      <c r="B1456" s="69"/>
      <c r="C1456" s="70"/>
      <c r="D1456" s="70"/>
      <c r="E1456" s="69"/>
      <c r="F1456" s="69"/>
      <c r="G1456" s="69"/>
      <c r="H1456" s="69"/>
      <c r="I1456" s="69"/>
      <c r="J1456" s="69"/>
      <c r="K1456" s="69"/>
      <c r="L1456" s="69"/>
      <c r="M1456" s="69"/>
      <c r="N1456" s="69"/>
      <c r="O1456" s="69"/>
      <c r="P1456" s="69"/>
      <c r="Q1456" s="69"/>
      <c r="R1456" s="69"/>
      <c r="S1456" s="69"/>
      <c r="T1456" s="15"/>
    </row>
    <row r="1457">
      <c r="A1457" s="71"/>
      <c r="B1457" s="71"/>
      <c r="C1457" s="72"/>
      <c r="D1457" s="72"/>
      <c r="E1457" s="71"/>
      <c r="F1457" s="71"/>
      <c r="G1457" s="71"/>
      <c r="H1457" s="71"/>
      <c r="I1457" s="71"/>
      <c r="J1457" s="71"/>
      <c r="K1457" s="71"/>
      <c r="L1457" s="71"/>
      <c r="M1457" s="71"/>
      <c r="N1457" s="71"/>
      <c r="O1457" s="71"/>
      <c r="P1457" s="71"/>
      <c r="Q1457" s="71"/>
      <c r="R1457" s="71"/>
      <c r="S1457" s="71"/>
      <c r="T1457" s="15"/>
    </row>
    <row r="1458">
      <c r="A1458" s="69"/>
      <c r="B1458" s="69"/>
      <c r="C1458" s="70"/>
      <c r="D1458" s="70"/>
      <c r="E1458" s="69"/>
      <c r="F1458" s="69"/>
      <c r="G1458" s="69"/>
      <c r="H1458" s="69"/>
      <c r="I1458" s="69"/>
      <c r="J1458" s="69"/>
      <c r="K1458" s="69"/>
      <c r="L1458" s="69"/>
      <c r="M1458" s="69"/>
      <c r="N1458" s="69"/>
      <c r="O1458" s="69"/>
      <c r="P1458" s="69"/>
      <c r="Q1458" s="69"/>
      <c r="R1458" s="69"/>
      <c r="S1458" s="69"/>
      <c r="T1458" s="15"/>
    </row>
    <row r="1459">
      <c r="A1459" s="71"/>
      <c r="B1459" s="71"/>
      <c r="C1459" s="72"/>
      <c r="D1459" s="72"/>
      <c r="E1459" s="71"/>
      <c r="F1459" s="71"/>
      <c r="G1459" s="71"/>
      <c r="H1459" s="71"/>
      <c r="I1459" s="71"/>
      <c r="J1459" s="71"/>
      <c r="K1459" s="71"/>
      <c r="L1459" s="71"/>
      <c r="M1459" s="71"/>
      <c r="N1459" s="71"/>
      <c r="O1459" s="71"/>
      <c r="P1459" s="71"/>
      <c r="Q1459" s="71"/>
      <c r="R1459" s="71"/>
      <c r="S1459" s="71"/>
      <c r="T1459" s="15"/>
    </row>
    <row r="1460">
      <c r="A1460" s="69"/>
      <c r="B1460" s="69"/>
      <c r="C1460" s="70"/>
      <c r="D1460" s="70"/>
      <c r="E1460" s="69"/>
      <c r="F1460" s="69"/>
      <c r="G1460" s="69"/>
      <c r="H1460" s="69"/>
      <c r="I1460" s="69"/>
      <c r="J1460" s="69"/>
      <c r="K1460" s="69"/>
      <c r="L1460" s="69"/>
      <c r="M1460" s="69"/>
      <c r="N1460" s="69"/>
      <c r="O1460" s="69"/>
      <c r="P1460" s="69"/>
      <c r="Q1460" s="69"/>
      <c r="R1460" s="69"/>
      <c r="S1460" s="69"/>
      <c r="T1460" s="15"/>
    </row>
    <row r="1461">
      <c r="A1461" s="71"/>
      <c r="B1461" s="71"/>
      <c r="C1461" s="72"/>
      <c r="D1461" s="72"/>
      <c r="E1461" s="71"/>
      <c r="F1461" s="71"/>
      <c r="G1461" s="71"/>
      <c r="H1461" s="71"/>
      <c r="I1461" s="71"/>
      <c r="J1461" s="71"/>
      <c r="K1461" s="71"/>
      <c r="L1461" s="71"/>
      <c r="M1461" s="71"/>
      <c r="N1461" s="71"/>
      <c r="O1461" s="71"/>
      <c r="P1461" s="71"/>
      <c r="Q1461" s="71"/>
      <c r="R1461" s="71"/>
      <c r="S1461" s="71"/>
      <c r="T1461" s="15"/>
    </row>
    <row r="1462">
      <c r="A1462" s="69"/>
      <c r="B1462" s="69"/>
      <c r="C1462" s="70"/>
      <c r="D1462" s="70"/>
      <c r="E1462" s="69"/>
      <c r="F1462" s="69"/>
      <c r="G1462" s="69"/>
      <c r="H1462" s="69"/>
      <c r="I1462" s="69"/>
      <c r="J1462" s="69"/>
      <c r="K1462" s="69"/>
      <c r="L1462" s="69"/>
      <c r="M1462" s="69"/>
      <c r="N1462" s="69"/>
      <c r="O1462" s="69"/>
      <c r="P1462" s="69"/>
      <c r="Q1462" s="69"/>
      <c r="R1462" s="69"/>
      <c r="S1462" s="69"/>
      <c r="T1462" s="15"/>
    </row>
    <row r="1463">
      <c r="A1463" s="71"/>
      <c r="B1463" s="71"/>
      <c r="C1463" s="72"/>
      <c r="D1463" s="72"/>
      <c r="E1463" s="71"/>
      <c r="F1463" s="71"/>
      <c r="G1463" s="71"/>
      <c r="H1463" s="71"/>
      <c r="I1463" s="71"/>
      <c r="J1463" s="71"/>
      <c r="K1463" s="71"/>
      <c r="L1463" s="71"/>
      <c r="M1463" s="71"/>
      <c r="N1463" s="71"/>
      <c r="O1463" s="71"/>
      <c r="P1463" s="71"/>
      <c r="Q1463" s="71"/>
      <c r="R1463" s="71"/>
      <c r="S1463" s="71"/>
      <c r="T1463" s="15"/>
    </row>
    <row r="1464">
      <c r="A1464" s="69"/>
      <c r="B1464" s="69"/>
      <c r="C1464" s="70"/>
      <c r="D1464" s="70"/>
      <c r="E1464" s="69"/>
      <c r="F1464" s="69"/>
      <c r="G1464" s="69"/>
      <c r="H1464" s="69"/>
      <c r="I1464" s="69"/>
      <c r="J1464" s="69"/>
      <c r="K1464" s="69"/>
      <c r="L1464" s="69"/>
      <c r="M1464" s="69"/>
      <c r="N1464" s="69"/>
      <c r="O1464" s="69"/>
      <c r="P1464" s="69"/>
      <c r="Q1464" s="69"/>
      <c r="R1464" s="69"/>
      <c r="S1464" s="69"/>
      <c r="T1464" s="15"/>
    </row>
    <row r="1465">
      <c r="A1465" s="71"/>
      <c r="B1465" s="71"/>
      <c r="C1465" s="72"/>
      <c r="D1465" s="72"/>
      <c r="E1465" s="71"/>
      <c r="F1465" s="71"/>
      <c r="G1465" s="71"/>
      <c r="H1465" s="71"/>
      <c r="I1465" s="71"/>
      <c r="J1465" s="71"/>
      <c r="K1465" s="71"/>
      <c r="L1465" s="71"/>
      <c r="M1465" s="71"/>
      <c r="N1465" s="71"/>
      <c r="O1465" s="71"/>
      <c r="P1465" s="71"/>
      <c r="Q1465" s="71"/>
      <c r="R1465" s="71"/>
      <c r="S1465" s="71"/>
      <c r="T1465" s="15"/>
    </row>
    <row r="1466">
      <c r="A1466" s="69"/>
      <c r="B1466" s="69"/>
      <c r="C1466" s="70"/>
      <c r="D1466" s="70"/>
      <c r="E1466" s="69"/>
      <c r="F1466" s="69"/>
      <c r="G1466" s="69"/>
      <c r="H1466" s="69"/>
      <c r="I1466" s="69"/>
      <c r="J1466" s="69"/>
      <c r="K1466" s="69"/>
      <c r="L1466" s="69"/>
      <c r="M1466" s="69"/>
      <c r="N1466" s="69"/>
      <c r="O1466" s="69"/>
      <c r="P1466" s="69"/>
      <c r="Q1466" s="69"/>
      <c r="R1466" s="69"/>
      <c r="S1466" s="69"/>
      <c r="T1466" s="15"/>
    </row>
    <row r="1467">
      <c r="A1467" s="71"/>
      <c r="B1467" s="71"/>
      <c r="C1467" s="72"/>
      <c r="D1467" s="72"/>
      <c r="E1467" s="71"/>
      <c r="F1467" s="71"/>
      <c r="G1467" s="71"/>
      <c r="H1467" s="71"/>
      <c r="I1467" s="71"/>
      <c r="J1467" s="71"/>
      <c r="K1467" s="71"/>
      <c r="L1467" s="71"/>
      <c r="M1467" s="71"/>
      <c r="N1467" s="71"/>
      <c r="O1467" s="71"/>
      <c r="P1467" s="71"/>
      <c r="Q1467" s="71"/>
      <c r="R1467" s="71"/>
      <c r="S1467" s="71"/>
      <c r="T1467" s="15"/>
    </row>
    <row r="1468">
      <c r="A1468" s="69"/>
      <c r="B1468" s="69"/>
      <c r="C1468" s="70"/>
      <c r="D1468" s="70"/>
      <c r="E1468" s="69"/>
      <c r="F1468" s="69"/>
      <c r="G1468" s="69"/>
      <c r="H1468" s="69"/>
      <c r="I1468" s="69"/>
      <c r="J1468" s="69"/>
      <c r="K1468" s="69"/>
      <c r="L1468" s="69"/>
      <c r="M1468" s="69"/>
      <c r="N1468" s="69"/>
      <c r="O1468" s="69"/>
      <c r="P1468" s="69"/>
      <c r="Q1468" s="69"/>
      <c r="R1468" s="69"/>
      <c r="S1468" s="69"/>
      <c r="T1468" s="15"/>
    </row>
    <row r="1469">
      <c r="A1469" s="71"/>
      <c r="B1469" s="71"/>
      <c r="C1469" s="72"/>
      <c r="D1469" s="72"/>
      <c r="E1469" s="71"/>
      <c r="F1469" s="71"/>
      <c r="G1469" s="71"/>
      <c r="H1469" s="71"/>
      <c r="I1469" s="71"/>
      <c r="J1469" s="71"/>
      <c r="K1469" s="71"/>
      <c r="L1469" s="71"/>
      <c r="M1469" s="71"/>
      <c r="N1469" s="71"/>
      <c r="O1469" s="71"/>
      <c r="P1469" s="71"/>
      <c r="Q1469" s="71"/>
      <c r="R1469" s="71"/>
      <c r="S1469" s="71"/>
      <c r="T1469" s="15"/>
    </row>
    <row r="1470">
      <c r="A1470" s="69"/>
      <c r="B1470" s="69"/>
      <c r="C1470" s="70"/>
      <c r="D1470" s="70"/>
      <c r="E1470" s="69"/>
      <c r="F1470" s="69"/>
      <c r="G1470" s="69"/>
      <c r="H1470" s="69"/>
      <c r="I1470" s="69"/>
      <c r="J1470" s="69"/>
      <c r="K1470" s="69"/>
      <c r="L1470" s="69"/>
      <c r="M1470" s="69"/>
      <c r="N1470" s="69"/>
      <c r="O1470" s="69"/>
      <c r="P1470" s="69"/>
      <c r="Q1470" s="69"/>
      <c r="R1470" s="69"/>
      <c r="S1470" s="69"/>
      <c r="T1470" s="15"/>
    </row>
    <row r="1471">
      <c r="A1471" s="71"/>
      <c r="B1471" s="71"/>
      <c r="C1471" s="72"/>
      <c r="D1471" s="72"/>
      <c r="E1471" s="71"/>
      <c r="F1471" s="71"/>
      <c r="G1471" s="71"/>
      <c r="H1471" s="71"/>
      <c r="I1471" s="71"/>
      <c r="J1471" s="71"/>
      <c r="K1471" s="71"/>
      <c r="L1471" s="71"/>
      <c r="M1471" s="71"/>
      <c r="N1471" s="71"/>
      <c r="O1471" s="71"/>
      <c r="P1471" s="71"/>
      <c r="Q1471" s="71"/>
      <c r="R1471" s="71"/>
      <c r="S1471" s="71"/>
      <c r="T1471" s="15"/>
    </row>
    <row r="1472">
      <c r="A1472" s="69"/>
      <c r="B1472" s="69"/>
      <c r="C1472" s="70"/>
      <c r="D1472" s="70"/>
      <c r="E1472" s="69"/>
      <c r="F1472" s="69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69"/>
      <c r="T1472" s="15"/>
    </row>
    <row r="1473">
      <c r="A1473" s="71"/>
      <c r="B1473" s="71"/>
      <c r="C1473" s="72"/>
      <c r="D1473" s="72"/>
      <c r="E1473" s="71"/>
      <c r="F1473" s="71"/>
      <c r="G1473" s="71"/>
      <c r="H1473" s="71"/>
      <c r="I1473" s="71"/>
      <c r="J1473" s="71"/>
      <c r="K1473" s="71"/>
      <c r="L1473" s="71"/>
      <c r="M1473" s="71"/>
      <c r="N1473" s="71"/>
      <c r="O1473" s="71"/>
      <c r="P1473" s="71"/>
      <c r="Q1473" s="71"/>
      <c r="R1473" s="71"/>
      <c r="S1473" s="71"/>
      <c r="T1473" s="15"/>
    </row>
    <row r="1474">
      <c r="A1474" s="69"/>
      <c r="B1474" s="69"/>
      <c r="C1474" s="70"/>
      <c r="D1474" s="70"/>
      <c r="E1474" s="69"/>
      <c r="F1474" s="69"/>
      <c r="G1474" s="69"/>
      <c r="H1474" s="69"/>
      <c r="I1474" s="69"/>
      <c r="J1474" s="69"/>
      <c r="K1474" s="69"/>
      <c r="L1474" s="69"/>
      <c r="M1474" s="69"/>
      <c r="N1474" s="69"/>
      <c r="O1474" s="69"/>
      <c r="P1474" s="69"/>
      <c r="Q1474" s="69"/>
      <c r="R1474" s="69"/>
      <c r="S1474" s="69"/>
      <c r="T1474" s="15"/>
    </row>
    <row r="1475">
      <c r="A1475" s="71"/>
      <c r="B1475" s="71"/>
      <c r="C1475" s="72"/>
      <c r="D1475" s="72"/>
      <c r="E1475" s="71"/>
      <c r="F1475" s="71"/>
      <c r="G1475" s="71"/>
      <c r="H1475" s="71"/>
      <c r="I1475" s="71"/>
      <c r="J1475" s="71"/>
      <c r="K1475" s="71"/>
      <c r="L1475" s="71"/>
      <c r="M1475" s="71"/>
      <c r="N1475" s="71"/>
      <c r="O1475" s="71"/>
      <c r="P1475" s="71"/>
      <c r="Q1475" s="71"/>
      <c r="R1475" s="71"/>
      <c r="S1475" s="71"/>
      <c r="T1475" s="15"/>
    </row>
    <row r="1476">
      <c r="A1476" s="69"/>
      <c r="B1476" s="69"/>
      <c r="C1476" s="70"/>
      <c r="D1476" s="70"/>
      <c r="E1476" s="69"/>
      <c r="F1476" s="69"/>
      <c r="G1476" s="69"/>
      <c r="H1476" s="69"/>
      <c r="I1476" s="69"/>
      <c r="J1476" s="69"/>
      <c r="K1476" s="69"/>
      <c r="L1476" s="69"/>
      <c r="M1476" s="69"/>
      <c r="N1476" s="69"/>
      <c r="O1476" s="69"/>
      <c r="P1476" s="69"/>
      <c r="Q1476" s="69"/>
      <c r="R1476" s="69"/>
      <c r="S1476" s="69"/>
      <c r="T1476" s="15"/>
    </row>
    <row r="1477">
      <c r="A1477" s="71"/>
      <c r="B1477" s="71"/>
      <c r="C1477" s="72"/>
      <c r="D1477" s="72"/>
      <c r="E1477" s="71"/>
      <c r="F1477" s="71"/>
      <c r="G1477" s="71"/>
      <c r="H1477" s="71"/>
      <c r="I1477" s="71"/>
      <c r="J1477" s="71"/>
      <c r="K1477" s="71"/>
      <c r="L1477" s="71"/>
      <c r="M1477" s="71"/>
      <c r="N1477" s="71"/>
      <c r="O1477" s="71"/>
      <c r="P1477" s="71"/>
      <c r="Q1477" s="71"/>
      <c r="R1477" s="71"/>
      <c r="S1477" s="71"/>
      <c r="T1477" s="15"/>
    </row>
    <row r="1478">
      <c r="A1478" s="69"/>
      <c r="B1478" s="69"/>
      <c r="C1478" s="70"/>
      <c r="D1478" s="70"/>
      <c r="E1478" s="69"/>
      <c r="F1478" s="69"/>
      <c r="G1478" s="69"/>
      <c r="H1478" s="69"/>
      <c r="I1478" s="69"/>
      <c r="J1478" s="69"/>
      <c r="K1478" s="69"/>
      <c r="L1478" s="69"/>
      <c r="M1478" s="69"/>
      <c r="N1478" s="69"/>
      <c r="O1478" s="69"/>
      <c r="P1478" s="69"/>
      <c r="Q1478" s="69"/>
      <c r="R1478" s="69"/>
      <c r="S1478" s="69"/>
      <c r="T1478" s="15"/>
    </row>
    <row r="1479">
      <c r="A1479" s="71"/>
      <c r="B1479" s="71"/>
      <c r="C1479" s="72"/>
      <c r="D1479" s="72"/>
      <c r="E1479" s="71"/>
      <c r="F1479" s="71"/>
      <c r="G1479" s="71"/>
      <c r="H1479" s="71"/>
      <c r="I1479" s="71"/>
      <c r="J1479" s="71"/>
      <c r="K1479" s="71"/>
      <c r="L1479" s="71"/>
      <c r="M1479" s="71"/>
      <c r="N1479" s="71"/>
      <c r="O1479" s="71"/>
      <c r="P1479" s="71"/>
      <c r="Q1479" s="71"/>
      <c r="R1479" s="71"/>
      <c r="S1479" s="71"/>
      <c r="T1479" s="15"/>
    </row>
    <row r="1480">
      <c r="A1480" s="69"/>
      <c r="B1480" s="69"/>
      <c r="C1480" s="70"/>
      <c r="D1480" s="70"/>
      <c r="E1480" s="69"/>
      <c r="F1480" s="69"/>
      <c r="G1480" s="69"/>
      <c r="H1480" s="69"/>
      <c r="I1480" s="69"/>
      <c r="J1480" s="69"/>
      <c r="K1480" s="69"/>
      <c r="L1480" s="69"/>
      <c r="M1480" s="69"/>
      <c r="N1480" s="69"/>
      <c r="O1480" s="69"/>
      <c r="P1480" s="69"/>
      <c r="Q1480" s="69"/>
      <c r="R1480" s="69"/>
      <c r="S1480" s="69"/>
      <c r="T1480" s="15"/>
    </row>
    <row r="1481">
      <c r="A1481" s="71"/>
      <c r="B1481" s="71"/>
      <c r="C1481" s="72"/>
      <c r="D1481" s="72"/>
      <c r="E1481" s="71"/>
      <c r="F1481" s="71"/>
      <c r="G1481" s="71"/>
      <c r="H1481" s="71"/>
      <c r="I1481" s="71"/>
      <c r="J1481" s="71"/>
      <c r="K1481" s="71"/>
      <c r="L1481" s="71"/>
      <c r="M1481" s="71"/>
      <c r="N1481" s="71"/>
      <c r="O1481" s="71"/>
      <c r="P1481" s="71"/>
      <c r="Q1481" s="71"/>
      <c r="R1481" s="71"/>
      <c r="S1481" s="71"/>
      <c r="T1481" s="15"/>
    </row>
    <row r="1482">
      <c r="A1482" s="69"/>
      <c r="B1482" s="69"/>
      <c r="C1482" s="70"/>
      <c r="D1482" s="70"/>
      <c r="E1482" s="69"/>
      <c r="F1482" s="69"/>
      <c r="G1482" s="69"/>
      <c r="H1482" s="69"/>
      <c r="I1482" s="69"/>
      <c r="J1482" s="69"/>
      <c r="K1482" s="69"/>
      <c r="L1482" s="69"/>
      <c r="M1482" s="69"/>
      <c r="N1482" s="69"/>
      <c r="O1482" s="69"/>
      <c r="P1482" s="69"/>
      <c r="Q1482" s="69"/>
      <c r="R1482" s="69"/>
      <c r="S1482" s="69"/>
      <c r="T1482" s="15"/>
    </row>
    <row r="1483">
      <c r="A1483" s="71"/>
      <c r="B1483" s="71"/>
      <c r="C1483" s="72"/>
      <c r="D1483" s="72"/>
      <c r="E1483" s="71"/>
      <c r="F1483" s="71"/>
      <c r="G1483" s="71"/>
      <c r="H1483" s="71"/>
      <c r="I1483" s="71"/>
      <c r="J1483" s="71"/>
      <c r="K1483" s="71"/>
      <c r="L1483" s="71"/>
      <c r="M1483" s="71"/>
      <c r="N1483" s="71"/>
      <c r="O1483" s="71"/>
      <c r="P1483" s="71"/>
      <c r="Q1483" s="71"/>
      <c r="R1483" s="71"/>
      <c r="S1483" s="71"/>
      <c r="T1483" s="15"/>
    </row>
    <row r="1484">
      <c r="A1484" s="69"/>
      <c r="B1484" s="69"/>
      <c r="C1484" s="70"/>
      <c r="D1484" s="70"/>
      <c r="E1484" s="69"/>
      <c r="F1484" s="69"/>
      <c r="G1484" s="69"/>
      <c r="H1484" s="69"/>
      <c r="I1484" s="69"/>
      <c r="J1484" s="69"/>
      <c r="K1484" s="69"/>
      <c r="L1484" s="69"/>
      <c r="M1484" s="69"/>
      <c r="N1484" s="69"/>
      <c r="O1484" s="69"/>
      <c r="P1484" s="69"/>
      <c r="Q1484" s="69"/>
      <c r="R1484" s="69"/>
      <c r="S1484" s="69"/>
      <c r="T1484" s="15"/>
    </row>
    <row r="1485">
      <c r="A1485" s="71"/>
      <c r="B1485" s="71"/>
      <c r="C1485" s="72"/>
      <c r="D1485" s="72"/>
      <c r="E1485" s="71"/>
      <c r="F1485" s="71"/>
      <c r="G1485" s="71"/>
      <c r="H1485" s="71"/>
      <c r="I1485" s="71"/>
      <c r="J1485" s="71"/>
      <c r="K1485" s="71"/>
      <c r="L1485" s="71"/>
      <c r="M1485" s="71"/>
      <c r="N1485" s="71"/>
      <c r="O1485" s="71"/>
      <c r="P1485" s="71"/>
      <c r="Q1485" s="71"/>
      <c r="R1485" s="71"/>
      <c r="S1485" s="71"/>
      <c r="T1485" s="15"/>
    </row>
    <row r="1486">
      <c r="A1486" s="69"/>
      <c r="B1486" s="69"/>
      <c r="C1486" s="70"/>
      <c r="D1486" s="70"/>
      <c r="E1486" s="69"/>
      <c r="F1486" s="69"/>
      <c r="G1486" s="69"/>
      <c r="H1486" s="69"/>
      <c r="I1486" s="69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15"/>
    </row>
    <row r="1487">
      <c r="A1487" s="71"/>
      <c r="B1487" s="71"/>
      <c r="C1487" s="72"/>
      <c r="D1487" s="72"/>
      <c r="E1487" s="71"/>
      <c r="F1487" s="71"/>
      <c r="G1487" s="71"/>
      <c r="H1487" s="71"/>
      <c r="I1487" s="71"/>
      <c r="J1487" s="71"/>
      <c r="K1487" s="71"/>
      <c r="L1487" s="71"/>
      <c r="M1487" s="71"/>
      <c r="N1487" s="71"/>
      <c r="O1487" s="71"/>
      <c r="P1487" s="71"/>
      <c r="Q1487" s="71"/>
      <c r="R1487" s="71"/>
      <c r="S1487" s="71"/>
      <c r="T1487" s="15"/>
    </row>
    <row r="1488">
      <c r="A1488" s="69"/>
      <c r="B1488" s="69"/>
      <c r="C1488" s="70"/>
      <c r="D1488" s="70"/>
      <c r="E1488" s="69"/>
      <c r="F1488" s="69"/>
      <c r="G1488" s="69"/>
      <c r="H1488" s="69"/>
      <c r="I1488" s="69"/>
      <c r="J1488" s="69"/>
      <c r="K1488" s="69"/>
      <c r="L1488" s="69"/>
      <c r="M1488" s="69"/>
      <c r="N1488" s="69"/>
      <c r="O1488" s="69"/>
      <c r="P1488" s="69"/>
      <c r="Q1488" s="69"/>
      <c r="R1488" s="69"/>
      <c r="S1488" s="69"/>
      <c r="T1488" s="15"/>
    </row>
    <row r="1489">
      <c r="A1489" s="71"/>
      <c r="B1489" s="71"/>
      <c r="C1489" s="72"/>
      <c r="D1489" s="72"/>
      <c r="E1489" s="71"/>
      <c r="F1489" s="71"/>
      <c r="G1489" s="71"/>
      <c r="H1489" s="71"/>
      <c r="I1489" s="71"/>
      <c r="J1489" s="71"/>
      <c r="K1489" s="71"/>
      <c r="L1489" s="71"/>
      <c r="M1489" s="71"/>
      <c r="N1489" s="71"/>
      <c r="O1489" s="71"/>
      <c r="P1489" s="71"/>
      <c r="Q1489" s="71"/>
      <c r="R1489" s="71"/>
      <c r="S1489" s="71"/>
      <c r="T1489" s="15"/>
    </row>
    <row r="1490">
      <c r="A1490" s="69"/>
      <c r="B1490" s="69"/>
      <c r="C1490" s="70"/>
      <c r="D1490" s="70"/>
      <c r="E1490" s="69"/>
      <c r="F1490" s="69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69"/>
      <c r="T1490" s="15"/>
    </row>
    <row r="1491">
      <c r="A1491" s="71"/>
      <c r="B1491" s="71"/>
      <c r="C1491" s="72"/>
      <c r="D1491" s="72"/>
      <c r="E1491" s="71"/>
      <c r="F1491" s="71"/>
      <c r="G1491" s="71"/>
      <c r="H1491" s="71"/>
      <c r="I1491" s="71"/>
      <c r="J1491" s="71"/>
      <c r="K1491" s="71"/>
      <c r="L1491" s="71"/>
      <c r="M1491" s="71"/>
      <c r="N1491" s="71"/>
      <c r="O1491" s="71"/>
      <c r="P1491" s="71"/>
      <c r="Q1491" s="71"/>
      <c r="R1491" s="71"/>
      <c r="S1491" s="71"/>
      <c r="T1491" s="15"/>
    </row>
    <row r="1492">
      <c r="A1492" s="69"/>
      <c r="B1492" s="69"/>
      <c r="C1492" s="70"/>
      <c r="D1492" s="70"/>
      <c r="E1492" s="69"/>
      <c r="F1492" s="69"/>
      <c r="G1492" s="69"/>
      <c r="H1492" s="69"/>
      <c r="I1492" s="69"/>
      <c r="J1492" s="69"/>
      <c r="K1492" s="69"/>
      <c r="L1492" s="69"/>
      <c r="M1492" s="69"/>
      <c r="N1492" s="69"/>
      <c r="O1492" s="69"/>
      <c r="P1492" s="69"/>
      <c r="Q1492" s="69"/>
      <c r="R1492" s="69"/>
      <c r="S1492" s="69"/>
      <c r="T1492" s="15"/>
    </row>
    <row r="1493">
      <c r="A1493" s="71"/>
      <c r="B1493" s="71"/>
      <c r="C1493" s="72"/>
      <c r="D1493" s="72"/>
      <c r="E1493" s="71"/>
      <c r="F1493" s="71"/>
      <c r="G1493" s="71"/>
      <c r="H1493" s="71"/>
      <c r="I1493" s="71"/>
      <c r="J1493" s="71"/>
      <c r="K1493" s="71"/>
      <c r="L1493" s="71"/>
      <c r="M1493" s="71"/>
      <c r="N1493" s="71"/>
      <c r="O1493" s="71"/>
      <c r="P1493" s="71"/>
      <c r="Q1493" s="71"/>
      <c r="R1493" s="71"/>
      <c r="S1493" s="71"/>
      <c r="T1493" s="15"/>
    </row>
    <row r="1494">
      <c r="A1494" s="69"/>
      <c r="B1494" s="69"/>
      <c r="C1494" s="70"/>
      <c r="D1494" s="70"/>
      <c r="E1494" s="69"/>
      <c r="F1494" s="69"/>
      <c r="G1494" s="69"/>
      <c r="H1494" s="69"/>
      <c r="I1494" s="69"/>
      <c r="J1494" s="69"/>
      <c r="K1494" s="69"/>
      <c r="L1494" s="69"/>
      <c r="M1494" s="69"/>
      <c r="N1494" s="69"/>
      <c r="O1494" s="69"/>
      <c r="P1494" s="69"/>
      <c r="Q1494" s="69"/>
      <c r="R1494" s="69"/>
      <c r="S1494" s="69"/>
      <c r="T1494" s="15"/>
    </row>
    <row r="1495">
      <c r="A1495" s="71"/>
      <c r="B1495" s="71"/>
      <c r="C1495" s="72"/>
      <c r="D1495" s="72"/>
      <c r="E1495" s="71"/>
      <c r="F1495" s="71"/>
      <c r="G1495" s="71"/>
      <c r="H1495" s="71"/>
      <c r="I1495" s="71"/>
      <c r="J1495" s="71"/>
      <c r="K1495" s="71"/>
      <c r="L1495" s="71"/>
      <c r="M1495" s="71"/>
      <c r="N1495" s="71"/>
      <c r="O1495" s="71"/>
      <c r="P1495" s="71"/>
      <c r="Q1495" s="71"/>
      <c r="R1495" s="71"/>
      <c r="S1495" s="71"/>
      <c r="T1495" s="15"/>
    </row>
    <row r="1496">
      <c r="A1496" s="69"/>
      <c r="B1496" s="69"/>
      <c r="C1496" s="70"/>
      <c r="D1496" s="70"/>
      <c r="E1496" s="69"/>
      <c r="F1496" s="69"/>
      <c r="G1496" s="69"/>
      <c r="H1496" s="69"/>
      <c r="I1496" s="69"/>
      <c r="J1496" s="69"/>
      <c r="K1496" s="69"/>
      <c r="L1496" s="69"/>
      <c r="M1496" s="69"/>
      <c r="N1496" s="69"/>
      <c r="O1496" s="69"/>
      <c r="P1496" s="69"/>
      <c r="Q1496" s="69"/>
      <c r="R1496" s="69"/>
      <c r="S1496" s="69"/>
      <c r="T1496" s="15"/>
    </row>
    <row r="1497">
      <c r="A1497" s="71"/>
      <c r="B1497" s="71"/>
      <c r="C1497" s="72"/>
      <c r="D1497" s="72"/>
      <c r="E1497" s="71"/>
      <c r="F1497" s="71"/>
      <c r="G1497" s="71"/>
      <c r="H1497" s="71"/>
      <c r="I1497" s="71"/>
      <c r="J1497" s="71"/>
      <c r="K1497" s="71"/>
      <c r="L1497" s="71"/>
      <c r="M1497" s="71"/>
      <c r="N1497" s="71"/>
      <c r="O1497" s="71"/>
      <c r="P1497" s="71"/>
      <c r="Q1497" s="71"/>
      <c r="R1497" s="71"/>
      <c r="S1497" s="71"/>
      <c r="T1497" s="15"/>
    </row>
    <row r="1498">
      <c r="A1498" s="69"/>
      <c r="B1498" s="69"/>
      <c r="C1498" s="70"/>
      <c r="D1498" s="70"/>
      <c r="E1498" s="69"/>
      <c r="F1498" s="69"/>
      <c r="G1498" s="69"/>
      <c r="H1498" s="69"/>
      <c r="I1498" s="69"/>
      <c r="J1498" s="69"/>
      <c r="K1498" s="69"/>
      <c r="L1498" s="69"/>
      <c r="M1498" s="69"/>
      <c r="N1498" s="69"/>
      <c r="O1498" s="69"/>
      <c r="P1498" s="69"/>
      <c r="Q1498" s="69"/>
      <c r="R1498" s="69"/>
      <c r="S1498" s="69"/>
      <c r="T1498" s="15"/>
    </row>
    <row r="1499">
      <c r="A1499" s="71"/>
      <c r="B1499" s="71"/>
      <c r="C1499" s="72"/>
      <c r="D1499" s="72"/>
      <c r="E1499" s="71"/>
      <c r="F1499" s="71"/>
      <c r="G1499" s="71"/>
      <c r="H1499" s="71"/>
      <c r="I1499" s="71"/>
      <c r="J1499" s="71"/>
      <c r="K1499" s="71"/>
      <c r="L1499" s="71"/>
      <c r="M1499" s="71"/>
      <c r="N1499" s="71"/>
      <c r="O1499" s="71"/>
      <c r="P1499" s="71"/>
      <c r="Q1499" s="71"/>
      <c r="R1499" s="71"/>
      <c r="S1499" s="71"/>
      <c r="T1499" s="15"/>
    </row>
    <row r="1500">
      <c r="A1500" s="69"/>
      <c r="B1500" s="69"/>
      <c r="C1500" s="70"/>
      <c r="D1500" s="70"/>
      <c r="E1500" s="69"/>
      <c r="F1500" s="69"/>
      <c r="G1500" s="69"/>
      <c r="H1500" s="69"/>
      <c r="I1500" s="69"/>
      <c r="J1500" s="69"/>
      <c r="K1500" s="69"/>
      <c r="L1500" s="69"/>
      <c r="M1500" s="69"/>
      <c r="N1500" s="69"/>
      <c r="O1500" s="69"/>
      <c r="P1500" s="69"/>
      <c r="Q1500" s="69"/>
      <c r="R1500" s="69"/>
      <c r="S1500" s="69"/>
      <c r="T1500" s="15"/>
    </row>
    <row r="1501">
      <c r="A1501" s="71"/>
      <c r="B1501" s="71"/>
      <c r="C1501" s="72"/>
      <c r="D1501" s="72"/>
      <c r="E1501" s="71"/>
      <c r="F1501" s="71"/>
      <c r="G1501" s="71"/>
      <c r="H1501" s="71"/>
      <c r="I1501" s="71"/>
      <c r="J1501" s="71"/>
      <c r="K1501" s="71"/>
      <c r="L1501" s="71"/>
      <c r="M1501" s="71"/>
      <c r="N1501" s="71"/>
      <c r="O1501" s="71"/>
      <c r="P1501" s="71"/>
      <c r="Q1501" s="71"/>
      <c r="R1501" s="71"/>
      <c r="S1501" s="71"/>
      <c r="T1501" s="15"/>
    </row>
    <row r="1502">
      <c r="A1502" s="69"/>
      <c r="B1502" s="69"/>
      <c r="C1502" s="70"/>
      <c r="D1502" s="70"/>
      <c r="E1502" s="69"/>
      <c r="F1502" s="69"/>
      <c r="G1502" s="69"/>
      <c r="H1502" s="69"/>
      <c r="I1502" s="69"/>
      <c r="J1502" s="69"/>
      <c r="K1502" s="69"/>
      <c r="L1502" s="69"/>
      <c r="M1502" s="69"/>
      <c r="N1502" s="69"/>
      <c r="O1502" s="69"/>
      <c r="P1502" s="69"/>
      <c r="Q1502" s="69"/>
      <c r="R1502" s="69"/>
      <c r="S1502" s="69"/>
      <c r="T1502" s="15"/>
    </row>
    <row r="1503">
      <c r="A1503" s="71"/>
      <c r="B1503" s="71"/>
      <c r="C1503" s="72"/>
      <c r="D1503" s="72"/>
      <c r="E1503" s="71"/>
      <c r="F1503" s="71"/>
      <c r="G1503" s="71"/>
      <c r="H1503" s="71"/>
      <c r="I1503" s="71"/>
      <c r="J1503" s="71"/>
      <c r="K1503" s="71"/>
      <c r="L1503" s="71"/>
      <c r="M1503" s="71"/>
      <c r="N1503" s="71"/>
      <c r="O1503" s="71"/>
      <c r="P1503" s="71"/>
      <c r="Q1503" s="71"/>
      <c r="R1503" s="71"/>
      <c r="S1503" s="71"/>
      <c r="T1503" s="15"/>
    </row>
    <row r="1504">
      <c r="A1504" s="69"/>
      <c r="B1504" s="69"/>
      <c r="C1504" s="70"/>
      <c r="D1504" s="70"/>
      <c r="E1504" s="69"/>
      <c r="F1504" s="69"/>
      <c r="G1504" s="69"/>
      <c r="H1504" s="69"/>
      <c r="I1504" s="69"/>
      <c r="J1504" s="69"/>
      <c r="K1504" s="69"/>
      <c r="L1504" s="69"/>
      <c r="M1504" s="69"/>
      <c r="N1504" s="69"/>
      <c r="O1504" s="69"/>
      <c r="P1504" s="69"/>
      <c r="Q1504" s="69"/>
      <c r="R1504" s="69"/>
      <c r="S1504" s="69"/>
      <c r="T1504" s="15"/>
    </row>
    <row r="1505">
      <c r="A1505" s="71"/>
      <c r="B1505" s="71"/>
      <c r="C1505" s="72"/>
      <c r="D1505" s="72"/>
      <c r="E1505" s="71"/>
      <c r="F1505" s="71"/>
      <c r="G1505" s="71"/>
      <c r="H1505" s="71"/>
      <c r="I1505" s="71"/>
      <c r="J1505" s="71"/>
      <c r="K1505" s="71"/>
      <c r="L1505" s="71"/>
      <c r="M1505" s="71"/>
      <c r="N1505" s="71"/>
      <c r="O1505" s="71"/>
      <c r="P1505" s="71"/>
      <c r="Q1505" s="71"/>
      <c r="R1505" s="71"/>
      <c r="S1505" s="71"/>
      <c r="T1505" s="15"/>
    </row>
    <row r="1506">
      <c r="A1506" s="69"/>
      <c r="B1506" s="69"/>
      <c r="C1506" s="70"/>
      <c r="D1506" s="70"/>
      <c r="E1506" s="69"/>
      <c r="F1506" s="69"/>
      <c r="G1506" s="69"/>
      <c r="H1506" s="69"/>
      <c r="I1506" s="69"/>
      <c r="J1506" s="69"/>
      <c r="K1506" s="69"/>
      <c r="L1506" s="69"/>
      <c r="M1506" s="69"/>
      <c r="N1506" s="69"/>
      <c r="O1506" s="69"/>
      <c r="P1506" s="69"/>
      <c r="Q1506" s="69"/>
      <c r="R1506" s="69"/>
      <c r="S1506" s="69"/>
      <c r="T1506" s="15"/>
    </row>
    <row r="1507">
      <c r="A1507" s="71"/>
      <c r="B1507" s="71"/>
      <c r="C1507" s="72"/>
      <c r="D1507" s="72"/>
      <c r="E1507" s="71"/>
      <c r="F1507" s="71"/>
      <c r="G1507" s="71"/>
      <c r="H1507" s="71"/>
      <c r="I1507" s="71"/>
      <c r="J1507" s="71"/>
      <c r="K1507" s="71"/>
      <c r="L1507" s="71"/>
      <c r="M1507" s="71"/>
      <c r="N1507" s="71"/>
      <c r="O1507" s="71"/>
      <c r="P1507" s="71"/>
      <c r="Q1507" s="71"/>
      <c r="R1507" s="71"/>
      <c r="S1507" s="71"/>
      <c r="T1507" s="15"/>
    </row>
    <row r="1508">
      <c r="A1508" s="69"/>
      <c r="B1508" s="69"/>
      <c r="C1508" s="70"/>
      <c r="D1508" s="70"/>
      <c r="E1508" s="69"/>
      <c r="F1508" s="69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69"/>
      <c r="T1508" s="15"/>
    </row>
    <row r="1509">
      <c r="A1509" s="71"/>
      <c r="B1509" s="71"/>
      <c r="C1509" s="72"/>
      <c r="D1509" s="72"/>
      <c r="E1509" s="71"/>
      <c r="F1509" s="71"/>
      <c r="G1509" s="71"/>
      <c r="H1509" s="71"/>
      <c r="I1509" s="71"/>
      <c r="J1509" s="71"/>
      <c r="K1509" s="71"/>
      <c r="L1509" s="71"/>
      <c r="M1509" s="71"/>
      <c r="N1509" s="71"/>
      <c r="O1509" s="71"/>
      <c r="P1509" s="71"/>
      <c r="Q1509" s="71"/>
      <c r="R1509" s="71"/>
      <c r="S1509" s="71"/>
      <c r="T1509" s="15"/>
    </row>
    <row r="1510">
      <c r="A1510" s="69"/>
      <c r="B1510" s="69"/>
      <c r="C1510" s="70"/>
      <c r="D1510" s="70"/>
      <c r="E1510" s="69"/>
      <c r="F1510" s="69"/>
      <c r="G1510" s="69"/>
      <c r="H1510" s="69"/>
      <c r="I1510" s="69"/>
      <c r="J1510" s="69"/>
      <c r="K1510" s="69"/>
      <c r="L1510" s="69"/>
      <c r="M1510" s="69"/>
      <c r="N1510" s="69"/>
      <c r="O1510" s="69"/>
      <c r="P1510" s="69"/>
      <c r="Q1510" s="69"/>
      <c r="R1510" s="69"/>
      <c r="S1510" s="69"/>
      <c r="T1510" s="15"/>
    </row>
    <row r="1511">
      <c r="A1511" s="71"/>
      <c r="B1511" s="71"/>
      <c r="C1511" s="72"/>
      <c r="D1511" s="72"/>
      <c r="E1511" s="71"/>
      <c r="F1511" s="71"/>
      <c r="G1511" s="71"/>
      <c r="H1511" s="71"/>
      <c r="I1511" s="71"/>
      <c r="J1511" s="71"/>
      <c r="K1511" s="71"/>
      <c r="L1511" s="71"/>
      <c r="M1511" s="71"/>
      <c r="N1511" s="71"/>
      <c r="O1511" s="71"/>
      <c r="P1511" s="71"/>
      <c r="Q1511" s="71"/>
      <c r="R1511" s="71"/>
      <c r="S1511" s="71"/>
      <c r="T1511" s="15"/>
    </row>
    <row r="1512">
      <c r="A1512" s="69"/>
      <c r="B1512" s="69"/>
      <c r="C1512" s="70"/>
      <c r="D1512" s="70"/>
      <c r="E1512" s="69"/>
      <c r="F1512" s="69"/>
      <c r="G1512" s="69"/>
      <c r="H1512" s="69"/>
      <c r="I1512" s="69"/>
      <c r="J1512" s="69"/>
      <c r="K1512" s="69"/>
      <c r="L1512" s="69"/>
      <c r="M1512" s="69"/>
      <c r="N1512" s="69"/>
      <c r="O1512" s="69"/>
      <c r="P1512" s="69"/>
      <c r="Q1512" s="69"/>
      <c r="R1512" s="69"/>
      <c r="S1512" s="69"/>
      <c r="T1512" s="15"/>
    </row>
    <row r="1513">
      <c r="A1513" s="71"/>
      <c r="B1513" s="71"/>
      <c r="C1513" s="72"/>
      <c r="D1513" s="72"/>
      <c r="E1513" s="71"/>
      <c r="F1513" s="71"/>
      <c r="G1513" s="71"/>
      <c r="H1513" s="71"/>
      <c r="I1513" s="71"/>
      <c r="J1513" s="71"/>
      <c r="K1513" s="71"/>
      <c r="L1513" s="71"/>
      <c r="M1513" s="71"/>
      <c r="N1513" s="71"/>
      <c r="O1513" s="71"/>
      <c r="P1513" s="71"/>
      <c r="Q1513" s="71"/>
      <c r="R1513" s="71"/>
      <c r="S1513" s="71"/>
      <c r="T1513" s="15"/>
    </row>
    <row r="1514">
      <c r="A1514" s="69"/>
      <c r="B1514" s="69"/>
      <c r="C1514" s="70"/>
      <c r="D1514" s="70"/>
      <c r="E1514" s="69"/>
      <c r="F1514" s="69"/>
      <c r="G1514" s="69"/>
      <c r="H1514" s="69"/>
      <c r="I1514" s="69"/>
      <c r="J1514" s="69"/>
      <c r="K1514" s="69"/>
      <c r="L1514" s="69"/>
      <c r="M1514" s="69"/>
      <c r="N1514" s="69"/>
      <c r="O1514" s="69"/>
      <c r="P1514" s="69"/>
      <c r="Q1514" s="69"/>
      <c r="R1514" s="69"/>
      <c r="S1514" s="69"/>
      <c r="T1514" s="15"/>
    </row>
    <row r="1515">
      <c r="A1515" s="71"/>
      <c r="B1515" s="71"/>
      <c r="C1515" s="72"/>
      <c r="D1515" s="72"/>
      <c r="E1515" s="71"/>
      <c r="F1515" s="71"/>
      <c r="G1515" s="71"/>
      <c r="H1515" s="71"/>
      <c r="I1515" s="71"/>
      <c r="J1515" s="71"/>
      <c r="K1515" s="71"/>
      <c r="L1515" s="71"/>
      <c r="M1515" s="71"/>
      <c r="N1515" s="71"/>
      <c r="O1515" s="71"/>
      <c r="P1515" s="71"/>
      <c r="Q1515" s="71"/>
      <c r="R1515" s="71"/>
      <c r="S1515" s="71"/>
      <c r="T1515" s="15"/>
    </row>
    <row r="1516">
      <c r="A1516" s="69"/>
      <c r="B1516" s="69"/>
      <c r="C1516" s="70"/>
      <c r="D1516" s="70"/>
      <c r="E1516" s="69"/>
      <c r="F1516" s="69"/>
      <c r="G1516" s="69"/>
      <c r="H1516" s="69"/>
      <c r="I1516" s="69"/>
      <c r="J1516" s="69"/>
      <c r="K1516" s="69"/>
      <c r="L1516" s="69"/>
      <c r="M1516" s="69"/>
      <c r="N1516" s="69"/>
      <c r="O1516" s="69"/>
      <c r="P1516" s="69"/>
      <c r="Q1516" s="69"/>
      <c r="R1516" s="69"/>
      <c r="S1516" s="69"/>
      <c r="T1516" s="15"/>
    </row>
    <row r="1517">
      <c r="A1517" s="71"/>
      <c r="B1517" s="71"/>
      <c r="C1517" s="72"/>
      <c r="D1517" s="72"/>
      <c r="E1517" s="71"/>
      <c r="F1517" s="71"/>
      <c r="G1517" s="71"/>
      <c r="H1517" s="71"/>
      <c r="I1517" s="71"/>
      <c r="J1517" s="71"/>
      <c r="K1517" s="71"/>
      <c r="L1517" s="71"/>
      <c r="M1517" s="71"/>
      <c r="N1517" s="71"/>
      <c r="O1517" s="71"/>
      <c r="P1517" s="71"/>
      <c r="Q1517" s="71"/>
      <c r="R1517" s="71"/>
      <c r="S1517" s="71"/>
      <c r="T1517" s="15"/>
    </row>
    <row r="1518">
      <c r="A1518" s="69"/>
      <c r="B1518" s="69"/>
      <c r="C1518" s="70"/>
      <c r="D1518" s="70"/>
      <c r="E1518" s="69"/>
      <c r="F1518" s="69"/>
      <c r="G1518" s="69"/>
      <c r="H1518" s="69"/>
      <c r="I1518" s="69"/>
      <c r="J1518" s="69"/>
      <c r="K1518" s="69"/>
      <c r="L1518" s="69"/>
      <c r="M1518" s="69"/>
      <c r="N1518" s="69"/>
      <c r="O1518" s="69"/>
      <c r="P1518" s="69"/>
      <c r="Q1518" s="69"/>
      <c r="R1518" s="69"/>
      <c r="S1518" s="69"/>
      <c r="T1518" s="15"/>
    </row>
    <row r="1519">
      <c r="A1519" s="71"/>
      <c r="B1519" s="71"/>
      <c r="C1519" s="72"/>
      <c r="D1519" s="72"/>
      <c r="E1519" s="71"/>
      <c r="F1519" s="71"/>
      <c r="G1519" s="71"/>
      <c r="H1519" s="71"/>
      <c r="I1519" s="71"/>
      <c r="J1519" s="71"/>
      <c r="K1519" s="71"/>
      <c r="L1519" s="71"/>
      <c r="M1519" s="71"/>
      <c r="N1519" s="71"/>
      <c r="O1519" s="71"/>
      <c r="P1519" s="71"/>
      <c r="Q1519" s="71"/>
      <c r="R1519" s="71"/>
      <c r="S1519" s="71"/>
      <c r="T1519" s="15"/>
    </row>
    <row r="1520">
      <c r="A1520" s="69"/>
      <c r="B1520" s="69"/>
      <c r="C1520" s="70"/>
      <c r="D1520" s="70"/>
      <c r="E1520" s="69"/>
      <c r="F1520" s="69"/>
      <c r="G1520" s="69"/>
      <c r="H1520" s="69"/>
      <c r="I1520" s="69"/>
      <c r="J1520" s="69"/>
      <c r="K1520" s="69"/>
      <c r="L1520" s="69"/>
      <c r="M1520" s="69"/>
      <c r="N1520" s="69"/>
      <c r="O1520" s="69"/>
      <c r="P1520" s="69"/>
      <c r="Q1520" s="69"/>
      <c r="R1520" s="69"/>
      <c r="S1520" s="69"/>
      <c r="T1520" s="15"/>
    </row>
    <row r="1521">
      <c r="A1521" s="71"/>
      <c r="B1521" s="71"/>
      <c r="C1521" s="72"/>
      <c r="D1521" s="72"/>
      <c r="E1521" s="71"/>
      <c r="F1521" s="71"/>
      <c r="G1521" s="71"/>
      <c r="H1521" s="71"/>
      <c r="I1521" s="71"/>
      <c r="J1521" s="71"/>
      <c r="K1521" s="71"/>
      <c r="L1521" s="71"/>
      <c r="M1521" s="71"/>
      <c r="N1521" s="71"/>
      <c r="O1521" s="71"/>
      <c r="P1521" s="71"/>
      <c r="Q1521" s="71"/>
      <c r="R1521" s="71"/>
      <c r="S1521" s="71"/>
      <c r="T1521" s="15"/>
    </row>
    <row r="1522">
      <c r="A1522" s="69"/>
      <c r="B1522" s="69"/>
      <c r="C1522" s="70"/>
      <c r="D1522" s="70"/>
      <c r="E1522" s="69"/>
      <c r="F1522" s="69"/>
      <c r="G1522" s="69"/>
      <c r="H1522" s="69"/>
      <c r="I1522" s="69"/>
      <c r="J1522" s="69"/>
      <c r="K1522" s="69"/>
      <c r="L1522" s="69"/>
      <c r="M1522" s="69"/>
      <c r="N1522" s="69"/>
      <c r="O1522" s="69"/>
      <c r="P1522" s="69"/>
      <c r="Q1522" s="69"/>
      <c r="R1522" s="69"/>
      <c r="S1522" s="69"/>
      <c r="T1522" s="15"/>
    </row>
    <row r="1523">
      <c r="A1523" s="71"/>
      <c r="B1523" s="71"/>
      <c r="C1523" s="72"/>
      <c r="D1523" s="72"/>
      <c r="E1523" s="71"/>
      <c r="F1523" s="71"/>
      <c r="G1523" s="71"/>
      <c r="H1523" s="71"/>
      <c r="I1523" s="71"/>
      <c r="J1523" s="71"/>
      <c r="K1523" s="71"/>
      <c r="L1523" s="71"/>
      <c r="M1523" s="71"/>
      <c r="N1523" s="71"/>
      <c r="O1523" s="71"/>
      <c r="P1523" s="71"/>
      <c r="Q1523" s="71"/>
      <c r="R1523" s="71"/>
      <c r="S1523" s="71"/>
      <c r="T1523" s="15"/>
    </row>
    <row r="1524">
      <c r="A1524" s="69"/>
      <c r="B1524" s="69"/>
      <c r="C1524" s="70"/>
      <c r="D1524" s="70"/>
      <c r="E1524" s="69"/>
      <c r="F1524" s="69"/>
      <c r="G1524" s="69"/>
      <c r="H1524" s="69"/>
      <c r="I1524" s="69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15"/>
    </row>
    <row r="1525">
      <c r="A1525" s="71"/>
      <c r="B1525" s="71"/>
      <c r="C1525" s="72"/>
      <c r="D1525" s="72"/>
      <c r="E1525" s="71"/>
      <c r="F1525" s="71"/>
      <c r="G1525" s="71"/>
      <c r="H1525" s="71"/>
      <c r="I1525" s="71"/>
      <c r="J1525" s="71"/>
      <c r="K1525" s="71"/>
      <c r="L1525" s="71"/>
      <c r="M1525" s="71"/>
      <c r="N1525" s="71"/>
      <c r="O1525" s="71"/>
      <c r="P1525" s="71"/>
      <c r="Q1525" s="71"/>
      <c r="R1525" s="71"/>
      <c r="S1525" s="71"/>
      <c r="T1525" s="15"/>
    </row>
    <row r="1526">
      <c r="A1526" s="69"/>
      <c r="B1526" s="69"/>
      <c r="C1526" s="70"/>
      <c r="D1526" s="70"/>
      <c r="E1526" s="69"/>
      <c r="F1526" s="69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69"/>
      <c r="T1526" s="15"/>
    </row>
    <row r="1527">
      <c r="A1527" s="71"/>
      <c r="B1527" s="71"/>
      <c r="C1527" s="72"/>
      <c r="D1527" s="72"/>
      <c r="E1527" s="71"/>
      <c r="F1527" s="71"/>
      <c r="G1527" s="71"/>
      <c r="H1527" s="71"/>
      <c r="I1527" s="71"/>
      <c r="J1527" s="71"/>
      <c r="K1527" s="71"/>
      <c r="L1527" s="71"/>
      <c r="M1527" s="71"/>
      <c r="N1527" s="71"/>
      <c r="O1527" s="71"/>
      <c r="P1527" s="71"/>
      <c r="Q1527" s="71"/>
      <c r="R1527" s="71"/>
      <c r="S1527" s="71"/>
      <c r="T1527" s="15"/>
    </row>
    <row r="1528">
      <c r="A1528" s="69"/>
      <c r="B1528" s="69"/>
      <c r="C1528" s="70"/>
      <c r="D1528" s="70"/>
      <c r="E1528" s="69"/>
      <c r="F1528" s="69"/>
      <c r="G1528" s="69"/>
      <c r="H1528" s="69"/>
      <c r="I1528" s="69"/>
      <c r="J1528" s="69"/>
      <c r="K1528" s="69"/>
      <c r="L1528" s="69"/>
      <c r="M1528" s="69"/>
      <c r="N1528" s="69"/>
      <c r="O1528" s="69"/>
      <c r="P1528" s="69"/>
      <c r="Q1528" s="69"/>
      <c r="R1528" s="69"/>
      <c r="S1528" s="69"/>
      <c r="T1528" s="15"/>
    </row>
    <row r="1529">
      <c r="A1529" s="71"/>
      <c r="B1529" s="71"/>
      <c r="C1529" s="72"/>
      <c r="D1529" s="72"/>
      <c r="E1529" s="71"/>
      <c r="F1529" s="71"/>
      <c r="G1529" s="71"/>
      <c r="H1529" s="71"/>
      <c r="I1529" s="71"/>
      <c r="J1529" s="71"/>
      <c r="K1529" s="71"/>
      <c r="L1529" s="71"/>
      <c r="M1529" s="71"/>
      <c r="N1529" s="71"/>
      <c r="O1529" s="71"/>
      <c r="P1529" s="71"/>
      <c r="Q1529" s="71"/>
      <c r="R1529" s="71"/>
      <c r="S1529" s="71"/>
      <c r="T1529" s="15"/>
    </row>
    <row r="1530">
      <c r="A1530" s="69"/>
      <c r="B1530" s="69"/>
      <c r="C1530" s="70"/>
      <c r="D1530" s="70"/>
      <c r="E1530" s="69"/>
      <c r="F1530" s="69"/>
      <c r="G1530" s="69"/>
      <c r="H1530" s="69"/>
      <c r="I1530" s="69"/>
      <c r="J1530" s="69"/>
      <c r="K1530" s="69"/>
      <c r="L1530" s="69"/>
      <c r="M1530" s="69"/>
      <c r="N1530" s="69"/>
      <c r="O1530" s="69"/>
      <c r="P1530" s="69"/>
      <c r="Q1530" s="69"/>
      <c r="R1530" s="69"/>
      <c r="S1530" s="69"/>
      <c r="T1530" s="15"/>
    </row>
    <row r="1531">
      <c r="A1531" s="71"/>
      <c r="B1531" s="71"/>
      <c r="C1531" s="72"/>
      <c r="D1531" s="72"/>
      <c r="E1531" s="71"/>
      <c r="F1531" s="71"/>
      <c r="G1531" s="71"/>
      <c r="H1531" s="71"/>
      <c r="I1531" s="71"/>
      <c r="J1531" s="71"/>
      <c r="K1531" s="71"/>
      <c r="L1531" s="71"/>
      <c r="M1531" s="71"/>
      <c r="N1531" s="71"/>
      <c r="O1531" s="71"/>
      <c r="P1531" s="71"/>
      <c r="Q1531" s="71"/>
      <c r="R1531" s="71"/>
      <c r="S1531" s="71"/>
      <c r="T1531" s="15"/>
    </row>
    <row r="1532">
      <c r="A1532" s="69"/>
      <c r="B1532" s="69"/>
      <c r="C1532" s="70"/>
      <c r="D1532" s="70"/>
      <c r="E1532" s="69"/>
      <c r="F1532" s="69"/>
      <c r="G1532" s="69"/>
      <c r="H1532" s="69"/>
      <c r="I1532" s="69"/>
      <c r="J1532" s="69"/>
      <c r="K1532" s="69"/>
      <c r="L1532" s="69"/>
      <c r="M1532" s="69"/>
      <c r="N1532" s="69"/>
      <c r="O1532" s="69"/>
      <c r="P1532" s="69"/>
      <c r="Q1532" s="69"/>
      <c r="R1532" s="69"/>
      <c r="S1532" s="69"/>
      <c r="T1532" s="15"/>
    </row>
    <row r="1533">
      <c r="A1533" s="71"/>
      <c r="B1533" s="71"/>
      <c r="C1533" s="72"/>
      <c r="D1533" s="72"/>
      <c r="E1533" s="71"/>
      <c r="F1533" s="71"/>
      <c r="G1533" s="71"/>
      <c r="H1533" s="71"/>
      <c r="I1533" s="71"/>
      <c r="J1533" s="71"/>
      <c r="K1533" s="71"/>
      <c r="L1533" s="71"/>
      <c r="M1533" s="71"/>
      <c r="N1533" s="71"/>
      <c r="O1533" s="71"/>
      <c r="P1533" s="71"/>
      <c r="Q1533" s="71"/>
      <c r="R1533" s="71"/>
      <c r="S1533" s="71"/>
      <c r="T1533" s="15"/>
    </row>
    <row r="1534">
      <c r="A1534" s="69"/>
      <c r="B1534" s="69"/>
      <c r="C1534" s="70"/>
      <c r="D1534" s="70"/>
      <c r="E1534" s="69"/>
      <c r="F1534" s="69"/>
      <c r="G1534" s="69"/>
      <c r="H1534" s="69"/>
      <c r="I1534" s="69"/>
      <c r="J1534" s="69"/>
      <c r="K1534" s="69"/>
      <c r="L1534" s="69"/>
      <c r="M1534" s="69"/>
      <c r="N1534" s="69"/>
      <c r="O1534" s="69"/>
      <c r="P1534" s="69"/>
      <c r="Q1534" s="69"/>
      <c r="R1534" s="69"/>
      <c r="S1534" s="69"/>
      <c r="T1534" s="15"/>
    </row>
    <row r="1535">
      <c r="A1535" s="71"/>
      <c r="B1535" s="71"/>
      <c r="C1535" s="72"/>
      <c r="D1535" s="72"/>
      <c r="E1535" s="71"/>
      <c r="F1535" s="71"/>
      <c r="G1535" s="71"/>
      <c r="H1535" s="71"/>
      <c r="I1535" s="71"/>
      <c r="J1535" s="71"/>
      <c r="K1535" s="71"/>
      <c r="L1535" s="71"/>
      <c r="M1535" s="71"/>
      <c r="N1535" s="71"/>
      <c r="O1535" s="71"/>
      <c r="P1535" s="71"/>
      <c r="Q1535" s="71"/>
      <c r="R1535" s="71"/>
      <c r="S1535" s="71"/>
      <c r="T1535" s="15"/>
    </row>
    <row r="1536">
      <c r="A1536" s="69"/>
      <c r="B1536" s="69"/>
      <c r="C1536" s="70"/>
      <c r="D1536" s="70"/>
      <c r="E1536" s="69"/>
      <c r="F1536" s="69"/>
      <c r="G1536" s="69"/>
      <c r="H1536" s="69"/>
      <c r="I1536" s="69"/>
      <c r="J1536" s="69"/>
      <c r="K1536" s="69"/>
      <c r="L1536" s="69"/>
      <c r="M1536" s="69"/>
      <c r="N1536" s="69"/>
      <c r="O1536" s="69"/>
      <c r="P1536" s="69"/>
      <c r="Q1536" s="69"/>
      <c r="R1536" s="69"/>
      <c r="S1536" s="69"/>
      <c r="T1536" s="15"/>
    </row>
    <row r="1537">
      <c r="A1537" s="71"/>
      <c r="B1537" s="71"/>
      <c r="C1537" s="72"/>
      <c r="D1537" s="72"/>
      <c r="E1537" s="71"/>
      <c r="F1537" s="71"/>
      <c r="G1537" s="71"/>
      <c r="H1537" s="71"/>
      <c r="I1537" s="71"/>
      <c r="J1537" s="71"/>
      <c r="K1537" s="71"/>
      <c r="L1537" s="71"/>
      <c r="M1537" s="71"/>
      <c r="N1537" s="71"/>
      <c r="O1537" s="71"/>
      <c r="P1537" s="71"/>
      <c r="Q1537" s="71"/>
      <c r="R1537" s="71"/>
      <c r="S1537" s="71"/>
      <c r="T1537" s="15"/>
    </row>
    <row r="1538">
      <c r="A1538" s="69"/>
      <c r="B1538" s="69"/>
      <c r="C1538" s="70"/>
      <c r="D1538" s="70"/>
      <c r="E1538" s="69"/>
      <c r="F1538" s="69"/>
      <c r="G1538" s="69"/>
      <c r="H1538" s="69"/>
      <c r="I1538" s="69"/>
      <c r="J1538" s="69"/>
      <c r="K1538" s="69"/>
      <c r="L1538" s="69"/>
      <c r="M1538" s="69"/>
      <c r="N1538" s="69"/>
      <c r="O1538" s="69"/>
      <c r="P1538" s="69"/>
      <c r="Q1538" s="69"/>
      <c r="R1538" s="69"/>
      <c r="S1538" s="69"/>
      <c r="T1538" s="15"/>
    </row>
    <row r="1539">
      <c r="A1539" s="71"/>
      <c r="B1539" s="71"/>
      <c r="C1539" s="72"/>
      <c r="D1539" s="72"/>
      <c r="E1539" s="71"/>
      <c r="F1539" s="71"/>
      <c r="G1539" s="71"/>
      <c r="H1539" s="71"/>
      <c r="I1539" s="71"/>
      <c r="J1539" s="71"/>
      <c r="K1539" s="71"/>
      <c r="L1539" s="71"/>
      <c r="M1539" s="71"/>
      <c r="N1539" s="71"/>
      <c r="O1539" s="71"/>
      <c r="P1539" s="71"/>
      <c r="Q1539" s="71"/>
      <c r="R1539" s="71"/>
      <c r="S1539" s="71"/>
      <c r="T1539" s="15"/>
    </row>
    <row r="1540">
      <c r="A1540" s="69"/>
      <c r="B1540" s="69"/>
      <c r="C1540" s="70"/>
      <c r="D1540" s="70"/>
      <c r="E1540" s="69"/>
      <c r="F1540" s="69"/>
      <c r="G1540" s="69"/>
      <c r="H1540" s="69"/>
      <c r="I1540" s="69"/>
      <c r="J1540" s="69"/>
      <c r="K1540" s="69"/>
      <c r="L1540" s="69"/>
      <c r="M1540" s="69"/>
      <c r="N1540" s="69"/>
      <c r="O1540" s="69"/>
      <c r="P1540" s="69"/>
      <c r="Q1540" s="69"/>
      <c r="R1540" s="69"/>
      <c r="S1540" s="69"/>
      <c r="T1540" s="15"/>
    </row>
    <row r="1541">
      <c r="A1541" s="71"/>
      <c r="B1541" s="71"/>
      <c r="C1541" s="72"/>
      <c r="D1541" s="72"/>
      <c r="E1541" s="71"/>
      <c r="F1541" s="71"/>
      <c r="G1541" s="71"/>
      <c r="H1541" s="71"/>
      <c r="I1541" s="71"/>
      <c r="J1541" s="71"/>
      <c r="K1541" s="71"/>
      <c r="L1541" s="71"/>
      <c r="M1541" s="71"/>
      <c r="N1541" s="71"/>
      <c r="O1541" s="71"/>
      <c r="P1541" s="71"/>
      <c r="Q1541" s="71"/>
      <c r="R1541" s="71"/>
      <c r="S1541" s="71"/>
      <c r="T1541" s="15"/>
    </row>
    <row r="1542">
      <c r="A1542" s="69"/>
      <c r="B1542" s="69"/>
      <c r="C1542" s="70"/>
      <c r="D1542" s="70"/>
      <c r="E1542" s="69"/>
      <c r="F1542" s="69"/>
      <c r="G1542" s="69"/>
      <c r="H1542" s="69"/>
      <c r="I1542" s="69"/>
      <c r="J1542" s="69"/>
      <c r="K1542" s="69"/>
      <c r="L1542" s="69"/>
      <c r="M1542" s="69"/>
      <c r="N1542" s="69"/>
      <c r="O1542" s="69"/>
      <c r="P1542" s="69"/>
      <c r="Q1542" s="69"/>
      <c r="R1542" s="69"/>
      <c r="S1542" s="69"/>
      <c r="T1542" s="15"/>
    </row>
    <row r="1543">
      <c r="A1543" s="71"/>
      <c r="B1543" s="71"/>
      <c r="C1543" s="72"/>
      <c r="D1543" s="72"/>
      <c r="E1543" s="71"/>
      <c r="F1543" s="71"/>
      <c r="G1543" s="71"/>
      <c r="H1543" s="71"/>
      <c r="I1543" s="71"/>
      <c r="J1543" s="71"/>
      <c r="K1543" s="71"/>
      <c r="L1543" s="71"/>
      <c r="M1543" s="71"/>
      <c r="N1543" s="71"/>
      <c r="O1543" s="71"/>
      <c r="P1543" s="71"/>
      <c r="Q1543" s="71"/>
      <c r="R1543" s="71"/>
      <c r="S1543" s="71"/>
      <c r="T1543" s="15"/>
    </row>
    <row r="1544">
      <c r="A1544" s="69"/>
      <c r="B1544" s="69"/>
      <c r="C1544" s="70"/>
      <c r="D1544" s="70"/>
      <c r="E1544" s="69"/>
      <c r="F1544" s="69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69"/>
      <c r="T1544" s="15"/>
    </row>
    <row r="1545">
      <c r="A1545" s="71"/>
      <c r="B1545" s="71"/>
      <c r="C1545" s="72"/>
      <c r="D1545" s="72"/>
      <c r="E1545" s="71"/>
      <c r="F1545" s="71"/>
      <c r="G1545" s="71"/>
      <c r="H1545" s="71"/>
      <c r="I1545" s="71"/>
      <c r="J1545" s="71"/>
      <c r="K1545" s="71"/>
      <c r="L1545" s="71"/>
      <c r="M1545" s="71"/>
      <c r="N1545" s="71"/>
      <c r="O1545" s="71"/>
      <c r="P1545" s="71"/>
      <c r="Q1545" s="71"/>
      <c r="R1545" s="71"/>
      <c r="S1545" s="71"/>
      <c r="T1545" s="15"/>
    </row>
    <row r="1546">
      <c r="A1546" s="69"/>
      <c r="B1546" s="69"/>
      <c r="C1546" s="70"/>
      <c r="D1546" s="70"/>
      <c r="E1546" s="69"/>
      <c r="F1546" s="69"/>
      <c r="G1546" s="69"/>
      <c r="H1546" s="69"/>
      <c r="I1546" s="69"/>
      <c r="J1546" s="69"/>
      <c r="K1546" s="69"/>
      <c r="L1546" s="69"/>
      <c r="M1546" s="69"/>
      <c r="N1546" s="69"/>
      <c r="O1546" s="69"/>
      <c r="P1546" s="69"/>
      <c r="Q1546" s="69"/>
      <c r="R1546" s="69"/>
      <c r="S1546" s="69"/>
      <c r="T1546" s="15"/>
    </row>
    <row r="1547">
      <c r="A1547" s="71"/>
      <c r="B1547" s="71"/>
      <c r="C1547" s="72"/>
      <c r="D1547" s="72"/>
      <c r="E1547" s="71"/>
      <c r="F1547" s="71"/>
      <c r="G1547" s="71"/>
      <c r="H1547" s="71"/>
      <c r="I1547" s="71"/>
      <c r="J1547" s="71"/>
      <c r="K1547" s="71"/>
      <c r="L1547" s="71"/>
      <c r="M1547" s="71"/>
      <c r="N1547" s="71"/>
      <c r="O1547" s="71"/>
      <c r="P1547" s="71"/>
      <c r="Q1547" s="71"/>
      <c r="R1547" s="71"/>
      <c r="S1547" s="71"/>
      <c r="T1547" s="15"/>
    </row>
    <row r="1548">
      <c r="A1548" s="69"/>
      <c r="B1548" s="69"/>
      <c r="C1548" s="70"/>
      <c r="D1548" s="70"/>
      <c r="E1548" s="69"/>
      <c r="F1548" s="69"/>
      <c r="G1548" s="69"/>
      <c r="H1548" s="69"/>
      <c r="I1548" s="69"/>
      <c r="J1548" s="69"/>
      <c r="K1548" s="69"/>
      <c r="L1548" s="69"/>
      <c r="M1548" s="69"/>
      <c r="N1548" s="69"/>
      <c r="O1548" s="69"/>
      <c r="P1548" s="69"/>
      <c r="Q1548" s="69"/>
      <c r="R1548" s="69"/>
      <c r="S1548" s="69"/>
      <c r="T1548" s="15"/>
    </row>
    <row r="1549">
      <c r="A1549" s="71"/>
      <c r="B1549" s="71"/>
      <c r="C1549" s="72"/>
      <c r="D1549" s="72"/>
      <c r="E1549" s="71"/>
      <c r="F1549" s="71"/>
      <c r="G1549" s="71"/>
      <c r="H1549" s="71"/>
      <c r="I1549" s="71"/>
      <c r="J1549" s="71"/>
      <c r="K1549" s="71"/>
      <c r="L1549" s="71"/>
      <c r="M1549" s="71"/>
      <c r="N1549" s="71"/>
      <c r="O1549" s="71"/>
      <c r="P1549" s="71"/>
      <c r="Q1549" s="71"/>
      <c r="R1549" s="71"/>
      <c r="S1549" s="71"/>
      <c r="T1549" s="15"/>
    </row>
    <row r="1550">
      <c r="A1550" s="69"/>
      <c r="B1550" s="69"/>
      <c r="C1550" s="70"/>
      <c r="D1550" s="70"/>
      <c r="E1550" s="69"/>
      <c r="F1550" s="69"/>
      <c r="G1550" s="69"/>
      <c r="H1550" s="69"/>
      <c r="I1550" s="69"/>
      <c r="J1550" s="69"/>
      <c r="K1550" s="69"/>
      <c r="L1550" s="69"/>
      <c r="M1550" s="69"/>
      <c r="N1550" s="69"/>
      <c r="O1550" s="69"/>
      <c r="P1550" s="69"/>
      <c r="Q1550" s="69"/>
      <c r="R1550" s="69"/>
      <c r="S1550" s="69"/>
      <c r="T1550" s="15"/>
    </row>
    <row r="1551">
      <c r="A1551" s="71"/>
      <c r="B1551" s="71"/>
      <c r="C1551" s="72"/>
      <c r="D1551" s="72"/>
      <c r="E1551" s="71"/>
      <c r="F1551" s="71"/>
      <c r="G1551" s="71"/>
      <c r="H1551" s="71"/>
      <c r="I1551" s="71"/>
      <c r="J1551" s="71"/>
      <c r="K1551" s="71"/>
      <c r="L1551" s="71"/>
      <c r="M1551" s="71"/>
      <c r="N1551" s="71"/>
      <c r="O1551" s="71"/>
      <c r="P1551" s="71"/>
      <c r="Q1551" s="71"/>
      <c r="R1551" s="71"/>
      <c r="S1551" s="71"/>
      <c r="T1551" s="15"/>
    </row>
    <row r="1552">
      <c r="A1552" s="69"/>
      <c r="B1552" s="69"/>
      <c r="C1552" s="70"/>
      <c r="D1552" s="70"/>
      <c r="E1552" s="69"/>
      <c r="F1552" s="69"/>
      <c r="G1552" s="69"/>
      <c r="H1552" s="69"/>
      <c r="I1552" s="69"/>
      <c r="J1552" s="69"/>
      <c r="K1552" s="69"/>
      <c r="L1552" s="69"/>
      <c r="M1552" s="69"/>
      <c r="N1552" s="69"/>
      <c r="O1552" s="69"/>
      <c r="P1552" s="69"/>
      <c r="Q1552" s="69"/>
      <c r="R1552" s="69"/>
      <c r="S1552" s="69"/>
      <c r="T1552" s="15"/>
    </row>
    <row r="1553">
      <c r="A1553" s="71"/>
      <c r="B1553" s="71"/>
      <c r="C1553" s="72"/>
      <c r="D1553" s="72"/>
      <c r="E1553" s="71"/>
      <c r="F1553" s="71"/>
      <c r="G1553" s="71"/>
      <c r="H1553" s="71"/>
      <c r="I1553" s="71"/>
      <c r="J1553" s="71"/>
      <c r="K1553" s="71"/>
      <c r="L1553" s="71"/>
      <c r="M1553" s="71"/>
      <c r="N1553" s="71"/>
      <c r="O1553" s="71"/>
      <c r="P1553" s="71"/>
      <c r="Q1553" s="71"/>
      <c r="R1553" s="71"/>
      <c r="S1553" s="71"/>
      <c r="T1553" s="15"/>
    </row>
    <row r="1554">
      <c r="A1554" s="69"/>
      <c r="B1554" s="69"/>
      <c r="C1554" s="70"/>
      <c r="D1554" s="70"/>
      <c r="E1554" s="69"/>
      <c r="F1554" s="69"/>
      <c r="G1554" s="69"/>
      <c r="H1554" s="69"/>
      <c r="I1554" s="69"/>
      <c r="J1554" s="69"/>
      <c r="K1554" s="69"/>
      <c r="L1554" s="69"/>
      <c r="M1554" s="69"/>
      <c r="N1554" s="69"/>
      <c r="O1554" s="69"/>
      <c r="P1554" s="69"/>
      <c r="Q1554" s="69"/>
      <c r="R1554" s="69"/>
      <c r="S1554" s="69"/>
      <c r="T1554" s="15"/>
    </row>
    <row r="1555">
      <c r="A1555" s="71"/>
      <c r="B1555" s="71"/>
      <c r="C1555" s="72"/>
      <c r="D1555" s="72"/>
      <c r="E1555" s="71"/>
      <c r="F1555" s="71"/>
      <c r="G1555" s="71"/>
      <c r="H1555" s="71"/>
      <c r="I1555" s="71"/>
      <c r="J1555" s="71"/>
      <c r="K1555" s="71"/>
      <c r="L1555" s="71"/>
      <c r="M1555" s="71"/>
      <c r="N1555" s="71"/>
      <c r="O1555" s="71"/>
      <c r="P1555" s="71"/>
      <c r="Q1555" s="71"/>
      <c r="R1555" s="71"/>
      <c r="S1555" s="71"/>
      <c r="T1555" s="15"/>
    </row>
    <row r="1556">
      <c r="A1556" s="69"/>
      <c r="B1556" s="69"/>
      <c r="C1556" s="70"/>
      <c r="D1556" s="70"/>
      <c r="E1556" s="69"/>
      <c r="F1556" s="69"/>
      <c r="G1556" s="69"/>
      <c r="H1556" s="69"/>
      <c r="I1556" s="69"/>
      <c r="J1556" s="69"/>
      <c r="K1556" s="69"/>
      <c r="L1556" s="69"/>
      <c r="M1556" s="69"/>
      <c r="N1556" s="69"/>
      <c r="O1556" s="69"/>
      <c r="P1556" s="69"/>
      <c r="Q1556" s="69"/>
      <c r="R1556" s="69"/>
      <c r="S1556" s="69"/>
      <c r="T1556" s="15"/>
    </row>
    <row r="1557">
      <c r="A1557" s="71"/>
      <c r="B1557" s="71"/>
      <c r="C1557" s="72"/>
      <c r="D1557" s="72"/>
      <c r="E1557" s="71"/>
      <c r="F1557" s="71"/>
      <c r="G1557" s="71"/>
      <c r="H1557" s="71"/>
      <c r="I1557" s="71"/>
      <c r="J1557" s="71"/>
      <c r="K1557" s="71"/>
      <c r="L1557" s="71"/>
      <c r="M1557" s="71"/>
      <c r="N1557" s="71"/>
      <c r="O1557" s="71"/>
      <c r="P1557" s="71"/>
      <c r="Q1557" s="71"/>
      <c r="R1557" s="71"/>
      <c r="S1557" s="71"/>
      <c r="T1557" s="15"/>
    </row>
    <row r="1558">
      <c r="A1558" s="69"/>
      <c r="B1558" s="69"/>
      <c r="C1558" s="70"/>
      <c r="D1558" s="70"/>
      <c r="E1558" s="69"/>
      <c r="F1558" s="69"/>
      <c r="G1558" s="69"/>
      <c r="H1558" s="69"/>
      <c r="I1558" s="69"/>
      <c r="J1558" s="69"/>
      <c r="K1558" s="69"/>
      <c r="L1558" s="69"/>
      <c r="M1558" s="69"/>
      <c r="N1558" s="69"/>
      <c r="O1558" s="69"/>
      <c r="P1558" s="69"/>
      <c r="Q1558" s="69"/>
      <c r="R1558" s="69"/>
      <c r="S1558" s="69"/>
      <c r="T1558" s="15"/>
    </row>
    <row r="1559">
      <c r="A1559" s="71"/>
      <c r="B1559" s="71"/>
      <c r="C1559" s="72"/>
      <c r="D1559" s="72"/>
      <c r="E1559" s="71"/>
      <c r="F1559" s="71"/>
      <c r="G1559" s="71"/>
      <c r="H1559" s="71"/>
      <c r="I1559" s="71"/>
      <c r="J1559" s="71"/>
      <c r="K1559" s="71"/>
      <c r="L1559" s="71"/>
      <c r="M1559" s="71"/>
      <c r="N1559" s="71"/>
      <c r="O1559" s="71"/>
      <c r="P1559" s="71"/>
      <c r="Q1559" s="71"/>
      <c r="R1559" s="71"/>
      <c r="S1559" s="71"/>
      <c r="T1559" s="15"/>
    </row>
    <row r="1560">
      <c r="A1560" s="69"/>
      <c r="B1560" s="69"/>
      <c r="C1560" s="70"/>
      <c r="D1560" s="70"/>
      <c r="E1560" s="69"/>
      <c r="F1560" s="69"/>
      <c r="G1560" s="69"/>
      <c r="H1560" s="69"/>
      <c r="I1560" s="69"/>
      <c r="J1560" s="69"/>
      <c r="K1560" s="69"/>
      <c r="L1560" s="69"/>
      <c r="M1560" s="69"/>
      <c r="N1560" s="69"/>
      <c r="O1560" s="69"/>
      <c r="P1560" s="69"/>
      <c r="Q1560" s="69"/>
      <c r="R1560" s="69"/>
      <c r="S1560" s="69"/>
      <c r="T1560" s="15"/>
    </row>
    <row r="1561">
      <c r="A1561" s="71"/>
      <c r="B1561" s="71"/>
      <c r="C1561" s="72"/>
      <c r="D1561" s="72"/>
      <c r="E1561" s="71"/>
      <c r="F1561" s="71"/>
      <c r="G1561" s="71"/>
      <c r="H1561" s="71"/>
      <c r="I1561" s="71"/>
      <c r="J1561" s="71"/>
      <c r="K1561" s="71"/>
      <c r="L1561" s="71"/>
      <c r="M1561" s="71"/>
      <c r="N1561" s="71"/>
      <c r="O1561" s="71"/>
      <c r="P1561" s="71"/>
      <c r="Q1561" s="71"/>
      <c r="R1561" s="71"/>
      <c r="S1561" s="71"/>
      <c r="T1561" s="15"/>
    </row>
    <row r="1562">
      <c r="A1562" s="69"/>
      <c r="B1562" s="69"/>
      <c r="C1562" s="70"/>
      <c r="D1562" s="70"/>
      <c r="E1562" s="69"/>
      <c r="F1562" s="69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15"/>
    </row>
    <row r="1563">
      <c r="A1563" s="71"/>
      <c r="B1563" s="71"/>
      <c r="C1563" s="72"/>
      <c r="D1563" s="72"/>
      <c r="E1563" s="71"/>
      <c r="F1563" s="71"/>
      <c r="G1563" s="71"/>
      <c r="H1563" s="71"/>
      <c r="I1563" s="71"/>
      <c r="J1563" s="71"/>
      <c r="K1563" s="71"/>
      <c r="L1563" s="71"/>
      <c r="M1563" s="71"/>
      <c r="N1563" s="71"/>
      <c r="O1563" s="71"/>
      <c r="P1563" s="71"/>
      <c r="Q1563" s="71"/>
      <c r="R1563" s="71"/>
      <c r="S1563" s="71"/>
      <c r="T1563" s="15"/>
    </row>
    <row r="1564">
      <c r="A1564" s="69"/>
      <c r="B1564" s="69"/>
      <c r="C1564" s="70"/>
      <c r="D1564" s="70"/>
      <c r="E1564" s="69"/>
      <c r="F1564" s="69"/>
      <c r="G1564" s="69"/>
      <c r="H1564" s="69"/>
      <c r="I1564" s="69"/>
      <c r="J1564" s="69"/>
      <c r="K1564" s="69"/>
      <c r="L1564" s="69"/>
      <c r="M1564" s="69"/>
      <c r="N1564" s="69"/>
      <c r="O1564" s="69"/>
      <c r="P1564" s="69"/>
      <c r="Q1564" s="69"/>
      <c r="R1564" s="69"/>
      <c r="S1564" s="69"/>
      <c r="T1564" s="15"/>
    </row>
    <row r="1565">
      <c r="A1565" s="71"/>
      <c r="B1565" s="71"/>
      <c r="C1565" s="72"/>
      <c r="D1565" s="72"/>
      <c r="E1565" s="71"/>
      <c r="F1565" s="71"/>
      <c r="G1565" s="71"/>
      <c r="H1565" s="71"/>
      <c r="I1565" s="71"/>
      <c r="J1565" s="71"/>
      <c r="K1565" s="71"/>
      <c r="L1565" s="71"/>
      <c r="M1565" s="71"/>
      <c r="N1565" s="71"/>
      <c r="O1565" s="71"/>
      <c r="P1565" s="71"/>
      <c r="Q1565" s="71"/>
      <c r="R1565" s="71"/>
      <c r="S1565" s="71"/>
      <c r="T1565" s="15"/>
    </row>
    <row r="1566">
      <c r="A1566" s="69"/>
      <c r="B1566" s="69"/>
      <c r="C1566" s="70"/>
      <c r="D1566" s="70"/>
      <c r="E1566" s="69"/>
      <c r="F1566" s="69"/>
      <c r="G1566" s="69"/>
      <c r="H1566" s="69"/>
      <c r="I1566" s="69"/>
      <c r="J1566" s="69"/>
      <c r="K1566" s="69"/>
      <c r="L1566" s="69"/>
      <c r="M1566" s="69"/>
      <c r="N1566" s="69"/>
      <c r="O1566" s="69"/>
      <c r="P1566" s="69"/>
      <c r="Q1566" s="69"/>
      <c r="R1566" s="69"/>
      <c r="S1566" s="69"/>
      <c r="T1566" s="15"/>
    </row>
    <row r="1567">
      <c r="A1567" s="71"/>
      <c r="B1567" s="71"/>
      <c r="C1567" s="72"/>
      <c r="D1567" s="72"/>
      <c r="E1567" s="71"/>
      <c r="F1567" s="71"/>
      <c r="G1567" s="71"/>
      <c r="H1567" s="71"/>
      <c r="I1567" s="71"/>
      <c r="J1567" s="71"/>
      <c r="K1567" s="71"/>
      <c r="L1567" s="71"/>
      <c r="M1567" s="71"/>
      <c r="N1567" s="71"/>
      <c r="O1567" s="71"/>
      <c r="P1567" s="71"/>
      <c r="Q1567" s="71"/>
      <c r="R1567" s="71"/>
      <c r="S1567" s="71"/>
      <c r="T1567" s="15"/>
    </row>
    <row r="1568">
      <c r="A1568" s="69"/>
      <c r="B1568" s="69"/>
      <c r="C1568" s="70"/>
      <c r="D1568" s="70"/>
      <c r="E1568" s="69"/>
      <c r="F1568" s="69"/>
      <c r="G1568" s="69"/>
      <c r="H1568" s="69"/>
      <c r="I1568" s="69"/>
      <c r="J1568" s="69"/>
      <c r="K1568" s="69"/>
      <c r="L1568" s="69"/>
      <c r="M1568" s="69"/>
      <c r="N1568" s="69"/>
      <c r="O1568" s="69"/>
      <c r="P1568" s="69"/>
      <c r="Q1568" s="69"/>
      <c r="R1568" s="69"/>
      <c r="S1568" s="69"/>
      <c r="T1568" s="15"/>
    </row>
    <row r="1569">
      <c r="A1569" s="71"/>
      <c r="B1569" s="71"/>
      <c r="C1569" s="72"/>
      <c r="D1569" s="72"/>
      <c r="E1569" s="71"/>
      <c r="F1569" s="71"/>
      <c r="G1569" s="71"/>
      <c r="H1569" s="71"/>
      <c r="I1569" s="71"/>
      <c r="J1569" s="71"/>
      <c r="K1569" s="71"/>
      <c r="L1569" s="71"/>
      <c r="M1569" s="71"/>
      <c r="N1569" s="71"/>
      <c r="O1569" s="71"/>
      <c r="P1569" s="71"/>
      <c r="Q1569" s="71"/>
      <c r="R1569" s="71"/>
      <c r="S1569" s="71"/>
      <c r="T1569" s="15"/>
    </row>
    <row r="1570">
      <c r="A1570" s="69"/>
      <c r="B1570" s="69"/>
      <c r="C1570" s="70"/>
      <c r="D1570" s="70"/>
      <c r="E1570" s="69"/>
      <c r="F1570" s="69"/>
      <c r="G1570" s="69"/>
      <c r="H1570" s="69"/>
      <c r="I1570" s="69"/>
      <c r="J1570" s="69"/>
      <c r="K1570" s="69"/>
      <c r="L1570" s="69"/>
      <c r="M1570" s="69"/>
      <c r="N1570" s="69"/>
      <c r="O1570" s="69"/>
      <c r="P1570" s="69"/>
      <c r="Q1570" s="69"/>
      <c r="R1570" s="69"/>
      <c r="S1570" s="69"/>
      <c r="T1570" s="15"/>
    </row>
    <row r="1571">
      <c r="A1571" s="71"/>
      <c r="B1571" s="71"/>
      <c r="C1571" s="72"/>
      <c r="D1571" s="72"/>
      <c r="E1571" s="71"/>
      <c r="F1571" s="71"/>
      <c r="G1571" s="71"/>
      <c r="H1571" s="71"/>
      <c r="I1571" s="71"/>
      <c r="J1571" s="71"/>
      <c r="K1571" s="71"/>
      <c r="L1571" s="71"/>
      <c r="M1571" s="71"/>
      <c r="N1571" s="71"/>
      <c r="O1571" s="71"/>
      <c r="P1571" s="71"/>
      <c r="Q1571" s="71"/>
      <c r="R1571" s="71"/>
      <c r="S1571" s="71"/>
      <c r="T1571" s="15"/>
    </row>
    <row r="1572">
      <c r="A1572" s="69"/>
      <c r="B1572" s="69"/>
      <c r="C1572" s="70"/>
      <c r="D1572" s="70"/>
      <c r="E1572" s="69"/>
      <c r="F1572" s="69"/>
      <c r="G1572" s="69"/>
      <c r="H1572" s="69"/>
      <c r="I1572" s="69"/>
      <c r="J1572" s="69"/>
      <c r="K1572" s="69"/>
      <c r="L1572" s="69"/>
      <c r="M1572" s="69"/>
      <c r="N1572" s="69"/>
      <c r="O1572" s="69"/>
      <c r="P1572" s="69"/>
      <c r="Q1572" s="69"/>
      <c r="R1572" s="69"/>
      <c r="S1572" s="69"/>
      <c r="T1572" s="15"/>
    </row>
    <row r="1573">
      <c r="A1573" s="71"/>
      <c r="B1573" s="71"/>
      <c r="C1573" s="72"/>
      <c r="D1573" s="72"/>
      <c r="E1573" s="71"/>
      <c r="F1573" s="71"/>
      <c r="G1573" s="71"/>
      <c r="H1573" s="71"/>
      <c r="I1573" s="71"/>
      <c r="J1573" s="71"/>
      <c r="K1573" s="71"/>
      <c r="L1573" s="71"/>
      <c r="M1573" s="71"/>
      <c r="N1573" s="71"/>
      <c r="O1573" s="71"/>
      <c r="P1573" s="71"/>
      <c r="Q1573" s="71"/>
      <c r="R1573" s="71"/>
      <c r="S1573" s="71"/>
      <c r="T1573" s="15"/>
    </row>
    <row r="1574">
      <c r="A1574" s="69"/>
      <c r="B1574" s="69"/>
      <c r="C1574" s="70"/>
      <c r="D1574" s="70"/>
      <c r="E1574" s="69"/>
      <c r="F1574" s="69"/>
      <c r="G1574" s="69"/>
      <c r="H1574" s="69"/>
      <c r="I1574" s="69"/>
      <c r="J1574" s="69"/>
      <c r="K1574" s="69"/>
      <c r="L1574" s="69"/>
      <c r="M1574" s="69"/>
      <c r="N1574" s="69"/>
      <c r="O1574" s="69"/>
      <c r="P1574" s="69"/>
      <c r="Q1574" s="69"/>
      <c r="R1574" s="69"/>
      <c r="S1574" s="69"/>
      <c r="T1574" s="15"/>
    </row>
    <row r="1575">
      <c r="A1575" s="71"/>
      <c r="B1575" s="71"/>
      <c r="C1575" s="72"/>
      <c r="D1575" s="72"/>
      <c r="E1575" s="71"/>
      <c r="F1575" s="71"/>
      <c r="G1575" s="71"/>
      <c r="H1575" s="71"/>
      <c r="I1575" s="71"/>
      <c r="J1575" s="71"/>
      <c r="K1575" s="71"/>
      <c r="L1575" s="71"/>
      <c r="M1575" s="71"/>
      <c r="N1575" s="71"/>
      <c r="O1575" s="71"/>
      <c r="P1575" s="71"/>
      <c r="Q1575" s="71"/>
      <c r="R1575" s="71"/>
      <c r="S1575" s="71"/>
      <c r="T1575" s="15"/>
    </row>
    <row r="1576">
      <c r="A1576" s="69"/>
      <c r="B1576" s="69"/>
      <c r="C1576" s="70"/>
      <c r="D1576" s="70"/>
      <c r="E1576" s="69"/>
      <c r="F1576" s="69"/>
      <c r="G1576" s="69"/>
      <c r="H1576" s="69"/>
      <c r="I1576" s="69"/>
      <c r="J1576" s="69"/>
      <c r="K1576" s="69"/>
      <c r="L1576" s="69"/>
      <c r="M1576" s="69"/>
      <c r="N1576" s="69"/>
      <c r="O1576" s="69"/>
      <c r="P1576" s="69"/>
      <c r="Q1576" s="69"/>
      <c r="R1576" s="69"/>
      <c r="S1576" s="69"/>
      <c r="T1576" s="15"/>
    </row>
    <row r="1577">
      <c r="A1577" s="71"/>
      <c r="B1577" s="71"/>
      <c r="C1577" s="72"/>
      <c r="D1577" s="72"/>
      <c r="E1577" s="71"/>
      <c r="F1577" s="71"/>
      <c r="G1577" s="71"/>
      <c r="H1577" s="71"/>
      <c r="I1577" s="71"/>
      <c r="J1577" s="71"/>
      <c r="K1577" s="71"/>
      <c r="L1577" s="71"/>
      <c r="M1577" s="71"/>
      <c r="N1577" s="71"/>
      <c r="O1577" s="71"/>
      <c r="P1577" s="71"/>
      <c r="Q1577" s="71"/>
      <c r="R1577" s="71"/>
      <c r="S1577" s="71"/>
      <c r="T1577" s="15"/>
    </row>
    <row r="1578">
      <c r="A1578" s="69"/>
      <c r="B1578" s="69"/>
      <c r="C1578" s="70"/>
      <c r="D1578" s="70"/>
      <c r="E1578" s="69"/>
      <c r="F1578" s="69"/>
      <c r="G1578" s="69"/>
      <c r="H1578" s="69"/>
      <c r="I1578" s="69"/>
      <c r="J1578" s="69"/>
      <c r="K1578" s="69"/>
      <c r="L1578" s="69"/>
      <c r="M1578" s="69"/>
      <c r="N1578" s="69"/>
      <c r="O1578" s="69"/>
      <c r="P1578" s="69"/>
      <c r="Q1578" s="69"/>
      <c r="R1578" s="69"/>
      <c r="S1578" s="69"/>
      <c r="T1578" s="15"/>
    </row>
    <row r="1579">
      <c r="A1579" s="71"/>
      <c r="B1579" s="71"/>
      <c r="C1579" s="72"/>
      <c r="D1579" s="72"/>
      <c r="E1579" s="71"/>
      <c r="F1579" s="71"/>
      <c r="G1579" s="71"/>
      <c r="H1579" s="71"/>
      <c r="I1579" s="71"/>
      <c r="J1579" s="71"/>
      <c r="K1579" s="71"/>
      <c r="L1579" s="71"/>
      <c r="M1579" s="71"/>
      <c r="N1579" s="71"/>
      <c r="O1579" s="71"/>
      <c r="P1579" s="71"/>
      <c r="Q1579" s="71"/>
      <c r="R1579" s="71"/>
      <c r="S1579" s="71"/>
      <c r="T1579" s="15"/>
    </row>
    <row r="1580">
      <c r="A1580" s="69"/>
      <c r="B1580" s="69"/>
      <c r="C1580" s="70"/>
      <c r="D1580" s="70"/>
      <c r="E1580" s="69"/>
      <c r="F1580" s="69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69"/>
      <c r="T1580" s="15"/>
    </row>
    <row r="1581">
      <c r="A1581" s="71"/>
      <c r="B1581" s="71"/>
      <c r="C1581" s="72"/>
      <c r="D1581" s="72"/>
      <c r="E1581" s="71"/>
      <c r="F1581" s="71"/>
      <c r="G1581" s="71"/>
      <c r="H1581" s="71"/>
      <c r="I1581" s="71"/>
      <c r="J1581" s="71"/>
      <c r="K1581" s="71"/>
      <c r="L1581" s="71"/>
      <c r="M1581" s="71"/>
      <c r="N1581" s="71"/>
      <c r="O1581" s="71"/>
      <c r="P1581" s="71"/>
      <c r="Q1581" s="71"/>
      <c r="R1581" s="71"/>
      <c r="S1581" s="71"/>
      <c r="T1581" s="15"/>
    </row>
    <row r="1582">
      <c r="A1582" s="69"/>
      <c r="B1582" s="69"/>
      <c r="C1582" s="70"/>
      <c r="D1582" s="70"/>
      <c r="E1582" s="69"/>
      <c r="F1582" s="69"/>
      <c r="G1582" s="69"/>
      <c r="H1582" s="69"/>
      <c r="I1582" s="69"/>
      <c r="J1582" s="69"/>
      <c r="K1582" s="69"/>
      <c r="L1582" s="69"/>
      <c r="M1582" s="69"/>
      <c r="N1582" s="69"/>
      <c r="O1582" s="69"/>
      <c r="P1582" s="69"/>
      <c r="Q1582" s="69"/>
      <c r="R1582" s="69"/>
      <c r="S1582" s="69"/>
      <c r="T1582" s="15"/>
    </row>
    <row r="1583">
      <c r="A1583" s="71"/>
      <c r="B1583" s="71"/>
      <c r="C1583" s="72"/>
      <c r="D1583" s="72"/>
      <c r="E1583" s="71"/>
      <c r="F1583" s="71"/>
      <c r="G1583" s="71"/>
      <c r="H1583" s="71"/>
      <c r="I1583" s="71"/>
      <c r="J1583" s="71"/>
      <c r="K1583" s="71"/>
      <c r="L1583" s="71"/>
      <c r="M1583" s="71"/>
      <c r="N1583" s="71"/>
      <c r="O1583" s="71"/>
      <c r="P1583" s="71"/>
      <c r="Q1583" s="71"/>
      <c r="R1583" s="71"/>
      <c r="S1583" s="71"/>
      <c r="T1583" s="15"/>
    </row>
    <row r="1584">
      <c r="A1584" s="69"/>
      <c r="B1584" s="69"/>
      <c r="C1584" s="70"/>
      <c r="D1584" s="70"/>
      <c r="E1584" s="69"/>
      <c r="F1584" s="69"/>
      <c r="G1584" s="69"/>
      <c r="H1584" s="69"/>
      <c r="I1584" s="69"/>
      <c r="J1584" s="69"/>
      <c r="K1584" s="69"/>
      <c r="L1584" s="69"/>
      <c r="M1584" s="69"/>
      <c r="N1584" s="69"/>
      <c r="O1584" s="69"/>
      <c r="P1584" s="69"/>
      <c r="Q1584" s="69"/>
      <c r="R1584" s="69"/>
      <c r="S1584" s="69"/>
      <c r="T1584" s="15"/>
    </row>
    <row r="1585">
      <c r="A1585" s="71"/>
      <c r="B1585" s="71"/>
      <c r="C1585" s="72"/>
      <c r="D1585" s="72"/>
      <c r="E1585" s="71"/>
      <c r="F1585" s="71"/>
      <c r="G1585" s="71"/>
      <c r="H1585" s="71"/>
      <c r="I1585" s="71"/>
      <c r="J1585" s="71"/>
      <c r="K1585" s="71"/>
      <c r="L1585" s="71"/>
      <c r="M1585" s="71"/>
      <c r="N1585" s="71"/>
      <c r="O1585" s="71"/>
      <c r="P1585" s="71"/>
      <c r="Q1585" s="71"/>
      <c r="R1585" s="71"/>
      <c r="S1585" s="71"/>
      <c r="T1585" s="15"/>
    </row>
    <row r="1586">
      <c r="A1586" s="69"/>
      <c r="B1586" s="69"/>
      <c r="C1586" s="70"/>
      <c r="D1586" s="70"/>
      <c r="E1586" s="69"/>
      <c r="F1586" s="69"/>
      <c r="G1586" s="69"/>
      <c r="H1586" s="69"/>
      <c r="I1586" s="69"/>
      <c r="J1586" s="69"/>
      <c r="K1586" s="69"/>
      <c r="L1586" s="69"/>
      <c r="M1586" s="69"/>
      <c r="N1586" s="69"/>
      <c r="O1586" s="69"/>
      <c r="P1586" s="69"/>
      <c r="Q1586" s="69"/>
      <c r="R1586" s="69"/>
      <c r="S1586" s="69"/>
      <c r="T1586" s="15"/>
    </row>
    <row r="1587">
      <c r="A1587" s="71"/>
      <c r="B1587" s="71"/>
      <c r="C1587" s="72"/>
      <c r="D1587" s="72"/>
      <c r="E1587" s="71"/>
      <c r="F1587" s="71"/>
      <c r="G1587" s="71"/>
      <c r="H1587" s="71"/>
      <c r="I1587" s="71"/>
      <c r="J1587" s="71"/>
      <c r="K1587" s="71"/>
      <c r="L1587" s="71"/>
      <c r="M1587" s="71"/>
      <c r="N1587" s="71"/>
      <c r="O1587" s="71"/>
      <c r="P1587" s="71"/>
      <c r="Q1587" s="71"/>
      <c r="R1587" s="71"/>
      <c r="S1587" s="71"/>
      <c r="T1587" s="15"/>
    </row>
    <row r="1588">
      <c r="A1588" s="69"/>
      <c r="B1588" s="69"/>
      <c r="C1588" s="70"/>
      <c r="D1588" s="70"/>
      <c r="E1588" s="69"/>
      <c r="F1588" s="69"/>
      <c r="G1588" s="69"/>
      <c r="H1588" s="69"/>
      <c r="I1588" s="69"/>
      <c r="J1588" s="69"/>
      <c r="K1588" s="69"/>
      <c r="L1588" s="69"/>
      <c r="M1588" s="69"/>
      <c r="N1588" s="69"/>
      <c r="O1588" s="69"/>
      <c r="P1588" s="69"/>
      <c r="Q1588" s="69"/>
      <c r="R1588" s="69"/>
      <c r="S1588" s="69"/>
      <c r="T1588" s="15"/>
    </row>
    <row r="1589">
      <c r="A1589" s="71"/>
      <c r="B1589" s="71"/>
      <c r="C1589" s="72"/>
      <c r="D1589" s="72"/>
      <c r="E1589" s="71"/>
      <c r="F1589" s="71"/>
      <c r="G1589" s="71"/>
      <c r="H1589" s="71"/>
      <c r="I1589" s="71"/>
      <c r="J1589" s="71"/>
      <c r="K1589" s="71"/>
      <c r="L1589" s="71"/>
      <c r="M1589" s="71"/>
      <c r="N1589" s="71"/>
      <c r="O1589" s="71"/>
      <c r="P1589" s="71"/>
      <c r="Q1589" s="71"/>
      <c r="R1589" s="71"/>
      <c r="S1589" s="71"/>
      <c r="T1589" s="15"/>
    </row>
    <row r="1590">
      <c r="A1590" s="69"/>
      <c r="B1590" s="69"/>
      <c r="C1590" s="70"/>
      <c r="D1590" s="70"/>
      <c r="E1590" s="69"/>
      <c r="F1590" s="69"/>
      <c r="G1590" s="69"/>
      <c r="H1590" s="69"/>
      <c r="I1590" s="69"/>
      <c r="J1590" s="69"/>
      <c r="K1590" s="69"/>
      <c r="L1590" s="69"/>
      <c r="M1590" s="69"/>
      <c r="N1590" s="69"/>
      <c r="O1590" s="69"/>
      <c r="P1590" s="69"/>
      <c r="Q1590" s="69"/>
      <c r="R1590" s="69"/>
      <c r="S1590" s="69"/>
      <c r="T1590" s="15"/>
    </row>
    <row r="1591">
      <c r="A1591" s="71"/>
      <c r="B1591" s="71"/>
      <c r="C1591" s="72"/>
      <c r="D1591" s="72"/>
      <c r="E1591" s="71"/>
      <c r="F1591" s="71"/>
      <c r="G1591" s="71"/>
      <c r="H1591" s="71"/>
      <c r="I1591" s="71"/>
      <c r="J1591" s="71"/>
      <c r="K1591" s="71"/>
      <c r="L1591" s="71"/>
      <c r="M1591" s="71"/>
      <c r="N1591" s="71"/>
      <c r="O1591" s="71"/>
      <c r="P1591" s="71"/>
      <c r="Q1591" s="71"/>
      <c r="R1591" s="71"/>
      <c r="S1591" s="71"/>
      <c r="T1591" s="15"/>
    </row>
    <row r="1592">
      <c r="A1592" s="69"/>
      <c r="B1592" s="69"/>
      <c r="C1592" s="70"/>
      <c r="D1592" s="70"/>
      <c r="E1592" s="69"/>
      <c r="F1592" s="69"/>
      <c r="G1592" s="69"/>
      <c r="H1592" s="69"/>
      <c r="I1592" s="69"/>
      <c r="J1592" s="69"/>
      <c r="K1592" s="69"/>
      <c r="L1592" s="69"/>
      <c r="M1592" s="69"/>
      <c r="N1592" s="69"/>
      <c r="O1592" s="69"/>
      <c r="P1592" s="69"/>
      <c r="Q1592" s="69"/>
      <c r="R1592" s="69"/>
      <c r="S1592" s="69"/>
      <c r="T1592" s="15"/>
    </row>
    <row r="1593">
      <c r="A1593" s="71"/>
      <c r="B1593" s="71"/>
      <c r="C1593" s="72"/>
      <c r="D1593" s="72"/>
      <c r="E1593" s="71"/>
      <c r="F1593" s="71"/>
      <c r="G1593" s="71"/>
      <c r="H1593" s="71"/>
      <c r="I1593" s="71"/>
      <c r="J1593" s="71"/>
      <c r="K1593" s="71"/>
      <c r="L1593" s="71"/>
      <c r="M1593" s="71"/>
      <c r="N1593" s="71"/>
      <c r="O1593" s="71"/>
      <c r="P1593" s="71"/>
      <c r="Q1593" s="71"/>
      <c r="R1593" s="71"/>
      <c r="S1593" s="71"/>
      <c r="T1593" s="15"/>
    </row>
    <row r="1594">
      <c r="A1594" s="69"/>
      <c r="B1594" s="69"/>
      <c r="C1594" s="70"/>
      <c r="D1594" s="70"/>
      <c r="E1594" s="69"/>
      <c r="F1594" s="69"/>
      <c r="G1594" s="69"/>
      <c r="H1594" s="69"/>
      <c r="I1594" s="69"/>
      <c r="J1594" s="69"/>
      <c r="K1594" s="69"/>
      <c r="L1594" s="69"/>
      <c r="M1594" s="69"/>
      <c r="N1594" s="69"/>
      <c r="O1594" s="69"/>
      <c r="P1594" s="69"/>
      <c r="Q1594" s="69"/>
      <c r="R1594" s="69"/>
      <c r="S1594" s="69"/>
      <c r="T1594" s="15"/>
    </row>
    <row r="1595">
      <c r="A1595" s="71"/>
      <c r="B1595" s="71"/>
      <c r="C1595" s="72"/>
      <c r="D1595" s="72"/>
      <c r="E1595" s="71"/>
      <c r="F1595" s="71"/>
      <c r="G1595" s="71"/>
      <c r="H1595" s="71"/>
      <c r="I1595" s="71"/>
      <c r="J1595" s="71"/>
      <c r="K1595" s="71"/>
      <c r="L1595" s="71"/>
      <c r="M1595" s="71"/>
      <c r="N1595" s="71"/>
      <c r="O1595" s="71"/>
      <c r="P1595" s="71"/>
      <c r="Q1595" s="71"/>
      <c r="R1595" s="71"/>
      <c r="S1595" s="71"/>
      <c r="T1595" s="15"/>
    </row>
    <row r="1596">
      <c r="A1596" s="69"/>
      <c r="B1596" s="69"/>
      <c r="C1596" s="70"/>
      <c r="D1596" s="70"/>
      <c r="E1596" s="69"/>
      <c r="F1596" s="69"/>
      <c r="G1596" s="69"/>
      <c r="H1596" s="69"/>
      <c r="I1596" s="69"/>
      <c r="J1596" s="69"/>
      <c r="K1596" s="69"/>
      <c r="L1596" s="69"/>
      <c r="M1596" s="69"/>
      <c r="N1596" s="69"/>
      <c r="O1596" s="69"/>
      <c r="P1596" s="69"/>
      <c r="Q1596" s="69"/>
      <c r="R1596" s="69"/>
      <c r="S1596" s="69"/>
      <c r="T1596" s="15"/>
    </row>
    <row r="1597">
      <c r="A1597" s="71"/>
      <c r="B1597" s="71"/>
      <c r="C1597" s="72"/>
      <c r="D1597" s="72"/>
      <c r="E1597" s="71"/>
      <c r="F1597" s="71"/>
      <c r="G1597" s="71"/>
      <c r="H1597" s="71"/>
      <c r="I1597" s="71"/>
      <c r="J1597" s="71"/>
      <c r="K1597" s="71"/>
      <c r="L1597" s="71"/>
      <c r="M1597" s="71"/>
      <c r="N1597" s="71"/>
      <c r="O1597" s="71"/>
      <c r="P1597" s="71"/>
      <c r="Q1597" s="71"/>
      <c r="R1597" s="71"/>
      <c r="S1597" s="71"/>
      <c r="T1597" s="15"/>
    </row>
    <row r="1598">
      <c r="A1598" s="69"/>
      <c r="B1598" s="69"/>
      <c r="C1598" s="70"/>
      <c r="D1598" s="70"/>
      <c r="E1598" s="69"/>
      <c r="F1598" s="69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69"/>
      <c r="T1598" s="15"/>
    </row>
    <row r="1599">
      <c r="A1599" s="71"/>
      <c r="B1599" s="71"/>
      <c r="C1599" s="72"/>
      <c r="D1599" s="72"/>
      <c r="E1599" s="71"/>
      <c r="F1599" s="71"/>
      <c r="G1599" s="71"/>
      <c r="H1599" s="71"/>
      <c r="I1599" s="71"/>
      <c r="J1599" s="71"/>
      <c r="K1599" s="71"/>
      <c r="L1599" s="71"/>
      <c r="M1599" s="71"/>
      <c r="N1599" s="71"/>
      <c r="O1599" s="71"/>
      <c r="P1599" s="71"/>
      <c r="Q1599" s="71"/>
      <c r="R1599" s="71"/>
      <c r="S1599" s="71"/>
      <c r="T1599" s="15"/>
    </row>
    <row r="1600">
      <c r="A1600" s="69"/>
      <c r="B1600" s="69"/>
      <c r="C1600" s="70"/>
      <c r="D1600" s="70"/>
      <c r="E1600" s="69"/>
      <c r="F1600" s="69"/>
      <c r="G1600" s="69"/>
      <c r="H1600" s="69"/>
      <c r="I1600" s="69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15"/>
    </row>
    <row r="1601">
      <c r="A1601" s="71"/>
      <c r="B1601" s="71"/>
      <c r="C1601" s="72"/>
      <c r="D1601" s="72"/>
      <c r="E1601" s="71"/>
      <c r="F1601" s="71"/>
      <c r="G1601" s="71"/>
      <c r="H1601" s="71"/>
      <c r="I1601" s="71"/>
      <c r="J1601" s="71"/>
      <c r="K1601" s="71"/>
      <c r="L1601" s="71"/>
      <c r="M1601" s="71"/>
      <c r="N1601" s="71"/>
      <c r="O1601" s="71"/>
      <c r="P1601" s="71"/>
      <c r="Q1601" s="71"/>
      <c r="R1601" s="71"/>
      <c r="S1601" s="71"/>
      <c r="T1601" s="15"/>
    </row>
    <row r="1602">
      <c r="A1602" s="69"/>
      <c r="B1602" s="69"/>
      <c r="C1602" s="70"/>
      <c r="D1602" s="70"/>
      <c r="E1602" s="69"/>
      <c r="F1602" s="69"/>
      <c r="G1602" s="69"/>
      <c r="H1602" s="69"/>
      <c r="I1602" s="69"/>
      <c r="J1602" s="69"/>
      <c r="K1602" s="69"/>
      <c r="L1602" s="69"/>
      <c r="M1602" s="69"/>
      <c r="N1602" s="69"/>
      <c r="O1602" s="69"/>
      <c r="P1602" s="69"/>
      <c r="Q1602" s="69"/>
      <c r="R1602" s="69"/>
      <c r="S1602" s="69"/>
      <c r="T1602" s="15"/>
    </row>
    <row r="1603">
      <c r="A1603" s="71"/>
      <c r="B1603" s="71"/>
      <c r="C1603" s="72"/>
      <c r="D1603" s="72"/>
      <c r="E1603" s="71"/>
      <c r="F1603" s="71"/>
      <c r="G1603" s="71"/>
      <c r="H1603" s="71"/>
      <c r="I1603" s="71"/>
      <c r="J1603" s="71"/>
      <c r="K1603" s="71"/>
      <c r="L1603" s="71"/>
      <c r="M1603" s="71"/>
      <c r="N1603" s="71"/>
      <c r="O1603" s="71"/>
      <c r="P1603" s="71"/>
      <c r="Q1603" s="71"/>
      <c r="R1603" s="71"/>
      <c r="S1603" s="71"/>
      <c r="T1603" s="15"/>
    </row>
    <row r="1604">
      <c r="A1604" s="69"/>
      <c r="B1604" s="69"/>
      <c r="C1604" s="70"/>
      <c r="D1604" s="70"/>
      <c r="E1604" s="69"/>
      <c r="F1604" s="69"/>
      <c r="G1604" s="69"/>
      <c r="H1604" s="69"/>
      <c r="I1604" s="69"/>
      <c r="J1604" s="69"/>
      <c r="K1604" s="69"/>
      <c r="L1604" s="69"/>
      <c r="M1604" s="69"/>
      <c r="N1604" s="69"/>
      <c r="O1604" s="69"/>
      <c r="P1604" s="69"/>
      <c r="Q1604" s="69"/>
      <c r="R1604" s="69"/>
      <c r="S1604" s="69"/>
      <c r="T1604" s="15"/>
    </row>
    <row r="1605">
      <c r="A1605" s="71"/>
      <c r="B1605" s="71"/>
      <c r="C1605" s="72"/>
      <c r="D1605" s="72"/>
      <c r="E1605" s="71"/>
      <c r="F1605" s="71"/>
      <c r="G1605" s="71"/>
      <c r="H1605" s="71"/>
      <c r="I1605" s="71"/>
      <c r="J1605" s="71"/>
      <c r="K1605" s="71"/>
      <c r="L1605" s="71"/>
      <c r="M1605" s="71"/>
      <c r="N1605" s="71"/>
      <c r="O1605" s="71"/>
      <c r="P1605" s="71"/>
      <c r="Q1605" s="71"/>
      <c r="R1605" s="71"/>
      <c r="S1605" s="71"/>
      <c r="T1605" s="15"/>
    </row>
    <row r="1606">
      <c r="A1606" s="69"/>
      <c r="B1606" s="69"/>
      <c r="C1606" s="70"/>
      <c r="D1606" s="70"/>
      <c r="E1606" s="69"/>
      <c r="F1606" s="69"/>
      <c r="G1606" s="69"/>
      <c r="H1606" s="69"/>
      <c r="I1606" s="69"/>
      <c r="J1606" s="69"/>
      <c r="K1606" s="69"/>
      <c r="L1606" s="69"/>
      <c r="M1606" s="69"/>
      <c r="N1606" s="69"/>
      <c r="O1606" s="69"/>
      <c r="P1606" s="69"/>
      <c r="Q1606" s="69"/>
      <c r="R1606" s="69"/>
      <c r="S1606" s="69"/>
      <c r="T1606" s="15"/>
    </row>
    <row r="1607">
      <c r="A1607" s="71"/>
      <c r="B1607" s="71"/>
      <c r="C1607" s="72"/>
      <c r="D1607" s="72"/>
      <c r="E1607" s="71"/>
      <c r="F1607" s="71"/>
      <c r="G1607" s="71"/>
      <c r="H1607" s="71"/>
      <c r="I1607" s="71"/>
      <c r="J1607" s="71"/>
      <c r="K1607" s="71"/>
      <c r="L1607" s="71"/>
      <c r="M1607" s="71"/>
      <c r="N1607" s="71"/>
      <c r="O1607" s="71"/>
      <c r="P1607" s="71"/>
      <c r="Q1607" s="71"/>
      <c r="R1607" s="71"/>
      <c r="S1607" s="71"/>
      <c r="T1607" s="15"/>
    </row>
    <row r="1608">
      <c r="A1608" s="69"/>
      <c r="B1608" s="69"/>
      <c r="C1608" s="70"/>
      <c r="D1608" s="70"/>
      <c r="E1608" s="69"/>
      <c r="F1608" s="69"/>
      <c r="G1608" s="69"/>
      <c r="H1608" s="69"/>
      <c r="I1608" s="69"/>
      <c r="J1608" s="69"/>
      <c r="K1608" s="69"/>
      <c r="L1608" s="69"/>
      <c r="M1608" s="69"/>
      <c r="N1608" s="69"/>
      <c r="O1608" s="69"/>
      <c r="P1608" s="69"/>
      <c r="Q1608" s="69"/>
      <c r="R1608" s="69"/>
      <c r="S1608" s="69"/>
      <c r="T1608" s="15"/>
    </row>
    <row r="1609">
      <c r="A1609" s="71"/>
      <c r="B1609" s="71"/>
      <c r="C1609" s="72"/>
      <c r="D1609" s="72"/>
      <c r="E1609" s="71"/>
      <c r="F1609" s="71"/>
      <c r="G1609" s="71"/>
      <c r="H1609" s="71"/>
      <c r="I1609" s="71"/>
      <c r="J1609" s="71"/>
      <c r="K1609" s="71"/>
      <c r="L1609" s="71"/>
      <c r="M1609" s="71"/>
      <c r="N1609" s="71"/>
      <c r="O1609" s="71"/>
      <c r="P1609" s="71"/>
      <c r="Q1609" s="71"/>
      <c r="R1609" s="71"/>
      <c r="S1609" s="71"/>
      <c r="T1609" s="15"/>
    </row>
    <row r="1610">
      <c r="A1610" s="69"/>
      <c r="B1610" s="69"/>
      <c r="C1610" s="70"/>
      <c r="D1610" s="70"/>
      <c r="E1610" s="69"/>
      <c r="F1610" s="69"/>
      <c r="G1610" s="69"/>
      <c r="H1610" s="69"/>
      <c r="I1610" s="69"/>
      <c r="J1610" s="69"/>
      <c r="K1610" s="69"/>
      <c r="L1610" s="69"/>
      <c r="M1610" s="69"/>
      <c r="N1610" s="69"/>
      <c r="O1610" s="69"/>
      <c r="P1610" s="69"/>
      <c r="Q1610" s="69"/>
      <c r="R1610" s="69"/>
      <c r="S1610" s="69"/>
      <c r="T1610" s="15"/>
    </row>
    <row r="1611">
      <c r="A1611" s="71"/>
      <c r="B1611" s="71"/>
      <c r="C1611" s="72"/>
      <c r="D1611" s="72"/>
      <c r="E1611" s="71"/>
      <c r="F1611" s="71"/>
      <c r="G1611" s="71"/>
      <c r="H1611" s="71"/>
      <c r="I1611" s="71"/>
      <c r="J1611" s="71"/>
      <c r="K1611" s="71"/>
      <c r="L1611" s="71"/>
      <c r="M1611" s="71"/>
      <c r="N1611" s="71"/>
      <c r="O1611" s="71"/>
      <c r="P1611" s="71"/>
      <c r="Q1611" s="71"/>
      <c r="R1611" s="71"/>
      <c r="S1611" s="71"/>
      <c r="T1611" s="15"/>
    </row>
    <row r="1612">
      <c r="A1612" s="69"/>
      <c r="B1612" s="69"/>
      <c r="C1612" s="70"/>
      <c r="D1612" s="70"/>
      <c r="E1612" s="69"/>
      <c r="F1612" s="69"/>
      <c r="G1612" s="69"/>
      <c r="H1612" s="69"/>
      <c r="I1612" s="69"/>
      <c r="J1612" s="69"/>
      <c r="K1612" s="69"/>
      <c r="L1612" s="69"/>
      <c r="M1612" s="69"/>
      <c r="N1612" s="69"/>
      <c r="O1612" s="69"/>
      <c r="P1612" s="69"/>
      <c r="Q1612" s="69"/>
      <c r="R1612" s="69"/>
      <c r="S1612" s="69"/>
      <c r="T1612" s="15"/>
    </row>
    <row r="1613">
      <c r="A1613" s="71"/>
      <c r="B1613" s="71"/>
      <c r="C1613" s="72"/>
      <c r="D1613" s="72"/>
      <c r="E1613" s="71"/>
      <c r="F1613" s="71"/>
      <c r="G1613" s="71"/>
      <c r="H1613" s="71"/>
      <c r="I1613" s="71"/>
      <c r="J1613" s="71"/>
      <c r="K1613" s="71"/>
      <c r="L1613" s="71"/>
      <c r="M1613" s="71"/>
      <c r="N1613" s="71"/>
      <c r="O1613" s="71"/>
      <c r="P1613" s="71"/>
      <c r="Q1613" s="71"/>
      <c r="R1613" s="71"/>
      <c r="S1613" s="71"/>
      <c r="T1613" s="15"/>
    </row>
    <row r="1614">
      <c r="A1614" s="69"/>
      <c r="B1614" s="69"/>
      <c r="C1614" s="70"/>
      <c r="D1614" s="70"/>
      <c r="E1614" s="69"/>
      <c r="F1614" s="69"/>
      <c r="G1614" s="69"/>
      <c r="H1614" s="69"/>
      <c r="I1614" s="69"/>
      <c r="J1614" s="69"/>
      <c r="K1614" s="69"/>
      <c r="L1614" s="69"/>
      <c r="M1614" s="69"/>
      <c r="N1614" s="69"/>
      <c r="O1614" s="69"/>
      <c r="P1614" s="69"/>
      <c r="Q1614" s="69"/>
      <c r="R1614" s="69"/>
      <c r="S1614" s="69"/>
      <c r="T1614" s="15"/>
    </row>
    <row r="1615">
      <c r="A1615" s="71"/>
      <c r="B1615" s="71"/>
      <c r="C1615" s="72"/>
      <c r="D1615" s="72"/>
      <c r="E1615" s="71"/>
      <c r="F1615" s="71"/>
      <c r="G1615" s="71"/>
      <c r="H1615" s="71"/>
      <c r="I1615" s="71"/>
      <c r="J1615" s="71"/>
      <c r="K1615" s="71"/>
      <c r="L1615" s="71"/>
      <c r="M1615" s="71"/>
      <c r="N1615" s="71"/>
      <c r="O1615" s="71"/>
      <c r="P1615" s="71"/>
      <c r="Q1615" s="71"/>
      <c r="R1615" s="71"/>
      <c r="S1615" s="71"/>
      <c r="T1615" s="15"/>
    </row>
    <row r="1616">
      <c r="A1616" s="69"/>
      <c r="B1616" s="69"/>
      <c r="C1616" s="70"/>
      <c r="D1616" s="70"/>
      <c r="E1616" s="69"/>
      <c r="F1616" s="69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69"/>
      <c r="T1616" s="15"/>
    </row>
    <row r="1617">
      <c r="A1617" s="71"/>
      <c r="B1617" s="71"/>
      <c r="C1617" s="72"/>
      <c r="D1617" s="72"/>
      <c r="E1617" s="71"/>
      <c r="F1617" s="71"/>
      <c r="G1617" s="71"/>
      <c r="H1617" s="71"/>
      <c r="I1617" s="71"/>
      <c r="J1617" s="71"/>
      <c r="K1617" s="71"/>
      <c r="L1617" s="71"/>
      <c r="M1617" s="71"/>
      <c r="N1617" s="71"/>
      <c r="O1617" s="71"/>
      <c r="P1617" s="71"/>
      <c r="Q1617" s="71"/>
      <c r="R1617" s="71"/>
      <c r="S1617" s="71"/>
      <c r="T1617" s="15"/>
    </row>
    <row r="1618">
      <c r="A1618" s="69"/>
      <c r="B1618" s="69"/>
      <c r="C1618" s="70"/>
      <c r="D1618" s="70"/>
      <c r="E1618" s="69"/>
      <c r="F1618" s="69"/>
      <c r="G1618" s="69"/>
      <c r="H1618" s="69"/>
      <c r="I1618" s="69"/>
      <c r="J1618" s="69"/>
      <c r="K1618" s="69"/>
      <c r="L1618" s="69"/>
      <c r="M1618" s="69"/>
      <c r="N1618" s="69"/>
      <c r="O1618" s="69"/>
      <c r="P1618" s="69"/>
      <c r="Q1618" s="69"/>
      <c r="R1618" s="69"/>
      <c r="S1618" s="69"/>
      <c r="T1618" s="15"/>
    </row>
    <row r="1619">
      <c r="A1619" s="71"/>
      <c r="B1619" s="71"/>
      <c r="C1619" s="72"/>
      <c r="D1619" s="72"/>
      <c r="E1619" s="71"/>
      <c r="F1619" s="71"/>
      <c r="G1619" s="71"/>
      <c r="H1619" s="71"/>
      <c r="I1619" s="71"/>
      <c r="J1619" s="71"/>
      <c r="K1619" s="71"/>
      <c r="L1619" s="71"/>
      <c r="M1619" s="71"/>
      <c r="N1619" s="71"/>
      <c r="O1619" s="71"/>
      <c r="P1619" s="71"/>
      <c r="Q1619" s="71"/>
      <c r="R1619" s="71"/>
      <c r="S1619" s="71"/>
      <c r="T1619" s="15"/>
    </row>
    <row r="1620">
      <c r="A1620" s="69"/>
      <c r="B1620" s="69"/>
      <c r="C1620" s="70"/>
      <c r="D1620" s="70"/>
      <c r="E1620" s="69"/>
      <c r="F1620" s="69"/>
      <c r="G1620" s="69"/>
      <c r="H1620" s="69"/>
      <c r="I1620" s="69"/>
      <c r="J1620" s="69"/>
      <c r="K1620" s="69"/>
      <c r="L1620" s="69"/>
      <c r="M1620" s="69"/>
      <c r="N1620" s="69"/>
      <c r="O1620" s="69"/>
      <c r="P1620" s="69"/>
      <c r="Q1620" s="69"/>
      <c r="R1620" s="69"/>
      <c r="S1620" s="69"/>
      <c r="T1620" s="15"/>
    </row>
    <row r="1621">
      <c r="A1621" s="71"/>
      <c r="B1621" s="71"/>
      <c r="C1621" s="72"/>
      <c r="D1621" s="72"/>
      <c r="E1621" s="71"/>
      <c r="F1621" s="71"/>
      <c r="G1621" s="71"/>
      <c r="H1621" s="71"/>
      <c r="I1621" s="71"/>
      <c r="J1621" s="71"/>
      <c r="K1621" s="71"/>
      <c r="L1621" s="71"/>
      <c r="M1621" s="71"/>
      <c r="N1621" s="71"/>
      <c r="O1621" s="71"/>
      <c r="P1621" s="71"/>
      <c r="Q1621" s="71"/>
      <c r="R1621" s="71"/>
      <c r="S1621" s="71"/>
      <c r="T1621" s="15"/>
    </row>
    <row r="1622">
      <c r="A1622" s="69"/>
      <c r="B1622" s="69"/>
      <c r="C1622" s="70"/>
      <c r="D1622" s="70"/>
      <c r="E1622" s="69"/>
      <c r="F1622" s="69"/>
      <c r="G1622" s="69"/>
      <c r="H1622" s="69"/>
      <c r="I1622" s="69"/>
      <c r="J1622" s="69"/>
      <c r="K1622" s="69"/>
      <c r="L1622" s="69"/>
      <c r="M1622" s="69"/>
      <c r="N1622" s="69"/>
      <c r="O1622" s="69"/>
      <c r="P1622" s="69"/>
      <c r="Q1622" s="69"/>
      <c r="R1622" s="69"/>
      <c r="S1622" s="69"/>
      <c r="T1622" s="15"/>
    </row>
    <row r="1623">
      <c r="A1623" s="71"/>
      <c r="B1623" s="71"/>
      <c r="C1623" s="72"/>
      <c r="D1623" s="72"/>
      <c r="E1623" s="71"/>
      <c r="F1623" s="71"/>
      <c r="G1623" s="71"/>
      <c r="H1623" s="71"/>
      <c r="I1623" s="71"/>
      <c r="J1623" s="71"/>
      <c r="K1623" s="71"/>
      <c r="L1623" s="71"/>
      <c r="M1623" s="71"/>
      <c r="N1623" s="71"/>
      <c r="O1623" s="71"/>
      <c r="P1623" s="71"/>
      <c r="Q1623" s="71"/>
      <c r="R1623" s="71"/>
      <c r="S1623" s="71"/>
      <c r="T1623" s="15"/>
    </row>
    <row r="1624">
      <c r="A1624" s="69"/>
      <c r="B1624" s="69"/>
      <c r="C1624" s="70"/>
      <c r="D1624" s="70"/>
      <c r="E1624" s="69"/>
      <c r="F1624" s="69"/>
      <c r="G1624" s="69"/>
      <c r="H1624" s="69"/>
      <c r="I1624" s="69"/>
      <c r="J1624" s="69"/>
      <c r="K1624" s="69"/>
      <c r="L1624" s="69"/>
      <c r="M1624" s="69"/>
      <c r="N1624" s="69"/>
      <c r="O1624" s="69"/>
      <c r="P1624" s="69"/>
      <c r="Q1624" s="69"/>
      <c r="R1624" s="69"/>
      <c r="S1624" s="69"/>
      <c r="T1624" s="15"/>
    </row>
    <row r="1625">
      <c r="A1625" s="71"/>
      <c r="B1625" s="71"/>
      <c r="C1625" s="72"/>
      <c r="D1625" s="72"/>
      <c r="E1625" s="71"/>
      <c r="F1625" s="71"/>
      <c r="G1625" s="71"/>
      <c r="H1625" s="71"/>
      <c r="I1625" s="71"/>
      <c r="J1625" s="71"/>
      <c r="K1625" s="71"/>
      <c r="L1625" s="71"/>
      <c r="M1625" s="71"/>
      <c r="N1625" s="71"/>
      <c r="O1625" s="71"/>
      <c r="P1625" s="71"/>
      <c r="Q1625" s="71"/>
      <c r="R1625" s="71"/>
      <c r="S1625" s="71"/>
      <c r="T1625" s="15"/>
    </row>
    <row r="1626">
      <c r="A1626" s="69"/>
      <c r="B1626" s="69"/>
      <c r="C1626" s="70"/>
      <c r="D1626" s="70"/>
      <c r="E1626" s="69"/>
      <c r="F1626" s="69"/>
      <c r="G1626" s="69"/>
      <c r="H1626" s="69"/>
      <c r="I1626" s="69"/>
      <c r="J1626" s="69"/>
      <c r="K1626" s="69"/>
      <c r="L1626" s="69"/>
      <c r="M1626" s="69"/>
      <c r="N1626" s="69"/>
      <c r="O1626" s="69"/>
      <c r="P1626" s="69"/>
      <c r="Q1626" s="69"/>
      <c r="R1626" s="69"/>
      <c r="S1626" s="69"/>
      <c r="T1626" s="15"/>
    </row>
    <row r="1627">
      <c r="A1627" s="71"/>
      <c r="B1627" s="71"/>
      <c r="C1627" s="72"/>
      <c r="D1627" s="72"/>
      <c r="E1627" s="71"/>
      <c r="F1627" s="71"/>
      <c r="G1627" s="71"/>
      <c r="H1627" s="71"/>
      <c r="I1627" s="71"/>
      <c r="J1627" s="71"/>
      <c r="K1627" s="71"/>
      <c r="L1627" s="71"/>
      <c r="M1627" s="71"/>
      <c r="N1627" s="71"/>
      <c r="O1627" s="71"/>
      <c r="P1627" s="71"/>
      <c r="Q1627" s="71"/>
      <c r="R1627" s="71"/>
      <c r="S1627" s="71"/>
      <c r="T1627" s="15"/>
    </row>
    <row r="1628">
      <c r="A1628" s="69"/>
      <c r="B1628" s="69"/>
      <c r="C1628" s="70"/>
      <c r="D1628" s="70"/>
      <c r="E1628" s="69"/>
      <c r="F1628" s="69"/>
      <c r="G1628" s="69"/>
      <c r="H1628" s="69"/>
      <c r="I1628" s="69"/>
      <c r="J1628" s="69"/>
      <c r="K1628" s="69"/>
      <c r="L1628" s="69"/>
      <c r="M1628" s="69"/>
      <c r="N1628" s="69"/>
      <c r="O1628" s="69"/>
      <c r="P1628" s="69"/>
      <c r="Q1628" s="69"/>
      <c r="R1628" s="69"/>
      <c r="S1628" s="69"/>
      <c r="T1628" s="15"/>
    </row>
    <row r="1629">
      <c r="A1629" s="71"/>
      <c r="B1629" s="71"/>
      <c r="C1629" s="72"/>
      <c r="D1629" s="72"/>
      <c r="E1629" s="71"/>
      <c r="F1629" s="71"/>
      <c r="G1629" s="71"/>
      <c r="H1629" s="71"/>
      <c r="I1629" s="71"/>
      <c r="J1629" s="71"/>
      <c r="K1629" s="71"/>
      <c r="L1629" s="71"/>
      <c r="M1629" s="71"/>
      <c r="N1629" s="71"/>
      <c r="O1629" s="71"/>
      <c r="P1629" s="71"/>
      <c r="Q1629" s="71"/>
      <c r="R1629" s="71"/>
      <c r="S1629" s="71"/>
      <c r="T1629" s="15"/>
    </row>
    <row r="1630">
      <c r="A1630" s="69"/>
      <c r="B1630" s="69"/>
      <c r="C1630" s="70"/>
      <c r="D1630" s="70"/>
      <c r="E1630" s="69"/>
      <c r="F1630" s="69"/>
      <c r="G1630" s="69"/>
      <c r="H1630" s="69"/>
      <c r="I1630" s="69"/>
      <c r="J1630" s="69"/>
      <c r="K1630" s="69"/>
      <c r="L1630" s="69"/>
      <c r="M1630" s="69"/>
      <c r="N1630" s="69"/>
      <c r="O1630" s="69"/>
      <c r="P1630" s="69"/>
      <c r="Q1630" s="69"/>
      <c r="R1630" s="69"/>
      <c r="S1630" s="69"/>
      <c r="T1630" s="15"/>
    </row>
    <row r="1631">
      <c r="A1631" s="71"/>
      <c r="B1631" s="71"/>
      <c r="C1631" s="72"/>
      <c r="D1631" s="72"/>
      <c r="E1631" s="71"/>
      <c r="F1631" s="71"/>
      <c r="G1631" s="71"/>
      <c r="H1631" s="71"/>
      <c r="I1631" s="71"/>
      <c r="J1631" s="71"/>
      <c r="K1631" s="71"/>
      <c r="L1631" s="71"/>
      <c r="M1631" s="71"/>
      <c r="N1631" s="71"/>
      <c r="O1631" s="71"/>
      <c r="P1631" s="71"/>
      <c r="Q1631" s="71"/>
      <c r="R1631" s="71"/>
      <c r="S1631" s="71"/>
      <c r="T1631" s="15"/>
    </row>
    <row r="1632">
      <c r="A1632" s="69"/>
      <c r="B1632" s="69"/>
      <c r="C1632" s="70"/>
      <c r="D1632" s="70"/>
      <c r="E1632" s="69"/>
      <c r="F1632" s="69"/>
      <c r="G1632" s="69"/>
      <c r="H1632" s="69"/>
      <c r="I1632" s="69"/>
      <c r="J1632" s="69"/>
      <c r="K1632" s="69"/>
      <c r="L1632" s="69"/>
      <c r="M1632" s="69"/>
      <c r="N1632" s="69"/>
      <c r="O1632" s="69"/>
      <c r="P1632" s="69"/>
      <c r="Q1632" s="69"/>
      <c r="R1632" s="69"/>
      <c r="S1632" s="69"/>
      <c r="T1632" s="15"/>
    </row>
    <row r="1633">
      <c r="A1633" s="71"/>
      <c r="B1633" s="71"/>
      <c r="C1633" s="72"/>
      <c r="D1633" s="72"/>
      <c r="E1633" s="71"/>
      <c r="F1633" s="71"/>
      <c r="G1633" s="71"/>
      <c r="H1633" s="71"/>
      <c r="I1633" s="71"/>
      <c r="J1633" s="71"/>
      <c r="K1633" s="71"/>
      <c r="L1633" s="71"/>
      <c r="M1633" s="71"/>
      <c r="N1633" s="71"/>
      <c r="O1633" s="71"/>
      <c r="P1633" s="71"/>
      <c r="Q1633" s="71"/>
      <c r="R1633" s="71"/>
      <c r="S1633" s="71"/>
      <c r="T1633" s="15"/>
    </row>
    <row r="1634">
      <c r="A1634" s="69"/>
      <c r="B1634" s="69"/>
      <c r="C1634" s="70"/>
      <c r="D1634" s="70"/>
      <c r="E1634" s="69"/>
      <c r="F1634" s="69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69"/>
      <c r="T1634" s="15"/>
    </row>
    <row r="1635">
      <c r="A1635" s="71"/>
      <c r="B1635" s="71"/>
      <c r="C1635" s="72"/>
      <c r="D1635" s="72"/>
      <c r="E1635" s="71"/>
      <c r="F1635" s="71"/>
      <c r="G1635" s="71"/>
      <c r="H1635" s="71"/>
      <c r="I1635" s="71"/>
      <c r="J1635" s="71"/>
      <c r="K1635" s="71"/>
      <c r="L1635" s="71"/>
      <c r="M1635" s="71"/>
      <c r="N1635" s="71"/>
      <c r="O1635" s="71"/>
      <c r="P1635" s="71"/>
      <c r="Q1635" s="71"/>
      <c r="R1635" s="71"/>
      <c r="S1635" s="71"/>
      <c r="T1635" s="15"/>
    </row>
    <row r="1636">
      <c r="A1636" s="69"/>
      <c r="B1636" s="69"/>
      <c r="C1636" s="70"/>
      <c r="D1636" s="70"/>
      <c r="E1636" s="69"/>
      <c r="F1636" s="69"/>
      <c r="G1636" s="69"/>
      <c r="H1636" s="69"/>
      <c r="I1636" s="69"/>
      <c r="J1636" s="69"/>
      <c r="K1636" s="69"/>
      <c r="L1636" s="69"/>
      <c r="M1636" s="69"/>
      <c r="N1636" s="69"/>
      <c r="O1636" s="69"/>
      <c r="P1636" s="69"/>
      <c r="Q1636" s="69"/>
      <c r="R1636" s="69"/>
      <c r="S1636" s="69"/>
      <c r="T1636" s="15"/>
    </row>
    <row r="1637">
      <c r="A1637" s="71"/>
      <c r="B1637" s="71"/>
      <c r="C1637" s="72"/>
      <c r="D1637" s="72"/>
      <c r="E1637" s="71"/>
      <c r="F1637" s="71"/>
      <c r="G1637" s="71"/>
      <c r="H1637" s="71"/>
      <c r="I1637" s="71"/>
      <c r="J1637" s="71"/>
      <c r="K1637" s="71"/>
      <c r="L1637" s="71"/>
      <c r="M1637" s="71"/>
      <c r="N1637" s="71"/>
      <c r="O1637" s="71"/>
      <c r="P1637" s="71"/>
      <c r="Q1637" s="71"/>
      <c r="R1637" s="71"/>
      <c r="S1637" s="71"/>
      <c r="T1637" s="15"/>
    </row>
    <row r="1638">
      <c r="A1638" s="69"/>
      <c r="B1638" s="69"/>
      <c r="C1638" s="70"/>
      <c r="D1638" s="70"/>
      <c r="E1638" s="69"/>
      <c r="F1638" s="69"/>
      <c r="G1638" s="69"/>
      <c r="H1638" s="69"/>
      <c r="I1638" s="69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15"/>
    </row>
    <row r="1639">
      <c r="A1639" s="71"/>
      <c r="B1639" s="71"/>
      <c r="C1639" s="72"/>
      <c r="D1639" s="72"/>
      <c r="E1639" s="71"/>
      <c r="F1639" s="71"/>
      <c r="G1639" s="71"/>
      <c r="H1639" s="71"/>
      <c r="I1639" s="71"/>
      <c r="J1639" s="71"/>
      <c r="K1639" s="71"/>
      <c r="L1639" s="71"/>
      <c r="M1639" s="71"/>
      <c r="N1639" s="71"/>
      <c r="O1639" s="71"/>
      <c r="P1639" s="71"/>
      <c r="Q1639" s="71"/>
      <c r="R1639" s="71"/>
      <c r="S1639" s="71"/>
      <c r="T1639" s="15"/>
    </row>
    <row r="1640">
      <c r="A1640" s="69"/>
      <c r="B1640" s="69"/>
      <c r="C1640" s="70"/>
      <c r="D1640" s="70"/>
      <c r="E1640" s="69"/>
      <c r="F1640" s="69"/>
      <c r="G1640" s="69"/>
      <c r="H1640" s="69"/>
      <c r="I1640" s="69"/>
      <c r="J1640" s="69"/>
      <c r="K1640" s="69"/>
      <c r="L1640" s="69"/>
      <c r="M1640" s="69"/>
      <c r="N1640" s="69"/>
      <c r="O1640" s="69"/>
      <c r="P1640" s="69"/>
      <c r="Q1640" s="69"/>
      <c r="R1640" s="69"/>
      <c r="S1640" s="69"/>
      <c r="T1640" s="15"/>
    </row>
    <row r="1641">
      <c r="A1641" s="71"/>
      <c r="B1641" s="71"/>
      <c r="C1641" s="72"/>
      <c r="D1641" s="72"/>
      <c r="E1641" s="71"/>
      <c r="F1641" s="71"/>
      <c r="G1641" s="71"/>
      <c r="H1641" s="71"/>
      <c r="I1641" s="71"/>
      <c r="J1641" s="71"/>
      <c r="K1641" s="71"/>
      <c r="L1641" s="71"/>
      <c r="M1641" s="71"/>
      <c r="N1641" s="71"/>
      <c r="O1641" s="71"/>
      <c r="P1641" s="71"/>
      <c r="Q1641" s="71"/>
      <c r="R1641" s="71"/>
      <c r="S1641" s="71"/>
      <c r="T1641" s="15"/>
    </row>
    <row r="1642">
      <c r="A1642" s="69"/>
      <c r="B1642" s="69"/>
      <c r="C1642" s="70"/>
      <c r="D1642" s="70"/>
      <c r="E1642" s="69"/>
      <c r="F1642" s="69"/>
      <c r="G1642" s="69"/>
      <c r="H1642" s="69"/>
      <c r="I1642" s="69"/>
      <c r="J1642" s="69"/>
      <c r="K1642" s="69"/>
      <c r="L1642" s="69"/>
      <c r="M1642" s="69"/>
      <c r="N1642" s="69"/>
      <c r="O1642" s="69"/>
      <c r="P1642" s="69"/>
      <c r="Q1642" s="69"/>
      <c r="R1642" s="69"/>
      <c r="S1642" s="69"/>
      <c r="T1642" s="15"/>
    </row>
    <row r="1643">
      <c r="A1643" s="71"/>
      <c r="B1643" s="71"/>
      <c r="C1643" s="72"/>
      <c r="D1643" s="72"/>
      <c r="E1643" s="71"/>
      <c r="F1643" s="71"/>
      <c r="G1643" s="71"/>
      <c r="H1643" s="71"/>
      <c r="I1643" s="71"/>
      <c r="J1643" s="71"/>
      <c r="K1643" s="71"/>
      <c r="L1643" s="71"/>
      <c r="M1643" s="71"/>
      <c r="N1643" s="71"/>
      <c r="O1643" s="71"/>
      <c r="P1643" s="71"/>
      <c r="Q1643" s="71"/>
      <c r="R1643" s="71"/>
      <c r="S1643" s="71"/>
      <c r="T1643" s="15"/>
    </row>
    <row r="1644">
      <c r="A1644" s="69"/>
      <c r="B1644" s="69"/>
      <c r="C1644" s="70"/>
      <c r="D1644" s="70"/>
      <c r="E1644" s="69"/>
      <c r="F1644" s="69"/>
      <c r="G1644" s="69"/>
      <c r="H1644" s="69"/>
      <c r="I1644" s="69"/>
      <c r="J1644" s="69"/>
      <c r="K1644" s="69"/>
      <c r="L1644" s="69"/>
      <c r="M1644" s="69"/>
      <c r="N1644" s="69"/>
      <c r="O1644" s="69"/>
      <c r="P1644" s="69"/>
      <c r="Q1644" s="69"/>
      <c r="R1644" s="69"/>
      <c r="S1644" s="69"/>
      <c r="T1644" s="15"/>
    </row>
    <row r="1645">
      <c r="A1645" s="71"/>
      <c r="B1645" s="71"/>
      <c r="C1645" s="72"/>
      <c r="D1645" s="72"/>
      <c r="E1645" s="71"/>
      <c r="F1645" s="71"/>
      <c r="G1645" s="71"/>
      <c r="H1645" s="71"/>
      <c r="I1645" s="71"/>
      <c r="J1645" s="71"/>
      <c r="K1645" s="71"/>
      <c r="L1645" s="71"/>
      <c r="M1645" s="71"/>
      <c r="N1645" s="71"/>
      <c r="O1645" s="71"/>
      <c r="P1645" s="71"/>
      <c r="Q1645" s="71"/>
      <c r="R1645" s="71"/>
      <c r="S1645" s="71"/>
      <c r="T1645" s="15"/>
    </row>
    <row r="1646">
      <c r="A1646" s="69"/>
      <c r="B1646" s="69"/>
      <c r="C1646" s="70"/>
      <c r="D1646" s="70"/>
      <c r="E1646" s="69"/>
      <c r="F1646" s="69"/>
      <c r="G1646" s="69"/>
      <c r="H1646" s="69"/>
      <c r="I1646" s="69"/>
      <c r="J1646" s="69"/>
      <c r="K1646" s="69"/>
      <c r="L1646" s="69"/>
      <c r="M1646" s="69"/>
      <c r="N1646" s="69"/>
      <c r="O1646" s="69"/>
      <c r="P1646" s="69"/>
      <c r="Q1646" s="69"/>
      <c r="R1646" s="69"/>
      <c r="S1646" s="69"/>
      <c r="T1646" s="15"/>
    </row>
    <row r="1647">
      <c r="A1647" s="71"/>
      <c r="B1647" s="71"/>
      <c r="C1647" s="72"/>
      <c r="D1647" s="72"/>
      <c r="E1647" s="71"/>
      <c r="F1647" s="71"/>
      <c r="G1647" s="71"/>
      <c r="H1647" s="71"/>
      <c r="I1647" s="71"/>
      <c r="J1647" s="71"/>
      <c r="K1647" s="71"/>
      <c r="L1647" s="71"/>
      <c r="M1647" s="71"/>
      <c r="N1647" s="71"/>
      <c r="O1647" s="71"/>
      <c r="P1647" s="71"/>
      <c r="Q1647" s="71"/>
      <c r="R1647" s="71"/>
      <c r="S1647" s="71"/>
      <c r="T1647" s="15"/>
    </row>
    <row r="1648">
      <c r="A1648" s="69"/>
      <c r="B1648" s="69"/>
      <c r="C1648" s="70"/>
      <c r="D1648" s="70"/>
      <c r="E1648" s="69"/>
      <c r="F1648" s="69"/>
      <c r="G1648" s="69"/>
      <c r="H1648" s="69"/>
      <c r="I1648" s="69"/>
      <c r="J1648" s="69"/>
      <c r="K1648" s="69"/>
      <c r="L1648" s="69"/>
      <c r="M1648" s="69"/>
      <c r="N1648" s="69"/>
      <c r="O1648" s="69"/>
      <c r="P1648" s="69"/>
      <c r="Q1648" s="69"/>
      <c r="R1648" s="69"/>
      <c r="S1648" s="69"/>
      <c r="T1648" s="15"/>
    </row>
    <row r="1649">
      <c r="A1649" s="71"/>
      <c r="B1649" s="71"/>
      <c r="C1649" s="72"/>
      <c r="D1649" s="72"/>
      <c r="E1649" s="71"/>
      <c r="F1649" s="71"/>
      <c r="G1649" s="71"/>
      <c r="H1649" s="71"/>
      <c r="I1649" s="71"/>
      <c r="J1649" s="71"/>
      <c r="K1649" s="71"/>
      <c r="L1649" s="71"/>
      <c r="M1649" s="71"/>
      <c r="N1649" s="71"/>
      <c r="O1649" s="71"/>
      <c r="P1649" s="71"/>
      <c r="Q1649" s="71"/>
      <c r="R1649" s="71"/>
      <c r="S1649" s="71"/>
      <c r="T1649" s="15"/>
    </row>
    <row r="1650">
      <c r="A1650" s="69"/>
      <c r="B1650" s="69"/>
      <c r="C1650" s="70"/>
      <c r="D1650" s="70"/>
      <c r="E1650" s="69"/>
      <c r="F1650" s="69"/>
      <c r="G1650" s="69"/>
      <c r="H1650" s="69"/>
      <c r="I1650" s="69"/>
      <c r="J1650" s="69"/>
      <c r="K1650" s="69"/>
      <c r="L1650" s="69"/>
      <c r="M1650" s="69"/>
      <c r="N1650" s="69"/>
      <c r="O1650" s="69"/>
      <c r="P1650" s="69"/>
      <c r="Q1650" s="69"/>
      <c r="R1650" s="69"/>
      <c r="S1650" s="69"/>
      <c r="T1650" s="15"/>
    </row>
    <row r="1651">
      <c r="A1651" s="71"/>
      <c r="B1651" s="71"/>
      <c r="C1651" s="72"/>
      <c r="D1651" s="72"/>
      <c r="E1651" s="71"/>
      <c r="F1651" s="71"/>
      <c r="G1651" s="71"/>
      <c r="H1651" s="71"/>
      <c r="I1651" s="71"/>
      <c r="J1651" s="71"/>
      <c r="K1651" s="71"/>
      <c r="L1651" s="71"/>
      <c r="M1651" s="71"/>
      <c r="N1651" s="71"/>
      <c r="O1651" s="71"/>
      <c r="P1651" s="71"/>
      <c r="Q1651" s="71"/>
      <c r="R1651" s="71"/>
      <c r="S1651" s="71"/>
      <c r="T1651" s="15"/>
    </row>
    <row r="1652">
      <c r="A1652" s="69"/>
      <c r="B1652" s="69"/>
      <c r="C1652" s="70"/>
      <c r="D1652" s="70"/>
      <c r="E1652" s="69"/>
      <c r="F1652" s="69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69"/>
      <c r="T1652" s="15"/>
    </row>
    <row r="1653">
      <c r="A1653" s="71"/>
      <c r="B1653" s="71"/>
      <c r="C1653" s="72"/>
      <c r="D1653" s="72"/>
      <c r="E1653" s="71"/>
      <c r="F1653" s="71"/>
      <c r="G1653" s="71"/>
      <c r="H1653" s="71"/>
      <c r="I1653" s="71"/>
      <c r="J1653" s="71"/>
      <c r="K1653" s="71"/>
      <c r="L1653" s="71"/>
      <c r="M1653" s="71"/>
      <c r="N1653" s="71"/>
      <c r="O1653" s="71"/>
      <c r="P1653" s="71"/>
      <c r="Q1653" s="71"/>
      <c r="R1653" s="71"/>
      <c r="S1653" s="71"/>
      <c r="T1653" s="15"/>
    </row>
    <row r="1654">
      <c r="A1654" s="69"/>
      <c r="B1654" s="69"/>
      <c r="C1654" s="70"/>
      <c r="D1654" s="70"/>
      <c r="E1654" s="69"/>
      <c r="F1654" s="69"/>
      <c r="G1654" s="69"/>
      <c r="H1654" s="69"/>
      <c r="I1654" s="69"/>
      <c r="J1654" s="69"/>
      <c r="K1654" s="69"/>
      <c r="L1654" s="69"/>
      <c r="M1654" s="69"/>
      <c r="N1654" s="69"/>
      <c r="O1654" s="69"/>
      <c r="P1654" s="69"/>
      <c r="Q1654" s="69"/>
      <c r="R1654" s="69"/>
      <c r="S1654" s="69"/>
      <c r="T1654" s="15"/>
    </row>
    <row r="1655">
      <c r="A1655" s="71"/>
      <c r="B1655" s="71"/>
      <c r="C1655" s="72"/>
      <c r="D1655" s="72"/>
      <c r="E1655" s="71"/>
      <c r="F1655" s="71"/>
      <c r="G1655" s="71"/>
      <c r="H1655" s="71"/>
      <c r="I1655" s="71"/>
      <c r="J1655" s="71"/>
      <c r="K1655" s="71"/>
      <c r="L1655" s="71"/>
      <c r="M1655" s="71"/>
      <c r="N1655" s="71"/>
      <c r="O1655" s="71"/>
      <c r="P1655" s="71"/>
      <c r="Q1655" s="71"/>
      <c r="R1655" s="71"/>
      <c r="S1655" s="71"/>
      <c r="T1655" s="15"/>
    </row>
    <row r="1656">
      <c r="A1656" s="69"/>
      <c r="B1656" s="69"/>
      <c r="C1656" s="70"/>
      <c r="D1656" s="70"/>
      <c r="E1656" s="69"/>
      <c r="F1656" s="69"/>
      <c r="G1656" s="69"/>
      <c r="H1656" s="69"/>
      <c r="I1656" s="69"/>
      <c r="J1656" s="69"/>
      <c r="K1656" s="69"/>
      <c r="L1656" s="69"/>
      <c r="M1656" s="69"/>
      <c r="N1656" s="69"/>
      <c r="O1656" s="69"/>
      <c r="P1656" s="69"/>
      <c r="Q1656" s="69"/>
      <c r="R1656" s="69"/>
      <c r="S1656" s="69"/>
      <c r="T1656" s="15"/>
    </row>
    <row r="1657">
      <c r="A1657" s="71"/>
      <c r="B1657" s="71"/>
      <c r="C1657" s="72"/>
      <c r="D1657" s="72"/>
      <c r="E1657" s="71"/>
      <c r="F1657" s="71"/>
      <c r="G1657" s="71"/>
      <c r="H1657" s="71"/>
      <c r="I1657" s="71"/>
      <c r="J1657" s="71"/>
      <c r="K1657" s="71"/>
      <c r="L1657" s="71"/>
      <c r="M1657" s="71"/>
      <c r="N1657" s="71"/>
      <c r="O1657" s="71"/>
      <c r="P1657" s="71"/>
      <c r="Q1657" s="71"/>
      <c r="R1657" s="71"/>
      <c r="S1657" s="71"/>
      <c r="T1657" s="15"/>
    </row>
    <row r="1658">
      <c r="A1658" s="69"/>
      <c r="B1658" s="69"/>
      <c r="C1658" s="70"/>
      <c r="D1658" s="70"/>
      <c r="E1658" s="69"/>
      <c r="F1658" s="69"/>
      <c r="G1658" s="69"/>
      <c r="H1658" s="69"/>
      <c r="I1658" s="69"/>
      <c r="J1658" s="69"/>
      <c r="K1658" s="69"/>
      <c r="L1658" s="69"/>
      <c r="M1658" s="69"/>
      <c r="N1658" s="69"/>
      <c r="O1658" s="69"/>
      <c r="P1658" s="69"/>
      <c r="Q1658" s="69"/>
      <c r="R1658" s="69"/>
      <c r="S1658" s="69"/>
      <c r="T1658" s="15"/>
    </row>
    <row r="1659">
      <c r="A1659" s="71"/>
      <c r="B1659" s="71"/>
      <c r="C1659" s="72"/>
      <c r="D1659" s="72"/>
      <c r="E1659" s="71"/>
      <c r="F1659" s="71"/>
      <c r="G1659" s="71"/>
      <c r="H1659" s="71"/>
      <c r="I1659" s="71"/>
      <c r="J1659" s="71"/>
      <c r="K1659" s="71"/>
      <c r="L1659" s="71"/>
      <c r="M1659" s="71"/>
      <c r="N1659" s="71"/>
      <c r="O1659" s="71"/>
      <c r="P1659" s="71"/>
      <c r="Q1659" s="71"/>
      <c r="R1659" s="71"/>
      <c r="S1659" s="71"/>
      <c r="T1659" s="15"/>
    </row>
    <row r="1660">
      <c r="A1660" s="69"/>
      <c r="B1660" s="69"/>
      <c r="C1660" s="70"/>
      <c r="D1660" s="70"/>
      <c r="E1660" s="69"/>
      <c r="F1660" s="69"/>
      <c r="G1660" s="69"/>
      <c r="H1660" s="69"/>
      <c r="I1660" s="69"/>
      <c r="J1660" s="69"/>
      <c r="K1660" s="69"/>
      <c r="L1660" s="69"/>
      <c r="M1660" s="69"/>
      <c r="N1660" s="69"/>
      <c r="O1660" s="69"/>
      <c r="P1660" s="69"/>
      <c r="Q1660" s="69"/>
      <c r="R1660" s="69"/>
      <c r="S1660" s="69"/>
      <c r="T1660" s="15"/>
    </row>
    <row r="1661">
      <c r="A1661" s="71"/>
      <c r="B1661" s="71"/>
      <c r="C1661" s="72"/>
      <c r="D1661" s="72"/>
      <c r="E1661" s="71"/>
      <c r="F1661" s="71"/>
      <c r="G1661" s="71"/>
      <c r="H1661" s="71"/>
      <c r="I1661" s="71"/>
      <c r="J1661" s="71"/>
      <c r="K1661" s="71"/>
      <c r="L1661" s="71"/>
      <c r="M1661" s="71"/>
      <c r="N1661" s="71"/>
      <c r="O1661" s="71"/>
      <c r="P1661" s="71"/>
      <c r="Q1661" s="71"/>
      <c r="R1661" s="71"/>
      <c r="S1661" s="71"/>
      <c r="T1661" s="15"/>
    </row>
    <row r="1662">
      <c r="A1662" s="69"/>
      <c r="B1662" s="69"/>
      <c r="C1662" s="70"/>
      <c r="D1662" s="70"/>
      <c r="E1662" s="69"/>
      <c r="F1662" s="69"/>
      <c r="G1662" s="69"/>
      <c r="H1662" s="69"/>
      <c r="I1662" s="69"/>
      <c r="J1662" s="69"/>
      <c r="K1662" s="69"/>
      <c r="L1662" s="69"/>
      <c r="M1662" s="69"/>
      <c r="N1662" s="69"/>
      <c r="O1662" s="69"/>
      <c r="P1662" s="69"/>
      <c r="Q1662" s="69"/>
      <c r="R1662" s="69"/>
      <c r="S1662" s="69"/>
      <c r="T1662" s="15"/>
    </row>
    <row r="1663">
      <c r="A1663" s="71"/>
      <c r="B1663" s="71"/>
      <c r="C1663" s="72"/>
      <c r="D1663" s="72"/>
      <c r="E1663" s="71"/>
      <c r="F1663" s="71"/>
      <c r="G1663" s="71"/>
      <c r="H1663" s="71"/>
      <c r="I1663" s="71"/>
      <c r="J1663" s="71"/>
      <c r="K1663" s="71"/>
      <c r="L1663" s="71"/>
      <c r="M1663" s="71"/>
      <c r="N1663" s="71"/>
      <c r="O1663" s="71"/>
      <c r="P1663" s="71"/>
      <c r="Q1663" s="71"/>
      <c r="R1663" s="71"/>
      <c r="S1663" s="71"/>
      <c r="T1663" s="15"/>
    </row>
    <row r="1664">
      <c r="A1664" s="69"/>
      <c r="B1664" s="69"/>
      <c r="C1664" s="70"/>
      <c r="D1664" s="70"/>
      <c r="E1664" s="69"/>
      <c r="F1664" s="69"/>
      <c r="G1664" s="69"/>
      <c r="H1664" s="69"/>
      <c r="I1664" s="69"/>
      <c r="J1664" s="69"/>
      <c r="K1664" s="69"/>
      <c r="L1664" s="69"/>
      <c r="M1664" s="69"/>
      <c r="N1664" s="69"/>
      <c r="O1664" s="69"/>
      <c r="P1664" s="69"/>
      <c r="Q1664" s="69"/>
      <c r="R1664" s="69"/>
      <c r="S1664" s="69"/>
      <c r="T1664" s="15"/>
    </row>
    <row r="1665">
      <c r="A1665" s="71"/>
      <c r="B1665" s="71"/>
      <c r="C1665" s="72"/>
      <c r="D1665" s="72"/>
      <c r="E1665" s="71"/>
      <c r="F1665" s="71"/>
      <c r="G1665" s="71"/>
      <c r="H1665" s="71"/>
      <c r="I1665" s="71"/>
      <c r="J1665" s="71"/>
      <c r="K1665" s="71"/>
      <c r="L1665" s="71"/>
      <c r="M1665" s="71"/>
      <c r="N1665" s="71"/>
      <c r="O1665" s="71"/>
      <c r="P1665" s="71"/>
      <c r="Q1665" s="71"/>
      <c r="R1665" s="71"/>
      <c r="S1665" s="71"/>
      <c r="T1665" s="15"/>
    </row>
    <row r="1666">
      <c r="A1666" s="69"/>
      <c r="B1666" s="69"/>
      <c r="C1666" s="70"/>
      <c r="D1666" s="70"/>
      <c r="E1666" s="69"/>
      <c r="F1666" s="69"/>
      <c r="G1666" s="69"/>
      <c r="H1666" s="69"/>
      <c r="I1666" s="69"/>
      <c r="J1666" s="69"/>
      <c r="K1666" s="69"/>
      <c r="L1666" s="69"/>
      <c r="M1666" s="69"/>
      <c r="N1666" s="69"/>
      <c r="O1666" s="69"/>
      <c r="P1666" s="69"/>
      <c r="Q1666" s="69"/>
      <c r="R1666" s="69"/>
      <c r="S1666" s="69"/>
      <c r="T1666" s="15"/>
    </row>
    <row r="1667">
      <c r="A1667" s="71"/>
      <c r="B1667" s="71"/>
      <c r="C1667" s="72"/>
      <c r="D1667" s="72"/>
      <c r="E1667" s="71"/>
      <c r="F1667" s="71"/>
      <c r="G1667" s="71"/>
      <c r="H1667" s="71"/>
      <c r="I1667" s="71"/>
      <c r="J1667" s="71"/>
      <c r="K1667" s="71"/>
      <c r="L1667" s="71"/>
      <c r="M1667" s="71"/>
      <c r="N1667" s="71"/>
      <c r="O1667" s="71"/>
      <c r="P1667" s="71"/>
      <c r="Q1667" s="71"/>
      <c r="R1667" s="71"/>
      <c r="S1667" s="71"/>
      <c r="T1667" s="15"/>
    </row>
    <row r="1668">
      <c r="A1668" s="69"/>
      <c r="B1668" s="69"/>
      <c r="C1668" s="70"/>
      <c r="D1668" s="70"/>
      <c r="E1668" s="69"/>
      <c r="F1668" s="69"/>
      <c r="G1668" s="69"/>
      <c r="H1668" s="69"/>
      <c r="I1668" s="69"/>
      <c r="J1668" s="69"/>
      <c r="K1668" s="69"/>
      <c r="L1668" s="69"/>
      <c r="M1668" s="69"/>
      <c r="N1668" s="69"/>
      <c r="O1668" s="69"/>
      <c r="P1668" s="69"/>
      <c r="Q1668" s="69"/>
      <c r="R1668" s="69"/>
      <c r="S1668" s="69"/>
      <c r="T1668" s="15"/>
    </row>
    <row r="1669">
      <c r="A1669" s="71"/>
      <c r="B1669" s="71"/>
      <c r="C1669" s="72"/>
      <c r="D1669" s="72"/>
      <c r="E1669" s="71"/>
      <c r="F1669" s="71"/>
      <c r="G1669" s="71"/>
      <c r="H1669" s="71"/>
      <c r="I1669" s="71"/>
      <c r="J1669" s="71"/>
      <c r="K1669" s="71"/>
      <c r="L1669" s="71"/>
      <c r="M1669" s="71"/>
      <c r="N1669" s="71"/>
      <c r="O1669" s="71"/>
      <c r="P1669" s="71"/>
      <c r="Q1669" s="71"/>
      <c r="R1669" s="71"/>
      <c r="S1669" s="71"/>
      <c r="T1669" s="15"/>
    </row>
    <row r="1670">
      <c r="A1670" s="69"/>
      <c r="B1670" s="69"/>
      <c r="C1670" s="70"/>
      <c r="D1670" s="70"/>
      <c r="E1670" s="69"/>
      <c r="F1670" s="69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  <c r="T1670" s="15"/>
    </row>
    <row r="1671">
      <c r="A1671" s="71"/>
      <c r="B1671" s="71"/>
      <c r="C1671" s="72"/>
      <c r="D1671" s="72"/>
      <c r="E1671" s="71"/>
      <c r="F1671" s="71"/>
      <c r="G1671" s="71"/>
      <c r="H1671" s="71"/>
      <c r="I1671" s="71"/>
      <c r="J1671" s="71"/>
      <c r="K1671" s="71"/>
      <c r="L1671" s="71"/>
      <c r="M1671" s="71"/>
      <c r="N1671" s="71"/>
      <c r="O1671" s="71"/>
      <c r="P1671" s="71"/>
      <c r="Q1671" s="71"/>
      <c r="R1671" s="71"/>
      <c r="S1671" s="71"/>
      <c r="T1671" s="15"/>
    </row>
    <row r="1672">
      <c r="A1672" s="69"/>
      <c r="B1672" s="69"/>
      <c r="C1672" s="70"/>
      <c r="D1672" s="70"/>
      <c r="E1672" s="69"/>
      <c r="F1672" s="69"/>
      <c r="G1672" s="69"/>
      <c r="H1672" s="69"/>
      <c r="I1672" s="69"/>
      <c r="J1672" s="69"/>
      <c r="K1672" s="69"/>
      <c r="L1672" s="69"/>
      <c r="M1672" s="69"/>
      <c r="N1672" s="69"/>
      <c r="O1672" s="69"/>
      <c r="P1672" s="69"/>
      <c r="Q1672" s="69"/>
      <c r="R1672" s="69"/>
      <c r="S1672" s="69"/>
      <c r="T1672" s="15"/>
    </row>
    <row r="1673">
      <c r="A1673" s="71"/>
      <c r="B1673" s="71"/>
      <c r="C1673" s="72"/>
      <c r="D1673" s="72"/>
      <c r="E1673" s="71"/>
      <c r="F1673" s="71"/>
      <c r="G1673" s="71"/>
      <c r="H1673" s="71"/>
      <c r="I1673" s="71"/>
      <c r="J1673" s="71"/>
      <c r="K1673" s="71"/>
      <c r="L1673" s="71"/>
      <c r="M1673" s="71"/>
      <c r="N1673" s="71"/>
      <c r="O1673" s="71"/>
      <c r="P1673" s="71"/>
      <c r="Q1673" s="71"/>
      <c r="R1673" s="71"/>
      <c r="S1673" s="71"/>
      <c r="T1673" s="15"/>
    </row>
    <row r="1674">
      <c r="A1674" s="69"/>
      <c r="B1674" s="69"/>
      <c r="C1674" s="70"/>
      <c r="D1674" s="70"/>
      <c r="E1674" s="69"/>
      <c r="F1674" s="69"/>
      <c r="G1674" s="69"/>
      <c r="H1674" s="69"/>
      <c r="I1674" s="69"/>
      <c r="J1674" s="69"/>
      <c r="K1674" s="69"/>
      <c r="L1674" s="69"/>
      <c r="M1674" s="69"/>
      <c r="N1674" s="69"/>
      <c r="O1674" s="69"/>
      <c r="P1674" s="69"/>
      <c r="Q1674" s="69"/>
      <c r="R1674" s="69"/>
      <c r="S1674" s="69"/>
      <c r="T1674" s="15"/>
    </row>
    <row r="1675">
      <c r="A1675" s="71"/>
      <c r="B1675" s="71"/>
      <c r="C1675" s="72"/>
      <c r="D1675" s="72"/>
      <c r="E1675" s="71"/>
      <c r="F1675" s="71"/>
      <c r="G1675" s="71"/>
      <c r="H1675" s="71"/>
      <c r="I1675" s="71"/>
      <c r="J1675" s="71"/>
      <c r="K1675" s="71"/>
      <c r="L1675" s="71"/>
      <c r="M1675" s="71"/>
      <c r="N1675" s="71"/>
      <c r="O1675" s="71"/>
      <c r="P1675" s="71"/>
      <c r="Q1675" s="71"/>
      <c r="R1675" s="71"/>
      <c r="S1675" s="71"/>
      <c r="T1675" s="15"/>
    </row>
    <row r="1676">
      <c r="A1676" s="69"/>
      <c r="B1676" s="69"/>
      <c r="C1676" s="70"/>
      <c r="D1676" s="70"/>
      <c r="E1676" s="69"/>
      <c r="F1676" s="69"/>
      <c r="G1676" s="69"/>
      <c r="H1676" s="69"/>
      <c r="I1676" s="69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  <c r="T1676" s="15"/>
    </row>
    <row r="1677">
      <c r="A1677" s="71"/>
      <c r="B1677" s="71"/>
      <c r="C1677" s="72"/>
      <c r="D1677" s="72"/>
      <c r="E1677" s="71"/>
      <c r="F1677" s="71"/>
      <c r="G1677" s="71"/>
      <c r="H1677" s="71"/>
      <c r="I1677" s="71"/>
      <c r="J1677" s="71"/>
      <c r="K1677" s="71"/>
      <c r="L1677" s="71"/>
      <c r="M1677" s="71"/>
      <c r="N1677" s="71"/>
      <c r="O1677" s="71"/>
      <c r="P1677" s="71"/>
      <c r="Q1677" s="71"/>
      <c r="R1677" s="71"/>
      <c r="S1677" s="71"/>
      <c r="T1677" s="15"/>
    </row>
    <row r="1678">
      <c r="A1678" s="69"/>
      <c r="B1678" s="69"/>
      <c r="C1678" s="70"/>
      <c r="D1678" s="70"/>
      <c r="E1678" s="69"/>
      <c r="F1678" s="69"/>
      <c r="G1678" s="69"/>
      <c r="H1678" s="69"/>
      <c r="I1678" s="69"/>
      <c r="J1678" s="69"/>
      <c r="K1678" s="69"/>
      <c r="L1678" s="69"/>
      <c r="M1678" s="69"/>
      <c r="N1678" s="69"/>
      <c r="O1678" s="69"/>
      <c r="P1678" s="69"/>
      <c r="Q1678" s="69"/>
      <c r="R1678" s="69"/>
      <c r="S1678" s="69"/>
      <c r="T1678" s="15"/>
    </row>
    <row r="1679">
      <c r="A1679" s="71"/>
      <c r="B1679" s="71"/>
      <c r="C1679" s="72"/>
      <c r="D1679" s="72"/>
      <c r="E1679" s="71"/>
      <c r="F1679" s="71"/>
      <c r="G1679" s="71"/>
      <c r="H1679" s="71"/>
      <c r="I1679" s="71"/>
      <c r="J1679" s="71"/>
      <c r="K1679" s="71"/>
      <c r="L1679" s="71"/>
      <c r="M1679" s="71"/>
      <c r="N1679" s="71"/>
      <c r="O1679" s="71"/>
      <c r="P1679" s="71"/>
      <c r="Q1679" s="71"/>
      <c r="R1679" s="71"/>
      <c r="S1679" s="71"/>
      <c r="T1679" s="15"/>
    </row>
    <row r="1680">
      <c r="A1680" s="69"/>
      <c r="B1680" s="69"/>
      <c r="C1680" s="70"/>
      <c r="D1680" s="70"/>
      <c r="E1680" s="69"/>
      <c r="F1680" s="69"/>
      <c r="G1680" s="69"/>
      <c r="H1680" s="69"/>
      <c r="I1680" s="69"/>
      <c r="J1680" s="69"/>
      <c r="K1680" s="69"/>
      <c r="L1680" s="69"/>
      <c r="M1680" s="69"/>
      <c r="N1680" s="69"/>
      <c r="O1680" s="69"/>
      <c r="P1680" s="69"/>
      <c r="Q1680" s="69"/>
      <c r="R1680" s="69"/>
      <c r="S1680" s="69"/>
      <c r="T1680" s="15"/>
    </row>
    <row r="1681">
      <c r="A1681" s="71"/>
      <c r="B1681" s="71"/>
      <c r="C1681" s="72"/>
      <c r="D1681" s="72"/>
      <c r="E1681" s="71"/>
      <c r="F1681" s="71"/>
      <c r="G1681" s="71"/>
      <c r="H1681" s="71"/>
      <c r="I1681" s="71"/>
      <c r="J1681" s="71"/>
      <c r="K1681" s="71"/>
      <c r="L1681" s="71"/>
      <c r="M1681" s="71"/>
      <c r="N1681" s="71"/>
      <c r="O1681" s="71"/>
      <c r="P1681" s="71"/>
      <c r="Q1681" s="71"/>
      <c r="R1681" s="71"/>
      <c r="S1681" s="71"/>
      <c r="T1681" s="15"/>
    </row>
    <row r="1682">
      <c r="A1682" s="69"/>
      <c r="B1682" s="69"/>
      <c r="C1682" s="70"/>
      <c r="D1682" s="70"/>
      <c r="E1682" s="69"/>
      <c r="F1682" s="69"/>
      <c r="G1682" s="69"/>
      <c r="H1682" s="69"/>
      <c r="I1682" s="69"/>
      <c r="J1682" s="69"/>
      <c r="K1682" s="69"/>
      <c r="L1682" s="69"/>
      <c r="M1682" s="69"/>
      <c r="N1682" s="69"/>
      <c r="O1682" s="69"/>
      <c r="P1682" s="69"/>
      <c r="Q1682" s="69"/>
      <c r="R1682" s="69"/>
      <c r="S1682" s="69"/>
      <c r="T1682" s="15"/>
    </row>
    <row r="1683">
      <c r="A1683" s="71"/>
      <c r="B1683" s="71"/>
      <c r="C1683" s="72"/>
      <c r="D1683" s="72"/>
      <c r="E1683" s="71"/>
      <c r="F1683" s="71"/>
      <c r="G1683" s="71"/>
      <c r="H1683" s="71"/>
      <c r="I1683" s="71"/>
      <c r="J1683" s="71"/>
      <c r="K1683" s="71"/>
      <c r="L1683" s="71"/>
      <c r="M1683" s="71"/>
      <c r="N1683" s="71"/>
      <c r="O1683" s="71"/>
      <c r="P1683" s="71"/>
      <c r="Q1683" s="71"/>
      <c r="R1683" s="71"/>
      <c r="S1683" s="71"/>
      <c r="T1683" s="15"/>
    </row>
    <row r="1684">
      <c r="A1684" s="69"/>
      <c r="B1684" s="69"/>
      <c r="C1684" s="70"/>
      <c r="D1684" s="70"/>
      <c r="E1684" s="69"/>
      <c r="F1684" s="69"/>
      <c r="G1684" s="69"/>
      <c r="H1684" s="69"/>
      <c r="I1684" s="69"/>
      <c r="J1684" s="69"/>
      <c r="K1684" s="69"/>
      <c r="L1684" s="69"/>
      <c r="M1684" s="69"/>
      <c r="N1684" s="69"/>
      <c r="O1684" s="69"/>
      <c r="P1684" s="69"/>
      <c r="Q1684" s="69"/>
      <c r="R1684" s="69"/>
      <c r="S1684" s="69"/>
      <c r="T1684" s="15"/>
    </row>
    <row r="1685">
      <c r="A1685" s="71"/>
      <c r="B1685" s="71"/>
      <c r="C1685" s="72"/>
      <c r="D1685" s="72"/>
      <c r="E1685" s="71"/>
      <c r="F1685" s="71"/>
      <c r="G1685" s="71"/>
      <c r="H1685" s="71"/>
      <c r="I1685" s="71"/>
      <c r="J1685" s="71"/>
      <c r="K1685" s="71"/>
      <c r="L1685" s="71"/>
      <c r="M1685" s="71"/>
      <c r="N1685" s="71"/>
      <c r="O1685" s="71"/>
      <c r="P1685" s="71"/>
      <c r="Q1685" s="71"/>
      <c r="R1685" s="71"/>
      <c r="S1685" s="71"/>
      <c r="T1685" s="15"/>
    </row>
    <row r="1686">
      <c r="A1686" s="69"/>
      <c r="B1686" s="69"/>
      <c r="C1686" s="70"/>
      <c r="D1686" s="70"/>
      <c r="E1686" s="69"/>
      <c r="F1686" s="69"/>
      <c r="G1686" s="69"/>
      <c r="H1686" s="69"/>
      <c r="I1686" s="69"/>
      <c r="J1686" s="69"/>
      <c r="K1686" s="69"/>
      <c r="L1686" s="69"/>
      <c r="M1686" s="69"/>
      <c r="N1686" s="69"/>
      <c r="O1686" s="69"/>
      <c r="P1686" s="69"/>
      <c r="Q1686" s="69"/>
      <c r="R1686" s="69"/>
      <c r="S1686" s="69"/>
      <c r="T1686" s="15"/>
    </row>
    <row r="1687">
      <c r="A1687" s="71"/>
      <c r="B1687" s="71"/>
      <c r="C1687" s="72"/>
      <c r="D1687" s="72"/>
      <c r="E1687" s="71"/>
      <c r="F1687" s="71"/>
      <c r="G1687" s="71"/>
      <c r="H1687" s="71"/>
      <c r="I1687" s="71"/>
      <c r="J1687" s="71"/>
      <c r="K1687" s="71"/>
      <c r="L1687" s="71"/>
      <c r="M1687" s="71"/>
      <c r="N1687" s="71"/>
      <c r="O1687" s="71"/>
      <c r="P1687" s="71"/>
      <c r="Q1687" s="71"/>
      <c r="R1687" s="71"/>
      <c r="S1687" s="71"/>
      <c r="T1687" s="15"/>
    </row>
    <row r="1688">
      <c r="A1688" s="69"/>
      <c r="B1688" s="69"/>
      <c r="C1688" s="70"/>
      <c r="D1688" s="70"/>
      <c r="E1688" s="69"/>
      <c r="F1688" s="69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69"/>
      <c r="T1688" s="15"/>
    </row>
    <row r="1689">
      <c r="A1689" s="71"/>
      <c r="B1689" s="71"/>
      <c r="C1689" s="72"/>
      <c r="D1689" s="72"/>
      <c r="E1689" s="71"/>
      <c r="F1689" s="71"/>
      <c r="G1689" s="71"/>
      <c r="H1689" s="71"/>
      <c r="I1689" s="71"/>
      <c r="J1689" s="71"/>
      <c r="K1689" s="71"/>
      <c r="L1689" s="71"/>
      <c r="M1689" s="71"/>
      <c r="N1689" s="71"/>
      <c r="O1689" s="71"/>
      <c r="P1689" s="71"/>
      <c r="Q1689" s="71"/>
      <c r="R1689" s="71"/>
      <c r="S1689" s="71"/>
      <c r="T1689" s="15"/>
    </row>
    <row r="1690">
      <c r="A1690" s="69"/>
      <c r="B1690" s="69"/>
      <c r="C1690" s="70"/>
      <c r="D1690" s="70"/>
      <c r="E1690" s="69"/>
      <c r="F1690" s="69"/>
      <c r="G1690" s="69"/>
      <c r="H1690" s="69"/>
      <c r="I1690" s="69"/>
      <c r="J1690" s="69"/>
      <c r="K1690" s="69"/>
      <c r="L1690" s="69"/>
      <c r="M1690" s="69"/>
      <c r="N1690" s="69"/>
      <c r="O1690" s="69"/>
      <c r="P1690" s="69"/>
      <c r="Q1690" s="69"/>
      <c r="R1690" s="69"/>
      <c r="S1690" s="69"/>
      <c r="T1690" s="15"/>
    </row>
    <row r="1691">
      <c r="A1691" s="71"/>
      <c r="B1691" s="71"/>
      <c r="C1691" s="72"/>
      <c r="D1691" s="72"/>
      <c r="E1691" s="71"/>
      <c r="F1691" s="71"/>
      <c r="G1691" s="71"/>
      <c r="H1691" s="71"/>
      <c r="I1691" s="71"/>
      <c r="J1691" s="71"/>
      <c r="K1691" s="71"/>
      <c r="L1691" s="71"/>
      <c r="M1691" s="71"/>
      <c r="N1691" s="71"/>
      <c r="O1691" s="71"/>
      <c r="P1691" s="71"/>
      <c r="Q1691" s="71"/>
      <c r="R1691" s="71"/>
      <c r="S1691" s="71"/>
      <c r="T1691" s="15"/>
    </row>
    <row r="1692">
      <c r="A1692" s="69"/>
      <c r="B1692" s="69"/>
      <c r="C1692" s="70"/>
      <c r="D1692" s="70"/>
      <c r="E1692" s="69"/>
      <c r="F1692" s="69"/>
      <c r="G1692" s="69"/>
      <c r="H1692" s="69"/>
      <c r="I1692" s="69"/>
      <c r="J1692" s="69"/>
      <c r="K1692" s="69"/>
      <c r="L1692" s="69"/>
      <c r="M1692" s="69"/>
      <c r="N1692" s="69"/>
      <c r="O1692" s="69"/>
      <c r="P1692" s="69"/>
      <c r="Q1692" s="69"/>
      <c r="R1692" s="69"/>
      <c r="S1692" s="69"/>
      <c r="T1692" s="15"/>
    </row>
    <row r="1693">
      <c r="A1693" s="71"/>
      <c r="B1693" s="71"/>
      <c r="C1693" s="72"/>
      <c r="D1693" s="72"/>
      <c r="E1693" s="71"/>
      <c r="F1693" s="71"/>
      <c r="G1693" s="71"/>
      <c r="H1693" s="71"/>
      <c r="I1693" s="71"/>
      <c r="J1693" s="71"/>
      <c r="K1693" s="71"/>
      <c r="L1693" s="71"/>
      <c r="M1693" s="71"/>
      <c r="N1693" s="71"/>
      <c r="O1693" s="71"/>
      <c r="P1693" s="71"/>
      <c r="Q1693" s="71"/>
      <c r="R1693" s="71"/>
      <c r="S1693" s="71"/>
      <c r="T1693" s="15"/>
    </row>
    <row r="1694">
      <c r="A1694" s="69"/>
      <c r="B1694" s="69"/>
      <c r="C1694" s="70"/>
      <c r="D1694" s="70"/>
      <c r="E1694" s="69"/>
      <c r="F1694" s="69"/>
      <c r="G1694" s="69"/>
      <c r="H1694" s="69"/>
      <c r="I1694" s="69"/>
      <c r="J1694" s="69"/>
      <c r="K1694" s="69"/>
      <c r="L1694" s="69"/>
      <c r="M1694" s="69"/>
      <c r="N1694" s="69"/>
      <c r="O1694" s="69"/>
      <c r="P1694" s="69"/>
      <c r="Q1694" s="69"/>
      <c r="R1694" s="69"/>
      <c r="S1694" s="69"/>
      <c r="T1694" s="15"/>
    </row>
    <row r="1695">
      <c r="A1695" s="71"/>
      <c r="B1695" s="71"/>
      <c r="C1695" s="72"/>
      <c r="D1695" s="72"/>
      <c r="E1695" s="71"/>
      <c r="F1695" s="71"/>
      <c r="G1695" s="71"/>
      <c r="H1695" s="71"/>
      <c r="I1695" s="71"/>
      <c r="J1695" s="71"/>
      <c r="K1695" s="71"/>
      <c r="L1695" s="71"/>
      <c r="M1695" s="71"/>
      <c r="N1695" s="71"/>
      <c r="O1695" s="71"/>
      <c r="P1695" s="71"/>
      <c r="Q1695" s="71"/>
      <c r="R1695" s="71"/>
      <c r="S1695" s="71"/>
      <c r="T1695" s="15"/>
    </row>
    <row r="1696">
      <c r="A1696" s="69"/>
      <c r="B1696" s="69"/>
      <c r="C1696" s="70"/>
      <c r="D1696" s="70"/>
      <c r="E1696" s="69"/>
      <c r="F1696" s="69"/>
      <c r="G1696" s="69"/>
      <c r="H1696" s="69"/>
      <c r="I1696" s="69"/>
      <c r="J1696" s="69"/>
      <c r="K1696" s="69"/>
      <c r="L1696" s="69"/>
      <c r="M1696" s="69"/>
      <c r="N1696" s="69"/>
      <c r="O1696" s="69"/>
      <c r="P1696" s="69"/>
      <c r="Q1696" s="69"/>
      <c r="R1696" s="69"/>
      <c r="S1696" s="69"/>
      <c r="T1696" s="15"/>
    </row>
    <row r="1697">
      <c r="A1697" s="71"/>
      <c r="B1697" s="71"/>
      <c r="C1697" s="72"/>
      <c r="D1697" s="72"/>
      <c r="E1697" s="71"/>
      <c r="F1697" s="71"/>
      <c r="G1697" s="71"/>
      <c r="H1697" s="71"/>
      <c r="I1697" s="71"/>
      <c r="J1697" s="71"/>
      <c r="K1697" s="71"/>
      <c r="L1697" s="71"/>
      <c r="M1697" s="71"/>
      <c r="N1697" s="71"/>
      <c r="O1697" s="71"/>
      <c r="P1697" s="71"/>
      <c r="Q1697" s="71"/>
      <c r="R1697" s="71"/>
      <c r="S1697" s="71"/>
      <c r="T1697" s="15"/>
    </row>
    <row r="1698">
      <c r="A1698" s="69"/>
      <c r="B1698" s="69"/>
      <c r="C1698" s="70"/>
      <c r="D1698" s="70"/>
      <c r="E1698" s="69"/>
      <c r="F1698" s="69"/>
      <c r="G1698" s="69"/>
      <c r="H1698" s="69"/>
      <c r="I1698" s="69"/>
      <c r="J1698" s="69"/>
      <c r="K1698" s="69"/>
      <c r="L1698" s="69"/>
      <c r="M1698" s="69"/>
      <c r="N1698" s="69"/>
      <c r="O1698" s="69"/>
      <c r="P1698" s="69"/>
      <c r="Q1698" s="69"/>
      <c r="R1698" s="69"/>
      <c r="S1698" s="69"/>
      <c r="T1698" s="15"/>
    </row>
    <row r="1699">
      <c r="A1699" s="71"/>
      <c r="B1699" s="71"/>
      <c r="C1699" s="72"/>
      <c r="D1699" s="72"/>
      <c r="E1699" s="71"/>
      <c r="F1699" s="71"/>
      <c r="G1699" s="71"/>
      <c r="H1699" s="71"/>
      <c r="I1699" s="71"/>
      <c r="J1699" s="71"/>
      <c r="K1699" s="71"/>
      <c r="L1699" s="71"/>
      <c r="M1699" s="71"/>
      <c r="N1699" s="71"/>
      <c r="O1699" s="71"/>
      <c r="P1699" s="71"/>
      <c r="Q1699" s="71"/>
      <c r="R1699" s="71"/>
      <c r="S1699" s="71"/>
      <c r="T1699" s="15"/>
    </row>
    <row r="1700">
      <c r="A1700" s="69"/>
      <c r="B1700" s="69"/>
      <c r="C1700" s="70"/>
      <c r="D1700" s="70"/>
      <c r="E1700" s="69"/>
      <c r="F1700" s="69"/>
      <c r="G1700" s="69"/>
      <c r="H1700" s="69"/>
      <c r="I1700" s="69"/>
      <c r="J1700" s="69"/>
      <c r="K1700" s="69"/>
      <c r="L1700" s="69"/>
      <c r="M1700" s="69"/>
      <c r="N1700" s="69"/>
      <c r="O1700" s="69"/>
      <c r="P1700" s="69"/>
      <c r="Q1700" s="69"/>
      <c r="R1700" s="69"/>
      <c r="S1700" s="69"/>
      <c r="T1700" s="15"/>
    </row>
    <row r="1701">
      <c r="A1701" s="71"/>
      <c r="B1701" s="71"/>
      <c r="C1701" s="72"/>
      <c r="D1701" s="72"/>
      <c r="E1701" s="71"/>
      <c r="F1701" s="71"/>
      <c r="G1701" s="71"/>
      <c r="H1701" s="71"/>
      <c r="I1701" s="71"/>
      <c r="J1701" s="71"/>
      <c r="K1701" s="71"/>
      <c r="L1701" s="71"/>
      <c r="M1701" s="71"/>
      <c r="N1701" s="71"/>
      <c r="O1701" s="71"/>
      <c r="P1701" s="71"/>
      <c r="Q1701" s="71"/>
      <c r="R1701" s="71"/>
      <c r="S1701" s="71"/>
      <c r="T1701" s="15"/>
    </row>
    <row r="1702">
      <c r="A1702" s="69"/>
      <c r="B1702" s="69"/>
      <c r="C1702" s="70"/>
      <c r="D1702" s="70"/>
      <c r="E1702" s="69"/>
      <c r="F1702" s="69"/>
      <c r="G1702" s="69"/>
      <c r="H1702" s="69"/>
      <c r="I1702" s="69"/>
      <c r="J1702" s="69"/>
      <c r="K1702" s="69"/>
      <c r="L1702" s="69"/>
      <c r="M1702" s="69"/>
      <c r="N1702" s="69"/>
      <c r="O1702" s="69"/>
      <c r="P1702" s="69"/>
      <c r="Q1702" s="69"/>
      <c r="R1702" s="69"/>
      <c r="S1702" s="69"/>
      <c r="T1702" s="15"/>
    </row>
    <row r="1703">
      <c r="A1703" s="71"/>
      <c r="B1703" s="71"/>
      <c r="C1703" s="72"/>
      <c r="D1703" s="72"/>
      <c r="E1703" s="71"/>
      <c r="F1703" s="71"/>
      <c r="G1703" s="71"/>
      <c r="H1703" s="71"/>
      <c r="I1703" s="71"/>
      <c r="J1703" s="71"/>
      <c r="K1703" s="71"/>
      <c r="L1703" s="71"/>
      <c r="M1703" s="71"/>
      <c r="N1703" s="71"/>
      <c r="O1703" s="71"/>
      <c r="P1703" s="71"/>
      <c r="Q1703" s="71"/>
      <c r="R1703" s="71"/>
      <c r="S1703" s="71"/>
      <c r="T1703" s="15"/>
    </row>
    <row r="1704">
      <c r="A1704" s="69"/>
      <c r="B1704" s="69"/>
      <c r="C1704" s="70"/>
      <c r="D1704" s="70"/>
      <c r="E1704" s="69"/>
      <c r="F1704" s="69"/>
      <c r="G1704" s="69"/>
      <c r="H1704" s="69"/>
      <c r="I1704" s="69"/>
      <c r="J1704" s="69"/>
      <c r="K1704" s="69"/>
      <c r="L1704" s="69"/>
      <c r="M1704" s="69"/>
      <c r="N1704" s="69"/>
      <c r="O1704" s="69"/>
      <c r="P1704" s="69"/>
      <c r="Q1704" s="69"/>
      <c r="R1704" s="69"/>
      <c r="S1704" s="69"/>
      <c r="T1704" s="15"/>
    </row>
    <row r="1705">
      <c r="A1705" s="71"/>
      <c r="B1705" s="71"/>
      <c r="C1705" s="72"/>
      <c r="D1705" s="72"/>
      <c r="E1705" s="71"/>
      <c r="F1705" s="71"/>
      <c r="G1705" s="71"/>
      <c r="H1705" s="71"/>
      <c r="I1705" s="71"/>
      <c r="J1705" s="71"/>
      <c r="K1705" s="71"/>
      <c r="L1705" s="71"/>
      <c r="M1705" s="71"/>
      <c r="N1705" s="71"/>
      <c r="O1705" s="71"/>
      <c r="P1705" s="71"/>
      <c r="Q1705" s="71"/>
      <c r="R1705" s="71"/>
      <c r="S1705" s="71"/>
      <c r="T1705" s="15"/>
    </row>
    <row r="1706">
      <c r="A1706" s="69"/>
      <c r="B1706" s="69"/>
      <c r="C1706" s="70"/>
      <c r="D1706" s="70"/>
      <c r="E1706" s="69"/>
      <c r="F1706" s="69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69"/>
      <c r="T1706" s="15"/>
    </row>
    <row r="1707">
      <c r="A1707" s="71"/>
      <c r="B1707" s="71"/>
      <c r="C1707" s="72"/>
      <c r="D1707" s="72"/>
      <c r="E1707" s="71"/>
      <c r="F1707" s="71"/>
      <c r="G1707" s="71"/>
      <c r="H1707" s="71"/>
      <c r="I1707" s="71"/>
      <c r="J1707" s="71"/>
      <c r="K1707" s="71"/>
      <c r="L1707" s="71"/>
      <c r="M1707" s="71"/>
      <c r="N1707" s="71"/>
      <c r="O1707" s="71"/>
      <c r="P1707" s="71"/>
      <c r="Q1707" s="71"/>
      <c r="R1707" s="71"/>
      <c r="S1707" s="71"/>
      <c r="T1707" s="15"/>
    </row>
    <row r="1708">
      <c r="A1708" s="69"/>
      <c r="B1708" s="69"/>
      <c r="C1708" s="70"/>
      <c r="D1708" s="70"/>
      <c r="E1708" s="69"/>
      <c r="F1708" s="69"/>
      <c r="G1708" s="69"/>
      <c r="H1708" s="69"/>
      <c r="I1708" s="69"/>
      <c r="J1708" s="69"/>
      <c r="K1708" s="69"/>
      <c r="L1708" s="69"/>
      <c r="M1708" s="69"/>
      <c r="N1708" s="69"/>
      <c r="O1708" s="69"/>
      <c r="P1708" s="69"/>
      <c r="Q1708" s="69"/>
      <c r="R1708" s="69"/>
      <c r="S1708" s="69"/>
      <c r="T1708" s="15"/>
    </row>
    <row r="1709">
      <c r="A1709" s="71"/>
      <c r="B1709" s="71"/>
      <c r="C1709" s="72"/>
      <c r="D1709" s="72"/>
      <c r="E1709" s="71"/>
      <c r="F1709" s="71"/>
      <c r="G1709" s="71"/>
      <c r="H1709" s="71"/>
      <c r="I1709" s="71"/>
      <c r="J1709" s="71"/>
      <c r="K1709" s="71"/>
      <c r="L1709" s="71"/>
      <c r="M1709" s="71"/>
      <c r="N1709" s="71"/>
      <c r="O1709" s="71"/>
      <c r="P1709" s="71"/>
      <c r="Q1709" s="71"/>
      <c r="R1709" s="71"/>
      <c r="S1709" s="71"/>
      <c r="T1709" s="15"/>
    </row>
    <row r="1710">
      <c r="A1710" s="69"/>
      <c r="B1710" s="69"/>
      <c r="C1710" s="70"/>
      <c r="D1710" s="70"/>
      <c r="E1710" s="69"/>
      <c r="F1710" s="69"/>
      <c r="G1710" s="69"/>
      <c r="H1710" s="69"/>
      <c r="I1710" s="69"/>
      <c r="J1710" s="69"/>
      <c r="K1710" s="69"/>
      <c r="L1710" s="69"/>
      <c r="M1710" s="69"/>
      <c r="N1710" s="69"/>
      <c r="O1710" s="69"/>
      <c r="P1710" s="69"/>
      <c r="Q1710" s="69"/>
      <c r="R1710" s="69"/>
      <c r="S1710" s="69"/>
      <c r="T1710" s="15"/>
    </row>
    <row r="1711">
      <c r="A1711" s="71"/>
      <c r="B1711" s="71"/>
      <c r="C1711" s="72"/>
      <c r="D1711" s="72"/>
      <c r="E1711" s="71"/>
      <c r="F1711" s="71"/>
      <c r="G1711" s="71"/>
      <c r="H1711" s="71"/>
      <c r="I1711" s="71"/>
      <c r="J1711" s="71"/>
      <c r="K1711" s="71"/>
      <c r="L1711" s="71"/>
      <c r="M1711" s="71"/>
      <c r="N1711" s="71"/>
      <c r="O1711" s="71"/>
      <c r="P1711" s="71"/>
      <c r="Q1711" s="71"/>
      <c r="R1711" s="71"/>
      <c r="S1711" s="71"/>
      <c r="T1711" s="15"/>
    </row>
    <row r="1712">
      <c r="A1712" s="69"/>
      <c r="B1712" s="69"/>
      <c r="C1712" s="70"/>
      <c r="D1712" s="70"/>
      <c r="E1712" s="69"/>
      <c r="F1712" s="69"/>
      <c r="G1712" s="69"/>
      <c r="H1712" s="69"/>
      <c r="I1712" s="69"/>
      <c r="J1712" s="69"/>
      <c r="K1712" s="69"/>
      <c r="L1712" s="69"/>
      <c r="M1712" s="69"/>
      <c r="N1712" s="69"/>
      <c r="O1712" s="69"/>
      <c r="P1712" s="69"/>
      <c r="Q1712" s="69"/>
      <c r="R1712" s="69"/>
      <c r="S1712" s="69"/>
      <c r="T1712" s="15"/>
    </row>
    <row r="1713">
      <c r="A1713" s="71"/>
      <c r="B1713" s="71"/>
      <c r="C1713" s="72"/>
      <c r="D1713" s="72"/>
      <c r="E1713" s="71"/>
      <c r="F1713" s="71"/>
      <c r="G1713" s="71"/>
      <c r="H1713" s="71"/>
      <c r="I1713" s="71"/>
      <c r="J1713" s="71"/>
      <c r="K1713" s="71"/>
      <c r="L1713" s="71"/>
      <c r="M1713" s="71"/>
      <c r="N1713" s="71"/>
      <c r="O1713" s="71"/>
      <c r="P1713" s="71"/>
      <c r="Q1713" s="71"/>
      <c r="R1713" s="71"/>
      <c r="S1713" s="71"/>
      <c r="T1713" s="15"/>
    </row>
    <row r="1714">
      <c r="A1714" s="69"/>
      <c r="B1714" s="69"/>
      <c r="C1714" s="70"/>
      <c r="D1714" s="70"/>
      <c r="E1714" s="69"/>
      <c r="F1714" s="69"/>
      <c r="G1714" s="69"/>
      <c r="H1714" s="69"/>
      <c r="I1714" s="69"/>
      <c r="J1714" s="69"/>
      <c r="K1714" s="69"/>
      <c r="L1714" s="69"/>
      <c r="M1714" s="69"/>
      <c r="N1714" s="69"/>
      <c r="O1714" s="69"/>
      <c r="P1714" s="69"/>
      <c r="Q1714" s="69"/>
      <c r="R1714" s="69"/>
      <c r="S1714" s="69"/>
      <c r="T1714" s="15"/>
    </row>
    <row r="1715">
      <c r="A1715" s="71"/>
      <c r="B1715" s="71"/>
      <c r="C1715" s="72"/>
      <c r="D1715" s="72"/>
      <c r="E1715" s="71"/>
      <c r="F1715" s="71"/>
      <c r="G1715" s="71"/>
      <c r="H1715" s="71"/>
      <c r="I1715" s="71"/>
      <c r="J1715" s="71"/>
      <c r="K1715" s="71"/>
      <c r="L1715" s="71"/>
      <c r="M1715" s="71"/>
      <c r="N1715" s="71"/>
      <c r="O1715" s="71"/>
      <c r="P1715" s="71"/>
      <c r="Q1715" s="71"/>
      <c r="R1715" s="71"/>
      <c r="S1715" s="71"/>
      <c r="T1715" s="15"/>
    </row>
    <row r="1716">
      <c r="A1716" s="69"/>
      <c r="B1716" s="69"/>
      <c r="C1716" s="70"/>
      <c r="D1716" s="70"/>
      <c r="E1716" s="69"/>
      <c r="F1716" s="69"/>
      <c r="G1716" s="69"/>
      <c r="H1716" s="69"/>
      <c r="I1716" s="69"/>
      <c r="J1716" s="69"/>
      <c r="K1716" s="69"/>
      <c r="L1716" s="69"/>
      <c r="M1716" s="69"/>
      <c r="N1716" s="69"/>
      <c r="O1716" s="69"/>
      <c r="P1716" s="69"/>
      <c r="Q1716" s="69"/>
      <c r="R1716" s="69"/>
      <c r="S1716" s="69"/>
      <c r="T1716" s="15"/>
    </row>
    <row r="1717">
      <c r="A1717" s="71"/>
      <c r="B1717" s="71"/>
      <c r="C1717" s="72"/>
      <c r="D1717" s="72"/>
      <c r="E1717" s="71"/>
      <c r="F1717" s="71"/>
      <c r="G1717" s="71"/>
      <c r="H1717" s="71"/>
      <c r="I1717" s="71"/>
      <c r="J1717" s="71"/>
      <c r="K1717" s="71"/>
      <c r="L1717" s="71"/>
      <c r="M1717" s="71"/>
      <c r="N1717" s="71"/>
      <c r="O1717" s="71"/>
      <c r="P1717" s="71"/>
      <c r="Q1717" s="71"/>
      <c r="R1717" s="71"/>
      <c r="S1717" s="71"/>
      <c r="T1717" s="15"/>
    </row>
    <row r="1718">
      <c r="A1718" s="69"/>
      <c r="B1718" s="69"/>
      <c r="C1718" s="70"/>
      <c r="D1718" s="70"/>
      <c r="E1718" s="69"/>
      <c r="F1718" s="69"/>
      <c r="G1718" s="69"/>
      <c r="H1718" s="69"/>
      <c r="I1718" s="69"/>
      <c r="J1718" s="69"/>
      <c r="K1718" s="69"/>
      <c r="L1718" s="69"/>
      <c r="M1718" s="69"/>
      <c r="N1718" s="69"/>
      <c r="O1718" s="69"/>
      <c r="P1718" s="69"/>
      <c r="Q1718" s="69"/>
      <c r="R1718" s="69"/>
      <c r="S1718" s="69"/>
      <c r="T1718" s="15"/>
    </row>
    <row r="1719">
      <c r="A1719" s="71"/>
      <c r="B1719" s="71"/>
      <c r="C1719" s="72"/>
      <c r="D1719" s="72"/>
      <c r="E1719" s="71"/>
      <c r="F1719" s="71"/>
      <c r="G1719" s="71"/>
      <c r="H1719" s="71"/>
      <c r="I1719" s="71"/>
      <c r="J1719" s="71"/>
      <c r="K1719" s="71"/>
      <c r="L1719" s="71"/>
      <c r="M1719" s="71"/>
      <c r="N1719" s="71"/>
      <c r="O1719" s="71"/>
      <c r="P1719" s="71"/>
      <c r="Q1719" s="71"/>
      <c r="R1719" s="71"/>
      <c r="S1719" s="71"/>
      <c r="T1719" s="15"/>
    </row>
    <row r="1720">
      <c r="A1720" s="69"/>
      <c r="B1720" s="69"/>
      <c r="C1720" s="70"/>
      <c r="D1720" s="70"/>
      <c r="E1720" s="69"/>
      <c r="F1720" s="69"/>
      <c r="G1720" s="69"/>
      <c r="H1720" s="69"/>
      <c r="I1720" s="69"/>
      <c r="J1720" s="69"/>
      <c r="K1720" s="69"/>
      <c r="L1720" s="69"/>
      <c r="M1720" s="69"/>
      <c r="N1720" s="69"/>
      <c r="O1720" s="69"/>
      <c r="P1720" s="69"/>
      <c r="Q1720" s="69"/>
      <c r="R1720" s="69"/>
      <c r="S1720" s="69"/>
      <c r="T1720" s="15"/>
    </row>
    <row r="1721">
      <c r="A1721" s="71"/>
      <c r="B1721" s="71"/>
      <c r="C1721" s="72"/>
      <c r="D1721" s="72"/>
      <c r="E1721" s="71"/>
      <c r="F1721" s="71"/>
      <c r="G1721" s="71"/>
      <c r="H1721" s="71"/>
      <c r="I1721" s="71"/>
      <c r="J1721" s="71"/>
      <c r="K1721" s="71"/>
      <c r="L1721" s="71"/>
      <c r="M1721" s="71"/>
      <c r="N1721" s="71"/>
      <c r="O1721" s="71"/>
      <c r="P1721" s="71"/>
      <c r="Q1721" s="71"/>
      <c r="R1721" s="71"/>
      <c r="S1721" s="71"/>
      <c r="T1721" s="15"/>
    </row>
    <row r="1722">
      <c r="A1722" s="69"/>
      <c r="B1722" s="69"/>
      <c r="C1722" s="70"/>
      <c r="D1722" s="70"/>
      <c r="E1722" s="69"/>
      <c r="F1722" s="69"/>
      <c r="G1722" s="69"/>
      <c r="H1722" s="69"/>
      <c r="I1722" s="69"/>
      <c r="J1722" s="69"/>
      <c r="K1722" s="69"/>
      <c r="L1722" s="69"/>
      <c r="M1722" s="69"/>
      <c r="N1722" s="69"/>
      <c r="O1722" s="69"/>
      <c r="P1722" s="69"/>
      <c r="Q1722" s="69"/>
      <c r="R1722" s="69"/>
      <c r="S1722" s="69"/>
      <c r="T1722" s="15"/>
    </row>
    <row r="1723">
      <c r="A1723" s="71"/>
      <c r="B1723" s="71"/>
      <c r="C1723" s="72"/>
      <c r="D1723" s="72"/>
      <c r="E1723" s="71"/>
      <c r="F1723" s="71"/>
      <c r="G1723" s="71"/>
      <c r="H1723" s="71"/>
      <c r="I1723" s="71"/>
      <c r="J1723" s="71"/>
      <c r="K1723" s="71"/>
      <c r="L1723" s="71"/>
      <c r="M1723" s="71"/>
      <c r="N1723" s="71"/>
      <c r="O1723" s="71"/>
      <c r="P1723" s="71"/>
      <c r="Q1723" s="71"/>
      <c r="R1723" s="71"/>
      <c r="S1723" s="71"/>
      <c r="T1723" s="15"/>
    </row>
    <row r="1724">
      <c r="A1724" s="69"/>
      <c r="B1724" s="69"/>
      <c r="C1724" s="70"/>
      <c r="D1724" s="70"/>
      <c r="E1724" s="69"/>
      <c r="F1724" s="69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69"/>
      <c r="T1724" s="15"/>
    </row>
    <row r="1725">
      <c r="A1725" s="71"/>
      <c r="B1725" s="71"/>
      <c r="C1725" s="72"/>
      <c r="D1725" s="72"/>
      <c r="E1725" s="71"/>
      <c r="F1725" s="71"/>
      <c r="G1725" s="71"/>
      <c r="H1725" s="71"/>
      <c r="I1725" s="71"/>
      <c r="J1725" s="71"/>
      <c r="K1725" s="71"/>
      <c r="L1725" s="71"/>
      <c r="M1725" s="71"/>
      <c r="N1725" s="71"/>
      <c r="O1725" s="71"/>
      <c r="P1725" s="71"/>
      <c r="Q1725" s="71"/>
      <c r="R1725" s="71"/>
      <c r="S1725" s="71"/>
      <c r="T1725" s="15"/>
    </row>
    <row r="1726">
      <c r="A1726" s="69"/>
      <c r="B1726" s="69"/>
      <c r="C1726" s="70"/>
      <c r="D1726" s="70"/>
      <c r="E1726" s="69"/>
      <c r="F1726" s="69"/>
      <c r="G1726" s="69"/>
      <c r="H1726" s="69"/>
      <c r="I1726" s="69"/>
      <c r="J1726" s="69"/>
      <c r="K1726" s="69"/>
      <c r="L1726" s="69"/>
      <c r="M1726" s="69"/>
      <c r="N1726" s="69"/>
      <c r="O1726" s="69"/>
      <c r="P1726" s="69"/>
      <c r="Q1726" s="69"/>
      <c r="R1726" s="69"/>
      <c r="S1726" s="69"/>
      <c r="T1726" s="15"/>
    </row>
    <row r="1727">
      <c r="A1727" s="71"/>
      <c r="B1727" s="71"/>
      <c r="C1727" s="72"/>
      <c r="D1727" s="72"/>
      <c r="E1727" s="71"/>
      <c r="F1727" s="71"/>
      <c r="G1727" s="71"/>
      <c r="H1727" s="71"/>
      <c r="I1727" s="71"/>
      <c r="J1727" s="71"/>
      <c r="K1727" s="71"/>
      <c r="L1727" s="71"/>
      <c r="M1727" s="71"/>
      <c r="N1727" s="71"/>
      <c r="O1727" s="71"/>
      <c r="P1727" s="71"/>
      <c r="Q1727" s="71"/>
      <c r="R1727" s="71"/>
      <c r="S1727" s="71"/>
      <c r="T1727" s="15"/>
    </row>
    <row r="1728">
      <c r="A1728" s="69"/>
      <c r="B1728" s="69"/>
      <c r="C1728" s="70"/>
      <c r="D1728" s="70"/>
      <c r="E1728" s="69"/>
      <c r="F1728" s="69"/>
      <c r="G1728" s="69"/>
      <c r="H1728" s="69"/>
      <c r="I1728" s="69"/>
      <c r="J1728" s="69"/>
      <c r="K1728" s="69"/>
      <c r="L1728" s="69"/>
      <c r="M1728" s="69"/>
      <c r="N1728" s="69"/>
      <c r="O1728" s="69"/>
      <c r="P1728" s="69"/>
      <c r="Q1728" s="69"/>
      <c r="R1728" s="69"/>
      <c r="S1728" s="69"/>
      <c r="T1728" s="15"/>
    </row>
    <row r="1729">
      <c r="A1729" s="71"/>
      <c r="B1729" s="71"/>
      <c r="C1729" s="72"/>
      <c r="D1729" s="72"/>
      <c r="E1729" s="71"/>
      <c r="F1729" s="71"/>
      <c r="G1729" s="71"/>
      <c r="H1729" s="71"/>
      <c r="I1729" s="71"/>
      <c r="J1729" s="71"/>
      <c r="K1729" s="71"/>
      <c r="L1729" s="71"/>
      <c r="M1729" s="71"/>
      <c r="N1729" s="71"/>
      <c r="O1729" s="71"/>
      <c r="P1729" s="71"/>
      <c r="Q1729" s="71"/>
      <c r="R1729" s="71"/>
      <c r="S1729" s="71"/>
      <c r="T1729" s="15"/>
    </row>
    <row r="1730">
      <c r="A1730" s="69"/>
      <c r="B1730" s="69"/>
      <c r="C1730" s="70"/>
      <c r="D1730" s="70"/>
      <c r="E1730" s="69"/>
      <c r="F1730" s="69"/>
      <c r="G1730" s="69"/>
      <c r="H1730" s="69"/>
      <c r="I1730" s="69"/>
      <c r="J1730" s="69"/>
      <c r="K1730" s="69"/>
      <c r="L1730" s="69"/>
      <c r="M1730" s="69"/>
      <c r="N1730" s="69"/>
      <c r="O1730" s="69"/>
      <c r="P1730" s="69"/>
      <c r="Q1730" s="69"/>
      <c r="R1730" s="69"/>
      <c r="S1730" s="69"/>
      <c r="T1730" s="15"/>
    </row>
    <row r="1731">
      <c r="A1731" s="71"/>
      <c r="B1731" s="71"/>
      <c r="C1731" s="72"/>
      <c r="D1731" s="72"/>
      <c r="E1731" s="71"/>
      <c r="F1731" s="71"/>
      <c r="G1731" s="71"/>
      <c r="H1731" s="71"/>
      <c r="I1731" s="71"/>
      <c r="J1731" s="71"/>
      <c r="K1731" s="71"/>
      <c r="L1731" s="71"/>
      <c r="M1731" s="71"/>
      <c r="N1731" s="71"/>
      <c r="O1731" s="71"/>
      <c r="P1731" s="71"/>
      <c r="Q1731" s="71"/>
      <c r="R1731" s="71"/>
      <c r="S1731" s="71"/>
      <c r="T1731" s="15"/>
    </row>
    <row r="1732">
      <c r="A1732" s="69"/>
      <c r="B1732" s="69"/>
      <c r="C1732" s="70"/>
      <c r="D1732" s="70"/>
      <c r="E1732" s="69"/>
      <c r="F1732" s="69"/>
      <c r="G1732" s="69"/>
      <c r="H1732" s="69"/>
      <c r="I1732" s="69"/>
      <c r="J1732" s="69"/>
      <c r="K1732" s="69"/>
      <c r="L1732" s="69"/>
      <c r="M1732" s="69"/>
      <c r="N1732" s="69"/>
      <c r="O1732" s="69"/>
      <c r="P1732" s="69"/>
      <c r="Q1732" s="69"/>
      <c r="R1732" s="69"/>
      <c r="S1732" s="69"/>
      <c r="T1732" s="15"/>
    </row>
    <row r="1733">
      <c r="A1733" s="71"/>
      <c r="B1733" s="71"/>
      <c r="C1733" s="72"/>
      <c r="D1733" s="72"/>
      <c r="E1733" s="71"/>
      <c r="F1733" s="71"/>
      <c r="G1733" s="71"/>
      <c r="H1733" s="71"/>
      <c r="I1733" s="71"/>
      <c r="J1733" s="71"/>
      <c r="K1733" s="71"/>
      <c r="L1733" s="71"/>
      <c r="M1733" s="71"/>
      <c r="N1733" s="71"/>
      <c r="O1733" s="71"/>
      <c r="P1733" s="71"/>
      <c r="Q1733" s="71"/>
      <c r="R1733" s="71"/>
      <c r="S1733" s="71"/>
      <c r="T1733" s="15"/>
    </row>
    <row r="1734">
      <c r="A1734" s="69"/>
      <c r="B1734" s="69"/>
      <c r="C1734" s="70"/>
      <c r="D1734" s="70"/>
      <c r="E1734" s="69"/>
      <c r="F1734" s="69"/>
      <c r="G1734" s="69"/>
      <c r="H1734" s="69"/>
      <c r="I1734" s="69"/>
      <c r="J1734" s="69"/>
      <c r="K1734" s="69"/>
      <c r="L1734" s="69"/>
      <c r="M1734" s="69"/>
      <c r="N1734" s="69"/>
      <c r="O1734" s="69"/>
      <c r="P1734" s="69"/>
      <c r="Q1734" s="69"/>
      <c r="R1734" s="69"/>
      <c r="S1734" s="69"/>
      <c r="T1734" s="15"/>
    </row>
    <row r="1735">
      <c r="A1735" s="71"/>
      <c r="B1735" s="71"/>
      <c r="C1735" s="72"/>
      <c r="D1735" s="72"/>
      <c r="E1735" s="71"/>
      <c r="F1735" s="71"/>
      <c r="G1735" s="71"/>
      <c r="H1735" s="71"/>
      <c r="I1735" s="71"/>
      <c r="J1735" s="71"/>
      <c r="K1735" s="71"/>
      <c r="L1735" s="71"/>
      <c r="M1735" s="71"/>
      <c r="N1735" s="71"/>
      <c r="O1735" s="71"/>
      <c r="P1735" s="71"/>
      <c r="Q1735" s="71"/>
      <c r="R1735" s="71"/>
      <c r="S1735" s="71"/>
      <c r="T1735" s="15"/>
    </row>
    <row r="1736">
      <c r="A1736" s="69"/>
      <c r="B1736" s="69"/>
      <c r="C1736" s="70"/>
      <c r="D1736" s="70"/>
      <c r="E1736" s="69"/>
      <c r="F1736" s="69"/>
      <c r="G1736" s="69"/>
      <c r="H1736" s="69"/>
      <c r="I1736" s="69"/>
      <c r="J1736" s="69"/>
      <c r="K1736" s="69"/>
      <c r="L1736" s="69"/>
      <c r="M1736" s="69"/>
      <c r="N1736" s="69"/>
      <c r="O1736" s="69"/>
      <c r="P1736" s="69"/>
      <c r="Q1736" s="69"/>
      <c r="R1736" s="69"/>
      <c r="S1736" s="69"/>
      <c r="T1736" s="15"/>
    </row>
    <row r="1737">
      <c r="A1737" s="71"/>
      <c r="B1737" s="71"/>
      <c r="C1737" s="72"/>
      <c r="D1737" s="72"/>
      <c r="E1737" s="71"/>
      <c r="F1737" s="71"/>
      <c r="G1737" s="71"/>
      <c r="H1737" s="71"/>
      <c r="I1737" s="71"/>
      <c r="J1737" s="71"/>
      <c r="K1737" s="71"/>
      <c r="L1737" s="71"/>
      <c r="M1737" s="71"/>
      <c r="N1737" s="71"/>
      <c r="O1737" s="71"/>
      <c r="P1737" s="71"/>
      <c r="Q1737" s="71"/>
      <c r="R1737" s="71"/>
      <c r="S1737" s="71"/>
      <c r="T1737" s="15"/>
    </row>
    <row r="1738">
      <c r="A1738" s="69"/>
      <c r="B1738" s="69"/>
      <c r="C1738" s="70"/>
      <c r="D1738" s="70"/>
      <c r="E1738" s="69"/>
      <c r="F1738" s="69"/>
      <c r="G1738" s="69"/>
      <c r="H1738" s="69"/>
      <c r="I1738" s="69"/>
      <c r="J1738" s="69"/>
      <c r="K1738" s="69"/>
      <c r="L1738" s="69"/>
      <c r="M1738" s="69"/>
      <c r="N1738" s="69"/>
      <c r="O1738" s="69"/>
      <c r="P1738" s="69"/>
      <c r="Q1738" s="69"/>
      <c r="R1738" s="69"/>
      <c r="S1738" s="69"/>
      <c r="T1738" s="15"/>
    </row>
    <row r="1739">
      <c r="A1739" s="71"/>
      <c r="B1739" s="71"/>
      <c r="C1739" s="72"/>
      <c r="D1739" s="72"/>
      <c r="E1739" s="71"/>
      <c r="F1739" s="71"/>
      <c r="G1739" s="71"/>
      <c r="H1739" s="71"/>
      <c r="I1739" s="71"/>
      <c r="J1739" s="71"/>
      <c r="K1739" s="71"/>
      <c r="L1739" s="71"/>
      <c r="M1739" s="71"/>
      <c r="N1739" s="71"/>
      <c r="O1739" s="71"/>
      <c r="P1739" s="71"/>
      <c r="Q1739" s="71"/>
      <c r="R1739" s="71"/>
      <c r="S1739" s="71"/>
      <c r="T1739" s="15"/>
    </row>
    <row r="1740">
      <c r="A1740" s="69"/>
      <c r="B1740" s="69"/>
      <c r="C1740" s="70"/>
      <c r="D1740" s="70"/>
      <c r="E1740" s="69"/>
      <c r="F1740" s="69"/>
      <c r="G1740" s="69"/>
      <c r="H1740" s="69"/>
      <c r="I1740" s="69"/>
      <c r="J1740" s="69"/>
      <c r="K1740" s="69"/>
      <c r="L1740" s="69"/>
      <c r="M1740" s="69"/>
      <c r="N1740" s="69"/>
      <c r="O1740" s="69"/>
      <c r="P1740" s="69"/>
      <c r="Q1740" s="69"/>
      <c r="R1740" s="69"/>
      <c r="S1740" s="69"/>
      <c r="T1740" s="15"/>
    </row>
    <row r="1741">
      <c r="A1741" s="71"/>
      <c r="B1741" s="71"/>
      <c r="C1741" s="72"/>
      <c r="D1741" s="72"/>
      <c r="E1741" s="71"/>
      <c r="F1741" s="71"/>
      <c r="G1741" s="71"/>
      <c r="H1741" s="71"/>
      <c r="I1741" s="71"/>
      <c r="J1741" s="71"/>
      <c r="K1741" s="71"/>
      <c r="L1741" s="71"/>
      <c r="M1741" s="71"/>
      <c r="N1741" s="71"/>
      <c r="O1741" s="71"/>
      <c r="P1741" s="71"/>
      <c r="Q1741" s="71"/>
      <c r="R1741" s="71"/>
      <c r="S1741" s="71"/>
      <c r="T1741" s="15"/>
    </row>
    <row r="1742">
      <c r="A1742" s="69"/>
      <c r="B1742" s="69"/>
      <c r="C1742" s="70"/>
      <c r="D1742" s="70"/>
      <c r="E1742" s="69"/>
      <c r="F1742" s="69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69"/>
      <c r="T1742" s="15"/>
    </row>
    <row r="1743">
      <c r="A1743" s="71"/>
      <c r="B1743" s="71"/>
      <c r="C1743" s="72"/>
      <c r="D1743" s="72"/>
      <c r="E1743" s="71"/>
      <c r="F1743" s="71"/>
      <c r="G1743" s="71"/>
      <c r="H1743" s="71"/>
      <c r="I1743" s="71"/>
      <c r="J1743" s="71"/>
      <c r="K1743" s="71"/>
      <c r="L1743" s="71"/>
      <c r="M1743" s="71"/>
      <c r="N1743" s="71"/>
      <c r="O1743" s="71"/>
      <c r="P1743" s="71"/>
      <c r="Q1743" s="71"/>
      <c r="R1743" s="71"/>
      <c r="S1743" s="71"/>
      <c r="T1743" s="15"/>
    </row>
    <row r="1744">
      <c r="A1744" s="69"/>
      <c r="B1744" s="69"/>
      <c r="C1744" s="70"/>
      <c r="D1744" s="70"/>
      <c r="E1744" s="69"/>
      <c r="F1744" s="69"/>
      <c r="G1744" s="69"/>
      <c r="H1744" s="69"/>
      <c r="I1744" s="69"/>
      <c r="J1744" s="69"/>
      <c r="K1744" s="69"/>
      <c r="L1744" s="69"/>
      <c r="M1744" s="69"/>
      <c r="N1744" s="69"/>
      <c r="O1744" s="69"/>
      <c r="P1744" s="69"/>
      <c r="Q1744" s="69"/>
      <c r="R1744" s="69"/>
      <c r="S1744" s="69"/>
      <c r="T1744" s="15"/>
    </row>
    <row r="1745">
      <c r="A1745" s="71"/>
      <c r="B1745" s="71"/>
      <c r="C1745" s="72"/>
      <c r="D1745" s="72"/>
      <c r="E1745" s="71"/>
      <c r="F1745" s="71"/>
      <c r="G1745" s="71"/>
      <c r="H1745" s="71"/>
      <c r="I1745" s="71"/>
      <c r="J1745" s="71"/>
      <c r="K1745" s="71"/>
      <c r="L1745" s="71"/>
      <c r="M1745" s="71"/>
      <c r="N1745" s="71"/>
      <c r="O1745" s="71"/>
      <c r="P1745" s="71"/>
      <c r="Q1745" s="71"/>
      <c r="R1745" s="71"/>
      <c r="S1745" s="71"/>
      <c r="T1745" s="15"/>
    </row>
    <row r="1746">
      <c r="A1746" s="69"/>
      <c r="B1746" s="69"/>
      <c r="C1746" s="70"/>
      <c r="D1746" s="70"/>
      <c r="E1746" s="69"/>
      <c r="F1746" s="69"/>
      <c r="G1746" s="69"/>
      <c r="H1746" s="69"/>
      <c r="I1746" s="69"/>
      <c r="J1746" s="69"/>
      <c r="K1746" s="69"/>
      <c r="L1746" s="69"/>
      <c r="M1746" s="69"/>
      <c r="N1746" s="69"/>
      <c r="O1746" s="69"/>
      <c r="P1746" s="69"/>
      <c r="Q1746" s="69"/>
      <c r="R1746" s="69"/>
      <c r="S1746" s="69"/>
      <c r="T1746" s="15"/>
    </row>
    <row r="1747">
      <c r="A1747" s="71"/>
      <c r="B1747" s="71"/>
      <c r="C1747" s="72"/>
      <c r="D1747" s="72"/>
      <c r="E1747" s="71"/>
      <c r="F1747" s="71"/>
      <c r="G1747" s="71"/>
      <c r="H1747" s="71"/>
      <c r="I1747" s="71"/>
      <c r="J1747" s="71"/>
      <c r="K1747" s="71"/>
      <c r="L1747" s="71"/>
      <c r="M1747" s="71"/>
      <c r="N1747" s="71"/>
      <c r="O1747" s="71"/>
      <c r="P1747" s="71"/>
      <c r="Q1747" s="71"/>
      <c r="R1747" s="71"/>
      <c r="S1747" s="71"/>
      <c r="T1747" s="15"/>
    </row>
    <row r="1748">
      <c r="A1748" s="69"/>
      <c r="B1748" s="69"/>
      <c r="C1748" s="70"/>
      <c r="D1748" s="70"/>
      <c r="E1748" s="69"/>
      <c r="F1748" s="69"/>
      <c r="G1748" s="69"/>
      <c r="H1748" s="69"/>
      <c r="I1748" s="69"/>
      <c r="J1748" s="69"/>
      <c r="K1748" s="69"/>
      <c r="L1748" s="69"/>
      <c r="M1748" s="69"/>
      <c r="N1748" s="69"/>
      <c r="O1748" s="69"/>
      <c r="P1748" s="69"/>
      <c r="Q1748" s="69"/>
      <c r="R1748" s="69"/>
      <c r="S1748" s="69"/>
      <c r="T1748" s="15"/>
    </row>
    <row r="1749">
      <c r="A1749" s="71"/>
      <c r="B1749" s="71"/>
      <c r="C1749" s="72"/>
      <c r="D1749" s="72"/>
      <c r="E1749" s="71"/>
      <c r="F1749" s="71"/>
      <c r="G1749" s="71"/>
      <c r="H1749" s="71"/>
      <c r="I1749" s="71"/>
      <c r="J1749" s="71"/>
      <c r="K1749" s="71"/>
      <c r="L1749" s="71"/>
      <c r="M1749" s="71"/>
      <c r="N1749" s="71"/>
      <c r="O1749" s="71"/>
      <c r="P1749" s="71"/>
      <c r="Q1749" s="71"/>
      <c r="R1749" s="71"/>
      <c r="S1749" s="71"/>
      <c r="T1749" s="15"/>
    </row>
    <row r="1750">
      <c r="A1750" s="69"/>
      <c r="B1750" s="69"/>
      <c r="C1750" s="70"/>
      <c r="D1750" s="70"/>
      <c r="E1750" s="69"/>
      <c r="F1750" s="69"/>
      <c r="G1750" s="69"/>
      <c r="H1750" s="69"/>
      <c r="I1750" s="69"/>
      <c r="J1750" s="69"/>
      <c r="K1750" s="69"/>
      <c r="L1750" s="69"/>
      <c r="M1750" s="69"/>
      <c r="N1750" s="69"/>
      <c r="O1750" s="69"/>
      <c r="P1750" s="69"/>
      <c r="Q1750" s="69"/>
      <c r="R1750" s="69"/>
      <c r="S1750" s="69"/>
      <c r="T1750" s="15"/>
    </row>
    <row r="1751">
      <c r="A1751" s="71"/>
      <c r="B1751" s="71"/>
      <c r="C1751" s="72"/>
      <c r="D1751" s="72"/>
      <c r="E1751" s="71"/>
      <c r="F1751" s="71"/>
      <c r="G1751" s="71"/>
      <c r="H1751" s="71"/>
      <c r="I1751" s="71"/>
      <c r="J1751" s="71"/>
      <c r="K1751" s="71"/>
      <c r="L1751" s="71"/>
      <c r="M1751" s="71"/>
      <c r="N1751" s="71"/>
      <c r="O1751" s="71"/>
      <c r="P1751" s="71"/>
      <c r="Q1751" s="71"/>
      <c r="R1751" s="71"/>
      <c r="S1751" s="71"/>
      <c r="T1751" s="15"/>
    </row>
    <row r="1752">
      <c r="A1752" s="69"/>
      <c r="B1752" s="69"/>
      <c r="C1752" s="70"/>
      <c r="D1752" s="70"/>
      <c r="E1752" s="69"/>
      <c r="F1752" s="69"/>
      <c r="G1752" s="69"/>
      <c r="H1752" s="69"/>
      <c r="I1752" s="69"/>
      <c r="J1752" s="69"/>
      <c r="K1752" s="69"/>
      <c r="L1752" s="69"/>
      <c r="M1752" s="69"/>
      <c r="N1752" s="69"/>
      <c r="O1752" s="69"/>
      <c r="P1752" s="69"/>
      <c r="Q1752" s="69"/>
      <c r="R1752" s="69"/>
      <c r="S1752" s="69"/>
      <c r="T1752" s="15"/>
    </row>
    <row r="1753">
      <c r="A1753" s="71"/>
      <c r="B1753" s="71"/>
      <c r="C1753" s="72"/>
      <c r="D1753" s="72"/>
      <c r="E1753" s="71"/>
      <c r="F1753" s="71"/>
      <c r="G1753" s="71"/>
      <c r="H1753" s="71"/>
      <c r="I1753" s="71"/>
      <c r="J1753" s="71"/>
      <c r="K1753" s="71"/>
      <c r="L1753" s="71"/>
      <c r="M1753" s="71"/>
      <c r="N1753" s="71"/>
      <c r="O1753" s="71"/>
      <c r="P1753" s="71"/>
      <c r="Q1753" s="71"/>
      <c r="R1753" s="71"/>
      <c r="S1753" s="71"/>
      <c r="T1753" s="15"/>
    </row>
    <row r="1754">
      <c r="A1754" s="69"/>
      <c r="B1754" s="69"/>
      <c r="C1754" s="70"/>
      <c r="D1754" s="70"/>
      <c r="E1754" s="69"/>
      <c r="F1754" s="69"/>
      <c r="G1754" s="69"/>
      <c r="H1754" s="69"/>
      <c r="I1754" s="69"/>
      <c r="J1754" s="69"/>
      <c r="K1754" s="69"/>
      <c r="L1754" s="69"/>
      <c r="M1754" s="69"/>
      <c r="N1754" s="69"/>
      <c r="O1754" s="69"/>
      <c r="P1754" s="69"/>
      <c r="Q1754" s="69"/>
      <c r="R1754" s="69"/>
      <c r="S1754" s="69"/>
      <c r="T1754" s="15"/>
    </row>
    <row r="1755">
      <c r="A1755" s="71"/>
      <c r="B1755" s="71"/>
      <c r="C1755" s="72"/>
      <c r="D1755" s="72"/>
      <c r="E1755" s="71"/>
      <c r="F1755" s="71"/>
      <c r="G1755" s="71"/>
      <c r="H1755" s="71"/>
      <c r="I1755" s="71"/>
      <c r="J1755" s="71"/>
      <c r="K1755" s="71"/>
      <c r="L1755" s="71"/>
      <c r="M1755" s="71"/>
      <c r="N1755" s="71"/>
      <c r="O1755" s="71"/>
      <c r="P1755" s="71"/>
      <c r="Q1755" s="71"/>
      <c r="R1755" s="71"/>
      <c r="S1755" s="71"/>
      <c r="T1755" s="15"/>
    </row>
    <row r="1756">
      <c r="A1756" s="69"/>
      <c r="B1756" s="69"/>
      <c r="C1756" s="70"/>
      <c r="D1756" s="70"/>
      <c r="E1756" s="69"/>
      <c r="F1756" s="69"/>
      <c r="G1756" s="69"/>
      <c r="H1756" s="69"/>
      <c r="I1756" s="69"/>
      <c r="J1756" s="69"/>
      <c r="K1756" s="69"/>
      <c r="L1756" s="69"/>
      <c r="M1756" s="69"/>
      <c r="N1756" s="69"/>
      <c r="O1756" s="69"/>
      <c r="P1756" s="69"/>
      <c r="Q1756" s="69"/>
      <c r="R1756" s="69"/>
      <c r="S1756" s="69"/>
      <c r="T1756" s="15"/>
    </row>
    <row r="1757">
      <c r="A1757" s="71"/>
      <c r="B1757" s="71"/>
      <c r="C1757" s="72"/>
      <c r="D1757" s="72"/>
      <c r="E1757" s="71"/>
      <c r="F1757" s="71"/>
      <c r="G1757" s="71"/>
      <c r="H1757" s="71"/>
      <c r="I1757" s="71"/>
      <c r="J1757" s="71"/>
      <c r="K1757" s="71"/>
      <c r="L1757" s="71"/>
      <c r="M1757" s="71"/>
      <c r="N1757" s="71"/>
      <c r="O1757" s="71"/>
      <c r="P1757" s="71"/>
      <c r="Q1757" s="71"/>
      <c r="R1757" s="71"/>
      <c r="S1757" s="71"/>
      <c r="T1757" s="15"/>
    </row>
    <row r="1758">
      <c r="A1758" s="69"/>
      <c r="B1758" s="69"/>
      <c r="C1758" s="70"/>
      <c r="D1758" s="70"/>
      <c r="E1758" s="69"/>
      <c r="F1758" s="69"/>
      <c r="G1758" s="69"/>
      <c r="H1758" s="69"/>
      <c r="I1758" s="69"/>
      <c r="J1758" s="69"/>
      <c r="K1758" s="69"/>
      <c r="L1758" s="69"/>
      <c r="M1758" s="69"/>
      <c r="N1758" s="69"/>
      <c r="O1758" s="69"/>
      <c r="P1758" s="69"/>
      <c r="Q1758" s="69"/>
      <c r="R1758" s="69"/>
      <c r="S1758" s="69"/>
      <c r="T1758" s="15"/>
    </row>
    <row r="1759">
      <c r="A1759" s="71"/>
      <c r="B1759" s="71"/>
      <c r="C1759" s="72"/>
      <c r="D1759" s="72"/>
      <c r="E1759" s="71"/>
      <c r="F1759" s="71"/>
      <c r="G1759" s="71"/>
      <c r="H1759" s="71"/>
      <c r="I1759" s="71"/>
      <c r="J1759" s="71"/>
      <c r="K1759" s="71"/>
      <c r="L1759" s="71"/>
      <c r="M1759" s="71"/>
      <c r="N1759" s="71"/>
      <c r="O1759" s="71"/>
      <c r="P1759" s="71"/>
      <c r="Q1759" s="71"/>
      <c r="R1759" s="71"/>
      <c r="S1759" s="71"/>
      <c r="T1759" s="15"/>
    </row>
    <row r="1760">
      <c r="A1760" s="69"/>
      <c r="B1760" s="69"/>
      <c r="C1760" s="70"/>
      <c r="D1760" s="70"/>
      <c r="E1760" s="69"/>
      <c r="F1760" s="69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69"/>
      <c r="T1760" s="15"/>
    </row>
    <row r="1761">
      <c r="A1761" s="71"/>
      <c r="B1761" s="71"/>
      <c r="C1761" s="72"/>
      <c r="D1761" s="72"/>
      <c r="E1761" s="71"/>
      <c r="F1761" s="71"/>
      <c r="G1761" s="71"/>
      <c r="H1761" s="71"/>
      <c r="I1761" s="71"/>
      <c r="J1761" s="71"/>
      <c r="K1761" s="71"/>
      <c r="L1761" s="71"/>
      <c r="M1761" s="71"/>
      <c r="N1761" s="71"/>
      <c r="O1761" s="71"/>
      <c r="P1761" s="71"/>
      <c r="Q1761" s="71"/>
      <c r="R1761" s="71"/>
      <c r="S1761" s="71"/>
      <c r="T1761" s="15"/>
    </row>
    <row r="1762">
      <c r="A1762" s="69"/>
      <c r="B1762" s="69"/>
      <c r="C1762" s="70"/>
      <c r="D1762" s="70"/>
      <c r="E1762" s="69"/>
      <c r="F1762" s="69"/>
      <c r="G1762" s="69"/>
      <c r="H1762" s="69"/>
      <c r="I1762" s="69"/>
      <c r="J1762" s="69"/>
      <c r="K1762" s="69"/>
      <c r="L1762" s="69"/>
      <c r="M1762" s="69"/>
      <c r="N1762" s="69"/>
      <c r="O1762" s="69"/>
      <c r="P1762" s="69"/>
      <c r="Q1762" s="69"/>
      <c r="R1762" s="69"/>
      <c r="S1762" s="69"/>
      <c r="T1762" s="15"/>
    </row>
    <row r="1763">
      <c r="A1763" s="71"/>
      <c r="B1763" s="71"/>
      <c r="C1763" s="72"/>
      <c r="D1763" s="72"/>
      <c r="E1763" s="71"/>
      <c r="F1763" s="71"/>
      <c r="G1763" s="71"/>
      <c r="H1763" s="71"/>
      <c r="I1763" s="71"/>
      <c r="J1763" s="71"/>
      <c r="K1763" s="71"/>
      <c r="L1763" s="71"/>
      <c r="M1763" s="71"/>
      <c r="N1763" s="71"/>
      <c r="O1763" s="71"/>
      <c r="P1763" s="71"/>
      <c r="Q1763" s="71"/>
      <c r="R1763" s="71"/>
      <c r="S1763" s="71"/>
      <c r="T1763" s="15"/>
    </row>
    <row r="1764">
      <c r="A1764" s="69"/>
      <c r="B1764" s="69"/>
      <c r="C1764" s="70"/>
      <c r="D1764" s="70"/>
      <c r="E1764" s="69"/>
      <c r="F1764" s="69"/>
      <c r="G1764" s="69"/>
      <c r="H1764" s="69"/>
      <c r="I1764" s="69"/>
      <c r="J1764" s="69"/>
      <c r="K1764" s="69"/>
      <c r="L1764" s="69"/>
      <c r="M1764" s="69"/>
      <c r="N1764" s="69"/>
      <c r="O1764" s="69"/>
      <c r="P1764" s="69"/>
      <c r="Q1764" s="69"/>
      <c r="R1764" s="69"/>
      <c r="S1764" s="69"/>
      <c r="T1764" s="15"/>
    </row>
    <row r="1765">
      <c r="A1765" s="71"/>
      <c r="B1765" s="71"/>
      <c r="C1765" s="72"/>
      <c r="D1765" s="72"/>
      <c r="E1765" s="71"/>
      <c r="F1765" s="71"/>
      <c r="G1765" s="71"/>
      <c r="H1765" s="71"/>
      <c r="I1765" s="71"/>
      <c r="J1765" s="71"/>
      <c r="K1765" s="71"/>
      <c r="L1765" s="71"/>
      <c r="M1765" s="71"/>
      <c r="N1765" s="71"/>
      <c r="O1765" s="71"/>
      <c r="P1765" s="71"/>
      <c r="Q1765" s="71"/>
      <c r="R1765" s="71"/>
      <c r="S1765" s="71"/>
      <c r="T1765" s="15"/>
    </row>
    <row r="1766">
      <c r="A1766" s="69"/>
      <c r="B1766" s="69"/>
      <c r="C1766" s="70"/>
      <c r="D1766" s="70"/>
      <c r="E1766" s="69"/>
      <c r="F1766" s="69"/>
      <c r="G1766" s="69"/>
      <c r="H1766" s="69"/>
      <c r="I1766" s="69"/>
      <c r="J1766" s="69"/>
      <c r="K1766" s="69"/>
      <c r="L1766" s="69"/>
      <c r="M1766" s="69"/>
      <c r="N1766" s="69"/>
      <c r="O1766" s="69"/>
      <c r="P1766" s="69"/>
      <c r="Q1766" s="69"/>
      <c r="R1766" s="69"/>
      <c r="S1766" s="69"/>
      <c r="T1766" s="15"/>
    </row>
    <row r="1767">
      <c r="A1767" s="71"/>
      <c r="B1767" s="71"/>
      <c r="C1767" s="72"/>
      <c r="D1767" s="72"/>
      <c r="E1767" s="71"/>
      <c r="F1767" s="71"/>
      <c r="G1767" s="71"/>
      <c r="H1767" s="71"/>
      <c r="I1767" s="71"/>
      <c r="J1767" s="71"/>
      <c r="K1767" s="71"/>
      <c r="L1767" s="71"/>
      <c r="M1767" s="71"/>
      <c r="N1767" s="71"/>
      <c r="O1767" s="71"/>
      <c r="P1767" s="71"/>
      <c r="Q1767" s="71"/>
      <c r="R1767" s="71"/>
      <c r="S1767" s="71"/>
      <c r="T1767" s="15"/>
    </row>
    <row r="1768">
      <c r="A1768" s="69"/>
      <c r="B1768" s="69"/>
      <c r="C1768" s="70"/>
      <c r="D1768" s="70"/>
      <c r="E1768" s="69"/>
      <c r="F1768" s="69"/>
      <c r="G1768" s="69"/>
      <c r="H1768" s="69"/>
      <c r="I1768" s="69"/>
      <c r="J1768" s="69"/>
      <c r="K1768" s="69"/>
      <c r="L1768" s="69"/>
      <c r="M1768" s="69"/>
      <c r="N1768" s="69"/>
      <c r="O1768" s="69"/>
      <c r="P1768" s="69"/>
      <c r="Q1768" s="69"/>
      <c r="R1768" s="69"/>
      <c r="S1768" s="69"/>
      <c r="T1768" s="15"/>
    </row>
    <row r="1769">
      <c r="A1769" s="71"/>
      <c r="B1769" s="71"/>
      <c r="C1769" s="72"/>
      <c r="D1769" s="72"/>
      <c r="E1769" s="71"/>
      <c r="F1769" s="71"/>
      <c r="G1769" s="71"/>
      <c r="H1769" s="71"/>
      <c r="I1769" s="71"/>
      <c r="J1769" s="71"/>
      <c r="K1769" s="71"/>
      <c r="L1769" s="71"/>
      <c r="M1769" s="71"/>
      <c r="N1769" s="71"/>
      <c r="O1769" s="71"/>
      <c r="P1769" s="71"/>
      <c r="Q1769" s="71"/>
      <c r="R1769" s="71"/>
      <c r="S1769" s="71"/>
      <c r="T1769" s="15"/>
    </row>
    <row r="1770">
      <c r="A1770" s="69"/>
      <c r="B1770" s="69"/>
      <c r="C1770" s="70"/>
      <c r="D1770" s="70"/>
      <c r="E1770" s="69"/>
      <c r="F1770" s="69"/>
      <c r="G1770" s="69"/>
      <c r="H1770" s="69"/>
      <c r="I1770" s="69"/>
      <c r="J1770" s="69"/>
      <c r="K1770" s="69"/>
      <c r="L1770" s="69"/>
      <c r="M1770" s="69"/>
      <c r="N1770" s="69"/>
      <c r="O1770" s="69"/>
      <c r="P1770" s="69"/>
      <c r="Q1770" s="69"/>
      <c r="R1770" s="69"/>
      <c r="S1770" s="69"/>
      <c r="T1770" s="15"/>
    </row>
    <row r="1771">
      <c r="A1771" s="71"/>
      <c r="B1771" s="71"/>
      <c r="C1771" s="72"/>
      <c r="D1771" s="72"/>
      <c r="E1771" s="71"/>
      <c r="F1771" s="71"/>
      <c r="G1771" s="71"/>
      <c r="H1771" s="71"/>
      <c r="I1771" s="71"/>
      <c r="J1771" s="71"/>
      <c r="K1771" s="71"/>
      <c r="L1771" s="71"/>
      <c r="M1771" s="71"/>
      <c r="N1771" s="71"/>
      <c r="O1771" s="71"/>
      <c r="P1771" s="71"/>
      <c r="Q1771" s="71"/>
      <c r="R1771" s="71"/>
      <c r="S1771" s="71"/>
      <c r="T1771" s="15"/>
    </row>
    <row r="1772">
      <c r="A1772" s="69"/>
      <c r="B1772" s="69"/>
      <c r="C1772" s="70"/>
      <c r="D1772" s="70"/>
      <c r="E1772" s="69"/>
      <c r="F1772" s="69"/>
      <c r="G1772" s="69"/>
      <c r="H1772" s="69"/>
      <c r="I1772" s="69"/>
      <c r="J1772" s="69"/>
      <c r="K1772" s="69"/>
      <c r="L1772" s="69"/>
      <c r="M1772" s="69"/>
      <c r="N1772" s="69"/>
      <c r="O1772" s="69"/>
      <c r="P1772" s="69"/>
      <c r="Q1772" s="69"/>
      <c r="R1772" s="69"/>
      <c r="S1772" s="69"/>
      <c r="T1772" s="15"/>
    </row>
    <row r="1773">
      <c r="A1773" s="71"/>
      <c r="B1773" s="71"/>
      <c r="C1773" s="72"/>
      <c r="D1773" s="72"/>
      <c r="E1773" s="71"/>
      <c r="F1773" s="71"/>
      <c r="G1773" s="71"/>
      <c r="H1773" s="71"/>
      <c r="I1773" s="71"/>
      <c r="J1773" s="71"/>
      <c r="K1773" s="71"/>
      <c r="L1773" s="71"/>
      <c r="M1773" s="71"/>
      <c r="N1773" s="71"/>
      <c r="O1773" s="71"/>
      <c r="P1773" s="71"/>
      <c r="Q1773" s="71"/>
      <c r="R1773" s="71"/>
      <c r="S1773" s="71"/>
      <c r="T1773" s="15"/>
    </row>
    <row r="1774">
      <c r="A1774" s="69"/>
      <c r="B1774" s="69"/>
      <c r="C1774" s="70"/>
      <c r="D1774" s="70"/>
      <c r="E1774" s="69"/>
      <c r="F1774" s="69"/>
      <c r="G1774" s="69"/>
      <c r="H1774" s="69"/>
      <c r="I1774" s="69"/>
      <c r="J1774" s="69"/>
      <c r="K1774" s="69"/>
      <c r="L1774" s="69"/>
      <c r="M1774" s="69"/>
      <c r="N1774" s="69"/>
      <c r="O1774" s="69"/>
      <c r="P1774" s="69"/>
      <c r="Q1774" s="69"/>
      <c r="R1774" s="69"/>
      <c r="S1774" s="69"/>
      <c r="T1774" s="15"/>
    </row>
    <row r="1775">
      <c r="A1775" s="71"/>
      <c r="B1775" s="71"/>
      <c r="C1775" s="72"/>
      <c r="D1775" s="72"/>
      <c r="E1775" s="71"/>
      <c r="F1775" s="71"/>
      <c r="G1775" s="71"/>
      <c r="H1775" s="71"/>
      <c r="I1775" s="71"/>
      <c r="J1775" s="71"/>
      <c r="K1775" s="71"/>
      <c r="L1775" s="71"/>
      <c r="M1775" s="71"/>
      <c r="N1775" s="71"/>
      <c r="O1775" s="71"/>
      <c r="P1775" s="71"/>
      <c r="Q1775" s="71"/>
      <c r="R1775" s="71"/>
      <c r="S1775" s="71"/>
      <c r="T1775" s="15"/>
    </row>
    <row r="1776">
      <c r="A1776" s="69"/>
      <c r="B1776" s="69"/>
      <c r="C1776" s="70"/>
      <c r="D1776" s="70"/>
      <c r="E1776" s="69"/>
      <c r="F1776" s="69"/>
      <c r="G1776" s="69"/>
      <c r="H1776" s="69"/>
      <c r="I1776" s="69"/>
      <c r="J1776" s="69"/>
      <c r="K1776" s="69"/>
      <c r="L1776" s="69"/>
      <c r="M1776" s="69"/>
      <c r="N1776" s="69"/>
      <c r="O1776" s="69"/>
      <c r="P1776" s="69"/>
      <c r="Q1776" s="69"/>
      <c r="R1776" s="69"/>
      <c r="S1776" s="69"/>
      <c r="T1776" s="15"/>
    </row>
    <row r="1777">
      <c r="A1777" s="71"/>
      <c r="B1777" s="71"/>
      <c r="C1777" s="72"/>
      <c r="D1777" s="72"/>
      <c r="E1777" s="71"/>
      <c r="F1777" s="71"/>
      <c r="G1777" s="71"/>
      <c r="H1777" s="71"/>
      <c r="I1777" s="71"/>
      <c r="J1777" s="71"/>
      <c r="K1777" s="71"/>
      <c r="L1777" s="71"/>
      <c r="M1777" s="71"/>
      <c r="N1777" s="71"/>
      <c r="O1777" s="71"/>
      <c r="P1777" s="71"/>
      <c r="Q1777" s="71"/>
      <c r="R1777" s="71"/>
      <c r="S1777" s="71"/>
      <c r="T1777" s="15"/>
    </row>
    <row r="1778">
      <c r="A1778" s="69"/>
      <c r="B1778" s="69"/>
      <c r="C1778" s="70"/>
      <c r="D1778" s="70"/>
      <c r="E1778" s="69"/>
      <c r="F1778" s="69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69"/>
      <c r="T1778" s="15"/>
    </row>
    <row r="1779">
      <c r="A1779" s="71"/>
      <c r="B1779" s="71"/>
      <c r="C1779" s="72"/>
      <c r="D1779" s="72"/>
      <c r="E1779" s="71"/>
      <c r="F1779" s="71"/>
      <c r="G1779" s="71"/>
      <c r="H1779" s="71"/>
      <c r="I1779" s="71"/>
      <c r="J1779" s="71"/>
      <c r="K1779" s="71"/>
      <c r="L1779" s="71"/>
      <c r="M1779" s="71"/>
      <c r="N1779" s="71"/>
      <c r="O1779" s="71"/>
      <c r="P1779" s="71"/>
      <c r="Q1779" s="71"/>
      <c r="R1779" s="71"/>
      <c r="S1779" s="71"/>
      <c r="T1779" s="15"/>
    </row>
    <row r="1780">
      <c r="A1780" s="69"/>
      <c r="B1780" s="69"/>
      <c r="C1780" s="70"/>
      <c r="D1780" s="70"/>
      <c r="E1780" s="69"/>
      <c r="F1780" s="69"/>
      <c r="G1780" s="69"/>
      <c r="H1780" s="69"/>
      <c r="I1780" s="69"/>
      <c r="J1780" s="69"/>
      <c r="K1780" s="69"/>
      <c r="L1780" s="69"/>
      <c r="M1780" s="69"/>
      <c r="N1780" s="69"/>
      <c r="O1780" s="69"/>
      <c r="P1780" s="69"/>
      <c r="Q1780" s="69"/>
      <c r="R1780" s="69"/>
      <c r="S1780" s="69"/>
      <c r="T1780" s="15"/>
    </row>
    <row r="1781">
      <c r="A1781" s="71"/>
      <c r="B1781" s="71"/>
      <c r="C1781" s="72"/>
      <c r="D1781" s="72"/>
      <c r="E1781" s="71"/>
      <c r="F1781" s="71"/>
      <c r="G1781" s="71"/>
      <c r="H1781" s="71"/>
      <c r="I1781" s="71"/>
      <c r="J1781" s="71"/>
      <c r="K1781" s="71"/>
      <c r="L1781" s="71"/>
      <c r="M1781" s="71"/>
      <c r="N1781" s="71"/>
      <c r="O1781" s="71"/>
      <c r="P1781" s="71"/>
      <c r="Q1781" s="71"/>
      <c r="R1781" s="71"/>
      <c r="S1781" s="71"/>
      <c r="T1781" s="15"/>
    </row>
    <row r="1782">
      <c r="A1782" s="69"/>
      <c r="B1782" s="69"/>
      <c r="C1782" s="70"/>
      <c r="D1782" s="70"/>
      <c r="E1782" s="69"/>
      <c r="F1782" s="69"/>
      <c r="G1782" s="69"/>
      <c r="H1782" s="69"/>
      <c r="I1782" s="69"/>
      <c r="J1782" s="69"/>
      <c r="K1782" s="69"/>
      <c r="L1782" s="69"/>
      <c r="M1782" s="69"/>
      <c r="N1782" s="69"/>
      <c r="O1782" s="69"/>
      <c r="P1782" s="69"/>
      <c r="Q1782" s="69"/>
      <c r="R1782" s="69"/>
      <c r="S1782" s="69"/>
      <c r="T1782" s="15"/>
    </row>
    <row r="1783">
      <c r="A1783" s="71"/>
      <c r="B1783" s="71"/>
      <c r="C1783" s="72"/>
      <c r="D1783" s="72"/>
      <c r="E1783" s="71"/>
      <c r="F1783" s="71"/>
      <c r="G1783" s="71"/>
      <c r="H1783" s="71"/>
      <c r="I1783" s="71"/>
      <c r="J1783" s="71"/>
      <c r="K1783" s="71"/>
      <c r="L1783" s="71"/>
      <c r="M1783" s="71"/>
      <c r="N1783" s="71"/>
      <c r="O1783" s="71"/>
      <c r="P1783" s="71"/>
      <c r="Q1783" s="71"/>
      <c r="R1783" s="71"/>
      <c r="S1783" s="71"/>
      <c r="T1783" s="15"/>
    </row>
    <row r="1784">
      <c r="A1784" s="69"/>
      <c r="B1784" s="69"/>
      <c r="C1784" s="70"/>
      <c r="D1784" s="70"/>
      <c r="E1784" s="69"/>
      <c r="F1784" s="69"/>
      <c r="G1784" s="69"/>
      <c r="H1784" s="69"/>
      <c r="I1784" s="69"/>
      <c r="J1784" s="69"/>
      <c r="K1784" s="69"/>
      <c r="L1784" s="69"/>
      <c r="M1784" s="69"/>
      <c r="N1784" s="69"/>
      <c r="O1784" s="69"/>
      <c r="P1784" s="69"/>
      <c r="Q1784" s="69"/>
      <c r="R1784" s="69"/>
      <c r="S1784" s="69"/>
      <c r="T1784" s="15"/>
    </row>
    <row r="1785">
      <c r="A1785" s="71"/>
      <c r="B1785" s="71"/>
      <c r="C1785" s="72"/>
      <c r="D1785" s="72"/>
      <c r="E1785" s="71"/>
      <c r="F1785" s="71"/>
      <c r="G1785" s="71"/>
      <c r="H1785" s="71"/>
      <c r="I1785" s="71"/>
      <c r="J1785" s="71"/>
      <c r="K1785" s="71"/>
      <c r="L1785" s="71"/>
      <c r="M1785" s="71"/>
      <c r="N1785" s="71"/>
      <c r="O1785" s="71"/>
      <c r="P1785" s="71"/>
      <c r="Q1785" s="71"/>
      <c r="R1785" s="71"/>
      <c r="S1785" s="71"/>
      <c r="T1785" s="15"/>
    </row>
    <row r="1786">
      <c r="A1786" s="69"/>
      <c r="B1786" s="69"/>
      <c r="C1786" s="70"/>
      <c r="D1786" s="70"/>
      <c r="E1786" s="69"/>
      <c r="F1786" s="69"/>
      <c r="G1786" s="69"/>
      <c r="H1786" s="69"/>
      <c r="I1786" s="69"/>
      <c r="J1786" s="69"/>
      <c r="K1786" s="69"/>
      <c r="L1786" s="69"/>
      <c r="M1786" s="69"/>
      <c r="N1786" s="69"/>
      <c r="O1786" s="69"/>
      <c r="P1786" s="69"/>
      <c r="Q1786" s="69"/>
      <c r="R1786" s="69"/>
      <c r="S1786" s="69"/>
      <c r="T1786" s="15"/>
    </row>
    <row r="1787">
      <c r="A1787" s="71"/>
      <c r="B1787" s="71"/>
      <c r="C1787" s="72"/>
      <c r="D1787" s="72"/>
      <c r="E1787" s="71"/>
      <c r="F1787" s="71"/>
      <c r="G1787" s="71"/>
      <c r="H1787" s="71"/>
      <c r="I1787" s="71"/>
      <c r="J1787" s="71"/>
      <c r="K1787" s="71"/>
      <c r="L1787" s="71"/>
      <c r="M1787" s="71"/>
      <c r="N1787" s="71"/>
      <c r="O1787" s="71"/>
      <c r="P1787" s="71"/>
      <c r="Q1787" s="71"/>
      <c r="R1787" s="71"/>
      <c r="S1787" s="71"/>
      <c r="T1787" s="15"/>
    </row>
    <row r="1788">
      <c r="A1788" s="69"/>
      <c r="B1788" s="69"/>
      <c r="C1788" s="70"/>
      <c r="D1788" s="70"/>
      <c r="E1788" s="69"/>
      <c r="F1788" s="69"/>
      <c r="G1788" s="69"/>
      <c r="H1788" s="69"/>
      <c r="I1788" s="69"/>
      <c r="J1788" s="69"/>
      <c r="K1788" s="69"/>
      <c r="L1788" s="69"/>
      <c r="M1788" s="69"/>
      <c r="N1788" s="69"/>
      <c r="O1788" s="69"/>
      <c r="P1788" s="69"/>
      <c r="Q1788" s="69"/>
      <c r="R1788" s="69"/>
      <c r="S1788" s="69"/>
      <c r="T1788" s="15"/>
    </row>
    <row r="1789">
      <c r="A1789" s="71"/>
      <c r="B1789" s="71"/>
      <c r="C1789" s="72"/>
      <c r="D1789" s="72"/>
      <c r="E1789" s="71"/>
      <c r="F1789" s="71"/>
      <c r="G1789" s="71"/>
      <c r="H1789" s="71"/>
      <c r="I1789" s="71"/>
      <c r="J1789" s="71"/>
      <c r="K1789" s="71"/>
      <c r="L1789" s="71"/>
      <c r="M1789" s="71"/>
      <c r="N1789" s="71"/>
      <c r="O1789" s="71"/>
      <c r="P1789" s="71"/>
      <c r="Q1789" s="71"/>
      <c r="R1789" s="71"/>
      <c r="S1789" s="71"/>
      <c r="T1789" s="15"/>
    </row>
    <row r="1790">
      <c r="A1790" s="69"/>
      <c r="B1790" s="69"/>
      <c r="C1790" s="70"/>
      <c r="D1790" s="70"/>
      <c r="E1790" s="69"/>
      <c r="F1790" s="69"/>
      <c r="G1790" s="69"/>
      <c r="H1790" s="69"/>
      <c r="I1790" s="69"/>
      <c r="J1790" s="69"/>
      <c r="K1790" s="69"/>
      <c r="L1790" s="69"/>
      <c r="M1790" s="69"/>
      <c r="N1790" s="69"/>
      <c r="O1790" s="69"/>
      <c r="P1790" s="69"/>
      <c r="Q1790" s="69"/>
      <c r="R1790" s="69"/>
      <c r="S1790" s="69"/>
      <c r="T1790" s="15"/>
    </row>
    <row r="1791">
      <c r="A1791" s="71"/>
      <c r="B1791" s="71"/>
      <c r="C1791" s="72"/>
      <c r="D1791" s="72"/>
      <c r="E1791" s="71"/>
      <c r="F1791" s="71"/>
      <c r="G1791" s="71"/>
      <c r="H1791" s="71"/>
      <c r="I1791" s="71"/>
      <c r="J1791" s="71"/>
      <c r="K1791" s="71"/>
      <c r="L1791" s="71"/>
      <c r="M1791" s="71"/>
      <c r="N1791" s="71"/>
      <c r="O1791" s="71"/>
      <c r="P1791" s="71"/>
      <c r="Q1791" s="71"/>
      <c r="R1791" s="71"/>
      <c r="S1791" s="71"/>
      <c r="T1791" s="15"/>
    </row>
    <row r="1792">
      <c r="A1792" s="69"/>
      <c r="B1792" s="69"/>
      <c r="C1792" s="70"/>
      <c r="D1792" s="70"/>
      <c r="E1792" s="69"/>
      <c r="F1792" s="69"/>
      <c r="G1792" s="69"/>
      <c r="H1792" s="69"/>
      <c r="I1792" s="69"/>
      <c r="J1792" s="69"/>
      <c r="K1792" s="69"/>
      <c r="L1792" s="69"/>
      <c r="M1792" s="69"/>
      <c r="N1792" s="69"/>
      <c r="O1792" s="69"/>
      <c r="P1792" s="69"/>
      <c r="Q1792" s="69"/>
      <c r="R1792" s="69"/>
      <c r="S1792" s="69"/>
      <c r="T1792" s="15"/>
    </row>
    <row r="1793">
      <c r="A1793" s="71"/>
      <c r="B1793" s="71"/>
      <c r="C1793" s="72"/>
      <c r="D1793" s="72"/>
      <c r="E1793" s="71"/>
      <c r="F1793" s="71"/>
      <c r="G1793" s="71"/>
      <c r="H1793" s="71"/>
      <c r="I1793" s="71"/>
      <c r="J1793" s="71"/>
      <c r="K1793" s="71"/>
      <c r="L1793" s="71"/>
      <c r="M1793" s="71"/>
      <c r="N1793" s="71"/>
      <c r="O1793" s="71"/>
      <c r="P1793" s="71"/>
      <c r="Q1793" s="71"/>
      <c r="R1793" s="71"/>
      <c r="S1793" s="71"/>
      <c r="T1793" s="15"/>
    </row>
    <row r="1794">
      <c r="A1794" s="69"/>
      <c r="B1794" s="69"/>
      <c r="C1794" s="70"/>
      <c r="D1794" s="70"/>
      <c r="E1794" s="69"/>
      <c r="F1794" s="69"/>
      <c r="G1794" s="69"/>
      <c r="H1794" s="69"/>
      <c r="I1794" s="69"/>
      <c r="J1794" s="69"/>
      <c r="K1794" s="69"/>
      <c r="L1794" s="69"/>
      <c r="M1794" s="69"/>
      <c r="N1794" s="69"/>
      <c r="O1794" s="69"/>
      <c r="P1794" s="69"/>
      <c r="Q1794" s="69"/>
      <c r="R1794" s="69"/>
      <c r="S1794" s="69"/>
      <c r="T1794" s="15"/>
    </row>
    <row r="1795">
      <c r="A1795" s="71"/>
      <c r="B1795" s="71"/>
      <c r="C1795" s="72"/>
      <c r="D1795" s="72"/>
      <c r="E1795" s="71"/>
      <c r="F1795" s="71"/>
      <c r="G1795" s="71"/>
      <c r="H1795" s="71"/>
      <c r="I1795" s="71"/>
      <c r="J1795" s="71"/>
      <c r="K1795" s="71"/>
      <c r="L1795" s="71"/>
      <c r="M1795" s="71"/>
      <c r="N1795" s="71"/>
      <c r="O1795" s="71"/>
      <c r="P1795" s="71"/>
      <c r="Q1795" s="71"/>
      <c r="R1795" s="71"/>
      <c r="S1795" s="71"/>
      <c r="T1795" s="15"/>
    </row>
    <row r="1796">
      <c r="A1796" s="69"/>
      <c r="B1796" s="69"/>
      <c r="C1796" s="70"/>
      <c r="D1796" s="70"/>
      <c r="E1796" s="69"/>
      <c r="F1796" s="69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69"/>
      <c r="T1796" s="15"/>
    </row>
    <row r="1797">
      <c r="A1797" s="71"/>
      <c r="B1797" s="71"/>
      <c r="C1797" s="72"/>
      <c r="D1797" s="72"/>
      <c r="E1797" s="71"/>
      <c r="F1797" s="71"/>
      <c r="G1797" s="71"/>
      <c r="H1797" s="71"/>
      <c r="I1797" s="71"/>
      <c r="J1797" s="71"/>
      <c r="K1797" s="71"/>
      <c r="L1797" s="71"/>
      <c r="M1797" s="71"/>
      <c r="N1797" s="71"/>
      <c r="O1797" s="71"/>
      <c r="P1797" s="71"/>
      <c r="Q1797" s="71"/>
      <c r="R1797" s="71"/>
      <c r="S1797" s="71"/>
      <c r="T1797" s="15"/>
    </row>
    <row r="1798">
      <c r="A1798" s="69"/>
      <c r="B1798" s="69"/>
      <c r="C1798" s="70"/>
      <c r="D1798" s="70"/>
      <c r="E1798" s="69"/>
      <c r="F1798" s="69"/>
      <c r="G1798" s="69"/>
      <c r="H1798" s="69"/>
      <c r="I1798" s="69"/>
      <c r="J1798" s="69"/>
      <c r="K1798" s="69"/>
      <c r="L1798" s="69"/>
      <c r="M1798" s="69"/>
      <c r="N1798" s="69"/>
      <c r="O1798" s="69"/>
      <c r="P1798" s="69"/>
      <c r="Q1798" s="69"/>
      <c r="R1798" s="69"/>
      <c r="S1798" s="69"/>
      <c r="T1798" s="15"/>
    </row>
    <row r="1799">
      <c r="A1799" s="71"/>
      <c r="B1799" s="71"/>
      <c r="C1799" s="72"/>
      <c r="D1799" s="72"/>
      <c r="E1799" s="71"/>
      <c r="F1799" s="71"/>
      <c r="G1799" s="71"/>
      <c r="H1799" s="71"/>
      <c r="I1799" s="71"/>
      <c r="J1799" s="71"/>
      <c r="K1799" s="71"/>
      <c r="L1799" s="71"/>
      <c r="M1799" s="71"/>
      <c r="N1799" s="71"/>
      <c r="O1799" s="71"/>
      <c r="P1799" s="71"/>
      <c r="Q1799" s="71"/>
      <c r="R1799" s="71"/>
      <c r="S1799" s="71"/>
      <c r="T1799" s="15"/>
    </row>
    <row r="1800">
      <c r="A1800" s="69"/>
      <c r="B1800" s="69"/>
      <c r="C1800" s="70"/>
      <c r="D1800" s="70"/>
      <c r="E1800" s="69"/>
      <c r="F1800" s="69"/>
      <c r="G1800" s="69"/>
      <c r="H1800" s="69"/>
      <c r="I1800" s="69"/>
      <c r="J1800" s="69"/>
      <c r="K1800" s="69"/>
      <c r="L1800" s="69"/>
      <c r="M1800" s="69"/>
      <c r="N1800" s="69"/>
      <c r="O1800" s="69"/>
      <c r="P1800" s="69"/>
      <c r="Q1800" s="69"/>
      <c r="R1800" s="69"/>
      <c r="S1800" s="69"/>
      <c r="T1800" s="15"/>
    </row>
    <row r="1801">
      <c r="A1801" s="71"/>
      <c r="B1801" s="71"/>
      <c r="C1801" s="72"/>
      <c r="D1801" s="72"/>
      <c r="E1801" s="71"/>
      <c r="F1801" s="71"/>
      <c r="G1801" s="71"/>
      <c r="H1801" s="71"/>
      <c r="I1801" s="71"/>
      <c r="J1801" s="71"/>
      <c r="K1801" s="71"/>
      <c r="L1801" s="71"/>
      <c r="M1801" s="71"/>
      <c r="N1801" s="71"/>
      <c r="O1801" s="71"/>
      <c r="P1801" s="71"/>
      <c r="Q1801" s="71"/>
      <c r="R1801" s="71"/>
      <c r="S1801" s="71"/>
      <c r="T1801" s="15"/>
    </row>
    <row r="1802">
      <c r="A1802" s="69"/>
      <c r="B1802" s="69"/>
      <c r="C1802" s="70"/>
      <c r="D1802" s="70"/>
      <c r="E1802" s="69"/>
      <c r="F1802" s="69"/>
      <c r="G1802" s="69"/>
      <c r="H1802" s="69"/>
      <c r="I1802" s="69"/>
      <c r="J1802" s="69"/>
      <c r="K1802" s="69"/>
      <c r="L1802" s="69"/>
      <c r="M1802" s="69"/>
      <c r="N1802" s="69"/>
      <c r="O1802" s="69"/>
      <c r="P1802" s="69"/>
      <c r="Q1802" s="69"/>
      <c r="R1802" s="69"/>
      <c r="S1802" s="69"/>
      <c r="T1802" s="15"/>
    </row>
    <row r="1803">
      <c r="A1803" s="71"/>
      <c r="B1803" s="71"/>
      <c r="C1803" s="72"/>
      <c r="D1803" s="72"/>
      <c r="E1803" s="71"/>
      <c r="F1803" s="71"/>
      <c r="G1803" s="71"/>
      <c r="H1803" s="71"/>
      <c r="I1803" s="71"/>
      <c r="J1803" s="71"/>
      <c r="K1803" s="71"/>
      <c r="L1803" s="71"/>
      <c r="M1803" s="71"/>
      <c r="N1803" s="71"/>
      <c r="O1803" s="71"/>
      <c r="P1803" s="71"/>
      <c r="Q1803" s="71"/>
      <c r="R1803" s="71"/>
      <c r="S1803" s="71"/>
      <c r="T1803" s="15"/>
    </row>
    <row r="1804">
      <c r="A1804" s="69"/>
      <c r="B1804" s="69"/>
      <c r="C1804" s="70"/>
      <c r="D1804" s="70"/>
      <c r="E1804" s="69"/>
      <c r="F1804" s="69"/>
      <c r="G1804" s="69"/>
      <c r="H1804" s="69"/>
      <c r="I1804" s="69"/>
      <c r="J1804" s="69"/>
      <c r="K1804" s="69"/>
      <c r="L1804" s="69"/>
      <c r="M1804" s="69"/>
      <c r="N1804" s="69"/>
      <c r="O1804" s="69"/>
      <c r="P1804" s="69"/>
      <c r="Q1804" s="69"/>
      <c r="R1804" s="69"/>
      <c r="S1804" s="69"/>
      <c r="T1804" s="15"/>
    </row>
    <row r="1805">
      <c r="A1805" s="71"/>
      <c r="B1805" s="71"/>
      <c r="C1805" s="72"/>
      <c r="D1805" s="72"/>
      <c r="E1805" s="71"/>
      <c r="F1805" s="71"/>
      <c r="G1805" s="71"/>
      <c r="H1805" s="71"/>
      <c r="I1805" s="71"/>
      <c r="J1805" s="71"/>
      <c r="K1805" s="71"/>
      <c r="L1805" s="71"/>
      <c r="M1805" s="71"/>
      <c r="N1805" s="71"/>
      <c r="O1805" s="71"/>
      <c r="P1805" s="71"/>
      <c r="Q1805" s="71"/>
      <c r="R1805" s="71"/>
      <c r="S1805" s="71"/>
      <c r="T1805" s="15"/>
    </row>
    <row r="1806">
      <c r="A1806" s="69"/>
      <c r="B1806" s="69"/>
      <c r="C1806" s="70"/>
      <c r="D1806" s="70"/>
      <c r="E1806" s="69"/>
      <c r="F1806" s="69"/>
      <c r="G1806" s="69"/>
      <c r="H1806" s="69"/>
      <c r="I1806" s="69"/>
      <c r="J1806" s="69"/>
      <c r="K1806" s="69"/>
      <c r="L1806" s="69"/>
      <c r="M1806" s="69"/>
      <c r="N1806" s="69"/>
      <c r="O1806" s="69"/>
      <c r="P1806" s="69"/>
      <c r="Q1806" s="69"/>
      <c r="R1806" s="69"/>
      <c r="S1806" s="69"/>
      <c r="T1806" s="15"/>
    </row>
    <row r="1807">
      <c r="A1807" s="71"/>
      <c r="B1807" s="71"/>
      <c r="C1807" s="72"/>
      <c r="D1807" s="72"/>
      <c r="E1807" s="71"/>
      <c r="F1807" s="71"/>
      <c r="G1807" s="71"/>
      <c r="H1807" s="71"/>
      <c r="I1807" s="71"/>
      <c r="J1807" s="71"/>
      <c r="K1807" s="71"/>
      <c r="L1807" s="71"/>
      <c r="M1807" s="71"/>
      <c r="N1807" s="71"/>
      <c r="O1807" s="71"/>
      <c r="P1807" s="71"/>
      <c r="Q1807" s="71"/>
      <c r="R1807" s="71"/>
      <c r="S1807" s="71"/>
      <c r="T1807" s="15"/>
    </row>
    <row r="1808">
      <c r="A1808" s="69"/>
      <c r="B1808" s="69"/>
      <c r="C1808" s="70"/>
      <c r="D1808" s="70"/>
      <c r="E1808" s="69"/>
      <c r="F1808" s="69"/>
      <c r="G1808" s="69"/>
      <c r="H1808" s="69"/>
      <c r="I1808" s="69"/>
      <c r="J1808" s="69"/>
      <c r="K1808" s="69"/>
      <c r="L1808" s="69"/>
      <c r="M1808" s="69"/>
      <c r="N1808" s="69"/>
      <c r="O1808" s="69"/>
      <c r="P1808" s="69"/>
      <c r="Q1808" s="69"/>
      <c r="R1808" s="69"/>
      <c r="S1808" s="69"/>
      <c r="T1808" s="15"/>
    </row>
    <row r="1809">
      <c r="A1809" s="71"/>
      <c r="B1809" s="71"/>
      <c r="C1809" s="72"/>
      <c r="D1809" s="72"/>
      <c r="E1809" s="71"/>
      <c r="F1809" s="71"/>
      <c r="G1809" s="71"/>
      <c r="H1809" s="71"/>
      <c r="I1809" s="71"/>
      <c r="J1809" s="71"/>
      <c r="K1809" s="71"/>
      <c r="L1809" s="71"/>
      <c r="M1809" s="71"/>
      <c r="N1809" s="71"/>
      <c r="O1809" s="71"/>
      <c r="P1809" s="71"/>
      <c r="Q1809" s="71"/>
      <c r="R1809" s="71"/>
      <c r="S1809" s="71"/>
      <c r="T1809" s="15"/>
    </row>
    <row r="1810">
      <c r="A1810" s="69"/>
      <c r="B1810" s="69"/>
      <c r="C1810" s="70"/>
      <c r="D1810" s="70"/>
      <c r="E1810" s="69"/>
      <c r="F1810" s="69"/>
      <c r="G1810" s="69"/>
      <c r="H1810" s="69"/>
      <c r="I1810" s="69"/>
      <c r="J1810" s="69"/>
      <c r="K1810" s="69"/>
      <c r="L1810" s="69"/>
      <c r="M1810" s="69"/>
      <c r="N1810" s="69"/>
      <c r="O1810" s="69"/>
      <c r="P1810" s="69"/>
      <c r="Q1810" s="69"/>
      <c r="R1810" s="69"/>
      <c r="S1810" s="69"/>
      <c r="T1810" s="15"/>
    </row>
    <row r="1811">
      <c r="A1811" s="71"/>
      <c r="B1811" s="71"/>
      <c r="C1811" s="72"/>
      <c r="D1811" s="72"/>
      <c r="E1811" s="71"/>
      <c r="F1811" s="71"/>
      <c r="G1811" s="71"/>
      <c r="H1811" s="71"/>
      <c r="I1811" s="71"/>
      <c r="J1811" s="71"/>
      <c r="K1811" s="71"/>
      <c r="L1811" s="71"/>
      <c r="M1811" s="71"/>
      <c r="N1811" s="71"/>
      <c r="O1811" s="71"/>
      <c r="P1811" s="71"/>
      <c r="Q1811" s="71"/>
      <c r="R1811" s="71"/>
      <c r="S1811" s="71"/>
      <c r="T1811" s="15"/>
    </row>
    <row r="1812">
      <c r="A1812" s="69"/>
      <c r="B1812" s="69"/>
      <c r="C1812" s="70"/>
      <c r="D1812" s="70"/>
      <c r="E1812" s="69"/>
      <c r="F1812" s="69"/>
      <c r="G1812" s="69"/>
      <c r="H1812" s="69"/>
      <c r="I1812" s="69"/>
      <c r="J1812" s="69"/>
      <c r="K1812" s="69"/>
      <c r="L1812" s="69"/>
      <c r="M1812" s="69"/>
      <c r="N1812" s="69"/>
      <c r="O1812" s="69"/>
      <c r="P1812" s="69"/>
      <c r="Q1812" s="69"/>
      <c r="R1812" s="69"/>
      <c r="S1812" s="69"/>
      <c r="T1812" s="15"/>
    </row>
    <row r="1813">
      <c r="A1813" s="71"/>
      <c r="B1813" s="71"/>
      <c r="C1813" s="72"/>
      <c r="D1813" s="72"/>
      <c r="E1813" s="71"/>
      <c r="F1813" s="71"/>
      <c r="G1813" s="71"/>
      <c r="H1813" s="71"/>
      <c r="I1813" s="71"/>
      <c r="J1813" s="71"/>
      <c r="K1813" s="71"/>
      <c r="L1813" s="71"/>
      <c r="M1813" s="71"/>
      <c r="N1813" s="71"/>
      <c r="O1813" s="71"/>
      <c r="P1813" s="71"/>
      <c r="Q1813" s="71"/>
      <c r="R1813" s="71"/>
      <c r="S1813" s="71"/>
      <c r="T1813" s="15"/>
    </row>
    <row r="1814">
      <c r="A1814" s="69"/>
      <c r="B1814" s="69"/>
      <c r="C1814" s="70"/>
      <c r="D1814" s="70"/>
      <c r="E1814" s="69"/>
      <c r="F1814" s="69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69"/>
      <c r="T1814" s="15"/>
    </row>
    <row r="1815">
      <c r="A1815" s="71"/>
      <c r="B1815" s="71"/>
      <c r="C1815" s="72"/>
      <c r="D1815" s="72"/>
      <c r="E1815" s="71"/>
      <c r="F1815" s="71"/>
      <c r="G1815" s="71"/>
      <c r="H1815" s="71"/>
      <c r="I1815" s="71"/>
      <c r="J1815" s="71"/>
      <c r="K1815" s="71"/>
      <c r="L1815" s="71"/>
      <c r="M1815" s="71"/>
      <c r="N1815" s="71"/>
      <c r="O1815" s="71"/>
      <c r="P1815" s="71"/>
      <c r="Q1815" s="71"/>
      <c r="R1815" s="71"/>
      <c r="S1815" s="71"/>
      <c r="T1815" s="15"/>
    </row>
    <row r="1816">
      <c r="A1816" s="69"/>
      <c r="B1816" s="69"/>
      <c r="C1816" s="70"/>
      <c r="D1816" s="70"/>
      <c r="E1816" s="69"/>
      <c r="F1816" s="69"/>
      <c r="G1816" s="69"/>
      <c r="H1816" s="69"/>
      <c r="I1816" s="69"/>
      <c r="J1816" s="69"/>
      <c r="K1816" s="69"/>
      <c r="L1816" s="69"/>
      <c r="M1816" s="69"/>
      <c r="N1816" s="69"/>
      <c r="O1816" s="69"/>
      <c r="P1816" s="69"/>
      <c r="Q1816" s="69"/>
      <c r="R1816" s="69"/>
      <c r="S1816" s="69"/>
      <c r="T1816" s="15"/>
    </row>
    <row r="1817">
      <c r="A1817" s="71"/>
      <c r="B1817" s="71"/>
      <c r="C1817" s="72"/>
      <c r="D1817" s="72"/>
      <c r="E1817" s="71"/>
      <c r="F1817" s="71"/>
      <c r="G1817" s="71"/>
      <c r="H1817" s="71"/>
      <c r="I1817" s="71"/>
      <c r="J1817" s="71"/>
      <c r="K1817" s="71"/>
      <c r="L1817" s="71"/>
      <c r="M1817" s="71"/>
      <c r="N1817" s="71"/>
      <c r="O1817" s="71"/>
      <c r="P1817" s="71"/>
      <c r="Q1817" s="71"/>
      <c r="R1817" s="71"/>
      <c r="S1817" s="71"/>
      <c r="T1817" s="15"/>
    </row>
    <row r="1818">
      <c r="A1818" s="69"/>
      <c r="B1818" s="69"/>
      <c r="C1818" s="70"/>
      <c r="D1818" s="70"/>
      <c r="E1818" s="69"/>
      <c r="F1818" s="69"/>
      <c r="G1818" s="69"/>
      <c r="H1818" s="69"/>
      <c r="I1818" s="69"/>
      <c r="J1818" s="69"/>
      <c r="K1818" s="69"/>
      <c r="L1818" s="69"/>
      <c r="M1818" s="69"/>
      <c r="N1818" s="69"/>
      <c r="O1818" s="69"/>
      <c r="P1818" s="69"/>
      <c r="Q1818" s="69"/>
      <c r="R1818" s="69"/>
      <c r="S1818" s="69"/>
      <c r="T1818" s="15"/>
    </row>
    <row r="1819">
      <c r="A1819" s="71"/>
      <c r="B1819" s="71"/>
      <c r="C1819" s="72"/>
      <c r="D1819" s="72"/>
      <c r="E1819" s="71"/>
      <c r="F1819" s="71"/>
      <c r="G1819" s="71"/>
      <c r="H1819" s="71"/>
      <c r="I1819" s="71"/>
      <c r="J1819" s="71"/>
      <c r="K1819" s="71"/>
      <c r="L1819" s="71"/>
      <c r="M1819" s="71"/>
      <c r="N1819" s="71"/>
      <c r="O1819" s="71"/>
      <c r="P1819" s="71"/>
      <c r="Q1819" s="71"/>
      <c r="R1819" s="71"/>
      <c r="S1819" s="71"/>
      <c r="T1819" s="15"/>
    </row>
    <row r="1820">
      <c r="A1820" s="69"/>
      <c r="B1820" s="69"/>
      <c r="C1820" s="70"/>
      <c r="D1820" s="70"/>
      <c r="E1820" s="69"/>
      <c r="F1820" s="69"/>
      <c r="G1820" s="69"/>
      <c r="H1820" s="69"/>
      <c r="I1820" s="69"/>
      <c r="J1820" s="69"/>
      <c r="K1820" s="69"/>
      <c r="L1820" s="69"/>
      <c r="M1820" s="69"/>
      <c r="N1820" s="69"/>
      <c r="O1820" s="69"/>
      <c r="P1820" s="69"/>
      <c r="Q1820" s="69"/>
      <c r="R1820" s="69"/>
      <c r="S1820" s="69"/>
      <c r="T1820" s="15"/>
    </row>
    <row r="1821">
      <c r="A1821" s="71"/>
      <c r="B1821" s="71"/>
      <c r="C1821" s="72"/>
      <c r="D1821" s="72"/>
      <c r="E1821" s="71"/>
      <c r="F1821" s="71"/>
      <c r="G1821" s="71"/>
      <c r="H1821" s="71"/>
      <c r="I1821" s="71"/>
      <c r="J1821" s="71"/>
      <c r="K1821" s="71"/>
      <c r="L1821" s="71"/>
      <c r="M1821" s="71"/>
      <c r="N1821" s="71"/>
      <c r="O1821" s="71"/>
      <c r="P1821" s="71"/>
      <c r="Q1821" s="71"/>
      <c r="R1821" s="71"/>
      <c r="S1821" s="71"/>
      <c r="T1821" s="15"/>
    </row>
    <row r="1822">
      <c r="A1822" s="69"/>
      <c r="B1822" s="69"/>
      <c r="C1822" s="70"/>
      <c r="D1822" s="70"/>
      <c r="E1822" s="69"/>
      <c r="F1822" s="69"/>
      <c r="G1822" s="69"/>
      <c r="H1822" s="69"/>
      <c r="I1822" s="69"/>
      <c r="J1822" s="69"/>
      <c r="K1822" s="69"/>
      <c r="L1822" s="69"/>
      <c r="M1822" s="69"/>
      <c r="N1822" s="69"/>
      <c r="O1822" s="69"/>
      <c r="P1822" s="69"/>
      <c r="Q1822" s="69"/>
      <c r="R1822" s="69"/>
      <c r="S1822" s="69"/>
      <c r="T1822" s="15"/>
    </row>
    <row r="1823">
      <c r="A1823" s="71"/>
      <c r="B1823" s="71"/>
      <c r="C1823" s="72"/>
      <c r="D1823" s="72"/>
      <c r="E1823" s="71"/>
      <c r="F1823" s="71"/>
      <c r="G1823" s="71"/>
      <c r="H1823" s="71"/>
      <c r="I1823" s="71"/>
      <c r="J1823" s="71"/>
      <c r="K1823" s="71"/>
      <c r="L1823" s="71"/>
      <c r="M1823" s="71"/>
      <c r="N1823" s="71"/>
      <c r="O1823" s="71"/>
      <c r="P1823" s="71"/>
      <c r="Q1823" s="71"/>
      <c r="R1823" s="71"/>
      <c r="S1823" s="71"/>
      <c r="T1823" s="15"/>
    </row>
    <row r="1824">
      <c r="A1824" s="69"/>
      <c r="B1824" s="69"/>
      <c r="C1824" s="70"/>
      <c r="D1824" s="70"/>
      <c r="E1824" s="69"/>
      <c r="F1824" s="69"/>
      <c r="G1824" s="69"/>
      <c r="H1824" s="69"/>
      <c r="I1824" s="69"/>
      <c r="J1824" s="69"/>
      <c r="K1824" s="69"/>
      <c r="L1824" s="69"/>
      <c r="M1824" s="69"/>
      <c r="N1824" s="69"/>
      <c r="O1824" s="69"/>
      <c r="P1824" s="69"/>
      <c r="Q1824" s="69"/>
      <c r="R1824" s="69"/>
      <c r="S1824" s="69"/>
      <c r="T1824" s="15"/>
    </row>
    <row r="1825">
      <c r="A1825" s="71"/>
      <c r="B1825" s="71"/>
      <c r="C1825" s="72"/>
      <c r="D1825" s="72"/>
      <c r="E1825" s="71"/>
      <c r="F1825" s="71"/>
      <c r="G1825" s="71"/>
      <c r="H1825" s="71"/>
      <c r="I1825" s="71"/>
      <c r="J1825" s="71"/>
      <c r="K1825" s="71"/>
      <c r="L1825" s="71"/>
      <c r="M1825" s="71"/>
      <c r="N1825" s="71"/>
      <c r="O1825" s="71"/>
      <c r="P1825" s="71"/>
      <c r="Q1825" s="71"/>
      <c r="R1825" s="71"/>
      <c r="S1825" s="71"/>
      <c r="T1825" s="15"/>
    </row>
    <row r="1826">
      <c r="A1826" s="69"/>
      <c r="B1826" s="69"/>
      <c r="C1826" s="70"/>
      <c r="D1826" s="70"/>
      <c r="E1826" s="69"/>
      <c r="F1826" s="69"/>
      <c r="G1826" s="69"/>
      <c r="H1826" s="69"/>
      <c r="I1826" s="69"/>
      <c r="J1826" s="69"/>
      <c r="K1826" s="69"/>
      <c r="L1826" s="69"/>
      <c r="M1826" s="69"/>
      <c r="N1826" s="69"/>
      <c r="O1826" s="69"/>
      <c r="P1826" s="69"/>
      <c r="Q1826" s="69"/>
      <c r="R1826" s="69"/>
      <c r="S1826" s="69"/>
      <c r="T1826" s="15"/>
    </row>
    <row r="1827">
      <c r="A1827" s="71"/>
      <c r="B1827" s="71"/>
      <c r="C1827" s="72"/>
      <c r="D1827" s="72"/>
      <c r="E1827" s="71"/>
      <c r="F1827" s="71"/>
      <c r="G1827" s="71"/>
      <c r="H1827" s="71"/>
      <c r="I1827" s="71"/>
      <c r="J1827" s="71"/>
      <c r="K1827" s="71"/>
      <c r="L1827" s="71"/>
      <c r="M1827" s="71"/>
      <c r="N1827" s="71"/>
      <c r="O1827" s="71"/>
      <c r="P1827" s="71"/>
      <c r="Q1827" s="71"/>
      <c r="R1827" s="71"/>
      <c r="S1827" s="71"/>
      <c r="T1827" s="15"/>
    </row>
    <row r="1828">
      <c r="A1828" s="69"/>
      <c r="B1828" s="69"/>
      <c r="C1828" s="70"/>
      <c r="D1828" s="70"/>
      <c r="E1828" s="69"/>
      <c r="F1828" s="69"/>
      <c r="G1828" s="69"/>
      <c r="H1828" s="69"/>
      <c r="I1828" s="69"/>
      <c r="J1828" s="69"/>
      <c r="K1828" s="69"/>
      <c r="L1828" s="69"/>
      <c r="M1828" s="69"/>
      <c r="N1828" s="69"/>
      <c r="O1828" s="69"/>
      <c r="P1828" s="69"/>
      <c r="Q1828" s="69"/>
      <c r="R1828" s="69"/>
      <c r="S1828" s="69"/>
      <c r="T1828" s="15"/>
    </row>
    <row r="1829">
      <c r="A1829" s="71"/>
      <c r="B1829" s="71"/>
      <c r="C1829" s="72"/>
      <c r="D1829" s="72"/>
      <c r="E1829" s="71"/>
      <c r="F1829" s="71"/>
      <c r="G1829" s="71"/>
      <c r="H1829" s="71"/>
      <c r="I1829" s="71"/>
      <c r="J1829" s="71"/>
      <c r="K1829" s="71"/>
      <c r="L1829" s="71"/>
      <c r="M1829" s="71"/>
      <c r="N1829" s="71"/>
      <c r="O1829" s="71"/>
      <c r="P1829" s="71"/>
      <c r="Q1829" s="71"/>
      <c r="R1829" s="71"/>
      <c r="S1829" s="71"/>
      <c r="T1829" s="15"/>
    </row>
    <row r="1830">
      <c r="A1830" s="69"/>
      <c r="B1830" s="69"/>
      <c r="C1830" s="70"/>
      <c r="D1830" s="70"/>
      <c r="E1830" s="69"/>
      <c r="F1830" s="69"/>
      <c r="G1830" s="69"/>
      <c r="H1830" s="69"/>
      <c r="I1830" s="69"/>
      <c r="J1830" s="69"/>
      <c r="K1830" s="69"/>
      <c r="L1830" s="69"/>
      <c r="M1830" s="69"/>
      <c r="N1830" s="69"/>
      <c r="O1830" s="69"/>
      <c r="P1830" s="69"/>
      <c r="Q1830" s="69"/>
      <c r="R1830" s="69"/>
      <c r="S1830" s="69"/>
      <c r="T1830" s="15"/>
    </row>
    <row r="1831">
      <c r="A1831" s="71"/>
      <c r="B1831" s="71"/>
      <c r="C1831" s="72"/>
      <c r="D1831" s="72"/>
      <c r="E1831" s="71"/>
      <c r="F1831" s="71"/>
      <c r="G1831" s="71"/>
      <c r="H1831" s="71"/>
      <c r="I1831" s="71"/>
      <c r="J1831" s="71"/>
      <c r="K1831" s="71"/>
      <c r="L1831" s="71"/>
      <c r="M1831" s="71"/>
      <c r="N1831" s="71"/>
      <c r="O1831" s="71"/>
      <c r="P1831" s="71"/>
      <c r="Q1831" s="71"/>
      <c r="R1831" s="71"/>
      <c r="S1831" s="71"/>
      <c r="T1831" s="15"/>
    </row>
    <row r="1832">
      <c r="A1832" s="69"/>
      <c r="B1832" s="69"/>
      <c r="C1832" s="70"/>
      <c r="D1832" s="70"/>
      <c r="E1832" s="69"/>
      <c r="F1832" s="69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69"/>
      <c r="T1832" s="15"/>
    </row>
    <row r="1833">
      <c r="A1833" s="71"/>
      <c r="B1833" s="71"/>
      <c r="C1833" s="72"/>
      <c r="D1833" s="72"/>
      <c r="E1833" s="71"/>
      <c r="F1833" s="71"/>
      <c r="G1833" s="71"/>
      <c r="H1833" s="71"/>
      <c r="I1833" s="71"/>
      <c r="J1833" s="71"/>
      <c r="K1833" s="71"/>
      <c r="L1833" s="71"/>
      <c r="M1833" s="71"/>
      <c r="N1833" s="71"/>
      <c r="O1833" s="71"/>
      <c r="P1833" s="71"/>
      <c r="Q1833" s="71"/>
      <c r="R1833" s="71"/>
      <c r="S1833" s="71"/>
      <c r="T1833" s="15"/>
    </row>
    <row r="1834">
      <c r="A1834" s="69"/>
      <c r="B1834" s="69"/>
      <c r="C1834" s="70"/>
      <c r="D1834" s="70"/>
      <c r="E1834" s="69"/>
      <c r="F1834" s="69"/>
      <c r="G1834" s="69"/>
      <c r="H1834" s="69"/>
      <c r="I1834" s="69"/>
      <c r="J1834" s="69"/>
      <c r="K1834" s="69"/>
      <c r="L1834" s="69"/>
      <c r="M1834" s="69"/>
      <c r="N1834" s="69"/>
      <c r="O1834" s="69"/>
      <c r="P1834" s="69"/>
      <c r="Q1834" s="69"/>
      <c r="R1834" s="69"/>
      <c r="S1834" s="69"/>
      <c r="T1834" s="15"/>
    </row>
    <row r="1835">
      <c r="A1835" s="71"/>
      <c r="B1835" s="71"/>
      <c r="C1835" s="72"/>
      <c r="D1835" s="72"/>
      <c r="E1835" s="71"/>
      <c r="F1835" s="71"/>
      <c r="G1835" s="71"/>
      <c r="H1835" s="71"/>
      <c r="I1835" s="71"/>
      <c r="J1835" s="71"/>
      <c r="K1835" s="71"/>
      <c r="L1835" s="71"/>
      <c r="M1835" s="71"/>
      <c r="N1835" s="71"/>
      <c r="O1835" s="71"/>
      <c r="P1835" s="71"/>
      <c r="Q1835" s="71"/>
      <c r="R1835" s="71"/>
      <c r="S1835" s="71"/>
      <c r="T1835" s="15"/>
    </row>
    <row r="1836">
      <c r="A1836" s="69"/>
      <c r="B1836" s="69"/>
      <c r="C1836" s="70"/>
      <c r="D1836" s="70"/>
      <c r="E1836" s="69"/>
      <c r="F1836" s="69"/>
      <c r="G1836" s="69"/>
      <c r="H1836" s="69"/>
      <c r="I1836" s="69"/>
      <c r="J1836" s="69"/>
      <c r="K1836" s="69"/>
      <c r="L1836" s="69"/>
      <c r="M1836" s="69"/>
      <c r="N1836" s="69"/>
      <c r="O1836" s="69"/>
      <c r="P1836" s="69"/>
      <c r="Q1836" s="69"/>
      <c r="R1836" s="69"/>
      <c r="S1836" s="69"/>
      <c r="T1836" s="15"/>
    </row>
    <row r="1837">
      <c r="A1837" s="71"/>
      <c r="B1837" s="71"/>
      <c r="C1837" s="72"/>
      <c r="D1837" s="72"/>
      <c r="E1837" s="71"/>
      <c r="F1837" s="71"/>
      <c r="G1837" s="71"/>
      <c r="H1837" s="71"/>
      <c r="I1837" s="71"/>
      <c r="J1837" s="71"/>
      <c r="K1837" s="71"/>
      <c r="L1837" s="71"/>
      <c r="M1837" s="71"/>
      <c r="N1837" s="71"/>
      <c r="O1837" s="71"/>
      <c r="P1837" s="71"/>
      <c r="Q1837" s="71"/>
      <c r="R1837" s="71"/>
      <c r="S1837" s="71"/>
      <c r="T1837" s="15"/>
    </row>
    <row r="1838">
      <c r="A1838" s="69"/>
      <c r="B1838" s="69"/>
      <c r="C1838" s="70"/>
      <c r="D1838" s="70"/>
      <c r="E1838" s="69"/>
      <c r="F1838" s="69"/>
      <c r="G1838" s="69"/>
      <c r="H1838" s="69"/>
      <c r="I1838" s="69"/>
      <c r="J1838" s="69"/>
      <c r="K1838" s="69"/>
      <c r="L1838" s="69"/>
      <c r="M1838" s="69"/>
      <c r="N1838" s="69"/>
      <c r="O1838" s="69"/>
      <c r="P1838" s="69"/>
      <c r="Q1838" s="69"/>
      <c r="R1838" s="69"/>
      <c r="S1838" s="69"/>
      <c r="T1838" s="15"/>
    </row>
    <row r="1839">
      <c r="A1839" s="71"/>
      <c r="B1839" s="71"/>
      <c r="C1839" s="72"/>
      <c r="D1839" s="72"/>
      <c r="E1839" s="71"/>
      <c r="F1839" s="71"/>
      <c r="G1839" s="71"/>
      <c r="H1839" s="71"/>
      <c r="I1839" s="71"/>
      <c r="J1839" s="71"/>
      <c r="K1839" s="71"/>
      <c r="L1839" s="71"/>
      <c r="M1839" s="71"/>
      <c r="N1839" s="71"/>
      <c r="O1839" s="71"/>
      <c r="P1839" s="71"/>
      <c r="Q1839" s="71"/>
      <c r="R1839" s="71"/>
      <c r="S1839" s="71"/>
      <c r="T1839" s="15"/>
    </row>
    <row r="1840">
      <c r="A1840" s="69"/>
      <c r="B1840" s="69"/>
      <c r="C1840" s="70"/>
      <c r="D1840" s="70"/>
      <c r="E1840" s="69"/>
      <c r="F1840" s="69"/>
      <c r="G1840" s="69"/>
      <c r="H1840" s="69"/>
      <c r="I1840" s="69"/>
      <c r="J1840" s="69"/>
      <c r="K1840" s="69"/>
      <c r="L1840" s="69"/>
      <c r="M1840" s="69"/>
      <c r="N1840" s="69"/>
      <c r="O1840" s="69"/>
      <c r="P1840" s="69"/>
      <c r="Q1840" s="69"/>
      <c r="R1840" s="69"/>
      <c r="S1840" s="69"/>
      <c r="T1840" s="15"/>
    </row>
    <row r="1841">
      <c r="A1841" s="71"/>
      <c r="B1841" s="71"/>
      <c r="C1841" s="72"/>
      <c r="D1841" s="72"/>
      <c r="E1841" s="71"/>
      <c r="F1841" s="71"/>
      <c r="G1841" s="71"/>
      <c r="H1841" s="71"/>
      <c r="I1841" s="71"/>
      <c r="J1841" s="71"/>
      <c r="K1841" s="71"/>
      <c r="L1841" s="71"/>
      <c r="M1841" s="71"/>
      <c r="N1841" s="71"/>
      <c r="O1841" s="71"/>
      <c r="P1841" s="71"/>
      <c r="Q1841" s="71"/>
      <c r="R1841" s="71"/>
      <c r="S1841" s="71"/>
      <c r="T1841" s="15"/>
    </row>
    <row r="1842">
      <c r="A1842" s="69"/>
      <c r="B1842" s="69"/>
      <c r="C1842" s="70"/>
      <c r="D1842" s="70"/>
      <c r="E1842" s="69"/>
      <c r="F1842" s="69"/>
      <c r="G1842" s="69"/>
      <c r="H1842" s="69"/>
      <c r="I1842" s="69"/>
      <c r="J1842" s="69"/>
      <c r="K1842" s="69"/>
      <c r="L1842" s="69"/>
      <c r="M1842" s="69"/>
      <c r="N1842" s="69"/>
      <c r="O1842" s="69"/>
      <c r="P1842" s="69"/>
      <c r="Q1842" s="69"/>
      <c r="R1842" s="69"/>
      <c r="S1842" s="69"/>
      <c r="T1842" s="15"/>
    </row>
    <row r="1843">
      <c r="A1843" s="71"/>
      <c r="B1843" s="71"/>
      <c r="C1843" s="72"/>
      <c r="D1843" s="72"/>
      <c r="E1843" s="71"/>
      <c r="F1843" s="71"/>
      <c r="G1843" s="71"/>
      <c r="H1843" s="71"/>
      <c r="I1843" s="71"/>
      <c r="J1843" s="71"/>
      <c r="K1843" s="71"/>
      <c r="L1843" s="71"/>
      <c r="M1843" s="71"/>
      <c r="N1843" s="71"/>
      <c r="O1843" s="71"/>
      <c r="P1843" s="71"/>
      <c r="Q1843" s="71"/>
      <c r="R1843" s="71"/>
      <c r="S1843" s="71"/>
      <c r="T1843" s="15"/>
    </row>
    <row r="1844">
      <c r="A1844" s="69"/>
      <c r="B1844" s="69"/>
      <c r="C1844" s="70"/>
      <c r="D1844" s="70"/>
      <c r="E1844" s="69"/>
      <c r="F1844" s="69"/>
      <c r="G1844" s="69"/>
      <c r="H1844" s="69"/>
      <c r="I1844" s="69"/>
      <c r="J1844" s="69"/>
      <c r="K1844" s="69"/>
      <c r="L1844" s="69"/>
      <c r="M1844" s="69"/>
      <c r="N1844" s="69"/>
      <c r="O1844" s="69"/>
      <c r="P1844" s="69"/>
      <c r="Q1844" s="69"/>
      <c r="R1844" s="69"/>
      <c r="S1844" s="69"/>
      <c r="T1844" s="15"/>
    </row>
    <row r="1845">
      <c r="A1845" s="71"/>
      <c r="B1845" s="71"/>
      <c r="C1845" s="72"/>
      <c r="D1845" s="72"/>
      <c r="E1845" s="71"/>
      <c r="F1845" s="71"/>
      <c r="G1845" s="71"/>
      <c r="H1845" s="71"/>
      <c r="I1845" s="71"/>
      <c r="J1845" s="71"/>
      <c r="K1845" s="71"/>
      <c r="L1845" s="71"/>
      <c r="M1845" s="71"/>
      <c r="N1845" s="71"/>
      <c r="O1845" s="71"/>
      <c r="P1845" s="71"/>
      <c r="Q1845" s="71"/>
      <c r="R1845" s="71"/>
      <c r="S1845" s="71"/>
      <c r="T1845" s="15"/>
    </row>
    <row r="1846">
      <c r="A1846" s="69"/>
      <c r="B1846" s="69"/>
      <c r="C1846" s="70"/>
      <c r="D1846" s="70"/>
      <c r="E1846" s="69"/>
      <c r="F1846" s="69"/>
      <c r="G1846" s="69"/>
      <c r="H1846" s="69"/>
      <c r="I1846" s="69"/>
      <c r="J1846" s="69"/>
      <c r="K1846" s="69"/>
      <c r="L1846" s="69"/>
      <c r="M1846" s="69"/>
      <c r="N1846" s="69"/>
      <c r="O1846" s="69"/>
      <c r="P1846" s="69"/>
      <c r="Q1846" s="69"/>
      <c r="R1846" s="69"/>
      <c r="S1846" s="69"/>
      <c r="T1846" s="15"/>
    </row>
    <row r="1847">
      <c r="A1847" s="71"/>
      <c r="B1847" s="71"/>
      <c r="C1847" s="72"/>
      <c r="D1847" s="72"/>
      <c r="E1847" s="71"/>
      <c r="F1847" s="71"/>
      <c r="G1847" s="71"/>
      <c r="H1847" s="71"/>
      <c r="I1847" s="71"/>
      <c r="J1847" s="71"/>
      <c r="K1847" s="71"/>
      <c r="L1847" s="71"/>
      <c r="M1847" s="71"/>
      <c r="N1847" s="71"/>
      <c r="O1847" s="71"/>
      <c r="P1847" s="71"/>
      <c r="Q1847" s="71"/>
      <c r="R1847" s="71"/>
      <c r="S1847" s="71"/>
      <c r="T1847" s="15"/>
    </row>
    <row r="1848">
      <c r="A1848" s="69"/>
      <c r="B1848" s="69"/>
      <c r="C1848" s="70"/>
      <c r="D1848" s="70"/>
      <c r="E1848" s="69"/>
      <c r="F1848" s="69"/>
      <c r="G1848" s="69"/>
      <c r="H1848" s="69"/>
      <c r="I1848" s="69"/>
      <c r="J1848" s="69"/>
      <c r="K1848" s="69"/>
      <c r="L1848" s="69"/>
      <c r="M1848" s="69"/>
      <c r="N1848" s="69"/>
      <c r="O1848" s="69"/>
      <c r="P1848" s="69"/>
      <c r="Q1848" s="69"/>
      <c r="R1848" s="69"/>
      <c r="S1848" s="69"/>
      <c r="T1848" s="15"/>
    </row>
    <row r="1849">
      <c r="A1849" s="71"/>
      <c r="B1849" s="71"/>
      <c r="C1849" s="72"/>
      <c r="D1849" s="72"/>
      <c r="E1849" s="71"/>
      <c r="F1849" s="71"/>
      <c r="G1849" s="71"/>
      <c r="H1849" s="71"/>
      <c r="I1849" s="71"/>
      <c r="J1849" s="71"/>
      <c r="K1849" s="71"/>
      <c r="L1849" s="71"/>
      <c r="M1849" s="71"/>
      <c r="N1849" s="71"/>
      <c r="O1849" s="71"/>
      <c r="P1849" s="71"/>
      <c r="Q1849" s="71"/>
      <c r="R1849" s="71"/>
      <c r="S1849" s="71"/>
      <c r="T1849" s="15"/>
    </row>
    <row r="1850">
      <c r="A1850" s="69"/>
      <c r="B1850" s="69"/>
      <c r="C1850" s="70"/>
      <c r="D1850" s="70"/>
      <c r="E1850" s="69"/>
      <c r="F1850" s="69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69"/>
      <c r="T1850" s="15"/>
    </row>
    <row r="1851">
      <c r="A1851" s="71"/>
      <c r="B1851" s="71"/>
      <c r="C1851" s="72"/>
      <c r="D1851" s="72"/>
      <c r="E1851" s="71"/>
      <c r="F1851" s="71"/>
      <c r="G1851" s="71"/>
      <c r="H1851" s="71"/>
      <c r="I1851" s="71"/>
      <c r="J1851" s="71"/>
      <c r="K1851" s="71"/>
      <c r="L1851" s="71"/>
      <c r="M1851" s="71"/>
      <c r="N1851" s="71"/>
      <c r="O1851" s="71"/>
      <c r="P1851" s="71"/>
      <c r="Q1851" s="71"/>
      <c r="R1851" s="71"/>
      <c r="S1851" s="71"/>
      <c r="T1851" s="15"/>
    </row>
    <row r="1852">
      <c r="A1852" s="69"/>
      <c r="B1852" s="69"/>
      <c r="C1852" s="70"/>
      <c r="D1852" s="70"/>
      <c r="E1852" s="69"/>
      <c r="F1852" s="69"/>
      <c r="G1852" s="69"/>
      <c r="H1852" s="69"/>
      <c r="I1852" s="69"/>
      <c r="J1852" s="69"/>
      <c r="K1852" s="69"/>
      <c r="L1852" s="69"/>
      <c r="M1852" s="69"/>
      <c r="N1852" s="69"/>
      <c r="O1852" s="69"/>
      <c r="P1852" s="69"/>
      <c r="Q1852" s="69"/>
      <c r="R1852" s="69"/>
      <c r="S1852" s="69"/>
      <c r="T1852" s="15"/>
    </row>
    <row r="1853">
      <c r="A1853" s="71"/>
      <c r="B1853" s="71"/>
      <c r="C1853" s="72"/>
      <c r="D1853" s="72"/>
      <c r="E1853" s="71"/>
      <c r="F1853" s="71"/>
      <c r="G1853" s="71"/>
      <c r="H1853" s="71"/>
      <c r="I1853" s="71"/>
      <c r="J1853" s="71"/>
      <c r="K1853" s="71"/>
      <c r="L1853" s="71"/>
      <c r="M1853" s="71"/>
      <c r="N1853" s="71"/>
      <c r="O1853" s="71"/>
      <c r="P1853" s="71"/>
      <c r="Q1853" s="71"/>
      <c r="R1853" s="71"/>
      <c r="S1853" s="71"/>
      <c r="T1853" s="15"/>
    </row>
    <row r="1854">
      <c r="A1854" s="69"/>
      <c r="B1854" s="69"/>
      <c r="C1854" s="70"/>
      <c r="D1854" s="70"/>
      <c r="E1854" s="69"/>
      <c r="F1854" s="69"/>
      <c r="G1854" s="69"/>
      <c r="H1854" s="69"/>
      <c r="I1854" s="69"/>
      <c r="J1854" s="69"/>
      <c r="K1854" s="69"/>
      <c r="L1854" s="69"/>
      <c r="M1854" s="69"/>
      <c r="N1854" s="69"/>
      <c r="O1854" s="69"/>
      <c r="P1854" s="69"/>
      <c r="Q1854" s="69"/>
      <c r="R1854" s="69"/>
      <c r="S1854" s="69"/>
      <c r="T1854" s="15"/>
    </row>
    <row r="1855">
      <c r="A1855" s="71"/>
      <c r="B1855" s="71"/>
      <c r="C1855" s="72"/>
      <c r="D1855" s="72"/>
      <c r="E1855" s="71"/>
      <c r="F1855" s="71"/>
      <c r="G1855" s="71"/>
      <c r="H1855" s="71"/>
      <c r="I1855" s="71"/>
      <c r="J1855" s="71"/>
      <c r="K1855" s="71"/>
      <c r="L1855" s="71"/>
      <c r="M1855" s="71"/>
      <c r="N1855" s="71"/>
      <c r="O1855" s="71"/>
      <c r="P1855" s="71"/>
      <c r="Q1855" s="71"/>
      <c r="R1855" s="71"/>
      <c r="S1855" s="71"/>
      <c r="T1855" s="15"/>
    </row>
    <row r="1856">
      <c r="A1856" s="69"/>
      <c r="B1856" s="69"/>
      <c r="C1856" s="70"/>
      <c r="D1856" s="70"/>
      <c r="E1856" s="69"/>
      <c r="F1856" s="69"/>
      <c r="G1856" s="69"/>
      <c r="H1856" s="69"/>
      <c r="I1856" s="69"/>
      <c r="J1856" s="69"/>
      <c r="K1856" s="69"/>
      <c r="L1856" s="69"/>
      <c r="M1856" s="69"/>
      <c r="N1856" s="69"/>
      <c r="O1856" s="69"/>
      <c r="P1856" s="69"/>
      <c r="Q1856" s="69"/>
      <c r="R1856" s="69"/>
      <c r="S1856" s="69"/>
      <c r="T1856" s="15"/>
    </row>
    <row r="1857">
      <c r="A1857" s="71"/>
      <c r="B1857" s="71"/>
      <c r="C1857" s="72"/>
      <c r="D1857" s="72"/>
      <c r="E1857" s="71"/>
      <c r="F1857" s="71"/>
      <c r="G1857" s="71"/>
      <c r="H1857" s="71"/>
      <c r="I1857" s="71"/>
      <c r="J1857" s="71"/>
      <c r="K1857" s="71"/>
      <c r="L1857" s="71"/>
      <c r="M1857" s="71"/>
      <c r="N1857" s="71"/>
      <c r="O1857" s="71"/>
      <c r="P1857" s="71"/>
      <c r="Q1857" s="71"/>
      <c r="R1857" s="71"/>
      <c r="S1857" s="71"/>
      <c r="T1857" s="15"/>
    </row>
    <row r="1858">
      <c r="A1858" s="69"/>
      <c r="B1858" s="69"/>
      <c r="C1858" s="70"/>
      <c r="D1858" s="70"/>
      <c r="E1858" s="69"/>
      <c r="F1858" s="69"/>
      <c r="G1858" s="69"/>
      <c r="H1858" s="69"/>
      <c r="I1858" s="69"/>
      <c r="J1858" s="69"/>
      <c r="K1858" s="69"/>
      <c r="L1858" s="69"/>
      <c r="M1858" s="69"/>
      <c r="N1858" s="69"/>
      <c r="O1858" s="69"/>
      <c r="P1858" s="69"/>
      <c r="Q1858" s="69"/>
      <c r="R1858" s="69"/>
      <c r="S1858" s="69"/>
      <c r="T1858" s="15"/>
    </row>
    <row r="1859">
      <c r="A1859" s="71"/>
      <c r="B1859" s="71"/>
      <c r="C1859" s="72"/>
      <c r="D1859" s="72"/>
      <c r="E1859" s="71"/>
      <c r="F1859" s="71"/>
      <c r="G1859" s="71"/>
      <c r="H1859" s="71"/>
      <c r="I1859" s="71"/>
      <c r="J1859" s="71"/>
      <c r="K1859" s="71"/>
      <c r="L1859" s="71"/>
      <c r="M1859" s="71"/>
      <c r="N1859" s="71"/>
      <c r="O1859" s="71"/>
      <c r="P1859" s="71"/>
      <c r="Q1859" s="71"/>
      <c r="R1859" s="71"/>
      <c r="S1859" s="71"/>
      <c r="T1859" s="15"/>
    </row>
    <row r="1860">
      <c r="A1860" s="69"/>
      <c r="B1860" s="69"/>
      <c r="C1860" s="70"/>
      <c r="D1860" s="70"/>
      <c r="E1860" s="69"/>
      <c r="F1860" s="69"/>
      <c r="G1860" s="69"/>
      <c r="H1860" s="69"/>
      <c r="I1860" s="69"/>
      <c r="J1860" s="69"/>
      <c r="K1860" s="69"/>
      <c r="L1860" s="69"/>
      <c r="M1860" s="69"/>
      <c r="N1860" s="69"/>
      <c r="O1860" s="69"/>
      <c r="P1860" s="69"/>
      <c r="Q1860" s="69"/>
      <c r="R1860" s="69"/>
      <c r="S1860" s="69"/>
      <c r="T1860" s="15"/>
    </row>
    <row r="1861">
      <c r="A1861" s="71"/>
      <c r="B1861" s="71"/>
      <c r="C1861" s="72"/>
      <c r="D1861" s="72"/>
      <c r="E1861" s="71"/>
      <c r="F1861" s="71"/>
      <c r="G1861" s="71"/>
      <c r="H1861" s="71"/>
      <c r="I1861" s="71"/>
      <c r="J1861" s="71"/>
      <c r="K1861" s="71"/>
      <c r="L1861" s="71"/>
      <c r="M1861" s="71"/>
      <c r="N1861" s="71"/>
      <c r="O1861" s="71"/>
      <c r="P1861" s="71"/>
      <c r="Q1861" s="71"/>
      <c r="R1861" s="71"/>
      <c r="S1861" s="71"/>
      <c r="T1861" s="15"/>
    </row>
    <row r="1862">
      <c r="A1862" s="69"/>
      <c r="B1862" s="69"/>
      <c r="C1862" s="70"/>
      <c r="D1862" s="70"/>
      <c r="E1862" s="69"/>
      <c r="F1862" s="69"/>
      <c r="G1862" s="69"/>
      <c r="H1862" s="69"/>
      <c r="I1862" s="69"/>
      <c r="J1862" s="69"/>
      <c r="K1862" s="69"/>
      <c r="L1862" s="69"/>
      <c r="M1862" s="69"/>
      <c r="N1862" s="69"/>
      <c r="O1862" s="69"/>
      <c r="P1862" s="69"/>
      <c r="Q1862" s="69"/>
      <c r="R1862" s="69"/>
      <c r="S1862" s="69"/>
      <c r="T1862" s="15"/>
    </row>
    <row r="1863">
      <c r="A1863" s="71"/>
      <c r="B1863" s="71"/>
      <c r="C1863" s="72"/>
      <c r="D1863" s="72"/>
      <c r="E1863" s="71"/>
      <c r="F1863" s="71"/>
      <c r="G1863" s="71"/>
      <c r="H1863" s="71"/>
      <c r="I1863" s="71"/>
      <c r="J1863" s="71"/>
      <c r="K1863" s="71"/>
      <c r="L1863" s="71"/>
      <c r="M1863" s="71"/>
      <c r="N1863" s="71"/>
      <c r="O1863" s="71"/>
      <c r="P1863" s="71"/>
      <c r="Q1863" s="71"/>
      <c r="R1863" s="71"/>
      <c r="S1863" s="71"/>
      <c r="T1863" s="15"/>
    </row>
    <row r="1864">
      <c r="A1864" s="69"/>
      <c r="B1864" s="69"/>
      <c r="C1864" s="70"/>
      <c r="D1864" s="70"/>
      <c r="E1864" s="69"/>
      <c r="F1864" s="69"/>
      <c r="G1864" s="69"/>
      <c r="H1864" s="69"/>
      <c r="I1864" s="69"/>
      <c r="J1864" s="69"/>
      <c r="K1864" s="69"/>
      <c r="L1864" s="69"/>
      <c r="M1864" s="69"/>
      <c r="N1864" s="69"/>
      <c r="O1864" s="69"/>
      <c r="P1864" s="69"/>
      <c r="Q1864" s="69"/>
      <c r="R1864" s="69"/>
      <c r="S1864" s="69"/>
      <c r="T1864" s="15"/>
    </row>
    <row r="1865">
      <c r="A1865" s="71"/>
      <c r="B1865" s="71"/>
      <c r="C1865" s="72"/>
      <c r="D1865" s="72"/>
      <c r="E1865" s="71"/>
      <c r="F1865" s="71"/>
      <c r="G1865" s="71"/>
      <c r="H1865" s="71"/>
      <c r="I1865" s="71"/>
      <c r="J1865" s="71"/>
      <c r="K1865" s="71"/>
      <c r="L1865" s="71"/>
      <c r="M1865" s="71"/>
      <c r="N1865" s="71"/>
      <c r="O1865" s="71"/>
      <c r="P1865" s="71"/>
      <c r="Q1865" s="71"/>
      <c r="R1865" s="71"/>
      <c r="S1865" s="71"/>
      <c r="T1865" s="15"/>
    </row>
    <row r="1866">
      <c r="A1866" s="69"/>
      <c r="B1866" s="69"/>
      <c r="C1866" s="70"/>
      <c r="D1866" s="70"/>
      <c r="E1866" s="69"/>
      <c r="F1866" s="69"/>
      <c r="G1866" s="69"/>
      <c r="H1866" s="69"/>
      <c r="I1866" s="69"/>
      <c r="J1866" s="69"/>
      <c r="K1866" s="69"/>
      <c r="L1866" s="69"/>
      <c r="M1866" s="69"/>
      <c r="N1866" s="69"/>
      <c r="O1866" s="69"/>
      <c r="P1866" s="69"/>
      <c r="Q1866" s="69"/>
      <c r="R1866" s="69"/>
      <c r="S1866" s="69"/>
      <c r="T1866" s="15"/>
    </row>
    <row r="1867">
      <c r="A1867" s="71"/>
      <c r="B1867" s="71"/>
      <c r="C1867" s="72"/>
      <c r="D1867" s="72"/>
      <c r="E1867" s="71"/>
      <c r="F1867" s="71"/>
      <c r="G1867" s="71"/>
      <c r="H1867" s="71"/>
      <c r="I1867" s="71"/>
      <c r="J1867" s="71"/>
      <c r="K1867" s="71"/>
      <c r="L1867" s="71"/>
      <c r="M1867" s="71"/>
      <c r="N1867" s="71"/>
      <c r="O1867" s="71"/>
      <c r="P1867" s="71"/>
      <c r="Q1867" s="71"/>
      <c r="R1867" s="71"/>
      <c r="S1867" s="71"/>
      <c r="T1867" s="15"/>
    </row>
    <row r="1868">
      <c r="A1868" s="69"/>
      <c r="B1868" s="69"/>
      <c r="C1868" s="70"/>
      <c r="D1868" s="70"/>
      <c r="E1868" s="69"/>
      <c r="F1868" s="69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69"/>
      <c r="T1868" s="15"/>
    </row>
    <row r="1869">
      <c r="A1869" s="71"/>
      <c r="B1869" s="71"/>
      <c r="C1869" s="72"/>
      <c r="D1869" s="72"/>
      <c r="E1869" s="71"/>
      <c r="F1869" s="71"/>
      <c r="G1869" s="71"/>
      <c r="H1869" s="71"/>
      <c r="I1869" s="71"/>
      <c r="J1869" s="71"/>
      <c r="K1869" s="71"/>
      <c r="L1869" s="71"/>
      <c r="M1869" s="71"/>
      <c r="N1869" s="71"/>
      <c r="O1869" s="71"/>
      <c r="P1869" s="71"/>
      <c r="Q1869" s="71"/>
      <c r="R1869" s="71"/>
      <c r="S1869" s="71"/>
      <c r="T1869" s="15"/>
    </row>
    <row r="1870">
      <c r="A1870" s="69"/>
      <c r="B1870" s="69"/>
      <c r="C1870" s="70"/>
      <c r="D1870" s="70"/>
      <c r="E1870" s="69"/>
      <c r="F1870" s="69"/>
      <c r="G1870" s="69"/>
      <c r="H1870" s="69"/>
      <c r="I1870" s="69"/>
      <c r="J1870" s="69"/>
      <c r="K1870" s="69"/>
      <c r="L1870" s="69"/>
      <c r="M1870" s="69"/>
      <c r="N1870" s="69"/>
      <c r="O1870" s="69"/>
      <c r="P1870" s="69"/>
      <c r="Q1870" s="69"/>
      <c r="R1870" s="69"/>
      <c r="S1870" s="69"/>
      <c r="T1870" s="15"/>
    </row>
    <row r="1871">
      <c r="A1871" s="71"/>
      <c r="B1871" s="71"/>
      <c r="C1871" s="72"/>
      <c r="D1871" s="72"/>
      <c r="E1871" s="71"/>
      <c r="F1871" s="71"/>
      <c r="G1871" s="71"/>
      <c r="H1871" s="71"/>
      <c r="I1871" s="71"/>
      <c r="J1871" s="71"/>
      <c r="K1871" s="71"/>
      <c r="L1871" s="71"/>
      <c r="M1871" s="71"/>
      <c r="N1871" s="71"/>
      <c r="O1871" s="71"/>
      <c r="P1871" s="71"/>
      <c r="Q1871" s="71"/>
      <c r="R1871" s="71"/>
      <c r="S1871" s="71"/>
      <c r="T1871" s="15"/>
    </row>
    <row r="1872">
      <c r="A1872" s="69"/>
      <c r="B1872" s="69"/>
      <c r="C1872" s="70"/>
      <c r="D1872" s="70"/>
      <c r="E1872" s="69"/>
      <c r="F1872" s="69"/>
      <c r="G1872" s="69"/>
      <c r="H1872" s="69"/>
      <c r="I1872" s="69"/>
      <c r="J1872" s="69"/>
      <c r="K1872" s="69"/>
      <c r="L1872" s="69"/>
      <c r="M1872" s="69"/>
      <c r="N1872" s="69"/>
      <c r="O1872" s="69"/>
      <c r="P1872" s="69"/>
      <c r="Q1872" s="69"/>
      <c r="R1872" s="69"/>
      <c r="S1872" s="69"/>
      <c r="T1872" s="15"/>
    </row>
    <row r="1873">
      <c r="A1873" s="71"/>
      <c r="B1873" s="71"/>
      <c r="C1873" s="72"/>
      <c r="D1873" s="72"/>
      <c r="E1873" s="71"/>
      <c r="F1873" s="71"/>
      <c r="G1873" s="71"/>
      <c r="H1873" s="71"/>
      <c r="I1873" s="71"/>
      <c r="J1873" s="71"/>
      <c r="K1873" s="71"/>
      <c r="L1873" s="71"/>
      <c r="M1873" s="71"/>
      <c r="N1873" s="71"/>
      <c r="O1873" s="71"/>
      <c r="P1873" s="71"/>
      <c r="Q1873" s="71"/>
      <c r="R1873" s="71"/>
      <c r="S1873" s="71"/>
      <c r="T1873" s="15"/>
    </row>
    <row r="1874">
      <c r="A1874" s="69"/>
      <c r="B1874" s="69"/>
      <c r="C1874" s="70"/>
      <c r="D1874" s="70"/>
      <c r="E1874" s="69"/>
      <c r="F1874" s="69"/>
      <c r="G1874" s="69"/>
      <c r="H1874" s="69"/>
      <c r="I1874" s="69"/>
      <c r="J1874" s="69"/>
      <c r="K1874" s="69"/>
      <c r="L1874" s="69"/>
      <c r="M1874" s="69"/>
      <c r="N1874" s="69"/>
      <c r="O1874" s="69"/>
      <c r="P1874" s="69"/>
      <c r="Q1874" s="69"/>
      <c r="R1874" s="69"/>
      <c r="S1874" s="69"/>
      <c r="T1874" s="15"/>
    </row>
    <row r="1875">
      <c r="A1875" s="71"/>
      <c r="B1875" s="71"/>
      <c r="C1875" s="72"/>
      <c r="D1875" s="72"/>
      <c r="E1875" s="71"/>
      <c r="F1875" s="71"/>
      <c r="G1875" s="71"/>
      <c r="H1875" s="71"/>
      <c r="I1875" s="71"/>
      <c r="J1875" s="71"/>
      <c r="K1875" s="71"/>
      <c r="L1875" s="71"/>
      <c r="M1875" s="71"/>
      <c r="N1875" s="71"/>
      <c r="O1875" s="71"/>
      <c r="P1875" s="71"/>
      <c r="Q1875" s="71"/>
      <c r="R1875" s="71"/>
      <c r="S1875" s="71"/>
      <c r="T1875" s="15"/>
    </row>
    <row r="1876">
      <c r="A1876" s="69"/>
      <c r="B1876" s="69"/>
      <c r="C1876" s="70"/>
      <c r="D1876" s="70"/>
      <c r="E1876" s="69"/>
      <c r="F1876" s="69"/>
      <c r="G1876" s="69"/>
      <c r="H1876" s="69"/>
      <c r="I1876" s="69"/>
      <c r="J1876" s="69"/>
      <c r="K1876" s="69"/>
      <c r="L1876" s="69"/>
      <c r="M1876" s="69"/>
      <c r="N1876" s="69"/>
      <c r="O1876" s="69"/>
      <c r="P1876" s="69"/>
      <c r="Q1876" s="69"/>
      <c r="R1876" s="69"/>
      <c r="S1876" s="69"/>
      <c r="T1876" s="15"/>
    </row>
    <row r="1877">
      <c r="A1877" s="71"/>
      <c r="B1877" s="71"/>
      <c r="C1877" s="72"/>
      <c r="D1877" s="72"/>
      <c r="E1877" s="71"/>
      <c r="F1877" s="71"/>
      <c r="G1877" s="71"/>
      <c r="H1877" s="71"/>
      <c r="I1877" s="71"/>
      <c r="J1877" s="71"/>
      <c r="K1877" s="71"/>
      <c r="L1877" s="71"/>
      <c r="M1877" s="71"/>
      <c r="N1877" s="71"/>
      <c r="O1877" s="71"/>
      <c r="P1877" s="71"/>
      <c r="Q1877" s="71"/>
      <c r="R1877" s="71"/>
      <c r="S1877" s="71"/>
      <c r="T1877" s="15"/>
    </row>
    <row r="1878">
      <c r="A1878" s="69"/>
      <c r="B1878" s="69"/>
      <c r="C1878" s="70"/>
      <c r="D1878" s="70"/>
      <c r="E1878" s="69"/>
      <c r="F1878" s="69"/>
      <c r="G1878" s="69"/>
      <c r="H1878" s="69"/>
      <c r="I1878" s="69"/>
      <c r="J1878" s="69"/>
      <c r="K1878" s="69"/>
      <c r="L1878" s="69"/>
      <c r="M1878" s="69"/>
      <c r="N1878" s="69"/>
      <c r="O1878" s="69"/>
      <c r="P1878" s="69"/>
      <c r="Q1878" s="69"/>
      <c r="R1878" s="69"/>
      <c r="S1878" s="69"/>
      <c r="T1878" s="15"/>
    </row>
    <row r="1879">
      <c r="A1879" s="71"/>
      <c r="B1879" s="71"/>
      <c r="C1879" s="72"/>
      <c r="D1879" s="72"/>
      <c r="E1879" s="71"/>
      <c r="F1879" s="71"/>
      <c r="G1879" s="71"/>
      <c r="H1879" s="71"/>
      <c r="I1879" s="71"/>
      <c r="J1879" s="71"/>
      <c r="K1879" s="71"/>
      <c r="L1879" s="71"/>
      <c r="M1879" s="71"/>
      <c r="N1879" s="71"/>
      <c r="O1879" s="71"/>
      <c r="P1879" s="71"/>
      <c r="Q1879" s="71"/>
      <c r="R1879" s="71"/>
      <c r="S1879" s="71"/>
      <c r="T1879" s="15"/>
    </row>
    <row r="1880">
      <c r="A1880" s="69"/>
      <c r="B1880" s="69"/>
      <c r="C1880" s="70"/>
      <c r="D1880" s="70"/>
      <c r="E1880" s="69"/>
      <c r="F1880" s="69"/>
      <c r="G1880" s="69"/>
      <c r="H1880" s="69"/>
      <c r="I1880" s="69"/>
      <c r="J1880" s="69"/>
      <c r="K1880" s="69"/>
      <c r="L1880" s="69"/>
      <c r="M1880" s="69"/>
      <c r="N1880" s="69"/>
      <c r="O1880" s="69"/>
      <c r="P1880" s="69"/>
      <c r="Q1880" s="69"/>
      <c r="R1880" s="69"/>
      <c r="S1880" s="69"/>
      <c r="T1880" s="15"/>
    </row>
    <row r="1881">
      <c r="A1881" s="71"/>
      <c r="B1881" s="71"/>
      <c r="C1881" s="72"/>
      <c r="D1881" s="72"/>
      <c r="E1881" s="71"/>
      <c r="F1881" s="71"/>
      <c r="G1881" s="71"/>
      <c r="H1881" s="71"/>
      <c r="I1881" s="71"/>
      <c r="J1881" s="71"/>
      <c r="K1881" s="71"/>
      <c r="L1881" s="71"/>
      <c r="M1881" s="71"/>
      <c r="N1881" s="71"/>
      <c r="O1881" s="71"/>
      <c r="P1881" s="71"/>
      <c r="Q1881" s="71"/>
      <c r="R1881" s="71"/>
      <c r="S1881" s="71"/>
      <c r="T1881" s="15"/>
    </row>
    <row r="1882">
      <c r="A1882" s="69"/>
      <c r="B1882" s="69"/>
      <c r="C1882" s="70"/>
      <c r="D1882" s="70"/>
      <c r="E1882" s="69"/>
      <c r="F1882" s="69"/>
      <c r="G1882" s="69"/>
      <c r="H1882" s="69"/>
      <c r="I1882" s="69"/>
      <c r="J1882" s="69"/>
      <c r="K1882" s="69"/>
      <c r="L1882" s="69"/>
      <c r="M1882" s="69"/>
      <c r="N1882" s="69"/>
      <c r="O1882" s="69"/>
      <c r="P1882" s="69"/>
      <c r="Q1882" s="69"/>
      <c r="R1882" s="69"/>
      <c r="S1882" s="69"/>
      <c r="T1882" s="15"/>
    </row>
    <row r="1883">
      <c r="A1883" s="71"/>
      <c r="B1883" s="71"/>
      <c r="C1883" s="72"/>
      <c r="D1883" s="72"/>
      <c r="E1883" s="71"/>
      <c r="F1883" s="71"/>
      <c r="G1883" s="71"/>
      <c r="H1883" s="71"/>
      <c r="I1883" s="71"/>
      <c r="J1883" s="71"/>
      <c r="K1883" s="71"/>
      <c r="L1883" s="71"/>
      <c r="M1883" s="71"/>
      <c r="N1883" s="71"/>
      <c r="O1883" s="71"/>
      <c r="P1883" s="71"/>
      <c r="Q1883" s="71"/>
      <c r="R1883" s="71"/>
      <c r="S1883" s="71"/>
      <c r="T1883" s="15"/>
    </row>
    <row r="1884">
      <c r="A1884" s="69"/>
      <c r="B1884" s="69"/>
      <c r="C1884" s="70"/>
      <c r="D1884" s="70"/>
      <c r="E1884" s="69"/>
      <c r="F1884" s="69"/>
      <c r="G1884" s="69"/>
      <c r="H1884" s="69"/>
      <c r="I1884" s="69"/>
      <c r="J1884" s="69"/>
      <c r="K1884" s="69"/>
      <c r="L1884" s="69"/>
      <c r="M1884" s="69"/>
      <c r="N1884" s="69"/>
      <c r="O1884" s="69"/>
      <c r="P1884" s="69"/>
      <c r="Q1884" s="69"/>
      <c r="R1884" s="69"/>
      <c r="S1884" s="69"/>
      <c r="T1884" s="15"/>
    </row>
    <row r="1885">
      <c r="A1885" s="71"/>
      <c r="B1885" s="71"/>
      <c r="C1885" s="72"/>
      <c r="D1885" s="72"/>
      <c r="E1885" s="71"/>
      <c r="F1885" s="71"/>
      <c r="G1885" s="71"/>
      <c r="H1885" s="71"/>
      <c r="I1885" s="71"/>
      <c r="J1885" s="71"/>
      <c r="K1885" s="71"/>
      <c r="L1885" s="71"/>
      <c r="M1885" s="71"/>
      <c r="N1885" s="71"/>
      <c r="O1885" s="71"/>
      <c r="P1885" s="71"/>
      <c r="Q1885" s="71"/>
      <c r="R1885" s="71"/>
      <c r="S1885" s="71"/>
      <c r="T1885" s="15"/>
    </row>
    <row r="1886">
      <c r="A1886" s="69"/>
      <c r="B1886" s="69"/>
      <c r="C1886" s="70"/>
      <c r="D1886" s="70"/>
      <c r="E1886" s="69"/>
      <c r="F1886" s="69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69"/>
      <c r="T1886" s="15"/>
    </row>
    <row r="1887">
      <c r="A1887" s="71"/>
      <c r="B1887" s="71"/>
      <c r="C1887" s="72"/>
      <c r="D1887" s="72"/>
      <c r="E1887" s="71"/>
      <c r="F1887" s="71"/>
      <c r="G1887" s="71"/>
      <c r="H1887" s="71"/>
      <c r="I1887" s="71"/>
      <c r="J1887" s="71"/>
      <c r="K1887" s="71"/>
      <c r="L1887" s="71"/>
      <c r="M1887" s="71"/>
      <c r="N1887" s="71"/>
      <c r="O1887" s="71"/>
      <c r="P1887" s="71"/>
      <c r="Q1887" s="71"/>
      <c r="R1887" s="71"/>
      <c r="S1887" s="71"/>
      <c r="T1887" s="15"/>
    </row>
    <row r="1888">
      <c r="A1888" s="69"/>
      <c r="B1888" s="69"/>
      <c r="C1888" s="70"/>
      <c r="D1888" s="70"/>
      <c r="E1888" s="69"/>
      <c r="F1888" s="69"/>
      <c r="G1888" s="69"/>
      <c r="H1888" s="69"/>
      <c r="I1888" s="69"/>
      <c r="J1888" s="69"/>
      <c r="K1888" s="69"/>
      <c r="L1888" s="69"/>
      <c r="M1888" s="69"/>
      <c r="N1888" s="69"/>
      <c r="O1888" s="69"/>
      <c r="P1888" s="69"/>
      <c r="Q1888" s="69"/>
      <c r="R1888" s="69"/>
      <c r="S1888" s="69"/>
      <c r="T1888" s="15"/>
    </row>
    <row r="1889">
      <c r="A1889" s="71"/>
      <c r="B1889" s="71"/>
      <c r="C1889" s="72"/>
      <c r="D1889" s="72"/>
      <c r="E1889" s="71"/>
      <c r="F1889" s="71"/>
      <c r="G1889" s="71"/>
      <c r="H1889" s="71"/>
      <c r="I1889" s="71"/>
      <c r="J1889" s="71"/>
      <c r="K1889" s="71"/>
      <c r="L1889" s="71"/>
      <c r="M1889" s="71"/>
      <c r="N1889" s="71"/>
      <c r="O1889" s="71"/>
      <c r="P1889" s="71"/>
      <c r="Q1889" s="71"/>
      <c r="R1889" s="71"/>
      <c r="S1889" s="71"/>
      <c r="T1889" s="15"/>
    </row>
    <row r="1890">
      <c r="A1890" s="69"/>
      <c r="B1890" s="69"/>
      <c r="C1890" s="70"/>
      <c r="D1890" s="70"/>
      <c r="E1890" s="69"/>
      <c r="F1890" s="69"/>
      <c r="G1890" s="69"/>
      <c r="H1890" s="69"/>
      <c r="I1890" s="69"/>
      <c r="J1890" s="69"/>
      <c r="K1890" s="69"/>
      <c r="L1890" s="69"/>
      <c r="M1890" s="69"/>
      <c r="N1890" s="69"/>
      <c r="O1890" s="69"/>
      <c r="P1890" s="69"/>
      <c r="Q1890" s="69"/>
      <c r="R1890" s="69"/>
      <c r="S1890" s="69"/>
      <c r="T1890" s="15"/>
    </row>
    <row r="1891">
      <c r="A1891" s="71"/>
      <c r="B1891" s="71"/>
      <c r="C1891" s="72"/>
      <c r="D1891" s="72"/>
      <c r="E1891" s="71"/>
      <c r="F1891" s="71"/>
      <c r="G1891" s="71"/>
      <c r="H1891" s="71"/>
      <c r="I1891" s="71"/>
      <c r="J1891" s="71"/>
      <c r="K1891" s="71"/>
      <c r="L1891" s="71"/>
      <c r="M1891" s="71"/>
      <c r="N1891" s="71"/>
      <c r="O1891" s="71"/>
      <c r="P1891" s="71"/>
      <c r="Q1891" s="71"/>
      <c r="R1891" s="71"/>
      <c r="S1891" s="71"/>
      <c r="T1891" s="15"/>
    </row>
    <row r="1892">
      <c r="A1892" s="69"/>
      <c r="B1892" s="69"/>
      <c r="C1892" s="70"/>
      <c r="D1892" s="70"/>
      <c r="E1892" s="69"/>
      <c r="F1892" s="69"/>
      <c r="G1892" s="69"/>
      <c r="H1892" s="69"/>
      <c r="I1892" s="69"/>
      <c r="J1892" s="69"/>
      <c r="K1892" s="69"/>
      <c r="L1892" s="69"/>
      <c r="M1892" s="69"/>
      <c r="N1892" s="69"/>
      <c r="O1892" s="69"/>
      <c r="P1892" s="69"/>
      <c r="Q1892" s="69"/>
      <c r="R1892" s="69"/>
      <c r="S1892" s="69"/>
      <c r="T1892" s="15"/>
    </row>
    <row r="1893">
      <c r="A1893" s="71"/>
      <c r="B1893" s="71"/>
      <c r="C1893" s="72"/>
      <c r="D1893" s="72"/>
      <c r="E1893" s="71"/>
      <c r="F1893" s="71"/>
      <c r="G1893" s="71"/>
      <c r="H1893" s="71"/>
      <c r="I1893" s="71"/>
      <c r="J1893" s="71"/>
      <c r="K1893" s="71"/>
      <c r="L1893" s="71"/>
      <c r="M1893" s="71"/>
      <c r="N1893" s="71"/>
      <c r="O1893" s="71"/>
      <c r="P1893" s="71"/>
      <c r="Q1893" s="71"/>
      <c r="R1893" s="71"/>
      <c r="S1893" s="71"/>
      <c r="T1893" s="15"/>
    </row>
    <row r="1894">
      <c r="A1894" s="69"/>
      <c r="B1894" s="69"/>
      <c r="C1894" s="70"/>
      <c r="D1894" s="70"/>
      <c r="E1894" s="69"/>
      <c r="F1894" s="69"/>
      <c r="G1894" s="69"/>
      <c r="H1894" s="69"/>
      <c r="I1894" s="69"/>
      <c r="J1894" s="69"/>
      <c r="K1894" s="69"/>
      <c r="L1894" s="69"/>
      <c r="M1894" s="69"/>
      <c r="N1894" s="69"/>
      <c r="O1894" s="69"/>
      <c r="P1894" s="69"/>
      <c r="Q1894" s="69"/>
      <c r="R1894" s="69"/>
      <c r="S1894" s="69"/>
      <c r="T1894" s="15"/>
    </row>
    <row r="1895">
      <c r="A1895" s="71"/>
      <c r="B1895" s="71"/>
      <c r="C1895" s="72"/>
      <c r="D1895" s="72"/>
      <c r="E1895" s="71"/>
      <c r="F1895" s="71"/>
      <c r="G1895" s="71"/>
      <c r="H1895" s="71"/>
      <c r="I1895" s="71"/>
      <c r="J1895" s="71"/>
      <c r="K1895" s="71"/>
      <c r="L1895" s="71"/>
      <c r="M1895" s="71"/>
      <c r="N1895" s="71"/>
      <c r="O1895" s="71"/>
      <c r="P1895" s="71"/>
      <c r="Q1895" s="71"/>
      <c r="R1895" s="71"/>
      <c r="S1895" s="71"/>
      <c r="T1895" s="15"/>
    </row>
    <row r="1896">
      <c r="A1896" s="69"/>
      <c r="B1896" s="69"/>
      <c r="C1896" s="70"/>
      <c r="D1896" s="70"/>
      <c r="E1896" s="69"/>
      <c r="F1896" s="69"/>
      <c r="G1896" s="69"/>
      <c r="H1896" s="69"/>
      <c r="I1896" s="69"/>
      <c r="J1896" s="69"/>
      <c r="K1896" s="69"/>
      <c r="L1896" s="69"/>
      <c r="M1896" s="69"/>
      <c r="N1896" s="69"/>
      <c r="O1896" s="69"/>
      <c r="P1896" s="69"/>
      <c r="Q1896" s="69"/>
      <c r="R1896" s="69"/>
      <c r="S1896" s="69"/>
      <c r="T1896" s="15"/>
    </row>
    <row r="1897">
      <c r="A1897" s="71"/>
      <c r="B1897" s="71"/>
      <c r="C1897" s="72"/>
      <c r="D1897" s="72"/>
      <c r="E1897" s="71"/>
      <c r="F1897" s="71"/>
      <c r="G1897" s="71"/>
      <c r="H1897" s="71"/>
      <c r="I1897" s="71"/>
      <c r="J1897" s="71"/>
      <c r="K1897" s="71"/>
      <c r="L1897" s="71"/>
      <c r="M1897" s="71"/>
      <c r="N1897" s="71"/>
      <c r="O1897" s="71"/>
      <c r="P1897" s="71"/>
      <c r="Q1897" s="71"/>
      <c r="R1897" s="71"/>
      <c r="S1897" s="71"/>
      <c r="T1897" s="15"/>
    </row>
    <row r="1898">
      <c r="A1898" s="69"/>
      <c r="B1898" s="69"/>
      <c r="C1898" s="70"/>
      <c r="D1898" s="70"/>
      <c r="E1898" s="69"/>
      <c r="F1898" s="69"/>
      <c r="G1898" s="69"/>
      <c r="H1898" s="69"/>
      <c r="I1898" s="69"/>
      <c r="J1898" s="69"/>
      <c r="K1898" s="69"/>
      <c r="L1898" s="69"/>
      <c r="M1898" s="69"/>
      <c r="N1898" s="69"/>
      <c r="O1898" s="69"/>
      <c r="P1898" s="69"/>
      <c r="Q1898" s="69"/>
      <c r="R1898" s="69"/>
      <c r="S1898" s="69"/>
      <c r="T1898" s="15"/>
    </row>
    <row r="1899">
      <c r="A1899" s="71"/>
      <c r="B1899" s="71"/>
      <c r="C1899" s="72"/>
      <c r="D1899" s="72"/>
      <c r="E1899" s="71"/>
      <c r="F1899" s="71"/>
      <c r="G1899" s="71"/>
      <c r="H1899" s="71"/>
      <c r="I1899" s="71"/>
      <c r="J1899" s="71"/>
      <c r="K1899" s="71"/>
      <c r="L1899" s="71"/>
      <c r="M1899" s="71"/>
      <c r="N1899" s="71"/>
      <c r="O1899" s="71"/>
      <c r="P1899" s="71"/>
      <c r="Q1899" s="71"/>
      <c r="R1899" s="71"/>
      <c r="S1899" s="71"/>
      <c r="T1899" s="15"/>
    </row>
    <row r="1900">
      <c r="A1900" s="69"/>
      <c r="B1900" s="69"/>
      <c r="C1900" s="70"/>
      <c r="D1900" s="70"/>
      <c r="E1900" s="69"/>
      <c r="F1900" s="69"/>
      <c r="G1900" s="69"/>
      <c r="H1900" s="69"/>
      <c r="I1900" s="69"/>
      <c r="J1900" s="69"/>
      <c r="K1900" s="69"/>
      <c r="L1900" s="69"/>
      <c r="M1900" s="69"/>
      <c r="N1900" s="69"/>
      <c r="O1900" s="69"/>
      <c r="P1900" s="69"/>
      <c r="Q1900" s="69"/>
      <c r="R1900" s="69"/>
      <c r="S1900" s="69"/>
      <c r="T1900" s="15"/>
    </row>
    <row r="1901">
      <c r="A1901" s="71"/>
      <c r="B1901" s="71"/>
      <c r="C1901" s="72"/>
      <c r="D1901" s="72"/>
      <c r="E1901" s="71"/>
      <c r="F1901" s="71"/>
      <c r="G1901" s="71"/>
      <c r="H1901" s="71"/>
      <c r="I1901" s="71"/>
      <c r="J1901" s="71"/>
      <c r="K1901" s="71"/>
      <c r="L1901" s="71"/>
      <c r="M1901" s="71"/>
      <c r="N1901" s="71"/>
      <c r="O1901" s="71"/>
      <c r="P1901" s="71"/>
      <c r="Q1901" s="71"/>
      <c r="R1901" s="71"/>
      <c r="S1901" s="71"/>
      <c r="T1901" s="15"/>
    </row>
    <row r="1902">
      <c r="A1902" s="69"/>
      <c r="B1902" s="69"/>
      <c r="C1902" s="70"/>
      <c r="D1902" s="70"/>
      <c r="E1902" s="69"/>
      <c r="F1902" s="69"/>
      <c r="G1902" s="69"/>
      <c r="H1902" s="69"/>
      <c r="I1902" s="69"/>
      <c r="J1902" s="69"/>
      <c r="K1902" s="69"/>
      <c r="L1902" s="69"/>
      <c r="M1902" s="69"/>
      <c r="N1902" s="69"/>
      <c r="O1902" s="69"/>
      <c r="P1902" s="69"/>
      <c r="Q1902" s="69"/>
      <c r="R1902" s="69"/>
      <c r="S1902" s="69"/>
      <c r="T1902" s="15"/>
    </row>
    <row r="1903">
      <c r="A1903" s="71"/>
      <c r="B1903" s="71"/>
      <c r="C1903" s="72"/>
      <c r="D1903" s="72"/>
      <c r="E1903" s="71"/>
      <c r="F1903" s="71"/>
      <c r="G1903" s="71"/>
      <c r="H1903" s="71"/>
      <c r="I1903" s="71"/>
      <c r="J1903" s="71"/>
      <c r="K1903" s="71"/>
      <c r="L1903" s="71"/>
      <c r="M1903" s="71"/>
      <c r="N1903" s="71"/>
      <c r="O1903" s="71"/>
      <c r="P1903" s="71"/>
      <c r="Q1903" s="71"/>
      <c r="R1903" s="71"/>
      <c r="S1903" s="71"/>
      <c r="T1903" s="15"/>
    </row>
    <row r="1904">
      <c r="A1904" s="69"/>
      <c r="B1904" s="69"/>
      <c r="C1904" s="70"/>
      <c r="D1904" s="70"/>
      <c r="E1904" s="69"/>
      <c r="F1904" s="69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69"/>
      <c r="T1904" s="15"/>
    </row>
    <row r="1905">
      <c r="A1905" s="71"/>
      <c r="B1905" s="71"/>
      <c r="C1905" s="72"/>
      <c r="D1905" s="72"/>
      <c r="E1905" s="71"/>
      <c r="F1905" s="71"/>
      <c r="G1905" s="71"/>
      <c r="H1905" s="71"/>
      <c r="I1905" s="71"/>
      <c r="J1905" s="71"/>
      <c r="K1905" s="71"/>
      <c r="L1905" s="71"/>
      <c r="M1905" s="71"/>
      <c r="N1905" s="71"/>
      <c r="O1905" s="71"/>
      <c r="P1905" s="71"/>
      <c r="Q1905" s="71"/>
      <c r="R1905" s="71"/>
      <c r="S1905" s="71"/>
      <c r="T1905" s="15"/>
    </row>
    <row r="1906">
      <c r="A1906" s="69"/>
      <c r="B1906" s="69"/>
      <c r="C1906" s="70"/>
      <c r="D1906" s="70"/>
      <c r="E1906" s="69"/>
      <c r="F1906" s="69"/>
      <c r="G1906" s="69"/>
      <c r="H1906" s="69"/>
      <c r="I1906" s="69"/>
      <c r="J1906" s="69"/>
      <c r="K1906" s="69"/>
      <c r="L1906" s="69"/>
      <c r="M1906" s="69"/>
      <c r="N1906" s="69"/>
      <c r="O1906" s="69"/>
      <c r="P1906" s="69"/>
      <c r="Q1906" s="69"/>
      <c r="R1906" s="69"/>
      <c r="S1906" s="69"/>
      <c r="T1906" s="15"/>
    </row>
    <row r="1907">
      <c r="A1907" s="71"/>
      <c r="B1907" s="71"/>
      <c r="C1907" s="72"/>
      <c r="D1907" s="72"/>
      <c r="E1907" s="71"/>
      <c r="F1907" s="71"/>
      <c r="G1907" s="71"/>
      <c r="H1907" s="71"/>
      <c r="I1907" s="71"/>
      <c r="J1907" s="71"/>
      <c r="K1907" s="71"/>
      <c r="L1907" s="71"/>
      <c r="M1907" s="71"/>
      <c r="N1907" s="71"/>
      <c r="O1907" s="71"/>
      <c r="P1907" s="71"/>
      <c r="Q1907" s="71"/>
      <c r="R1907" s="71"/>
      <c r="S1907" s="71"/>
      <c r="T1907" s="15"/>
    </row>
    <row r="1908">
      <c r="A1908" s="69"/>
      <c r="B1908" s="69"/>
      <c r="C1908" s="70"/>
      <c r="D1908" s="70"/>
      <c r="E1908" s="69"/>
      <c r="F1908" s="69"/>
      <c r="G1908" s="69"/>
      <c r="H1908" s="69"/>
      <c r="I1908" s="69"/>
      <c r="J1908" s="69"/>
      <c r="K1908" s="69"/>
      <c r="L1908" s="69"/>
      <c r="M1908" s="69"/>
      <c r="N1908" s="69"/>
      <c r="O1908" s="69"/>
      <c r="P1908" s="69"/>
      <c r="Q1908" s="69"/>
      <c r="R1908" s="69"/>
      <c r="S1908" s="69"/>
      <c r="T1908" s="15"/>
    </row>
    <row r="1909">
      <c r="A1909" s="71"/>
      <c r="B1909" s="71"/>
      <c r="C1909" s="72"/>
      <c r="D1909" s="72"/>
      <c r="E1909" s="71"/>
      <c r="F1909" s="71"/>
      <c r="G1909" s="71"/>
      <c r="H1909" s="71"/>
      <c r="I1909" s="71"/>
      <c r="J1909" s="71"/>
      <c r="K1909" s="71"/>
      <c r="L1909" s="71"/>
      <c r="M1909" s="71"/>
      <c r="N1909" s="71"/>
      <c r="O1909" s="71"/>
      <c r="P1909" s="71"/>
      <c r="Q1909" s="71"/>
      <c r="R1909" s="71"/>
      <c r="S1909" s="71"/>
      <c r="T1909" s="15"/>
    </row>
    <row r="1910">
      <c r="A1910" s="69"/>
      <c r="B1910" s="69"/>
      <c r="C1910" s="70"/>
      <c r="D1910" s="70"/>
      <c r="E1910" s="69"/>
      <c r="F1910" s="69"/>
      <c r="G1910" s="69"/>
      <c r="H1910" s="69"/>
      <c r="I1910" s="69"/>
      <c r="J1910" s="69"/>
      <c r="K1910" s="69"/>
      <c r="L1910" s="69"/>
      <c r="M1910" s="69"/>
      <c r="N1910" s="69"/>
      <c r="O1910" s="69"/>
      <c r="P1910" s="69"/>
      <c r="Q1910" s="69"/>
      <c r="R1910" s="69"/>
      <c r="S1910" s="69"/>
      <c r="T1910" s="15"/>
    </row>
    <row r="1911">
      <c r="A1911" s="71"/>
      <c r="B1911" s="71"/>
      <c r="C1911" s="72"/>
      <c r="D1911" s="72"/>
      <c r="E1911" s="71"/>
      <c r="F1911" s="71"/>
      <c r="G1911" s="71"/>
      <c r="H1911" s="71"/>
      <c r="I1911" s="71"/>
      <c r="J1911" s="71"/>
      <c r="K1911" s="71"/>
      <c r="L1911" s="71"/>
      <c r="M1911" s="71"/>
      <c r="N1911" s="71"/>
      <c r="O1911" s="71"/>
      <c r="P1911" s="71"/>
      <c r="Q1911" s="71"/>
      <c r="R1911" s="71"/>
      <c r="S1911" s="71"/>
      <c r="T1911" s="15"/>
    </row>
    <row r="1912">
      <c r="A1912" s="69"/>
      <c r="B1912" s="69"/>
      <c r="C1912" s="70"/>
      <c r="D1912" s="70"/>
      <c r="E1912" s="69"/>
      <c r="F1912" s="69"/>
      <c r="G1912" s="69"/>
      <c r="H1912" s="69"/>
      <c r="I1912" s="69"/>
      <c r="J1912" s="69"/>
      <c r="K1912" s="69"/>
      <c r="L1912" s="69"/>
      <c r="M1912" s="69"/>
      <c r="N1912" s="69"/>
      <c r="O1912" s="69"/>
      <c r="P1912" s="69"/>
      <c r="Q1912" s="69"/>
      <c r="R1912" s="69"/>
      <c r="S1912" s="69"/>
      <c r="T1912" s="15"/>
    </row>
    <row r="1913">
      <c r="A1913" s="71"/>
      <c r="B1913" s="71"/>
      <c r="C1913" s="72"/>
      <c r="D1913" s="72"/>
      <c r="E1913" s="71"/>
      <c r="F1913" s="71"/>
      <c r="G1913" s="71"/>
      <c r="H1913" s="71"/>
      <c r="I1913" s="71"/>
      <c r="J1913" s="71"/>
      <c r="K1913" s="71"/>
      <c r="L1913" s="71"/>
      <c r="M1913" s="71"/>
      <c r="N1913" s="71"/>
      <c r="O1913" s="71"/>
      <c r="P1913" s="71"/>
      <c r="Q1913" s="71"/>
      <c r="R1913" s="71"/>
      <c r="S1913" s="71"/>
      <c r="T1913" s="15"/>
    </row>
    <row r="1914">
      <c r="A1914" s="69"/>
      <c r="B1914" s="69"/>
      <c r="C1914" s="70"/>
      <c r="D1914" s="70"/>
      <c r="E1914" s="69"/>
      <c r="F1914" s="69"/>
      <c r="G1914" s="69"/>
      <c r="H1914" s="69"/>
      <c r="I1914" s="69"/>
      <c r="J1914" s="69"/>
      <c r="K1914" s="69"/>
      <c r="L1914" s="69"/>
      <c r="M1914" s="69"/>
      <c r="N1914" s="69"/>
      <c r="O1914" s="69"/>
      <c r="P1914" s="69"/>
      <c r="Q1914" s="69"/>
      <c r="R1914" s="69"/>
      <c r="S1914" s="69"/>
      <c r="T1914" s="15"/>
    </row>
    <row r="1915">
      <c r="A1915" s="71"/>
      <c r="B1915" s="71"/>
      <c r="C1915" s="72"/>
      <c r="D1915" s="72"/>
      <c r="E1915" s="71"/>
      <c r="F1915" s="71"/>
      <c r="G1915" s="71"/>
      <c r="H1915" s="71"/>
      <c r="I1915" s="71"/>
      <c r="J1915" s="71"/>
      <c r="K1915" s="71"/>
      <c r="L1915" s="71"/>
      <c r="M1915" s="71"/>
      <c r="N1915" s="71"/>
      <c r="O1915" s="71"/>
      <c r="P1915" s="71"/>
      <c r="Q1915" s="71"/>
      <c r="R1915" s="71"/>
      <c r="S1915" s="71"/>
      <c r="T1915" s="15"/>
    </row>
    <row r="1916">
      <c r="A1916" s="69"/>
      <c r="B1916" s="69"/>
      <c r="C1916" s="70"/>
      <c r="D1916" s="70"/>
      <c r="E1916" s="69"/>
      <c r="F1916" s="69"/>
      <c r="G1916" s="69"/>
      <c r="H1916" s="69"/>
      <c r="I1916" s="69"/>
      <c r="J1916" s="69"/>
      <c r="K1916" s="69"/>
      <c r="L1916" s="69"/>
      <c r="M1916" s="69"/>
      <c r="N1916" s="69"/>
      <c r="O1916" s="69"/>
      <c r="P1916" s="69"/>
      <c r="Q1916" s="69"/>
      <c r="R1916" s="69"/>
      <c r="S1916" s="69"/>
      <c r="T1916" s="15"/>
    </row>
    <row r="1917">
      <c r="A1917" s="71"/>
      <c r="B1917" s="71"/>
      <c r="C1917" s="72"/>
      <c r="D1917" s="72"/>
      <c r="E1917" s="71"/>
      <c r="F1917" s="71"/>
      <c r="G1917" s="71"/>
      <c r="H1917" s="71"/>
      <c r="I1917" s="71"/>
      <c r="J1917" s="71"/>
      <c r="K1917" s="71"/>
      <c r="L1917" s="71"/>
      <c r="M1917" s="71"/>
      <c r="N1917" s="71"/>
      <c r="O1917" s="71"/>
      <c r="P1917" s="71"/>
      <c r="Q1917" s="71"/>
      <c r="R1917" s="71"/>
      <c r="S1917" s="71"/>
      <c r="T1917" s="15"/>
    </row>
    <row r="1918">
      <c r="A1918" s="69"/>
      <c r="B1918" s="69"/>
      <c r="C1918" s="70"/>
      <c r="D1918" s="70"/>
      <c r="E1918" s="69"/>
      <c r="F1918" s="69"/>
      <c r="G1918" s="69"/>
      <c r="H1918" s="69"/>
      <c r="I1918" s="69"/>
      <c r="J1918" s="69"/>
      <c r="K1918" s="69"/>
      <c r="L1918" s="69"/>
      <c r="M1918" s="69"/>
      <c r="N1918" s="69"/>
      <c r="O1918" s="69"/>
      <c r="P1918" s="69"/>
      <c r="Q1918" s="69"/>
      <c r="R1918" s="69"/>
      <c r="S1918" s="69"/>
      <c r="T1918" s="15"/>
    </row>
    <row r="1919">
      <c r="A1919" s="71"/>
      <c r="B1919" s="71"/>
      <c r="C1919" s="72"/>
      <c r="D1919" s="72"/>
      <c r="E1919" s="71"/>
      <c r="F1919" s="71"/>
      <c r="G1919" s="71"/>
      <c r="H1919" s="71"/>
      <c r="I1919" s="71"/>
      <c r="J1919" s="71"/>
      <c r="K1919" s="71"/>
      <c r="L1919" s="71"/>
      <c r="M1919" s="71"/>
      <c r="N1919" s="71"/>
      <c r="O1919" s="71"/>
      <c r="P1919" s="71"/>
      <c r="Q1919" s="71"/>
      <c r="R1919" s="71"/>
      <c r="S1919" s="71"/>
      <c r="T1919" s="15"/>
    </row>
    <row r="1920">
      <c r="A1920" s="69"/>
      <c r="B1920" s="69"/>
      <c r="C1920" s="70"/>
      <c r="D1920" s="70"/>
      <c r="E1920" s="69"/>
      <c r="F1920" s="69"/>
      <c r="G1920" s="69"/>
      <c r="H1920" s="69"/>
      <c r="I1920" s="69"/>
      <c r="J1920" s="69"/>
      <c r="K1920" s="69"/>
      <c r="L1920" s="69"/>
      <c r="M1920" s="69"/>
      <c r="N1920" s="69"/>
      <c r="O1920" s="69"/>
      <c r="P1920" s="69"/>
      <c r="Q1920" s="69"/>
      <c r="R1920" s="69"/>
      <c r="S1920" s="69"/>
      <c r="T1920" s="15"/>
    </row>
    <row r="1921">
      <c r="A1921" s="71"/>
      <c r="B1921" s="71"/>
      <c r="C1921" s="72"/>
      <c r="D1921" s="72"/>
      <c r="E1921" s="71"/>
      <c r="F1921" s="71"/>
      <c r="G1921" s="71"/>
      <c r="H1921" s="71"/>
      <c r="I1921" s="71"/>
      <c r="J1921" s="71"/>
      <c r="K1921" s="71"/>
      <c r="L1921" s="71"/>
      <c r="M1921" s="71"/>
      <c r="N1921" s="71"/>
      <c r="O1921" s="71"/>
      <c r="P1921" s="71"/>
      <c r="Q1921" s="71"/>
      <c r="R1921" s="71"/>
      <c r="S1921" s="71"/>
      <c r="T1921" s="15"/>
    </row>
    <row r="1922">
      <c r="A1922" s="69"/>
      <c r="B1922" s="69"/>
      <c r="C1922" s="70"/>
      <c r="D1922" s="70"/>
      <c r="E1922" s="69"/>
      <c r="F1922" s="69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69"/>
      <c r="T1922" s="15"/>
    </row>
    <row r="1923">
      <c r="A1923" s="71"/>
      <c r="B1923" s="71"/>
      <c r="C1923" s="72"/>
      <c r="D1923" s="72"/>
      <c r="E1923" s="71"/>
      <c r="F1923" s="71"/>
      <c r="G1923" s="71"/>
      <c r="H1923" s="71"/>
      <c r="I1923" s="71"/>
      <c r="J1923" s="71"/>
      <c r="K1923" s="71"/>
      <c r="L1923" s="71"/>
      <c r="M1923" s="71"/>
      <c r="N1923" s="71"/>
      <c r="O1923" s="71"/>
      <c r="P1923" s="71"/>
      <c r="Q1923" s="71"/>
      <c r="R1923" s="71"/>
      <c r="S1923" s="71"/>
      <c r="T1923" s="15"/>
    </row>
    <row r="1924">
      <c r="A1924" s="69"/>
      <c r="B1924" s="69"/>
      <c r="C1924" s="70"/>
      <c r="D1924" s="70"/>
      <c r="E1924" s="69"/>
      <c r="F1924" s="69"/>
      <c r="G1924" s="69"/>
      <c r="H1924" s="69"/>
      <c r="I1924" s="69"/>
      <c r="J1924" s="69"/>
      <c r="K1924" s="69"/>
      <c r="L1924" s="69"/>
      <c r="M1924" s="69"/>
      <c r="N1924" s="69"/>
      <c r="O1924" s="69"/>
      <c r="P1924" s="69"/>
      <c r="Q1924" s="69"/>
      <c r="R1924" s="69"/>
      <c r="S1924" s="69"/>
      <c r="T1924" s="15"/>
    </row>
    <row r="1925">
      <c r="A1925" s="71"/>
      <c r="B1925" s="71"/>
      <c r="C1925" s="72"/>
      <c r="D1925" s="72"/>
      <c r="E1925" s="71"/>
      <c r="F1925" s="71"/>
      <c r="G1925" s="71"/>
      <c r="H1925" s="71"/>
      <c r="I1925" s="71"/>
      <c r="J1925" s="71"/>
      <c r="K1925" s="71"/>
      <c r="L1925" s="71"/>
      <c r="M1925" s="71"/>
      <c r="N1925" s="71"/>
      <c r="O1925" s="71"/>
      <c r="P1925" s="71"/>
      <c r="Q1925" s="71"/>
      <c r="R1925" s="71"/>
      <c r="S1925" s="71"/>
      <c r="T1925" s="15"/>
    </row>
    <row r="1926">
      <c r="A1926" s="69"/>
      <c r="B1926" s="69"/>
      <c r="C1926" s="70"/>
      <c r="D1926" s="70"/>
      <c r="E1926" s="69"/>
      <c r="F1926" s="69"/>
      <c r="G1926" s="69"/>
      <c r="H1926" s="69"/>
      <c r="I1926" s="69"/>
      <c r="J1926" s="69"/>
      <c r="K1926" s="69"/>
      <c r="L1926" s="69"/>
      <c r="M1926" s="69"/>
      <c r="N1926" s="69"/>
      <c r="O1926" s="69"/>
      <c r="P1926" s="69"/>
      <c r="Q1926" s="69"/>
      <c r="R1926" s="69"/>
      <c r="S1926" s="69"/>
      <c r="T1926" s="15"/>
    </row>
    <row r="1927">
      <c r="A1927" s="71"/>
      <c r="B1927" s="71"/>
      <c r="C1927" s="72"/>
      <c r="D1927" s="72"/>
      <c r="E1927" s="71"/>
      <c r="F1927" s="71"/>
      <c r="G1927" s="71"/>
      <c r="H1927" s="71"/>
      <c r="I1927" s="71"/>
      <c r="J1927" s="71"/>
      <c r="K1927" s="71"/>
      <c r="L1927" s="71"/>
      <c r="M1927" s="71"/>
      <c r="N1927" s="71"/>
      <c r="O1927" s="71"/>
      <c r="P1927" s="71"/>
      <c r="Q1927" s="71"/>
      <c r="R1927" s="71"/>
      <c r="S1927" s="71"/>
      <c r="T1927" s="15"/>
    </row>
    <row r="1928">
      <c r="A1928" s="69"/>
      <c r="B1928" s="69"/>
      <c r="C1928" s="70"/>
      <c r="D1928" s="70"/>
      <c r="E1928" s="69"/>
      <c r="F1928" s="69"/>
      <c r="G1928" s="69"/>
      <c r="H1928" s="69"/>
      <c r="I1928" s="69"/>
      <c r="J1928" s="69"/>
      <c r="K1928" s="69"/>
      <c r="L1928" s="69"/>
      <c r="M1928" s="69"/>
      <c r="N1928" s="69"/>
      <c r="O1928" s="69"/>
      <c r="P1928" s="69"/>
      <c r="Q1928" s="69"/>
      <c r="R1928" s="69"/>
      <c r="S1928" s="69"/>
      <c r="T1928" s="15"/>
    </row>
    <row r="1929">
      <c r="A1929" s="71"/>
      <c r="B1929" s="71"/>
      <c r="C1929" s="72"/>
      <c r="D1929" s="72"/>
      <c r="E1929" s="71"/>
      <c r="F1929" s="71"/>
      <c r="G1929" s="71"/>
      <c r="H1929" s="71"/>
      <c r="I1929" s="71"/>
      <c r="J1929" s="71"/>
      <c r="K1929" s="71"/>
      <c r="L1929" s="71"/>
      <c r="M1929" s="71"/>
      <c r="N1929" s="71"/>
      <c r="O1929" s="71"/>
      <c r="P1929" s="71"/>
      <c r="Q1929" s="71"/>
      <c r="R1929" s="71"/>
      <c r="S1929" s="71"/>
      <c r="T1929" s="15"/>
    </row>
    <row r="1930">
      <c r="A1930" s="69"/>
      <c r="B1930" s="69"/>
      <c r="C1930" s="70"/>
      <c r="D1930" s="70"/>
      <c r="E1930" s="69"/>
      <c r="F1930" s="69"/>
      <c r="G1930" s="69"/>
      <c r="H1930" s="69"/>
      <c r="I1930" s="69"/>
      <c r="J1930" s="69"/>
      <c r="K1930" s="69"/>
      <c r="L1930" s="69"/>
      <c r="M1930" s="69"/>
      <c r="N1930" s="69"/>
      <c r="O1930" s="69"/>
      <c r="P1930" s="69"/>
      <c r="Q1930" s="69"/>
      <c r="R1930" s="69"/>
      <c r="S1930" s="69"/>
      <c r="T1930" s="15"/>
    </row>
    <row r="1931">
      <c r="A1931" s="71"/>
      <c r="B1931" s="71"/>
      <c r="C1931" s="72"/>
      <c r="D1931" s="72"/>
      <c r="E1931" s="71"/>
      <c r="F1931" s="71"/>
      <c r="G1931" s="71"/>
      <c r="H1931" s="71"/>
      <c r="I1931" s="71"/>
      <c r="J1931" s="71"/>
      <c r="K1931" s="71"/>
      <c r="L1931" s="71"/>
      <c r="M1931" s="71"/>
      <c r="N1931" s="71"/>
      <c r="O1931" s="71"/>
      <c r="P1931" s="71"/>
      <c r="Q1931" s="71"/>
      <c r="R1931" s="71"/>
      <c r="S1931" s="71"/>
      <c r="T1931" s="15"/>
    </row>
    <row r="1932">
      <c r="A1932" s="69"/>
      <c r="B1932" s="69"/>
      <c r="C1932" s="70"/>
      <c r="D1932" s="70"/>
      <c r="E1932" s="69"/>
      <c r="F1932" s="69"/>
      <c r="G1932" s="69"/>
      <c r="H1932" s="69"/>
      <c r="I1932" s="69"/>
      <c r="J1932" s="69"/>
      <c r="K1932" s="69"/>
      <c r="L1932" s="69"/>
      <c r="M1932" s="69"/>
      <c r="N1932" s="69"/>
      <c r="O1932" s="69"/>
      <c r="P1932" s="69"/>
      <c r="Q1932" s="69"/>
      <c r="R1932" s="69"/>
      <c r="S1932" s="69"/>
      <c r="T1932" s="15"/>
    </row>
    <row r="1933">
      <c r="A1933" s="71"/>
      <c r="B1933" s="71"/>
      <c r="C1933" s="72"/>
      <c r="D1933" s="72"/>
      <c r="E1933" s="71"/>
      <c r="F1933" s="71"/>
      <c r="G1933" s="71"/>
      <c r="H1933" s="71"/>
      <c r="I1933" s="71"/>
      <c r="J1933" s="71"/>
      <c r="K1933" s="71"/>
      <c r="L1933" s="71"/>
      <c r="M1933" s="71"/>
      <c r="N1933" s="71"/>
      <c r="O1933" s="71"/>
      <c r="P1933" s="71"/>
      <c r="Q1933" s="71"/>
      <c r="R1933" s="71"/>
      <c r="S1933" s="71"/>
      <c r="T1933" s="15"/>
    </row>
    <row r="1934">
      <c r="A1934" s="69"/>
      <c r="B1934" s="69"/>
      <c r="C1934" s="70"/>
      <c r="D1934" s="70"/>
      <c r="E1934" s="69"/>
      <c r="F1934" s="69"/>
      <c r="G1934" s="69"/>
      <c r="H1934" s="69"/>
      <c r="I1934" s="69"/>
      <c r="J1934" s="69"/>
      <c r="K1934" s="69"/>
      <c r="L1934" s="69"/>
      <c r="M1934" s="69"/>
      <c r="N1934" s="69"/>
      <c r="O1934" s="69"/>
      <c r="P1934" s="69"/>
      <c r="Q1934" s="69"/>
      <c r="R1934" s="69"/>
      <c r="S1934" s="69"/>
      <c r="T1934" s="15"/>
    </row>
    <row r="1935">
      <c r="A1935" s="71"/>
      <c r="B1935" s="71"/>
      <c r="C1935" s="72"/>
      <c r="D1935" s="72"/>
      <c r="E1935" s="71"/>
      <c r="F1935" s="71"/>
      <c r="G1935" s="71"/>
      <c r="H1935" s="71"/>
      <c r="I1935" s="71"/>
      <c r="J1935" s="71"/>
      <c r="K1935" s="71"/>
      <c r="L1935" s="71"/>
      <c r="M1935" s="71"/>
      <c r="N1935" s="71"/>
      <c r="O1935" s="71"/>
      <c r="P1935" s="71"/>
      <c r="Q1935" s="71"/>
      <c r="R1935" s="71"/>
      <c r="S1935" s="71"/>
      <c r="T1935" s="15"/>
    </row>
    <row r="1936">
      <c r="A1936" s="69"/>
      <c r="B1936" s="69"/>
      <c r="C1936" s="70"/>
      <c r="D1936" s="70"/>
      <c r="E1936" s="69"/>
      <c r="F1936" s="69"/>
      <c r="G1936" s="69"/>
      <c r="H1936" s="69"/>
      <c r="I1936" s="69"/>
      <c r="J1936" s="69"/>
      <c r="K1936" s="69"/>
      <c r="L1936" s="69"/>
      <c r="M1936" s="69"/>
      <c r="N1936" s="69"/>
      <c r="O1936" s="69"/>
      <c r="P1936" s="69"/>
      <c r="Q1936" s="69"/>
      <c r="R1936" s="69"/>
      <c r="S1936" s="69"/>
      <c r="T1936" s="15"/>
    </row>
    <row r="1937">
      <c r="A1937" s="71"/>
      <c r="B1937" s="71"/>
      <c r="C1937" s="72"/>
      <c r="D1937" s="72"/>
      <c r="E1937" s="71"/>
      <c r="F1937" s="71"/>
      <c r="G1937" s="71"/>
      <c r="H1937" s="71"/>
      <c r="I1937" s="71"/>
      <c r="J1937" s="71"/>
      <c r="K1937" s="71"/>
      <c r="L1937" s="71"/>
      <c r="M1937" s="71"/>
      <c r="N1937" s="71"/>
      <c r="O1937" s="71"/>
      <c r="P1937" s="71"/>
      <c r="Q1937" s="71"/>
      <c r="R1937" s="71"/>
      <c r="S1937" s="71"/>
      <c r="T1937" s="15"/>
    </row>
    <row r="1938">
      <c r="A1938" s="69"/>
      <c r="B1938" s="69"/>
      <c r="C1938" s="70"/>
      <c r="D1938" s="70"/>
      <c r="E1938" s="69"/>
      <c r="F1938" s="69"/>
      <c r="G1938" s="69"/>
      <c r="H1938" s="69"/>
      <c r="I1938" s="69"/>
      <c r="J1938" s="69"/>
      <c r="K1938" s="69"/>
      <c r="L1938" s="69"/>
      <c r="M1938" s="69"/>
      <c r="N1938" s="69"/>
      <c r="O1938" s="69"/>
      <c r="P1938" s="69"/>
      <c r="Q1938" s="69"/>
      <c r="R1938" s="69"/>
      <c r="S1938" s="69"/>
      <c r="T1938" s="15"/>
    </row>
    <row r="1939">
      <c r="A1939" s="71"/>
      <c r="B1939" s="71"/>
      <c r="C1939" s="72"/>
      <c r="D1939" s="72"/>
      <c r="E1939" s="71"/>
      <c r="F1939" s="71"/>
      <c r="G1939" s="71"/>
      <c r="H1939" s="71"/>
      <c r="I1939" s="71"/>
      <c r="J1939" s="71"/>
      <c r="K1939" s="71"/>
      <c r="L1939" s="71"/>
      <c r="M1939" s="71"/>
      <c r="N1939" s="71"/>
      <c r="O1939" s="71"/>
      <c r="P1939" s="71"/>
      <c r="Q1939" s="71"/>
      <c r="R1939" s="71"/>
      <c r="S1939" s="71"/>
      <c r="T1939" s="15"/>
    </row>
    <row r="1940">
      <c r="A1940" s="69"/>
      <c r="B1940" s="69"/>
      <c r="C1940" s="70"/>
      <c r="D1940" s="70"/>
      <c r="E1940" s="69"/>
      <c r="F1940" s="69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69"/>
      <c r="T1940" s="15"/>
    </row>
    <row r="1941">
      <c r="A1941" s="71"/>
      <c r="B1941" s="71"/>
      <c r="C1941" s="72"/>
      <c r="D1941" s="72"/>
      <c r="E1941" s="71"/>
      <c r="F1941" s="71"/>
      <c r="G1941" s="71"/>
      <c r="H1941" s="71"/>
      <c r="I1941" s="71"/>
      <c r="J1941" s="71"/>
      <c r="K1941" s="71"/>
      <c r="L1941" s="71"/>
      <c r="M1941" s="71"/>
      <c r="N1941" s="71"/>
      <c r="O1941" s="71"/>
      <c r="P1941" s="71"/>
      <c r="Q1941" s="71"/>
      <c r="R1941" s="71"/>
      <c r="S1941" s="71"/>
      <c r="T1941" s="15"/>
    </row>
    <row r="1942">
      <c r="A1942" s="69"/>
      <c r="B1942" s="69"/>
      <c r="C1942" s="70"/>
      <c r="D1942" s="70"/>
      <c r="E1942" s="69"/>
      <c r="F1942" s="69"/>
      <c r="G1942" s="69"/>
      <c r="H1942" s="69"/>
      <c r="I1942" s="69"/>
      <c r="J1942" s="69"/>
      <c r="K1942" s="69"/>
      <c r="L1942" s="69"/>
      <c r="M1942" s="69"/>
      <c r="N1942" s="69"/>
      <c r="O1942" s="69"/>
      <c r="P1942" s="69"/>
      <c r="Q1942" s="69"/>
      <c r="R1942" s="69"/>
      <c r="S1942" s="69"/>
      <c r="T1942" s="15"/>
    </row>
    <row r="1943">
      <c r="A1943" s="71"/>
      <c r="B1943" s="71"/>
      <c r="C1943" s="72"/>
      <c r="D1943" s="72"/>
      <c r="E1943" s="71"/>
      <c r="F1943" s="71"/>
      <c r="G1943" s="71"/>
      <c r="H1943" s="71"/>
      <c r="I1943" s="71"/>
      <c r="J1943" s="71"/>
      <c r="K1943" s="71"/>
      <c r="L1943" s="71"/>
      <c r="M1943" s="71"/>
      <c r="N1943" s="71"/>
      <c r="O1943" s="71"/>
      <c r="P1943" s="71"/>
      <c r="Q1943" s="71"/>
      <c r="R1943" s="71"/>
      <c r="S1943" s="71"/>
      <c r="T1943" s="15"/>
    </row>
    <row r="1944">
      <c r="A1944" s="69"/>
      <c r="B1944" s="69"/>
      <c r="C1944" s="70"/>
      <c r="D1944" s="70"/>
      <c r="E1944" s="69"/>
      <c r="F1944" s="69"/>
      <c r="G1944" s="69"/>
      <c r="H1944" s="69"/>
      <c r="I1944" s="69"/>
      <c r="J1944" s="69"/>
      <c r="K1944" s="69"/>
      <c r="L1944" s="69"/>
      <c r="M1944" s="69"/>
      <c r="N1944" s="69"/>
      <c r="O1944" s="69"/>
      <c r="P1944" s="69"/>
      <c r="Q1944" s="69"/>
      <c r="R1944" s="69"/>
      <c r="S1944" s="69"/>
      <c r="T1944" s="15"/>
    </row>
    <row r="1945">
      <c r="A1945" s="71"/>
      <c r="B1945" s="71"/>
      <c r="C1945" s="72"/>
      <c r="D1945" s="72"/>
      <c r="E1945" s="71"/>
      <c r="F1945" s="71"/>
      <c r="G1945" s="71"/>
      <c r="H1945" s="71"/>
      <c r="I1945" s="71"/>
      <c r="J1945" s="71"/>
      <c r="K1945" s="71"/>
      <c r="L1945" s="71"/>
      <c r="M1945" s="71"/>
      <c r="N1945" s="71"/>
      <c r="O1945" s="71"/>
      <c r="P1945" s="71"/>
      <c r="Q1945" s="71"/>
      <c r="R1945" s="71"/>
      <c r="S1945" s="71"/>
      <c r="T1945" s="15"/>
    </row>
    <row r="1946">
      <c r="A1946" s="69"/>
      <c r="B1946" s="69"/>
      <c r="C1946" s="70"/>
      <c r="D1946" s="70"/>
      <c r="E1946" s="69"/>
      <c r="F1946" s="69"/>
      <c r="G1946" s="69"/>
      <c r="H1946" s="69"/>
      <c r="I1946" s="69"/>
      <c r="J1946" s="69"/>
      <c r="K1946" s="69"/>
      <c r="L1946" s="69"/>
      <c r="M1946" s="69"/>
      <c r="N1946" s="69"/>
      <c r="O1946" s="69"/>
      <c r="P1946" s="69"/>
      <c r="Q1946" s="69"/>
      <c r="R1946" s="69"/>
      <c r="S1946" s="69"/>
      <c r="T1946" s="15"/>
    </row>
    <row r="1947">
      <c r="A1947" s="71"/>
      <c r="B1947" s="71"/>
      <c r="C1947" s="72"/>
      <c r="D1947" s="72"/>
      <c r="E1947" s="71"/>
      <c r="F1947" s="71"/>
      <c r="G1947" s="71"/>
      <c r="H1947" s="71"/>
      <c r="I1947" s="71"/>
      <c r="J1947" s="71"/>
      <c r="K1947" s="71"/>
      <c r="L1947" s="71"/>
      <c r="M1947" s="71"/>
      <c r="N1947" s="71"/>
      <c r="O1947" s="71"/>
      <c r="P1947" s="71"/>
      <c r="Q1947" s="71"/>
      <c r="R1947" s="71"/>
      <c r="S1947" s="71"/>
      <c r="T1947" s="15"/>
    </row>
    <row r="1948">
      <c r="A1948" s="69"/>
      <c r="B1948" s="69"/>
      <c r="C1948" s="70"/>
      <c r="D1948" s="70"/>
      <c r="E1948" s="69"/>
      <c r="F1948" s="69"/>
      <c r="G1948" s="69"/>
      <c r="H1948" s="69"/>
      <c r="I1948" s="69"/>
      <c r="J1948" s="69"/>
      <c r="K1948" s="69"/>
      <c r="L1948" s="69"/>
      <c r="M1948" s="69"/>
      <c r="N1948" s="69"/>
      <c r="O1948" s="69"/>
      <c r="P1948" s="69"/>
      <c r="Q1948" s="69"/>
      <c r="R1948" s="69"/>
      <c r="S1948" s="69"/>
      <c r="T1948" s="15"/>
    </row>
    <row r="1949">
      <c r="A1949" s="71"/>
      <c r="B1949" s="71"/>
      <c r="C1949" s="72"/>
      <c r="D1949" s="72"/>
      <c r="E1949" s="71"/>
      <c r="F1949" s="71"/>
      <c r="G1949" s="71"/>
      <c r="H1949" s="71"/>
      <c r="I1949" s="71"/>
      <c r="J1949" s="71"/>
      <c r="K1949" s="71"/>
      <c r="L1949" s="71"/>
      <c r="M1949" s="71"/>
      <c r="N1949" s="71"/>
      <c r="O1949" s="71"/>
      <c r="P1949" s="71"/>
      <c r="Q1949" s="71"/>
      <c r="R1949" s="71"/>
      <c r="S1949" s="71"/>
      <c r="T1949" s="15"/>
    </row>
    <row r="1950">
      <c r="A1950" s="69"/>
      <c r="B1950" s="69"/>
      <c r="C1950" s="70"/>
      <c r="D1950" s="70"/>
      <c r="E1950" s="69"/>
      <c r="F1950" s="69"/>
      <c r="G1950" s="69"/>
      <c r="H1950" s="69"/>
      <c r="I1950" s="69"/>
      <c r="J1950" s="69"/>
      <c r="K1950" s="69"/>
      <c r="L1950" s="69"/>
      <c r="M1950" s="69"/>
      <c r="N1950" s="69"/>
      <c r="O1950" s="69"/>
      <c r="P1950" s="69"/>
      <c r="Q1950" s="69"/>
      <c r="R1950" s="69"/>
      <c r="S1950" s="69"/>
      <c r="T1950" s="15"/>
    </row>
    <row r="1951">
      <c r="A1951" s="71"/>
      <c r="B1951" s="71"/>
      <c r="C1951" s="72"/>
      <c r="D1951" s="72"/>
      <c r="E1951" s="71"/>
      <c r="F1951" s="71"/>
      <c r="G1951" s="71"/>
      <c r="H1951" s="71"/>
      <c r="I1951" s="71"/>
      <c r="J1951" s="71"/>
      <c r="K1951" s="71"/>
      <c r="L1951" s="71"/>
      <c r="M1951" s="71"/>
      <c r="N1951" s="71"/>
      <c r="O1951" s="71"/>
      <c r="P1951" s="71"/>
      <c r="Q1951" s="71"/>
      <c r="R1951" s="71"/>
      <c r="S1951" s="71"/>
      <c r="T1951" s="15"/>
    </row>
    <row r="1952">
      <c r="A1952" s="69"/>
      <c r="B1952" s="69"/>
      <c r="C1952" s="70"/>
      <c r="D1952" s="70"/>
      <c r="E1952" s="69"/>
      <c r="F1952" s="69"/>
      <c r="G1952" s="69"/>
      <c r="H1952" s="69"/>
      <c r="I1952" s="69"/>
      <c r="J1952" s="69"/>
      <c r="K1952" s="69"/>
      <c r="L1952" s="69"/>
      <c r="M1952" s="69"/>
      <c r="N1952" s="69"/>
      <c r="O1952" s="69"/>
      <c r="P1952" s="69"/>
      <c r="Q1952" s="69"/>
      <c r="R1952" s="69"/>
      <c r="S1952" s="69"/>
      <c r="T1952" s="15"/>
    </row>
    <row r="1953">
      <c r="A1953" s="71"/>
      <c r="B1953" s="71"/>
      <c r="C1953" s="72"/>
      <c r="D1953" s="72"/>
      <c r="E1953" s="71"/>
      <c r="F1953" s="71"/>
      <c r="G1953" s="71"/>
      <c r="H1953" s="71"/>
      <c r="I1953" s="71"/>
      <c r="J1953" s="71"/>
      <c r="K1953" s="71"/>
      <c r="L1953" s="71"/>
      <c r="M1953" s="71"/>
      <c r="N1953" s="71"/>
      <c r="O1953" s="71"/>
      <c r="P1953" s="71"/>
      <c r="Q1953" s="71"/>
      <c r="R1953" s="71"/>
      <c r="S1953" s="71"/>
      <c r="T1953" s="15"/>
    </row>
    <row r="1954">
      <c r="A1954" s="69"/>
      <c r="B1954" s="69"/>
      <c r="C1954" s="70"/>
      <c r="D1954" s="70"/>
      <c r="E1954" s="69"/>
      <c r="F1954" s="69"/>
      <c r="G1954" s="69"/>
      <c r="H1954" s="69"/>
      <c r="I1954" s="69"/>
      <c r="J1954" s="69"/>
      <c r="K1954" s="69"/>
      <c r="L1954" s="69"/>
      <c r="M1954" s="69"/>
      <c r="N1954" s="69"/>
      <c r="O1954" s="69"/>
      <c r="P1954" s="69"/>
      <c r="Q1954" s="69"/>
      <c r="R1954" s="69"/>
      <c r="S1954" s="69"/>
      <c r="T1954" s="15"/>
    </row>
    <row r="1955">
      <c r="A1955" s="71"/>
      <c r="B1955" s="71"/>
      <c r="C1955" s="72"/>
      <c r="D1955" s="72"/>
      <c r="E1955" s="71"/>
      <c r="F1955" s="71"/>
      <c r="G1955" s="71"/>
      <c r="H1955" s="71"/>
      <c r="I1955" s="71"/>
      <c r="J1955" s="71"/>
      <c r="K1955" s="71"/>
      <c r="L1955" s="71"/>
      <c r="M1955" s="71"/>
      <c r="N1955" s="71"/>
      <c r="O1955" s="71"/>
      <c r="P1955" s="71"/>
      <c r="Q1955" s="71"/>
      <c r="R1955" s="71"/>
      <c r="S1955" s="71"/>
      <c r="T1955" s="15"/>
    </row>
    <row r="1956">
      <c r="A1956" s="69"/>
      <c r="B1956" s="69"/>
      <c r="C1956" s="70"/>
      <c r="D1956" s="70"/>
      <c r="E1956" s="69"/>
      <c r="F1956" s="69"/>
      <c r="G1956" s="69"/>
      <c r="H1956" s="69"/>
      <c r="I1956" s="69"/>
      <c r="J1956" s="69"/>
      <c r="K1956" s="69"/>
      <c r="L1956" s="69"/>
      <c r="M1956" s="69"/>
      <c r="N1956" s="69"/>
      <c r="O1956" s="69"/>
      <c r="P1956" s="69"/>
      <c r="Q1956" s="69"/>
      <c r="R1956" s="69"/>
      <c r="S1956" s="69"/>
      <c r="T1956" s="15"/>
    </row>
    <row r="1957">
      <c r="A1957" s="71"/>
      <c r="B1957" s="71"/>
      <c r="C1957" s="72"/>
      <c r="D1957" s="72"/>
      <c r="E1957" s="71"/>
      <c r="F1957" s="71"/>
      <c r="G1957" s="71"/>
      <c r="H1957" s="71"/>
      <c r="I1957" s="71"/>
      <c r="J1957" s="71"/>
      <c r="K1957" s="71"/>
      <c r="L1957" s="71"/>
      <c r="M1957" s="71"/>
      <c r="N1957" s="71"/>
      <c r="O1957" s="71"/>
      <c r="P1957" s="71"/>
      <c r="Q1957" s="71"/>
      <c r="R1957" s="71"/>
      <c r="S1957" s="71"/>
      <c r="T1957" s="15"/>
    </row>
    <row r="1958">
      <c r="A1958" s="69"/>
      <c r="B1958" s="69"/>
      <c r="C1958" s="70"/>
      <c r="D1958" s="70"/>
      <c r="E1958" s="69"/>
      <c r="F1958" s="69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69"/>
      <c r="T1958" s="15"/>
    </row>
    <row r="1959">
      <c r="A1959" s="71"/>
      <c r="B1959" s="71"/>
      <c r="C1959" s="72"/>
      <c r="D1959" s="72"/>
      <c r="E1959" s="71"/>
      <c r="F1959" s="71"/>
      <c r="G1959" s="71"/>
      <c r="H1959" s="71"/>
      <c r="I1959" s="71"/>
      <c r="J1959" s="71"/>
      <c r="K1959" s="71"/>
      <c r="L1959" s="71"/>
      <c r="M1959" s="71"/>
      <c r="N1959" s="71"/>
      <c r="O1959" s="71"/>
      <c r="P1959" s="71"/>
      <c r="Q1959" s="71"/>
      <c r="R1959" s="71"/>
      <c r="S1959" s="71"/>
      <c r="T1959" s="15"/>
    </row>
    <row r="1960">
      <c r="A1960" s="69"/>
      <c r="B1960" s="69"/>
      <c r="C1960" s="70"/>
      <c r="D1960" s="70"/>
      <c r="E1960" s="69"/>
      <c r="F1960" s="69"/>
      <c r="G1960" s="69"/>
      <c r="H1960" s="69"/>
      <c r="I1960" s="69"/>
      <c r="J1960" s="69"/>
      <c r="K1960" s="69"/>
      <c r="L1960" s="69"/>
      <c r="M1960" s="69"/>
      <c r="N1960" s="69"/>
      <c r="O1960" s="69"/>
      <c r="P1960" s="69"/>
      <c r="Q1960" s="69"/>
      <c r="R1960" s="69"/>
      <c r="S1960" s="69"/>
      <c r="T1960" s="15"/>
    </row>
    <row r="1961">
      <c r="A1961" s="71"/>
      <c r="B1961" s="71"/>
      <c r="C1961" s="72"/>
      <c r="D1961" s="72"/>
      <c r="E1961" s="71"/>
      <c r="F1961" s="71"/>
      <c r="G1961" s="71"/>
      <c r="H1961" s="71"/>
      <c r="I1961" s="71"/>
      <c r="J1961" s="71"/>
      <c r="K1961" s="71"/>
      <c r="L1961" s="71"/>
      <c r="M1961" s="71"/>
      <c r="N1961" s="71"/>
      <c r="O1961" s="71"/>
      <c r="P1961" s="71"/>
      <c r="Q1961" s="71"/>
      <c r="R1961" s="71"/>
      <c r="S1961" s="71"/>
      <c r="T1961" s="15"/>
    </row>
    <row r="1962">
      <c r="A1962" s="69"/>
      <c r="B1962" s="69"/>
      <c r="C1962" s="70"/>
      <c r="D1962" s="70"/>
      <c r="E1962" s="69"/>
      <c r="F1962" s="69"/>
      <c r="G1962" s="69"/>
      <c r="H1962" s="69"/>
      <c r="I1962" s="69"/>
      <c r="J1962" s="69"/>
      <c r="K1962" s="69"/>
      <c r="L1962" s="69"/>
      <c r="M1962" s="69"/>
      <c r="N1962" s="69"/>
      <c r="O1962" s="69"/>
      <c r="P1962" s="69"/>
      <c r="Q1962" s="69"/>
      <c r="R1962" s="69"/>
      <c r="S1962" s="69"/>
      <c r="T1962" s="15"/>
    </row>
    <row r="1963">
      <c r="A1963" s="71"/>
      <c r="B1963" s="71"/>
      <c r="C1963" s="72"/>
      <c r="D1963" s="72"/>
      <c r="E1963" s="71"/>
      <c r="F1963" s="71"/>
      <c r="G1963" s="71"/>
      <c r="H1963" s="71"/>
      <c r="I1963" s="71"/>
      <c r="J1963" s="71"/>
      <c r="K1963" s="71"/>
      <c r="L1963" s="71"/>
      <c r="M1963" s="71"/>
      <c r="N1963" s="71"/>
      <c r="O1963" s="71"/>
      <c r="P1963" s="71"/>
      <c r="Q1963" s="71"/>
      <c r="R1963" s="71"/>
      <c r="S1963" s="71"/>
      <c r="T1963" s="15"/>
    </row>
    <row r="1964">
      <c r="A1964" s="69"/>
      <c r="B1964" s="69"/>
      <c r="C1964" s="70"/>
      <c r="D1964" s="70"/>
      <c r="E1964" s="69"/>
      <c r="F1964" s="69"/>
      <c r="G1964" s="69"/>
      <c r="H1964" s="69"/>
      <c r="I1964" s="69"/>
      <c r="J1964" s="69"/>
      <c r="K1964" s="69"/>
      <c r="L1964" s="69"/>
      <c r="M1964" s="69"/>
      <c r="N1964" s="69"/>
      <c r="O1964" s="69"/>
      <c r="P1964" s="69"/>
      <c r="Q1964" s="69"/>
      <c r="R1964" s="69"/>
      <c r="S1964" s="69"/>
      <c r="T1964" s="15"/>
    </row>
    <row r="1965">
      <c r="A1965" s="71"/>
      <c r="B1965" s="71"/>
      <c r="C1965" s="72"/>
      <c r="D1965" s="72"/>
      <c r="E1965" s="71"/>
      <c r="F1965" s="71"/>
      <c r="G1965" s="71"/>
      <c r="H1965" s="71"/>
      <c r="I1965" s="71"/>
      <c r="J1965" s="71"/>
      <c r="K1965" s="71"/>
      <c r="L1965" s="71"/>
      <c r="M1965" s="71"/>
      <c r="N1965" s="71"/>
      <c r="O1965" s="71"/>
      <c r="P1965" s="71"/>
      <c r="Q1965" s="71"/>
      <c r="R1965" s="71"/>
      <c r="S1965" s="71"/>
      <c r="T1965" s="15"/>
    </row>
    <row r="1966">
      <c r="A1966" s="69"/>
      <c r="B1966" s="69"/>
      <c r="C1966" s="70"/>
      <c r="D1966" s="70"/>
      <c r="E1966" s="69"/>
      <c r="F1966" s="69"/>
      <c r="G1966" s="69"/>
      <c r="H1966" s="69"/>
      <c r="I1966" s="69"/>
      <c r="J1966" s="69"/>
      <c r="K1966" s="69"/>
      <c r="L1966" s="69"/>
      <c r="M1966" s="69"/>
      <c r="N1966" s="69"/>
      <c r="O1966" s="69"/>
      <c r="P1966" s="69"/>
      <c r="Q1966" s="69"/>
      <c r="R1966" s="69"/>
      <c r="S1966" s="69"/>
      <c r="T1966" s="15"/>
    </row>
    <row r="1967">
      <c r="A1967" s="71"/>
      <c r="B1967" s="71"/>
      <c r="C1967" s="72"/>
      <c r="D1967" s="72"/>
      <c r="E1967" s="71"/>
      <c r="F1967" s="71"/>
      <c r="G1967" s="71"/>
      <c r="H1967" s="71"/>
      <c r="I1967" s="71"/>
      <c r="J1967" s="71"/>
      <c r="K1967" s="71"/>
      <c r="L1967" s="71"/>
      <c r="M1967" s="71"/>
      <c r="N1967" s="71"/>
      <c r="O1967" s="71"/>
      <c r="P1967" s="71"/>
      <c r="Q1967" s="71"/>
      <c r="R1967" s="71"/>
      <c r="S1967" s="71"/>
      <c r="T1967" s="15"/>
    </row>
    <row r="1968">
      <c r="A1968" s="69"/>
      <c r="B1968" s="69"/>
      <c r="C1968" s="70"/>
      <c r="D1968" s="70"/>
      <c r="E1968" s="69"/>
      <c r="F1968" s="69"/>
      <c r="G1968" s="69"/>
      <c r="H1968" s="69"/>
      <c r="I1968" s="69"/>
      <c r="J1968" s="69"/>
      <c r="K1968" s="69"/>
      <c r="L1968" s="69"/>
      <c r="M1968" s="69"/>
      <c r="N1968" s="69"/>
      <c r="O1968" s="69"/>
      <c r="P1968" s="69"/>
      <c r="Q1968" s="69"/>
      <c r="R1968" s="69"/>
      <c r="S1968" s="69"/>
      <c r="T1968" s="15"/>
    </row>
    <row r="1969">
      <c r="A1969" s="71"/>
      <c r="B1969" s="71"/>
      <c r="C1969" s="72"/>
      <c r="D1969" s="72"/>
      <c r="E1969" s="71"/>
      <c r="F1969" s="71"/>
      <c r="G1969" s="71"/>
      <c r="H1969" s="71"/>
      <c r="I1969" s="71"/>
      <c r="J1969" s="71"/>
      <c r="K1969" s="71"/>
      <c r="L1969" s="71"/>
      <c r="M1969" s="71"/>
      <c r="N1969" s="71"/>
      <c r="O1969" s="71"/>
      <c r="P1969" s="71"/>
      <c r="Q1969" s="71"/>
      <c r="R1969" s="71"/>
      <c r="S1969" s="71"/>
      <c r="T1969" s="15"/>
    </row>
    <row r="1970">
      <c r="A1970" s="69"/>
      <c r="B1970" s="69"/>
      <c r="C1970" s="70"/>
      <c r="D1970" s="70"/>
      <c r="E1970" s="69"/>
      <c r="F1970" s="69"/>
      <c r="G1970" s="69"/>
      <c r="H1970" s="69"/>
      <c r="I1970" s="69"/>
      <c r="J1970" s="69"/>
      <c r="K1970" s="69"/>
      <c r="L1970" s="69"/>
      <c r="M1970" s="69"/>
      <c r="N1970" s="69"/>
      <c r="O1970" s="69"/>
      <c r="P1970" s="69"/>
      <c r="Q1970" s="69"/>
      <c r="R1970" s="69"/>
      <c r="S1970" s="69"/>
      <c r="T1970" s="15"/>
    </row>
    <row r="1971">
      <c r="A1971" s="71"/>
      <c r="B1971" s="71"/>
      <c r="C1971" s="72"/>
      <c r="D1971" s="72"/>
      <c r="E1971" s="71"/>
      <c r="F1971" s="71"/>
      <c r="G1971" s="71"/>
      <c r="H1971" s="71"/>
      <c r="I1971" s="71"/>
      <c r="J1971" s="71"/>
      <c r="K1971" s="71"/>
      <c r="L1971" s="71"/>
      <c r="M1971" s="71"/>
      <c r="N1971" s="71"/>
      <c r="O1971" s="71"/>
      <c r="P1971" s="71"/>
      <c r="Q1971" s="71"/>
      <c r="R1971" s="71"/>
      <c r="S1971" s="71"/>
      <c r="T1971" s="15"/>
    </row>
    <row r="1972">
      <c r="A1972" s="69"/>
      <c r="B1972" s="69"/>
      <c r="C1972" s="70"/>
      <c r="D1972" s="70"/>
      <c r="E1972" s="69"/>
      <c r="F1972" s="69"/>
      <c r="G1972" s="69"/>
      <c r="H1972" s="69"/>
      <c r="I1972" s="69"/>
      <c r="J1972" s="69"/>
      <c r="K1972" s="69"/>
      <c r="L1972" s="69"/>
      <c r="M1972" s="69"/>
      <c r="N1972" s="69"/>
      <c r="O1972" s="69"/>
      <c r="P1972" s="69"/>
      <c r="Q1972" s="69"/>
      <c r="R1972" s="69"/>
      <c r="S1972" s="69"/>
      <c r="T1972" s="15"/>
    </row>
    <row r="1973">
      <c r="A1973" s="71"/>
      <c r="B1973" s="71"/>
      <c r="C1973" s="72"/>
      <c r="D1973" s="72"/>
      <c r="E1973" s="71"/>
      <c r="F1973" s="71"/>
      <c r="G1973" s="71"/>
      <c r="H1973" s="71"/>
      <c r="I1973" s="71"/>
      <c r="J1973" s="71"/>
      <c r="K1973" s="71"/>
      <c r="L1973" s="71"/>
      <c r="M1973" s="71"/>
      <c r="N1973" s="71"/>
      <c r="O1973" s="71"/>
      <c r="P1973" s="71"/>
      <c r="Q1973" s="71"/>
      <c r="R1973" s="71"/>
      <c r="S1973" s="71"/>
      <c r="T1973" s="15"/>
    </row>
    <row r="1974">
      <c r="A1974" s="69"/>
      <c r="B1974" s="69"/>
      <c r="C1974" s="70"/>
      <c r="D1974" s="70"/>
      <c r="E1974" s="69"/>
      <c r="F1974" s="69"/>
      <c r="G1974" s="69"/>
      <c r="H1974" s="69"/>
      <c r="I1974" s="69"/>
      <c r="J1974" s="69"/>
      <c r="K1974" s="69"/>
      <c r="L1974" s="69"/>
      <c r="M1974" s="69"/>
      <c r="N1974" s="69"/>
      <c r="O1974" s="69"/>
      <c r="P1974" s="69"/>
      <c r="Q1974" s="69"/>
      <c r="R1974" s="69"/>
      <c r="S1974" s="69"/>
      <c r="T1974" s="15"/>
    </row>
    <row r="1975">
      <c r="A1975" s="71"/>
      <c r="B1975" s="71"/>
      <c r="C1975" s="72"/>
      <c r="D1975" s="72"/>
      <c r="E1975" s="71"/>
      <c r="F1975" s="71"/>
      <c r="G1975" s="71"/>
      <c r="H1975" s="71"/>
      <c r="I1975" s="71"/>
      <c r="J1975" s="71"/>
      <c r="K1975" s="71"/>
      <c r="L1975" s="71"/>
      <c r="M1975" s="71"/>
      <c r="N1975" s="71"/>
      <c r="O1975" s="71"/>
      <c r="P1975" s="71"/>
      <c r="Q1975" s="71"/>
      <c r="R1975" s="71"/>
      <c r="S1975" s="71"/>
      <c r="T1975" s="15"/>
    </row>
    <row r="1976">
      <c r="A1976" s="69"/>
      <c r="B1976" s="69"/>
      <c r="C1976" s="70"/>
      <c r="D1976" s="70"/>
      <c r="E1976" s="69"/>
      <c r="F1976" s="69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69"/>
      <c r="T1976" s="15"/>
    </row>
    <row r="1977">
      <c r="A1977" s="71"/>
      <c r="B1977" s="71"/>
      <c r="C1977" s="72"/>
      <c r="D1977" s="72"/>
      <c r="E1977" s="71"/>
      <c r="F1977" s="71"/>
      <c r="G1977" s="71"/>
      <c r="H1977" s="71"/>
      <c r="I1977" s="71"/>
      <c r="J1977" s="71"/>
      <c r="K1977" s="71"/>
      <c r="L1977" s="71"/>
      <c r="M1977" s="71"/>
      <c r="N1977" s="71"/>
      <c r="O1977" s="71"/>
      <c r="P1977" s="71"/>
      <c r="Q1977" s="71"/>
      <c r="R1977" s="71"/>
      <c r="S1977" s="71"/>
      <c r="T1977" s="15"/>
    </row>
    <row r="1978">
      <c r="A1978" s="69"/>
      <c r="B1978" s="69"/>
      <c r="C1978" s="70"/>
      <c r="D1978" s="70"/>
      <c r="E1978" s="69"/>
      <c r="F1978" s="69"/>
      <c r="G1978" s="69"/>
      <c r="H1978" s="69"/>
      <c r="I1978" s="69"/>
      <c r="J1978" s="69"/>
      <c r="K1978" s="69"/>
      <c r="L1978" s="69"/>
      <c r="M1978" s="69"/>
      <c r="N1978" s="69"/>
      <c r="O1978" s="69"/>
      <c r="P1978" s="69"/>
      <c r="Q1978" s="69"/>
      <c r="R1978" s="69"/>
      <c r="S1978" s="69"/>
      <c r="T1978" s="15"/>
    </row>
    <row r="1979">
      <c r="A1979" s="71"/>
      <c r="B1979" s="71"/>
      <c r="C1979" s="72"/>
      <c r="D1979" s="72"/>
      <c r="E1979" s="71"/>
      <c r="F1979" s="71"/>
      <c r="G1979" s="71"/>
      <c r="H1979" s="71"/>
      <c r="I1979" s="71"/>
      <c r="J1979" s="71"/>
      <c r="K1979" s="71"/>
      <c r="L1979" s="71"/>
      <c r="M1979" s="71"/>
      <c r="N1979" s="71"/>
      <c r="O1979" s="71"/>
      <c r="P1979" s="71"/>
      <c r="Q1979" s="71"/>
      <c r="R1979" s="71"/>
      <c r="S1979" s="71"/>
      <c r="T1979" s="15"/>
    </row>
    <row r="1980">
      <c r="A1980" s="69"/>
      <c r="B1980" s="69"/>
      <c r="C1980" s="70"/>
      <c r="D1980" s="70"/>
      <c r="E1980" s="69"/>
      <c r="F1980" s="69"/>
      <c r="G1980" s="69"/>
      <c r="H1980" s="69"/>
      <c r="I1980" s="69"/>
      <c r="J1980" s="69"/>
      <c r="K1980" s="69"/>
      <c r="L1980" s="69"/>
      <c r="M1980" s="69"/>
      <c r="N1980" s="69"/>
      <c r="O1980" s="69"/>
      <c r="P1980" s="69"/>
      <c r="Q1980" s="69"/>
      <c r="R1980" s="69"/>
      <c r="S1980" s="69"/>
      <c r="T1980" s="15"/>
    </row>
    <row r="1981">
      <c r="A1981" s="71"/>
      <c r="B1981" s="71"/>
      <c r="C1981" s="72"/>
      <c r="D1981" s="72"/>
      <c r="E1981" s="71"/>
      <c r="F1981" s="71"/>
      <c r="G1981" s="71"/>
      <c r="H1981" s="71"/>
      <c r="I1981" s="71"/>
      <c r="J1981" s="71"/>
      <c r="K1981" s="71"/>
      <c r="L1981" s="71"/>
      <c r="M1981" s="71"/>
      <c r="N1981" s="71"/>
      <c r="O1981" s="71"/>
      <c r="P1981" s="71"/>
      <c r="Q1981" s="71"/>
      <c r="R1981" s="71"/>
      <c r="S1981" s="71"/>
      <c r="T1981" s="15"/>
    </row>
    <row r="1982">
      <c r="A1982" s="69"/>
      <c r="B1982" s="69"/>
      <c r="C1982" s="70"/>
      <c r="D1982" s="70"/>
      <c r="E1982" s="69"/>
      <c r="F1982" s="69"/>
      <c r="G1982" s="69"/>
      <c r="H1982" s="69"/>
      <c r="I1982" s="69"/>
      <c r="J1982" s="69"/>
      <c r="K1982" s="69"/>
      <c r="L1982" s="69"/>
      <c r="M1982" s="69"/>
      <c r="N1982" s="69"/>
      <c r="O1982" s="69"/>
      <c r="P1982" s="69"/>
      <c r="Q1982" s="69"/>
      <c r="R1982" s="69"/>
      <c r="S1982" s="69"/>
      <c r="T1982" s="15"/>
    </row>
    <row r="1983">
      <c r="A1983" s="71"/>
      <c r="B1983" s="71"/>
      <c r="C1983" s="72"/>
      <c r="D1983" s="72"/>
      <c r="E1983" s="71"/>
      <c r="F1983" s="71"/>
      <c r="G1983" s="71"/>
      <c r="H1983" s="71"/>
      <c r="I1983" s="71"/>
      <c r="J1983" s="71"/>
      <c r="K1983" s="71"/>
      <c r="L1983" s="71"/>
      <c r="M1983" s="71"/>
      <c r="N1983" s="71"/>
      <c r="O1983" s="71"/>
      <c r="P1983" s="71"/>
      <c r="Q1983" s="71"/>
      <c r="R1983" s="71"/>
      <c r="S1983" s="71"/>
      <c r="T1983" s="15"/>
    </row>
    <row r="1984">
      <c r="A1984" s="69"/>
      <c r="B1984" s="69"/>
      <c r="C1984" s="70"/>
      <c r="D1984" s="70"/>
      <c r="E1984" s="69"/>
      <c r="F1984" s="69"/>
      <c r="G1984" s="69"/>
      <c r="H1984" s="69"/>
      <c r="I1984" s="69"/>
      <c r="J1984" s="69"/>
      <c r="K1984" s="69"/>
      <c r="L1984" s="69"/>
      <c r="M1984" s="69"/>
      <c r="N1984" s="69"/>
      <c r="O1984" s="69"/>
      <c r="P1984" s="69"/>
      <c r="Q1984" s="69"/>
      <c r="R1984" s="69"/>
      <c r="S1984" s="69"/>
      <c r="T1984" s="15"/>
    </row>
    <row r="1985">
      <c r="A1985" s="71"/>
      <c r="B1985" s="71"/>
      <c r="C1985" s="72"/>
      <c r="D1985" s="72"/>
      <c r="E1985" s="71"/>
      <c r="F1985" s="71"/>
      <c r="G1985" s="71"/>
      <c r="H1985" s="71"/>
      <c r="I1985" s="71"/>
      <c r="J1985" s="71"/>
      <c r="K1985" s="71"/>
      <c r="L1985" s="71"/>
      <c r="M1985" s="71"/>
      <c r="N1985" s="71"/>
      <c r="O1985" s="71"/>
      <c r="P1985" s="71"/>
      <c r="Q1985" s="71"/>
      <c r="R1985" s="71"/>
      <c r="S1985" s="71"/>
      <c r="T1985" s="15"/>
    </row>
    <row r="1986">
      <c r="A1986" s="69"/>
      <c r="B1986" s="69"/>
      <c r="C1986" s="70"/>
      <c r="D1986" s="70"/>
      <c r="E1986" s="69"/>
      <c r="F1986" s="69"/>
      <c r="G1986" s="69"/>
      <c r="H1986" s="69"/>
      <c r="I1986" s="69"/>
      <c r="J1986" s="69"/>
      <c r="K1986" s="69"/>
      <c r="L1986" s="69"/>
      <c r="M1986" s="69"/>
      <c r="N1986" s="69"/>
      <c r="O1986" s="69"/>
      <c r="P1986" s="69"/>
      <c r="Q1986" s="69"/>
      <c r="R1986" s="69"/>
      <c r="S1986" s="69"/>
      <c r="T1986" s="15"/>
    </row>
    <row r="1987">
      <c r="A1987" s="71"/>
      <c r="B1987" s="71"/>
      <c r="C1987" s="72"/>
      <c r="D1987" s="72"/>
      <c r="E1987" s="71"/>
      <c r="F1987" s="71"/>
      <c r="G1987" s="71"/>
      <c r="H1987" s="71"/>
      <c r="I1987" s="71"/>
      <c r="J1987" s="71"/>
      <c r="K1987" s="71"/>
      <c r="L1987" s="71"/>
      <c r="M1987" s="71"/>
      <c r="N1987" s="71"/>
      <c r="O1987" s="71"/>
      <c r="P1987" s="71"/>
      <c r="Q1987" s="71"/>
      <c r="R1987" s="71"/>
      <c r="S1987" s="71"/>
      <c r="T1987" s="15"/>
    </row>
    <row r="1988">
      <c r="A1988" s="69"/>
      <c r="B1988" s="69"/>
      <c r="C1988" s="70"/>
      <c r="D1988" s="70"/>
      <c r="E1988" s="69"/>
      <c r="F1988" s="69"/>
      <c r="G1988" s="69"/>
      <c r="H1988" s="69"/>
      <c r="I1988" s="69"/>
      <c r="J1988" s="69"/>
      <c r="K1988" s="69"/>
      <c r="L1988" s="69"/>
      <c r="M1988" s="69"/>
      <c r="N1988" s="69"/>
      <c r="O1988" s="69"/>
      <c r="P1988" s="69"/>
      <c r="Q1988" s="69"/>
      <c r="R1988" s="69"/>
      <c r="S1988" s="69"/>
      <c r="T1988" s="15"/>
    </row>
    <row r="1989">
      <c r="A1989" s="71"/>
      <c r="B1989" s="71"/>
      <c r="C1989" s="72"/>
      <c r="D1989" s="72"/>
      <c r="E1989" s="71"/>
      <c r="F1989" s="71"/>
      <c r="G1989" s="71"/>
      <c r="H1989" s="71"/>
      <c r="I1989" s="71"/>
      <c r="J1989" s="71"/>
      <c r="K1989" s="71"/>
      <c r="L1989" s="71"/>
      <c r="M1989" s="71"/>
      <c r="N1989" s="71"/>
      <c r="O1989" s="71"/>
      <c r="P1989" s="71"/>
      <c r="Q1989" s="71"/>
      <c r="R1989" s="71"/>
      <c r="S1989" s="71"/>
      <c r="T1989" s="15"/>
    </row>
    <row r="1990">
      <c r="A1990" s="69"/>
      <c r="B1990" s="69"/>
      <c r="C1990" s="70"/>
      <c r="D1990" s="70"/>
      <c r="E1990" s="69"/>
      <c r="F1990" s="69"/>
      <c r="G1990" s="69"/>
      <c r="H1990" s="69"/>
      <c r="I1990" s="69"/>
      <c r="J1990" s="69"/>
      <c r="K1990" s="69"/>
      <c r="L1990" s="69"/>
      <c r="M1990" s="69"/>
      <c r="N1990" s="69"/>
      <c r="O1990" s="69"/>
      <c r="P1990" s="69"/>
      <c r="Q1990" s="69"/>
      <c r="R1990" s="69"/>
      <c r="S1990" s="69"/>
      <c r="T1990" s="15"/>
    </row>
    <row r="1991">
      <c r="A1991" s="71"/>
      <c r="B1991" s="71"/>
      <c r="C1991" s="72"/>
      <c r="D1991" s="72"/>
      <c r="E1991" s="71"/>
      <c r="F1991" s="71"/>
      <c r="G1991" s="71"/>
      <c r="H1991" s="71"/>
      <c r="I1991" s="71"/>
      <c r="J1991" s="71"/>
      <c r="K1991" s="71"/>
      <c r="L1991" s="71"/>
      <c r="M1991" s="71"/>
      <c r="N1991" s="71"/>
      <c r="O1991" s="71"/>
      <c r="P1991" s="71"/>
      <c r="Q1991" s="71"/>
      <c r="R1991" s="71"/>
      <c r="S1991" s="71"/>
      <c r="T1991" s="15"/>
    </row>
    <row r="1992">
      <c r="A1992" s="69"/>
      <c r="B1992" s="69"/>
      <c r="C1992" s="70"/>
      <c r="D1992" s="70"/>
      <c r="E1992" s="69"/>
      <c r="F1992" s="69"/>
      <c r="G1992" s="69"/>
      <c r="H1992" s="69"/>
      <c r="I1992" s="69"/>
      <c r="J1992" s="69"/>
      <c r="K1992" s="69"/>
      <c r="L1992" s="69"/>
      <c r="M1992" s="69"/>
      <c r="N1992" s="69"/>
      <c r="O1992" s="69"/>
      <c r="P1992" s="69"/>
      <c r="Q1992" s="69"/>
      <c r="R1992" s="69"/>
      <c r="S1992" s="69"/>
      <c r="T1992" s="15"/>
    </row>
    <row r="1993">
      <c r="A1993" s="71"/>
      <c r="B1993" s="71"/>
      <c r="C1993" s="72"/>
      <c r="D1993" s="72"/>
      <c r="E1993" s="71"/>
      <c r="F1993" s="71"/>
      <c r="G1993" s="71"/>
      <c r="H1993" s="71"/>
      <c r="I1993" s="71"/>
      <c r="J1993" s="71"/>
      <c r="K1993" s="71"/>
      <c r="L1993" s="71"/>
      <c r="M1993" s="71"/>
      <c r="N1993" s="71"/>
      <c r="O1993" s="71"/>
      <c r="P1993" s="71"/>
      <c r="Q1993" s="71"/>
      <c r="R1993" s="71"/>
      <c r="S1993" s="71"/>
      <c r="T1993" s="15"/>
    </row>
    <row r="1994">
      <c r="A1994" s="69"/>
      <c r="B1994" s="69"/>
      <c r="C1994" s="70"/>
      <c r="D1994" s="70"/>
      <c r="E1994" s="69"/>
      <c r="F1994" s="69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69"/>
      <c r="T1994" s="15"/>
    </row>
    <row r="1995">
      <c r="A1995" s="71"/>
      <c r="B1995" s="71"/>
      <c r="C1995" s="72"/>
      <c r="D1995" s="72"/>
      <c r="E1995" s="71"/>
      <c r="F1995" s="71"/>
      <c r="G1995" s="71"/>
      <c r="H1995" s="71"/>
      <c r="I1995" s="71"/>
      <c r="J1995" s="71"/>
      <c r="K1995" s="71"/>
      <c r="L1995" s="71"/>
      <c r="M1995" s="71"/>
      <c r="N1995" s="71"/>
      <c r="O1995" s="71"/>
      <c r="P1995" s="71"/>
      <c r="Q1995" s="71"/>
      <c r="R1995" s="71"/>
      <c r="S1995" s="71"/>
      <c r="T1995" s="15"/>
    </row>
    <row r="1996">
      <c r="A1996" s="69"/>
      <c r="B1996" s="69"/>
      <c r="C1996" s="70"/>
      <c r="D1996" s="70"/>
      <c r="E1996" s="69"/>
      <c r="F1996" s="69"/>
      <c r="G1996" s="69"/>
      <c r="H1996" s="69"/>
      <c r="I1996" s="69"/>
      <c r="J1996" s="69"/>
      <c r="K1996" s="69"/>
      <c r="L1996" s="69"/>
      <c r="M1996" s="69"/>
      <c r="N1996" s="69"/>
      <c r="O1996" s="69"/>
      <c r="P1996" s="69"/>
      <c r="Q1996" s="69"/>
      <c r="R1996" s="69"/>
      <c r="S1996" s="69"/>
      <c r="T1996" s="15"/>
    </row>
    <row r="1997">
      <c r="A1997" s="71"/>
      <c r="B1997" s="71"/>
      <c r="C1997" s="72"/>
      <c r="D1997" s="72"/>
      <c r="E1997" s="71"/>
      <c r="F1997" s="71"/>
      <c r="G1997" s="71"/>
      <c r="H1997" s="71"/>
      <c r="I1997" s="71"/>
      <c r="J1997" s="71"/>
      <c r="K1997" s="71"/>
      <c r="L1997" s="71"/>
      <c r="M1997" s="71"/>
      <c r="N1997" s="71"/>
      <c r="O1997" s="71"/>
      <c r="P1997" s="71"/>
      <c r="Q1997" s="71"/>
      <c r="R1997" s="71"/>
      <c r="S1997" s="71"/>
      <c r="T1997" s="15"/>
    </row>
    <row r="1998">
      <c r="A1998" s="69"/>
      <c r="B1998" s="69"/>
      <c r="C1998" s="70"/>
      <c r="D1998" s="70"/>
      <c r="E1998" s="69"/>
      <c r="F1998" s="69"/>
      <c r="G1998" s="69"/>
      <c r="H1998" s="69"/>
      <c r="I1998" s="69"/>
      <c r="J1998" s="69"/>
      <c r="K1998" s="69"/>
      <c r="L1998" s="69"/>
      <c r="M1998" s="69"/>
      <c r="N1998" s="69"/>
      <c r="O1998" s="69"/>
      <c r="P1998" s="69"/>
      <c r="Q1998" s="69"/>
      <c r="R1998" s="69"/>
      <c r="S1998" s="69"/>
      <c r="T1998" s="15"/>
    </row>
    <row r="1999">
      <c r="A1999" s="71"/>
      <c r="B1999" s="71"/>
      <c r="C1999" s="72"/>
      <c r="D1999" s="72"/>
      <c r="E1999" s="71"/>
      <c r="F1999" s="71"/>
      <c r="G1999" s="71"/>
      <c r="H1999" s="71"/>
      <c r="I1999" s="71"/>
      <c r="J1999" s="71"/>
      <c r="K1999" s="71"/>
      <c r="L1999" s="71"/>
      <c r="M1999" s="71"/>
      <c r="N1999" s="71"/>
      <c r="O1999" s="71"/>
      <c r="P1999" s="71"/>
      <c r="Q1999" s="71"/>
      <c r="R1999" s="71"/>
      <c r="S1999" s="71"/>
      <c r="T1999" s="15"/>
    </row>
    <row r="2000">
      <c r="A2000" s="69"/>
      <c r="B2000" s="69"/>
      <c r="C2000" s="70"/>
      <c r="D2000" s="70"/>
      <c r="E2000" s="69"/>
      <c r="F2000" s="69"/>
      <c r="G2000" s="69"/>
      <c r="H2000" s="69"/>
      <c r="I2000" s="69"/>
      <c r="J2000" s="69"/>
      <c r="K2000" s="69"/>
      <c r="L2000" s="69"/>
      <c r="M2000" s="69"/>
      <c r="N2000" s="69"/>
      <c r="O2000" s="69"/>
      <c r="P2000" s="69"/>
      <c r="Q2000" s="69"/>
      <c r="R2000" s="69"/>
      <c r="S2000" s="69"/>
      <c r="T2000" s="15"/>
    </row>
  </sheetData>
  <autoFilter ref="$A$1:$S$2000"/>
  <mergeCells count="2">
    <mergeCell ref="G2:I2"/>
    <mergeCell ref="J2:L2"/>
  </mergeCells>
  <conditionalFormatting sqref="G2:G2000">
    <cfRule type="cellIs" dxfId="3" priority="1" stopIfTrue="1" operator="lessThanOrEqual">
      <formula>2500</formula>
    </cfRule>
  </conditionalFormatting>
  <conditionalFormatting sqref="G2:G2000">
    <cfRule type="cellIs" dxfId="4" priority="2" stopIfTrue="1" operator="greaterThan">
      <formula>4000</formula>
    </cfRule>
  </conditionalFormatting>
  <conditionalFormatting sqref="G2:G2000">
    <cfRule type="cellIs" dxfId="5" priority="3" stopIfTrue="1" operator="between">
      <formula>2500</formula>
      <formula>4000</formula>
    </cfRule>
  </conditionalFormatting>
  <conditionalFormatting sqref="J2:J2000">
    <cfRule type="cellIs" dxfId="3" priority="4" stopIfTrue="1" operator="lessThanOrEqual">
      <formula>2500</formula>
    </cfRule>
  </conditionalFormatting>
  <conditionalFormatting sqref="J2:J2000">
    <cfRule type="cellIs" dxfId="4" priority="5" stopIfTrue="1" operator="greaterThan">
      <formula>4000</formula>
    </cfRule>
  </conditionalFormatting>
  <conditionalFormatting sqref="J2:J2000">
    <cfRule type="cellIs" dxfId="5" priority="6" stopIfTrue="1" operator="between">
      <formula>2500</formula>
      <formula>4000</formula>
    </cfRule>
  </conditionalFormatting>
  <conditionalFormatting sqref="H2:H2000">
    <cfRule type="cellIs" dxfId="3" priority="7" stopIfTrue="1" operator="lessThanOrEqual">
      <formula>120</formula>
    </cfRule>
  </conditionalFormatting>
  <conditionalFormatting sqref="H2:H2000">
    <cfRule type="cellIs" dxfId="4" priority="8" stopIfTrue="1" operator="greaterThan">
      <formula>500</formula>
    </cfRule>
  </conditionalFormatting>
  <conditionalFormatting sqref="H2:H2000">
    <cfRule type="cellIs" dxfId="5" priority="9" stopIfTrue="1" operator="between">
      <formula>120</formula>
      <formula>500</formula>
    </cfRule>
  </conditionalFormatting>
  <conditionalFormatting sqref="K2:K2000">
    <cfRule type="cellIs" dxfId="3" priority="10" stopIfTrue="1" operator="lessThanOrEqual">
      <formula>120</formula>
    </cfRule>
  </conditionalFormatting>
  <conditionalFormatting sqref="K2:K2000">
    <cfRule type="cellIs" dxfId="4" priority="11" stopIfTrue="1" operator="greaterThan">
      <formula>500</formula>
    </cfRule>
  </conditionalFormatting>
  <conditionalFormatting sqref="K2:K2000">
    <cfRule type="cellIs" dxfId="5" priority="12" stopIfTrue="1" operator="between">
      <formula>120</formula>
      <formula>500</formula>
    </cfRule>
  </conditionalFormatting>
  <conditionalFormatting sqref="I2:I2000">
    <cfRule type="cellIs" dxfId="3" priority="13" stopIfTrue="1" operator="lessThanOrEqual">
      <formula>0.12</formula>
    </cfRule>
  </conditionalFormatting>
  <conditionalFormatting sqref="I2:I2000">
    <cfRule type="cellIs" dxfId="4" priority="14" stopIfTrue="1" operator="greaterThan">
      <formula>0.25</formula>
    </cfRule>
  </conditionalFormatting>
  <conditionalFormatting sqref="I2:I2000">
    <cfRule type="cellIs" dxfId="5" priority="15" stopIfTrue="1" operator="between">
      <formula>0.12</formula>
      <formula>0.25</formula>
    </cfRule>
  </conditionalFormatting>
  <conditionalFormatting sqref="L2:L2000">
    <cfRule type="cellIs" dxfId="3" priority="16" stopIfTrue="1" operator="lessThanOrEqual">
      <formula>0.12</formula>
    </cfRule>
  </conditionalFormatting>
  <conditionalFormatting sqref="L2:L2000">
    <cfRule type="cellIs" dxfId="4" priority="17" stopIfTrue="1" operator="greaterThan">
      <formula>0.25</formula>
    </cfRule>
  </conditionalFormatting>
  <conditionalFormatting sqref="L2:L2000">
    <cfRule type="cellIs" dxfId="5" priority="18" stopIfTrue="1" operator="between">
      <formula>0.12</formula>
      <formula>0.25</formula>
    </cfRule>
  </conditionalFormatting>
  <conditionalFormatting sqref="F2:F2000">
    <cfRule type="cellIs" dxfId="4" priority="19" stopIfTrue="1" operator="lessThan">
      <formula>50</formula>
    </cfRule>
  </conditionalFormatting>
  <conditionalFormatting sqref="F2:F2000">
    <cfRule type="cellIs" dxfId="3" priority="20" stopIfTrue="1" operator="greaterThanOrEqual">
      <formula>90</formula>
    </cfRule>
  </conditionalFormatting>
  <conditionalFormatting sqref="F2:F2000">
    <cfRule type="cellIs" dxfId="5" priority="21" stopIfTrue="1" operator="between">
      <formula>50</formula>
      <formula>90</formula>
    </cfRule>
  </conditionalFormatting>
  <conditionalFormatting sqref="O2:O2000">
    <cfRule type="cellIs" dxfId="3" priority="22" stopIfTrue="1" operator="lessThanOrEqual">
      <formula>200</formula>
    </cfRule>
  </conditionalFormatting>
  <conditionalFormatting sqref="O2:O2000">
    <cfRule type="cellIs" dxfId="4" priority="23" stopIfTrue="1" operator="greaterThan">
      <formula>500</formula>
    </cfRule>
  </conditionalFormatting>
  <conditionalFormatting sqref="O2:O2000">
    <cfRule type="cellIs" dxfId="5" priority="24" stopIfTrue="1" operator="between">
      <formula>200</formula>
      <formula>500</formula>
    </cfRule>
  </conditionalFormatting>
  <conditionalFormatting sqref="N2:N2000">
    <cfRule type="cellIs" dxfId="3" priority="25" stopIfTrue="1" operator="lessThanOrEqual">
      <formula>1800</formula>
    </cfRule>
  </conditionalFormatting>
  <conditionalFormatting sqref="N2:N2000">
    <cfRule type="cellIs" dxfId="4" priority="26" stopIfTrue="1" operator="greaterThan">
      <formula>3000</formula>
    </cfRule>
  </conditionalFormatting>
  <conditionalFormatting sqref="N2:N2000">
    <cfRule type="cellIs" dxfId="5" priority="27" stopIfTrue="1" operator="between">
      <formula>1800</formula>
      <formula>3000</formula>
    </cfRule>
  </conditionalFormatting>
  <conditionalFormatting sqref="P2:P2000">
    <cfRule type="cellIs" dxfId="3" priority="28" stopIfTrue="1" operator="lessThanOrEqual">
      <formula>3400</formula>
    </cfRule>
  </conditionalFormatting>
  <conditionalFormatting sqref="P2:P2000">
    <cfRule type="cellIs" dxfId="4" priority="29" stopIfTrue="1" operator="greaterThan">
      <formula>5800</formula>
    </cfRule>
  </conditionalFormatting>
  <conditionalFormatting sqref="P2:P2000">
    <cfRule type="cellIs" dxfId="5" priority="30" stopIfTrue="1" operator="between">
      <formula>3400</formula>
      <formula>5800</formula>
    </cfRule>
  </conditionalFormatting>
  <conditionalFormatting sqref="Q2:Q2000">
    <cfRule type="cellIs" dxfId="3" priority="31" stopIfTrue="1" operator="lessThanOrEqual">
      <formula>3800</formula>
    </cfRule>
  </conditionalFormatting>
  <conditionalFormatting sqref="Q2:Q2000">
    <cfRule type="cellIs" dxfId="4" priority="32" stopIfTrue="1" operator="greaterThan">
      <formula>7300</formula>
    </cfRule>
  </conditionalFormatting>
  <conditionalFormatting sqref="Q2:Q2000">
    <cfRule type="cellIs" dxfId="5" priority="33" stopIfTrue="1" operator="between">
      <formula>3800</formula>
      <formula>7300</formula>
    </cfRule>
  </conditionalFormatting>
  <conditionalFormatting sqref="M2:M2000">
    <cfRule type="cellIs" dxfId="3" priority="34" stopIfTrue="1" operator="lessThanOrEqual">
      <formula>800</formula>
    </cfRule>
  </conditionalFormatting>
  <conditionalFormatting sqref="M2:M2000">
    <cfRule type="cellIs" dxfId="4" priority="35" stopIfTrue="1" operator="greaterThan">
      <formula>1800</formula>
    </cfRule>
  </conditionalFormatting>
  <conditionalFormatting sqref="M2:M2000">
    <cfRule type="cellIs" dxfId="5" priority="36" stopIfTrue="1" operator="between">
      <formula>800</formula>
      <formula>1800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0.75"/>
    <col customWidth="1" min="3" max="3" width="18.25"/>
    <col customWidth="1" min="4" max="4" width="11.38"/>
    <col customWidth="1" min="5" max="5" width="6.38"/>
    <col customWidth="1" min="6" max="6" width="7.63"/>
    <col customWidth="1" min="7" max="8" width="7.0"/>
    <col customWidth="1" min="9" max="9" width="7.63"/>
    <col customWidth="1" min="10" max="11" width="7.0"/>
    <col customWidth="1" min="12" max="13" width="7.63"/>
    <col customWidth="1" min="14" max="14" width="10.75"/>
    <col customWidth="1" min="15" max="16" width="8.88"/>
    <col customWidth="1" min="17" max="17" width="14.5"/>
    <col customWidth="1" min="18" max="18" width="18.25"/>
    <col customWidth="1" min="19" max="20" width="17.63"/>
  </cols>
  <sheetData>
    <row r="1" ht="21.0" hidden="1" customHeight="1">
      <c r="A1" s="49" t="s">
        <v>0</v>
      </c>
      <c r="B1" s="49" t="s">
        <v>146</v>
      </c>
      <c r="C1" s="1" t="s">
        <v>2</v>
      </c>
      <c r="D1" s="49" t="s">
        <v>3</v>
      </c>
      <c r="E1" s="49" t="s">
        <v>4</v>
      </c>
      <c r="F1" s="49" t="s">
        <v>139</v>
      </c>
      <c r="G1" s="49" t="s">
        <v>5</v>
      </c>
      <c r="H1" s="49" t="s">
        <v>7</v>
      </c>
      <c r="I1" s="49" t="s">
        <v>8</v>
      </c>
      <c r="J1" s="49" t="s">
        <v>147</v>
      </c>
      <c r="K1" s="49" t="s">
        <v>148</v>
      </c>
      <c r="L1" s="49" t="s">
        <v>149</v>
      </c>
      <c r="M1" s="49" t="s">
        <v>150</v>
      </c>
      <c r="N1" s="49" t="s">
        <v>6</v>
      </c>
      <c r="O1" s="49" t="s">
        <v>151</v>
      </c>
      <c r="P1" s="49" t="s">
        <v>152</v>
      </c>
      <c r="Q1" s="49" t="s">
        <v>13</v>
      </c>
      <c r="R1" s="49" t="s">
        <v>14</v>
      </c>
      <c r="S1" s="49" t="s">
        <v>15</v>
      </c>
    </row>
    <row r="2">
      <c r="A2" s="50"/>
      <c r="B2" s="50"/>
      <c r="C2" s="3" t="s">
        <v>18</v>
      </c>
      <c r="D2" s="50"/>
      <c r="E2" s="50"/>
      <c r="F2" s="51" t="s">
        <v>156</v>
      </c>
      <c r="G2" s="51" t="s">
        <v>157</v>
      </c>
      <c r="J2" s="51" t="s">
        <v>158</v>
      </c>
      <c r="M2" s="51" t="s">
        <v>159</v>
      </c>
      <c r="N2" s="51" t="s">
        <v>160</v>
      </c>
      <c r="O2" s="51" t="s">
        <v>161</v>
      </c>
      <c r="P2" s="51" t="s">
        <v>162</v>
      </c>
      <c r="Q2" s="51" t="s">
        <v>23</v>
      </c>
      <c r="R2" s="50"/>
      <c r="S2" s="50"/>
      <c r="T2" s="15"/>
    </row>
    <row r="3">
      <c r="A3" s="51" t="s">
        <v>16</v>
      </c>
      <c r="B3" s="51" t="s">
        <v>257</v>
      </c>
      <c r="C3" s="3" t="s">
        <v>26</v>
      </c>
      <c r="D3" s="51" t="s">
        <v>19</v>
      </c>
      <c r="E3" s="51" t="s">
        <v>20</v>
      </c>
      <c r="F3" s="51" t="s">
        <v>164</v>
      </c>
      <c r="G3" s="52" t="s">
        <v>5</v>
      </c>
      <c r="H3" s="52" t="s">
        <v>7</v>
      </c>
      <c r="I3" s="52" t="s">
        <v>8</v>
      </c>
      <c r="J3" s="53" t="s">
        <v>140</v>
      </c>
      <c r="K3" s="53" t="s">
        <v>141</v>
      </c>
      <c r="L3" s="53" t="s">
        <v>142</v>
      </c>
      <c r="M3" s="51" t="s">
        <v>150</v>
      </c>
      <c r="N3" s="51" t="s">
        <v>6</v>
      </c>
      <c r="O3" s="51" t="s">
        <v>165</v>
      </c>
      <c r="P3" s="51" t="s">
        <v>152</v>
      </c>
      <c r="Q3" s="51" t="s">
        <v>13</v>
      </c>
      <c r="R3" s="51" t="s">
        <v>14</v>
      </c>
      <c r="S3" s="51" t="s">
        <v>15</v>
      </c>
      <c r="T3" s="15"/>
    </row>
    <row r="4">
      <c r="A4" s="54">
        <v>46101.0</v>
      </c>
      <c r="B4" s="7" t="s">
        <v>225</v>
      </c>
      <c r="C4" s="21"/>
      <c r="D4" s="9" t="str">
        <f>HYPERLINK("https://test.vrsmash.com/", "main")</f>
        <v>main</v>
      </c>
      <c r="E4" s="7" t="s">
        <v>35</v>
      </c>
      <c r="F4" s="10">
        <v>49.0</v>
      </c>
      <c r="G4" s="10">
        <v>4642.0</v>
      </c>
      <c r="H4" s="10">
        <v>1152.0</v>
      </c>
      <c r="I4" s="10">
        <v>0.1039</v>
      </c>
      <c r="J4" s="10">
        <v>4642.0</v>
      </c>
      <c r="K4" s="10">
        <v>1152.0</v>
      </c>
      <c r="L4" s="10">
        <v>0.1039</v>
      </c>
      <c r="M4" s="10">
        <v>1500.0</v>
      </c>
      <c r="N4" s="10">
        <v>2242.0</v>
      </c>
      <c r="O4" s="10">
        <v>5088.0</v>
      </c>
      <c r="P4" s="10">
        <v>7230.0</v>
      </c>
      <c r="Q4" s="10">
        <v>333.0</v>
      </c>
      <c r="R4" s="7" t="s">
        <v>132</v>
      </c>
      <c r="S4" s="7" t="s">
        <v>419</v>
      </c>
      <c r="T4" s="15"/>
    </row>
    <row r="5">
      <c r="A5" s="54">
        <v>46101.0</v>
      </c>
      <c r="B5" s="7" t="s">
        <v>225</v>
      </c>
      <c r="C5" s="21"/>
      <c r="D5" s="9" t="str">
        <f>HYPERLINK("https://test.vrsmash.com/pornstars/?sort=latest", "models")</f>
        <v>models</v>
      </c>
      <c r="E5" s="7" t="s">
        <v>35</v>
      </c>
      <c r="F5" s="10">
        <v>65.0</v>
      </c>
      <c r="G5" s="10">
        <v>2991.0</v>
      </c>
      <c r="H5" s="10">
        <v>1326.0</v>
      </c>
      <c r="I5" s="10">
        <v>0.0061</v>
      </c>
      <c r="J5" s="10">
        <v>2991.0</v>
      </c>
      <c r="K5" s="10">
        <v>1326.0</v>
      </c>
      <c r="L5" s="10">
        <v>0.0061</v>
      </c>
      <c r="M5" s="10">
        <v>1229.0</v>
      </c>
      <c r="N5" s="10">
        <v>2248.0</v>
      </c>
      <c r="O5" s="10">
        <v>4623.0</v>
      </c>
      <c r="P5" s="10">
        <v>8395.0</v>
      </c>
      <c r="Q5" s="10">
        <v>329.0</v>
      </c>
      <c r="R5" s="7" t="s">
        <v>132</v>
      </c>
      <c r="S5" s="7" t="s">
        <v>419</v>
      </c>
      <c r="T5" s="15"/>
    </row>
    <row r="6">
      <c r="A6" s="54">
        <v>46101.0</v>
      </c>
      <c r="B6" s="7" t="s">
        <v>225</v>
      </c>
      <c r="C6" s="21"/>
      <c r="D6" s="9" t="str">
        <f>HYPERLINK("https://test.vrsmash.com/categories/", "categories")</f>
        <v>categories</v>
      </c>
      <c r="E6" s="7" t="s">
        <v>35</v>
      </c>
      <c r="F6" s="10">
        <v>73.0</v>
      </c>
      <c r="G6" s="10">
        <v>4679.0</v>
      </c>
      <c r="H6" s="10">
        <v>774.0</v>
      </c>
      <c r="I6" s="10">
        <v>0.0078</v>
      </c>
      <c r="J6" s="10">
        <v>4812.0</v>
      </c>
      <c r="K6" s="10">
        <v>816.0</v>
      </c>
      <c r="L6" s="10">
        <v>0.0078</v>
      </c>
      <c r="M6" s="10">
        <v>972.0</v>
      </c>
      <c r="N6" s="10">
        <v>2030.0</v>
      </c>
      <c r="O6" s="10">
        <v>4276.0</v>
      </c>
      <c r="P6" s="10">
        <v>8055.0</v>
      </c>
      <c r="Q6" s="10">
        <v>303.0</v>
      </c>
      <c r="R6" s="7" t="s">
        <v>132</v>
      </c>
      <c r="S6" s="7" t="s">
        <v>419</v>
      </c>
      <c r="T6" s="15"/>
    </row>
    <row r="7">
      <c r="A7" s="54">
        <v>46101.0</v>
      </c>
      <c r="B7" s="7" t="s">
        <v>225</v>
      </c>
      <c r="C7" s="21"/>
      <c r="D7" s="9" t="str">
        <f>HYPERLINK("https://test.vrsmash.com/camgirls/", "dreams")</f>
        <v>dreams</v>
      </c>
      <c r="E7" s="7" t="s">
        <v>35</v>
      </c>
      <c r="F7" s="10">
        <v>59.0</v>
      </c>
      <c r="G7" s="10">
        <v>5333.0</v>
      </c>
      <c r="H7" s="10">
        <v>1009.0</v>
      </c>
      <c r="I7" s="10">
        <v>0.0087</v>
      </c>
      <c r="J7" s="10">
        <v>5650.0</v>
      </c>
      <c r="K7" s="10">
        <v>1030.0</v>
      </c>
      <c r="L7" s="10">
        <v>0.009</v>
      </c>
      <c r="M7" s="10">
        <v>1702.0</v>
      </c>
      <c r="N7" s="10">
        <v>2187.0</v>
      </c>
      <c r="O7" s="10">
        <v>4698.0</v>
      </c>
      <c r="P7" s="10">
        <v>15443.0</v>
      </c>
      <c r="Q7" s="10">
        <v>666.0</v>
      </c>
      <c r="R7" s="7" t="s">
        <v>132</v>
      </c>
      <c r="S7" s="7" t="s">
        <v>419</v>
      </c>
      <c r="T7" s="15"/>
    </row>
    <row r="8">
      <c r="A8" s="54">
        <v>46101.0</v>
      </c>
      <c r="B8" s="7" t="s">
        <v>225</v>
      </c>
      <c r="C8" s="21"/>
      <c r="D8" s="9" t="str">
        <f>HYPERLINK("https://test.vrsmash.com/", "main")</f>
        <v>main</v>
      </c>
      <c r="E8" s="7" t="s">
        <v>34</v>
      </c>
      <c r="F8" s="10">
        <v>64.0</v>
      </c>
      <c r="G8" s="10">
        <v>3822.0</v>
      </c>
      <c r="H8" s="10">
        <v>538.0</v>
      </c>
      <c r="I8" s="10">
        <v>0.0072</v>
      </c>
      <c r="J8" s="10">
        <v>4159.0</v>
      </c>
      <c r="K8" s="10">
        <v>591.0</v>
      </c>
      <c r="L8" s="10">
        <v>0.0087</v>
      </c>
      <c r="M8" s="10">
        <v>296.0</v>
      </c>
      <c r="N8" s="10">
        <v>1473.0</v>
      </c>
      <c r="O8" s="10">
        <v>2924.0</v>
      </c>
      <c r="P8" s="10">
        <v>3987.0</v>
      </c>
      <c r="Q8" s="10">
        <v>508.0</v>
      </c>
      <c r="R8" s="7" t="s">
        <v>132</v>
      </c>
      <c r="S8" s="7" t="s">
        <v>419</v>
      </c>
      <c r="T8" s="15"/>
    </row>
    <row r="9">
      <c r="A9" s="54">
        <v>46101.0</v>
      </c>
      <c r="B9" s="7" t="s">
        <v>225</v>
      </c>
      <c r="C9" s="21"/>
      <c r="D9" s="9" t="str">
        <f>HYPERLINK("https://test.vrsmash.com/pornstars/?sort=latest", "models")</f>
        <v>models</v>
      </c>
      <c r="E9" s="7" t="s">
        <v>34</v>
      </c>
      <c r="F9" s="10">
        <v>75.0</v>
      </c>
      <c r="G9" s="10">
        <v>1579.0</v>
      </c>
      <c r="H9" s="10">
        <v>314.0</v>
      </c>
      <c r="I9" s="10">
        <v>0.007</v>
      </c>
      <c r="J9" s="10">
        <v>1579.0</v>
      </c>
      <c r="K9" s="10">
        <v>314.0</v>
      </c>
      <c r="L9" s="10">
        <v>0.007</v>
      </c>
      <c r="M9" s="10">
        <v>351.0</v>
      </c>
      <c r="N9" s="10">
        <v>955.0</v>
      </c>
      <c r="O9" s="10">
        <v>1926.0</v>
      </c>
      <c r="P9" s="10">
        <v>2930.0</v>
      </c>
      <c r="Q9" s="10">
        <v>315.0</v>
      </c>
      <c r="R9" s="7" t="s">
        <v>132</v>
      </c>
      <c r="S9" s="7" t="s">
        <v>419</v>
      </c>
      <c r="T9" s="15"/>
    </row>
    <row r="10">
      <c r="A10" s="54">
        <v>46101.0</v>
      </c>
      <c r="B10" s="7" t="s">
        <v>225</v>
      </c>
      <c r="C10" s="21"/>
      <c r="D10" s="9" t="str">
        <f>HYPERLINK("https://test.vrsmash.com/categories/", "categories")</f>
        <v>categories</v>
      </c>
      <c r="E10" s="7" t="s">
        <v>34</v>
      </c>
      <c r="F10" s="10">
        <v>96.0</v>
      </c>
      <c r="G10" s="10">
        <v>1699.0</v>
      </c>
      <c r="H10" s="10">
        <v>196.0</v>
      </c>
      <c r="I10" s="10">
        <v>0.0072</v>
      </c>
      <c r="J10" s="10">
        <v>1829.0</v>
      </c>
      <c r="K10" s="10">
        <v>202.0</v>
      </c>
      <c r="L10" s="10">
        <v>0.0072</v>
      </c>
      <c r="M10" s="10">
        <v>177.0</v>
      </c>
      <c r="N10" s="10">
        <v>877.0</v>
      </c>
      <c r="O10" s="10">
        <v>1750.0</v>
      </c>
      <c r="P10" s="10">
        <v>1882.0</v>
      </c>
      <c r="Q10" s="10">
        <v>279.0</v>
      </c>
      <c r="R10" s="7" t="s">
        <v>132</v>
      </c>
      <c r="S10" s="7" t="s">
        <v>419</v>
      </c>
      <c r="T10" s="15"/>
    </row>
    <row r="11">
      <c r="A11" s="54">
        <v>46101.0</v>
      </c>
      <c r="B11" s="7" t="s">
        <v>225</v>
      </c>
      <c r="C11" s="21"/>
      <c r="D11" s="9" t="str">
        <f>HYPERLINK("https://test.vrsmash.com/camgirls/", "dreams")</f>
        <v>dreams</v>
      </c>
      <c r="E11" s="7" t="s">
        <v>34</v>
      </c>
      <c r="F11" s="10">
        <v>79.0</v>
      </c>
      <c r="G11" s="10">
        <v>1690.0</v>
      </c>
      <c r="H11" s="10">
        <v>263.0</v>
      </c>
      <c r="I11" s="10">
        <v>0.0069</v>
      </c>
      <c r="J11" s="10">
        <v>1812.0</v>
      </c>
      <c r="K11" s="10">
        <v>279.0</v>
      </c>
      <c r="L11" s="10">
        <v>0.0069</v>
      </c>
      <c r="M11" s="10">
        <v>289.0</v>
      </c>
      <c r="N11" s="10">
        <v>876.0</v>
      </c>
      <c r="O11" s="10">
        <v>2052.0</v>
      </c>
      <c r="P11" s="10">
        <v>4109.0</v>
      </c>
      <c r="Q11" s="10">
        <v>663.0</v>
      </c>
      <c r="R11" s="7" t="s">
        <v>132</v>
      </c>
      <c r="S11" s="7" t="s">
        <v>419</v>
      </c>
      <c r="T11" s="15"/>
    </row>
    <row r="12">
      <c r="A12" s="54"/>
      <c r="B12" s="11"/>
      <c r="C12" s="21"/>
      <c r="D12" s="2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5"/>
    </row>
    <row r="13">
      <c r="A13" s="54"/>
      <c r="B13" s="11"/>
      <c r="C13" s="21"/>
      <c r="D13" s="2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5"/>
    </row>
    <row r="14">
      <c r="A14" s="54"/>
      <c r="B14" s="11"/>
      <c r="C14" s="21"/>
      <c r="D14" s="2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5"/>
    </row>
    <row r="15">
      <c r="A15" s="54"/>
      <c r="B15" s="11"/>
      <c r="C15" s="21"/>
      <c r="D15" s="2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5"/>
    </row>
    <row r="16">
      <c r="A16" s="54"/>
      <c r="B16" s="11"/>
      <c r="C16" s="21"/>
      <c r="D16" s="2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5"/>
    </row>
    <row r="17">
      <c r="A17" s="54"/>
      <c r="B17" s="11"/>
      <c r="C17" s="21"/>
      <c r="D17" s="2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5"/>
    </row>
    <row r="18">
      <c r="A18" s="54"/>
      <c r="B18" s="11"/>
      <c r="C18" s="21"/>
      <c r="D18" s="2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5"/>
    </row>
    <row r="19">
      <c r="A19" s="54"/>
      <c r="B19" s="11"/>
      <c r="C19" s="21"/>
      <c r="D19" s="2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5"/>
    </row>
    <row r="20">
      <c r="A20" s="54"/>
      <c r="B20" s="11"/>
      <c r="C20" s="21"/>
      <c r="D20" s="2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5"/>
    </row>
    <row r="21">
      <c r="A21" s="54"/>
      <c r="B21" s="11"/>
      <c r="C21" s="21"/>
      <c r="D21" s="2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5"/>
    </row>
    <row r="22">
      <c r="A22" s="54"/>
      <c r="B22" s="11"/>
      <c r="C22" s="21"/>
      <c r="D22" s="2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5"/>
    </row>
    <row r="23">
      <c r="A23" s="54"/>
      <c r="B23" s="11"/>
      <c r="C23" s="21"/>
      <c r="D23" s="2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5"/>
    </row>
    <row r="24">
      <c r="A24" s="54"/>
      <c r="B24" s="11"/>
      <c r="C24" s="21"/>
      <c r="D24" s="2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5"/>
    </row>
    <row r="25">
      <c r="A25" s="54"/>
      <c r="B25" s="11"/>
      <c r="C25" s="21"/>
      <c r="D25" s="2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5"/>
    </row>
    <row r="26">
      <c r="A26" s="54"/>
      <c r="B26" s="11"/>
      <c r="C26" s="21"/>
      <c r="D26" s="2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5"/>
    </row>
    <row r="27">
      <c r="A27" s="54"/>
      <c r="B27" s="11"/>
      <c r="C27" s="21"/>
      <c r="D27" s="20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5"/>
    </row>
    <row r="28">
      <c r="A28" s="54"/>
      <c r="B28" s="11"/>
      <c r="C28" s="21"/>
      <c r="D28" s="2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5"/>
    </row>
    <row r="29">
      <c r="A29" s="54"/>
      <c r="B29" s="11"/>
      <c r="C29" s="21"/>
      <c r="D29" s="2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5"/>
    </row>
    <row r="30">
      <c r="A30" s="54"/>
      <c r="B30" s="11"/>
      <c r="C30" s="21"/>
      <c r="D30" s="2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5"/>
    </row>
    <row r="31">
      <c r="A31" s="22"/>
      <c r="B31" s="11"/>
      <c r="C31" s="21"/>
      <c r="D31" s="2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5"/>
    </row>
    <row r="32">
      <c r="A32" s="22"/>
      <c r="B32" s="11"/>
      <c r="C32" s="21"/>
      <c r="D32" s="2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5"/>
    </row>
    <row r="33">
      <c r="A33" s="22"/>
      <c r="B33" s="11"/>
      <c r="C33" s="21"/>
      <c r="D33" s="2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5"/>
    </row>
    <row r="34">
      <c r="A34" s="22"/>
      <c r="B34" s="11"/>
      <c r="C34" s="21"/>
      <c r="D34" s="2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5"/>
    </row>
    <row r="35">
      <c r="A35" s="22"/>
      <c r="B35" s="11"/>
      <c r="C35" s="21"/>
      <c r="D35" s="20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5"/>
    </row>
    <row r="36">
      <c r="A36" s="22"/>
      <c r="B36" s="11"/>
      <c r="C36" s="21"/>
      <c r="D36" s="20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5"/>
    </row>
    <row r="37">
      <c r="A37" s="22"/>
      <c r="B37" s="11"/>
      <c r="C37" s="21"/>
      <c r="D37" s="20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5"/>
    </row>
    <row r="38">
      <c r="A38" s="22"/>
      <c r="B38" s="11"/>
      <c r="C38" s="21"/>
      <c r="D38" s="20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5"/>
    </row>
    <row r="39">
      <c r="A39" s="22"/>
      <c r="B39" s="11"/>
      <c r="C39" s="21"/>
      <c r="D39" s="2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5"/>
    </row>
    <row r="40">
      <c r="A40" s="22"/>
      <c r="B40" s="11"/>
      <c r="C40" s="21"/>
      <c r="D40" s="20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5"/>
    </row>
    <row r="41">
      <c r="A41" s="22"/>
      <c r="B41" s="11"/>
      <c r="C41" s="21"/>
      <c r="D41" s="20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5"/>
    </row>
    <row r="42">
      <c r="A42" s="22"/>
      <c r="B42" s="11"/>
      <c r="C42" s="21"/>
      <c r="D42" s="20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5"/>
    </row>
    <row r="43">
      <c r="A43" s="22"/>
      <c r="B43" s="11"/>
      <c r="C43" s="21"/>
      <c r="D43" s="20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5"/>
    </row>
    <row r="44">
      <c r="A44" s="22"/>
      <c r="B44" s="11"/>
      <c r="C44" s="21"/>
      <c r="D44" s="2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5"/>
    </row>
    <row r="45">
      <c r="A45" s="22"/>
      <c r="B45" s="11"/>
      <c r="C45" s="21"/>
      <c r="D45" s="2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5"/>
    </row>
    <row r="46">
      <c r="A46" s="22"/>
      <c r="B46" s="11"/>
      <c r="C46" s="21"/>
      <c r="D46" s="2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5"/>
    </row>
    <row r="47">
      <c r="A47" s="22"/>
      <c r="B47" s="11"/>
      <c r="C47" s="21"/>
      <c r="D47" s="2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5"/>
    </row>
    <row r="48">
      <c r="A48" s="22"/>
      <c r="B48" s="11"/>
      <c r="C48" s="21"/>
      <c r="D48" s="20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5"/>
    </row>
    <row r="49">
      <c r="A49" s="22"/>
      <c r="B49" s="11"/>
      <c r="C49" s="21"/>
      <c r="D49" s="20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5"/>
    </row>
    <row r="50">
      <c r="A50" s="54"/>
      <c r="B50" s="11"/>
      <c r="C50" s="21"/>
      <c r="D50" s="20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5"/>
    </row>
    <row r="51">
      <c r="A51" s="54"/>
      <c r="B51" s="11"/>
      <c r="C51" s="21"/>
      <c r="D51" s="20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5"/>
    </row>
    <row r="52">
      <c r="A52" s="54"/>
      <c r="B52" s="11"/>
      <c r="C52" s="21"/>
      <c r="D52" s="20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5"/>
    </row>
    <row r="53">
      <c r="A53" s="54"/>
      <c r="B53" s="11"/>
      <c r="C53" s="21"/>
      <c r="D53" s="20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5"/>
    </row>
    <row r="54">
      <c r="A54" s="54"/>
      <c r="B54" s="11"/>
      <c r="C54" s="21"/>
      <c r="D54" s="2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5"/>
    </row>
    <row r="55">
      <c r="A55" s="54"/>
      <c r="B55" s="11"/>
      <c r="C55" s="21"/>
      <c r="D55" s="20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5"/>
    </row>
    <row r="56">
      <c r="A56" s="54"/>
      <c r="B56" s="11"/>
      <c r="C56" s="21"/>
      <c r="D56" s="2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5"/>
    </row>
    <row r="57">
      <c r="A57" s="54"/>
      <c r="B57" s="11"/>
      <c r="C57" s="21"/>
      <c r="D57" s="2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5"/>
    </row>
    <row r="58">
      <c r="A58" s="54"/>
      <c r="B58" s="11"/>
      <c r="C58" s="21"/>
      <c r="D58" s="20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5"/>
    </row>
    <row r="59">
      <c r="A59" s="54"/>
      <c r="B59" s="11"/>
      <c r="C59" s="21"/>
      <c r="D59" s="2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5"/>
    </row>
    <row r="60">
      <c r="A60" s="54"/>
      <c r="B60" s="11"/>
      <c r="C60" s="21"/>
      <c r="D60" s="20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5"/>
    </row>
    <row r="61">
      <c r="A61" s="54"/>
      <c r="B61" s="11"/>
      <c r="C61" s="21"/>
      <c r="D61" s="20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5"/>
    </row>
    <row r="62">
      <c r="A62" s="54"/>
      <c r="B62" s="11"/>
      <c r="C62" s="21"/>
      <c r="D62" s="20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5"/>
    </row>
    <row r="63">
      <c r="A63" s="54"/>
      <c r="B63" s="11"/>
      <c r="C63" s="21"/>
      <c r="D63" s="20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5"/>
    </row>
    <row r="64">
      <c r="A64" s="54"/>
      <c r="B64" s="11"/>
      <c r="C64" s="21"/>
      <c r="D64" s="20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5"/>
    </row>
    <row r="65">
      <c r="A65" s="54"/>
      <c r="B65" s="11"/>
      <c r="C65" s="21"/>
      <c r="D65" s="20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5"/>
    </row>
    <row r="66">
      <c r="A66" s="54"/>
      <c r="B66" s="11"/>
      <c r="C66" s="21"/>
      <c r="D66" s="20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5"/>
    </row>
    <row r="67">
      <c r="A67" s="54"/>
      <c r="B67" s="11"/>
      <c r="C67" s="21"/>
      <c r="D67" s="20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5"/>
    </row>
    <row r="68">
      <c r="A68" s="22"/>
      <c r="B68" s="11"/>
      <c r="C68" s="21"/>
      <c r="D68" s="2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5"/>
    </row>
    <row r="69">
      <c r="A69" s="22"/>
      <c r="B69" s="11"/>
      <c r="C69" s="21"/>
      <c r="D69" s="2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5"/>
    </row>
    <row r="70">
      <c r="A70" s="22"/>
      <c r="B70" s="11"/>
      <c r="C70" s="21"/>
      <c r="D70" s="2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5"/>
    </row>
    <row r="71">
      <c r="A71" s="22"/>
      <c r="B71" s="11"/>
      <c r="C71" s="21"/>
      <c r="D71" s="2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5"/>
    </row>
    <row r="72">
      <c r="A72" s="22"/>
      <c r="B72" s="11"/>
      <c r="C72" s="21"/>
      <c r="D72" s="2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5"/>
    </row>
    <row r="73">
      <c r="A73" s="22"/>
      <c r="B73" s="11"/>
      <c r="C73" s="21"/>
      <c r="D73" s="2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5"/>
    </row>
    <row r="74">
      <c r="A74" s="22"/>
      <c r="B74" s="11"/>
      <c r="C74" s="21"/>
      <c r="D74" s="2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5"/>
    </row>
    <row r="75">
      <c r="A75" s="22"/>
      <c r="B75" s="11"/>
      <c r="C75" s="21"/>
      <c r="D75" s="2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5"/>
    </row>
    <row r="76">
      <c r="A76" s="22"/>
      <c r="B76" s="11"/>
      <c r="C76" s="21"/>
      <c r="D76" s="2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5"/>
    </row>
    <row r="77">
      <c r="A77" s="22"/>
      <c r="B77" s="11"/>
      <c r="C77" s="21"/>
      <c r="D77" s="2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5"/>
    </row>
    <row r="78">
      <c r="A78" s="22"/>
      <c r="B78" s="11"/>
      <c r="C78" s="21"/>
      <c r="D78" s="2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5"/>
    </row>
    <row r="79">
      <c r="A79" s="22"/>
      <c r="B79" s="11"/>
      <c r="C79" s="21"/>
      <c r="D79" s="2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5"/>
    </row>
    <row r="80">
      <c r="A80" s="22"/>
      <c r="B80" s="11"/>
      <c r="C80" s="21"/>
      <c r="D80" s="2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5"/>
    </row>
    <row r="81">
      <c r="A81" s="22"/>
      <c r="B81" s="11"/>
      <c r="C81" s="21"/>
      <c r="D81" s="2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5"/>
    </row>
    <row r="82">
      <c r="A82" s="22"/>
      <c r="B82" s="11"/>
      <c r="C82" s="21"/>
      <c r="D82" s="2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5"/>
    </row>
    <row r="83">
      <c r="A83" s="22"/>
      <c r="B83" s="11"/>
      <c r="C83" s="21"/>
      <c r="D83" s="2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5"/>
    </row>
    <row r="84">
      <c r="A84" s="22"/>
      <c r="B84" s="11"/>
      <c r="C84" s="21"/>
      <c r="D84" s="2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5"/>
    </row>
    <row r="85">
      <c r="A85" s="22"/>
      <c r="B85" s="11"/>
      <c r="C85" s="21"/>
      <c r="D85" s="2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5"/>
    </row>
    <row r="86">
      <c r="A86" s="22"/>
      <c r="B86" s="11"/>
      <c r="C86" s="21"/>
      <c r="D86" s="2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5"/>
    </row>
    <row r="87">
      <c r="A87" s="54"/>
      <c r="B87" s="11"/>
      <c r="C87" s="21"/>
      <c r="D87" s="20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5"/>
    </row>
    <row r="88">
      <c r="A88" s="54"/>
      <c r="B88" s="11"/>
      <c r="C88" s="21"/>
      <c r="D88" s="2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5"/>
    </row>
    <row r="89">
      <c r="A89" s="54"/>
      <c r="B89" s="11"/>
      <c r="C89" s="21"/>
      <c r="D89" s="2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5"/>
    </row>
    <row r="90">
      <c r="A90" s="54"/>
      <c r="B90" s="11"/>
      <c r="C90" s="21"/>
      <c r="D90" s="2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5"/>
    </row>
    <row r="91">
      <c r="A91" s="54"/>
      <c r="B91" s="11"/>
      <c r="C91" s="21"/>
      <c r="D91" s="2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5"/>
    </row>
    <row r="92">
      <c r="A92" s="54"/>
      <c r="B92" s="11"/>
      <c r="C92" s="21"/>
      <c r="D92" s="2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5"/>
    </row>
    <row r="93">
      <c r="A93" s="54"/>
      <c r="B93" s="11"/>
      <c r="C93" s="21"/>
      <c r="D93" s="2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5"/>
    </row>
    <row r="94">
      <c r="A94" s="54"/>
      <c r="B94" s="11"/>
      <c r="C94" s="21"/>
      <c r="D94" s="2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5"/>
    </row>
    <row r="95">
      <c r="A95" s="54"/>
      <c r="B95" s="11"/>
      <c r="C95" s="21"/>
      <c r="D95" s="2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5"/>
    </row>
    <row r="96">
      <c r="A96" s="54"/>
      <c r="B96" s="11"/>
      <c r="C96" s="21"/>
      <c r="D96" s="2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5"/>
    </row>
    <row r="97">
      <c r="A97" s="54"/>
      <c r="B97" s="11"/>
      <c r="C97" s="21"/>
      <c r="D97" s="2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5"/>
    </row>
    <row r="98">
      <c r="A98" s="54"/>
      <c r="B98" s="11"/>
      <c r="C98" s="21"/>
      <c r="D98" s="2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5"/>
    </row>
    <row r="99">
      <c r="A99" s="54"/>
      <c r="B99" s="11"/>
      <c r="C99" s="21"/>
      <c r="D99" s="2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5"/>
    </row>
    <row r="100">
      <c r="A100" s="54"/>
      <c r="B100" s="11"/>
      <c r="C100" s="21"/>
      <c r="D100" s="2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5"/>
    </row>
    <row r="101">
      <c r="A101" s="54"/>
      <c r="B101" s="11"/>
      <c r="C101" s="21"/>
      <c r="D101" s="2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5"/>
    </row>
    <row r="102">
      <c r="A102" s="54"/>
      <c r="B102" s="11"/>
      <c r="C102" s="21"/>
      <c r="D102" s="2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5"/>
    </row>
    <row r="103">
      <c r="A103" s="54"/>
      <c r="B103" s="11"/>
      <c r="C103" s="21"/>
      <c r="D103" s="2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5"/>
    </row>
    <row r="104">
      <c r="A104" s="54"/>
      <c r="B104" s="11"/>
      <c r="C104" s="21"/>
      <c r="D104" s="2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5"/>
    </row>
    <row r="105">
      <c r="A105" s="54"/>
      <c r="B105" s="11"/>
      <c r="C105" s="21"/>
      <c r="D105" s="2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5"/>
    </row>
    <row r="106">
      <c r="A106" s="54"/>
      <c r="B106" s="11"/>
      <c r="C106" s="21"/>
      <c r="D106" s="2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5"/>
    </row>
    <row r="107">
      <c r="A107" s="54"/>
      <c r="B107" s="11"/>
      <c r="C107" s="21"/>
      <c r="D107" s="2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5"/>
    </row>
    <row r="108">
      <c r="A108" s="54"/>
      <c r="B108" s="11"/>
      <c r="C108" s="21"/>
      <c r="D108" s="2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5"/>
    </row>
    <row r="109">
      <c r="A109" s="54"/>
      <c r="B109" s="11"/>
      <c r="C109" s="21"/>
      <c r="D109" s="2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5"/>
    </row>
    <row r="110">
      <c r="A110" s="54"/>
      <c r="B110" s="11"/>
      <c r="C110" s="21"/>
      <c r="D110" s="2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5"/>
    </row>
    <row r="111">
      <c r="A111" s="54"/>
      <c r="B111" s="11"/>
      <c r="C111" s="21"/>
      <c r="D111" s="2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5"/>
    </row>
    <row r="112">
      <c r="A112" s="54"/>
      <c r="B112" s="11"/>
      <c r="C112" s="21"/>
      <c r="D112" s="2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5"/>
    </row>
    <row r="113">
      <c r="A113" s="54"/>
      <c r="B113" s="11"/>
      <c r="C113" s="21"/>
      <c r="D113" s="2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5"/>
    </row>
    <row r="114">
      <c r="A114" s="22"/>
      <c r="B114" s="11"/>
      <c r="C114" s="21"/>
      <c r="D114" s="2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5"/>
    </row>
    <row r="115">
      <c r="A115" s="22"/>
      <c r="B115" s="11"/>
      <c r="C115" s="21"/>
      <c r="D115" s="2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5"/>
    </row>
    <row r="116">
      <c r="A116" s="22"/>
      <c r="B116" s="11"/>
      <c r="C116" s="21"/>
      <c r="D116" s="2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5"/>
    </row>
    <row r="117">
      <c r="A117" s="22"/>
      <c r="B117" s="11"/>
      <c r="C117" s="21"/>
      <c r="D117" s="2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5"/>
    </row>
    <row r="118">
      <c r="A118" s="22"/>
      <c r="B118" s="11"/>
      <c r="C118" s="21"/>
      <c r="D118" s="2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5"/>
    </row>
    <row r="119">
      <c r="A119" s="22"/>
      <c r="B119" s="11"/>
      <c r="C119" s="21"/>
      <c r="D119" s="2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5"/>
    </row>
    <row r="120">
      <c r="A120" s="22"/>
      <c r="B120" s="11"/>
      <c r="C120" s="21"/>
      <c r="D120" s="2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5"/>
    </row>
    <row r="121">
      <c r="A121" s="22"/>
      <c r="B121" s="11"/>
      <c r="C121" s="20"/>
      <c r="D121" s="2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5"/>
    </row>
    <row r="122">
      <c r="A122" s="22"/>
      <c r="B122" s="11"/>
      <c r="C122" s="20"/>
      <c r="D122" s="2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5"/>
    </row>
    <row r="123">
      <c r="A123" s="22"/>
      <c r="B123" s="11"/>
      <c r="C123" s="20"/>
      <c r="D123" s="2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5"/>
    </row>
    <row r="124">
      <c r="A124" s="22"/>
      <c r="B124" s="11"/>
      <c r="C124" s="20"/>
      <c r="D124" s="2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5"/>
    </row>
    <row r="125">
      <c r="A125" s="22"/>
      <c r="B125" s="11"/>
      <c r="C125" s="20"/>
      <c r="D125" s="2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5"/>
    </row>
    <row r="126">
      <c r="A126" s="22"/>
      <c r="B126" s="11"/>
      <c r="C126" s="20"/>
      <c r="D126" s="2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5"/>
    </row>
    <row r="127">
      <c r="A127" s="22"/>
      <c r="B127" s="11"/>
      <c r="C127" s="20"/>
      <c r="D127" s="2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5"/>
    </row>
    <row r="128">
      <c r="A128" s="22"/>
      <c r="B128" s="11"/>
      <c r="C128" s="20"/>
      <c r="D128" s="2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5"/>
    </row>
    <row r="129">
      <c r="A129" s="22"/>
      <c r="B129" s="11"/>
      <c r="C129" s="20"/>
      <c r="D129" s="2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5"/>
    </row>
    <row r="130">
      <c r="A130" s="22"/>
      <c r="B130" s="11"/>
      <c r="C130" s="20"/>
      <c r="D130" s="2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5"/>
    </row>
    <row r="131">
      <c r="A131" s="22"/>
      <c r="B131" s="11"/>
      <c r="C131" s="20"/>
      <c r="D131" s="2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5"/>
    </row>
    <row r="132">
      <c r="A132" s="22"/>
      <c r="B132" s="11"/>
      <c r="C132" s="20"/>
      <c r="D132" s="2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5"/>
    </row>
    <row r="133">
      <c r="A133" s="54"/>
      <c r="B133" s="11"/>
      <c r="C133" s="20"/>
      <c r="D133" s="2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5"/>
    </row>
    <row r="134">
      <c r="A134" s="54"/>
      <c r="B134" s="11"/>
      <c r="C134" s="20"/>
      <c r="D134" s="2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5"/>
    </row>
    <row r="135">
      <c r="A135" s="54"/>
      <c r="B135" s="11"/>
      <c r="C135" s="20"/>
      <c r="D135" s="2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5"/>
    </row>
    <row r="136">
      <c r="A136" s="54"/>
      <c r="B136" s="11"/>
      <c r="C136" s="20"/>
      <c r="D136" s="2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5"/>
    </row>
    <row r="137">
      <c r="A137" s="54"/>
      <c r="B137" s="11"/>
      <c r="C137" s="20"/>
      <c r="D137" s="2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5"/>
    </row>
    <row r="138">
      <c r="A138" s="54"/>
      <c r="B138" s="11"/>
      <c r="C138" s="20"/>
      <c r="D138" s="2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5"/>
    </row>
    <row r="139">
      <c r="A139" s="54"/>
      <c r="B139" s="11"/>
      <c r="C139" s="20"/>
      <c r="D139" s="2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5"/>
    </row>
    <row r="140">
      <c r="A140" s="54"/>
      <c r="B140" s="11"/>
      <c r="C140" s="20"/>
      <c r="D140" s="2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5"/>
    </row>
    <row r="141">
      <c r="A141" s="54"/>
      <c r="B141" s="11"/>
      <c r="C141" s="20"/>
      <c r="D141" s="2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5"/>
    </row>
    <row r="142">
      <c r="A142" s="54"/>
      <c r="B142" s="11"/>
      <c r="C142" s="20"/>
      <c r="D142" s="2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5"/>
    </row>
    <row r="143">
      <c r="A143" s="54"/>
      <c r="B143" s="11"/>
      <c r="C143" s="20"/>
      <c r="D143" s="2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5"/>
    </row>
    <row r="144">
      <c r="A144" s="54"/>
      <c r="B144" s="11"/>
      <c r="C144" s="20"/>
      <c r="D144" s="2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5"/>
    </row>
    <row r="145">
      <c r="A145" s="54"/>
      <c r="B145" s="11"/>
      <c r="C145" s="20"/>
      <c r="D145" s="2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5"/>
    </row>
    <row r="146">
      <c r="A146" s="54"/>
      <c r="B146" s="11"/>
      <c r="C146" s="20"/>
      <c r="D146" s="2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5"/>
    </row>
    <row r="147">
      <c r="A147" s="54"/>
      <c r="B147" s="11"/>
      <c r="C147" s="20"/>
      <c r="D147" s="2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5"/>
    </row>
    <row r="148">
      <c r="A148" s="54"/>
      <c r="B148" s="11"/>
      <c r="C148" s="20"/>
      <c r="D148" s="2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5"/>
    </row>
    <row r="149">
      <c r="A149" s="54"/>
      <c r="B149" s="11"/>
      <c r="C149" s="20"/>
      <c r="D149" s="2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5"/>
    </row>
    <row r="150">
      <c r="A150" s="54"/>
      <c r="B150" s="11"/>
      <c r="C150" s="20"/>
      <c r="D150" s="2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5"/>
    </row>
    <row r="151">
      <c r="A151" s="22"/>
      <c r="B151" s="11"/>
      <c r="C151" s="20"/>
      <c r="D151" s="2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5"/>
    </row>
    <row r="152">
      <c r="A152" s="22"/>
      <c r="B152" s="11"/>
      <c r="C152" s="20"/>
      <c r="D152" s="2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5"/>
    </row>
    <row r="153">
      <c r="A153" s="22"/>
      <c r="B153" s="11"/>
      <c r="C153" s="20"/>
      <c r="D153" s="2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5"/>
    </row>
    <row r="154">
      <c r="A154" s="22"/>
      <c r="B154" s="11"/>
      <c r="C154" s="20"/>
      <c r="D154" s="2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5"/>
    </row>
    <row r="155">
      <c r="A155" s="22"/>
      <c r="B155" s="11"/>
      <c r="C155" s="20"/>
      <c r="D155" s="2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5"/>
    </row>
    <row r="156">
      <c r="A156" s="22"/>
      <c r="B156" s="11"/>
      <c r="C156" s="20"/>
      <c r="D156" s="2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5"/>
    </row>
    <row r="157">
      <c r="A157" s="22"/>
      <c r="B157" s="11"/>
      <c r="C157" s="20"/>
      <c r="D157" s="2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5"/>
    </row>
    <row r="158">
      <c r="A158" s="22"/>
      <c r="B158" s="11"/>
      <c r="C158" s="20"/>
      <c r="D158" s="2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5"/>
    </row>
    <row r="159">
      <c r="A159" s="22"/>
      <c r="B159" s="11"/>
      <c r="C159" s="20"/>
      <c r="D159" s="2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5"/>
    </row>
    <row r="160">
      <c r="A160" s="22"/>
      <c r="B160" s="11"/>
      <c r="C160" s="20"/>
      <c r="D160" s="2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5"/>
    </row>
    <row r="161">
      <c r="A161" s="22"/>
      <c r="B161" s="11"/>
      <c r="C161" s="20"/>
      <c r="D161" s="2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5"/>
    </row>
    <row r="162">
      <c r="A162" s="22"/>
      <c r="B162" s="11"/>
      <c r="C162" s="20"/>
      <c r="D162" s="2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5"/>
    </row>
    <row r="163">
      <c r="A163" s="22"/>
      <c r="B163" s="11"/>
      <c r="C163" s="20"/>
      <c r="D163" s="2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5"/>
    </row>
    <row r="164">
      <c r="A164" s="22"/>
      <c r="B164" s="11"/>
      <c r="C164" s="20"/>
      <c r="D164" s="2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5"/>
    </row>
    <row r="165">
      <c r="A165" s="22"/>
      <c r="B165" s="11"/>
      <c r="C165" s="20"/>
      <c r="D165" s="2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5"/>
    </row>
    <row r="166">
      <c r="A166" s="22"/>
      <c r="B166" s="11"/>
      <c r="C166" s="20"/>
      <c r="D166" s="2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5"/>
    </row>
    <row r="167">
      <c r="A167" s="22"/>
      <c r="B167" s="11"/>
      <c r="C167" s="20"/>
      <c r="D167" s="2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5"/>
    </row>
    <row r="168">
      <c r="A168" s="22"/>
      <c r="B168" s="11"/>
      <c r="C168" s="20"/>
      <c r="D168" s="2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5"/>
    </row>
    <row r="169">
      <c r="A169" s="22"/>
      <c r="B169" s="11"/>
      <c r="C169" s="20"/>
      <c r="D169" s="2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5"/>
    </row>
    <row r="170">
      <c r="A170" s="54"/>
      <c r="B170" s="11"/>
      <c r="C170" s="20"/>
      <c r="D170" s="2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5"/>
    </row>
    <row r="171">
      <c r="A171" s="54"/>
      <c r="B171" s="11"/>
      <c r="C171" s="20"/>
      <c r="D171" s="2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5"/>
    </row>
    <row r="172">
      <c r="A172" s="54"/>
      <c r="B172" s="11"/>
      <c r="C172" s="20"/>
      <c r="D172" s="2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5"/>
    </row>
    <row r="173">
      <c r="A173" s="54"/>
      <c r="B173" s="11"/>
      <c r="C173" s="20"/>
      <c r="D173" s="2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5"/>
    </row>
    <row r="174">
      <c r="A174" s="54"/>
      <c r="B174" s="11"/>
      <c r="C174" s="20"/>
      <c r="D174" s="2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5"/>
    </row>
    <row r="175">
      <c r="A175" s="54"/>
      <c r="B175" s="11"/>
      <c r="C175" s="20"/>
      <c r="D175" s="2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5"/>
    </row>
    <row r="176">
      <c r="A176" s="54"/>
      <c r="B176" s="11"/>
      <c r="C176" s="20"/>
      <c r="D176" s="2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5"/>
    </row>
    <row r="177">
      <c r="A177" s="54"/>
      <c r="B177" s="11"/>
      <c r="C177" s="20"/>
      <c r="D177" s="2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5"/>
    </row>
    <row r="178">
      <c r="A178" s="54"/>
      <c r="B178" s="11"/>
      <c r="C178" s="20"/>
      <c r="D178" s="2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5"/>
    </row>
    <row r="179">
      <c r="A179" s="54"/>
      <c r="B179" s="11"/>
      <c r="C179" s="20"/>
      <c r="D179" s="2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5"/>
    </row>
    <row r="180">
      <c r="A180" s="54"/>
      <c r="B180" s="11"/>
      <c r="C180" s="20"/>
      <c r="D180" s="2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5"/>
    </row>
    <row r="181">
      <c r="A181" s="54"/>
      <c r="B181" s="11"/>
      <c r="C181" s="20"/>
      <c r="D181" s="2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5"/>
    </row>
    <row r="182">
      <c r="A182" s="54"/>
      <c r="B182" s="11"/>
      <c r="C182" s="20"/>
      <c r="D182" s="2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5"/>
    </row>
    <row r="183">
      <c r="A183" s="54"/>
      <c r="B183" s="11"/>
      <c r="C183" s="20"/>
      <c r="D183" s="2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5"/>
    </row>
    <row r="184">
      <c r="A184" s="54"/>
      <c r="B184" s="11"/>
      <c r="C184" s="20"/>
      <c r="D184" s="2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5"/>
    </row>
    <row r="185">
      <c r="A185" s="54"/>
      <c r="B185" s="11"/>
      <c r="C185" s="20"/>
      <c r="D185" s="2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5"/>
    </row>
    <row r="186">
      <c r="A186" s="54"/>
      <c r="B186" s="11"/>
      <c r="C186" s="20"/>
      <c r="D186" s="2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5"/>
    </row>
    <row r="187">
      <c r="A187" s="54"/>
      <c r="B187" s="11"/>
      <c r="C187" s="20"/>
      <c r="D187" s="2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5"/>
    </row>
    <row r="188">
      <c r="A188" s="54"/>
      <c r="B188" s="11"/>
      <c r="C188" s="20"/>
      <c r="D188" s="2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5"/>
    </row>
    <row r="189">
      <c r="A189" s="54"/>
      <c r="B189" s="11"/>
      <c r="C189" s="20"/>
      <c r="D189" s="2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5"/>
    </row>
    <row r="190">
      <c r="A190" s="54"/>
      <c r="B190" s="11"/>
      <c r="C190" s="20"/>
      <c r="D190" s="2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5"/>
    </row>
    <row r="191">
      <c r="A191" s="54"/>
      <c r="B191" s="11"/>
      <c r="C191" s="20"/>
      <c r="D191" s="2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5"/>
    </row>
    <row r="192">
      <c r="A192" s="54"/>
      <c r="B192" s="11"/>
      <c r="C192" s="20"/>
      <c r="D192" s="2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5"/>
    </row>
    <row r="193">
      <c r="A193" s="54"/>
      <c r="B193" s="11"/>
      <c r="C193" s="20"/>
      <c r="D193" s="2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5"/>
    </row>
    <row r="194">
      <c r="A194" s="54"/>
      <c r="B194" s="11"/>
      <c r="C194" s="20"/>
      <c r="D194" s="2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5"/>
    </row>
    <row r="195">
      <c r="A195" s="54"/>
      <c r="B195" s="11"/>
      <c r="C195" s="20"/>
      <c r="D195" s="2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5"/>
    </row>
    <row r="196">
      <c r="A196" s="54"/>
      <c r="B196" s="11"/>
      <c r="C196" s="20"/>
      <c r="D196" s="2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5"/>
    </row>
    <row r="197">
      <c r="A197" s="22"/>
      <c r="B197" s="11"/>
      <c r="C197" s="20"/>
      <c r="D197" s="2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5"/>
    </row>
    <row r="198">
      <c r="A198" s="22"/>
      <c r="B198" s="11"/>
      <c r="C198" s="20"/>
      <c r="D198" s="2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5"/>
    </row>
    <row r="199">
      <c r="A199" s="22"/>
      <c r="B199" s="11"/>
      <c r="C199" s="20"/>
      <c r="D199" s="2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5"/>
    </row>
    <row r="200">
      <c r="A200" s="22"/>
      <c r="B200" s="11"/>
      <c r="C200" s="20"/>
      <c r="D200" s="2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5"/>
    </row>
    <row r="201">
      <c r="A201" s="22"/>
      <c r="B201" s="11"/>
      <c r="C201" s="20"/>
      <c r="D201" s="2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5"/>
    </row>
    <row r="202">
      <c r="A202" s="22"/>
      <c r="B202" s="11"/>
      <c r="C202" s="20"/>
      <c r="D202" s="2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5"/>
    </row>
    <row r="203">
      <c r="A203" s="22"/>
      <c r="B203" s="11"/>
      <c r="C203" s="20"/>
      <c r="D203" s="2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5"/>
    </row>
    <row r="204">
      <c r="A204" s="22"/>
      <c r="B204" s="11"/>
      <c r="C204" s="20"/>
      <c r="D204" s="2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5"/>
    </row>
    <row r="205">
      <c r="A205" s="22"/>
      <c r="B205" s="11"/>
      <c r="C205" s="20"/>
      <c r="D205" s="2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5"/>
    </row>
    <row r="206">
      <c r="A206" s="22"/>
      <c r="B206" s="11"/>
      <c r="C206" s="20"/>
      <c r="D206" s="2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5"/>
    </row>
    <row r="207">
      <c r="A207" s="22"/>
      <c r="B207" s="11"/>
      <c r="C207" s="20"/>
      <c r="D207" s="2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5"/>
    </row>
    <row r="208">
      <c r="A208" s="22"/>
      <c r="B208" s="11"/>
      <c r="C208" s="20"/>
      <c r="D208" s="2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5"/>
    </row>
    <row r="209">
      <c r="A209" s="22"/>
      <c r="B209" s="11"/>
      <c r="C209" s="20"/>
      <c r="D209" s="2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5"/>
    </row>
    <row r="210">
      <c r="A210" s="22"/>
      <c r="B210" s="11"/>
      <c r="C210" s="20"/>
      <c r="D210" s="2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5"/>
    </row>
    <row r="211">
      <c r="A211" s="22"/>
      <c r="B211" s="11"/>
      <c r="C211" s="20"/>
      <c r="D211" s="2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5"/>
    </row>
    <row r="212">
      <c r="A212" s="22"/>
      <c r="B212" s="11"/>
      <c r="C212" s="20"/>
      <c r="D212" s="2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5"/>
    </row>
    <row r="213">
      <c r="A213" s="22"/>
      <c r="B213" s="11"/>
      <c r="C213" s="20"/>
      <c r="D213" s="2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5"/>
    </row>
    <row r="214">
      <c r="A214" s="22"/>
      <c r="B214" s="11"/>
      <c r="C214" s="20"/>
      <c r="D214" s="2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5"/>
    </row>
    <row r="215">
      <c r="A215" s="22"/>
      <c r="B215" s="11"/>
      <c r="C215" s="20"/>
      <c r="D215" s="2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5"/>
    </row>
    <row r="216">
      <c r="A216" s="54"/>
      <c r="B216" s="11"/>
      <c r="C216" s="20"/>
      <c r="D216" s="2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5"/>
    </row>
    <row r="217">
      <c r="A217" s="54"/>
      <c r="B217" s="11"/>
      <c r="C217" s="20"/>
      <c r="D217" s="2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5"/>
    </row>
    <row r="218">
      <c r="A218" s="54"/>
      <c r="B218" s="11"/>
      <c r="C218" s="20"/>
      <c r="D218" s="2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5"/>
    </row>
    <row r="219">
      <c r="A219" s="54"/>
      <c r="B219" s="11"/>
      <c r="C219" s="20"/>
      <c r="D219" s="2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5"/>
    </row>
    <row r="220">
      <c r="A220" s="54"/>
      <c r="B220" s="11"/>
      <c r="C220" s="20"/>
      <c r="D220" s="2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5"/>
    </row>
    <row r="221">
      <c r="A221" s="54"/>
      <c r="B221" s="11"/>
      <c r="C221" s="20"/>
      <c r="D221" s="2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5"/>
    </row>
    <row r="222">
      <c r="A222" s="54"/>
      <c r="B222" s="11"/>
      <c r="C222" s="20"/>
      <c r="D222" s="2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5"/>
    </row>
    <row r="223">
      <c r="A223" s="54"/>
      <c r="B223" s="11"/>
      <c r="C223" s="20"/>
      <c r="D223" s="2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5"/>
    </row>
    <row r="224">
      <c r="A224" s="54"/>
      <c r="B224" s="11"/>
      <c r="C224" s="20"/>
      <c r="D224" s="2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5"/>
    </row>
    <row r="225">
      <c r="A225" s="54"/>
      <c r="B225" s="11"/>
      <c r="C225" s="20"/>
      <c r="D225" s="2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5"/>
    </row>
    <row r="226">
      <c r="A226" s="54"/>
      <c r="B226" s="11"/>
      <c r="C226" s="20"/>
      <c r="D226" s="2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5"/>
    </row>
    <row r="227">
      <c r="A227" s="54"/>
      <c r="B227" s="11"/>
      <c r="C227" s="20"/>
      <c r="D227" s="2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5"/>
    </row>
    <row r="228">
      <c r="A228" s="54"/>
      <c r="B228" s="11"/>
      <c r="C228" s="20"/>
      <c r="D228" s="2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5"/>
    </row>
    <row r="229">
      <c r="A229" s="54"/>
      <c r="B229" s="11"/>
      <c r="C229" s="20"/>
      <c r="D229" s="2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5"/>
    </row>
    <row r="230">
      <c r="A230" s="54"/>
      <c r="B230" s="11"/>
      <c r="C230" s="20"/>
      <c r="D230" s="2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5"/>
    </row>
    <row r="231">
      <c r="A231" s="54"/>
      <c r="B231" s="11"/>
      <c r="C231" s="20"/>
      <c r="D231" s="2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5"/>
    </row>
    <row r="232">
      <c r="A232" s="54"/>
      <c r="B232" s="11"/>
      <c r="C232" s="20"/>
      <c r="D232" s="2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5"/>
    </row>
    <row r="233">
      <c r="A233" s="54"/>
      <c r="B233" s="11"/>
      <c r="C233" s="20"/>
      <c r="D233" s="2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5"/>
    </row>
    <row r="234">
      <c r="A234" s="22"/>
      <c r="B234" s="11"/>
      <c r="C234" s="20"/>
      <c r="D234" s="2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5"/>
    </row>
    <row r="235">
      <c r="A235" s="22"/>
      <c r="B235" s="11"/>
      <c r="C235" s="20"/>
      <c r="D235" s="2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5"/>
    </row>
    <row r="236">
      <c r="A236" s="22"/>
      <c r="B236" s="11"/>
      <c r="C236" s="20"/>
      <c r="D236" s="2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5"/>
    </row>
    <row r="237">
      <c r="A237" s="22"/>
      <c r="B237" s="11"/>
      <c r="C237" s="20"/>
      <c r="D237" s="2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5"/>
    </row>
    <row r="238">
      <c r="A238" s="22"/>
      <c r="B238" s="11"/>
      <c r="C238" s="20"/>
      <c r="D238" s="2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5"/>
    </row>
    <row r="239">
      <c r="A239" s="22"/>
      <c r="B239" s="11"/>
      <c r="C239" s="20"/>
      <c r="D239" s="2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5"/>
    </row>
    <row r="240">
      <c r="A240" s="22"/>
      <c r="B240" s="11"/>
      <c r="C240" s="20"/>
      <c r="D240" s="2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5"/>
    </row>
    <row r="241">
      <c r="A241" s="22"/>
      <c r="B241" s="11"/>
      <c r="C241" s="20"/>
      <c r="D241" s="2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5"/>
    </row>
    <row r="242">
      <c r="A242" s="22"/>
      <c r="B242" s="11"/>
      <c r="C242" s="20"/>
      <c r="D242" s="2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5"/>
    </row>
    <row r="243">
      <c r="A243" s="22"/>
      <c r="B243" s="11"/>
      <c r="C243" s="20"/>
      <c r="D243" s="2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5"/>
    </row>
    <row r="244">
      <c r="A244" s="22"/>
      <c r="B244" s="11"/>
      <c r="C244" s="20"/>
      <c r="D244" s="2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5"/>
    </row>
    <row r="245">
      <c r="A245" s="22"/>
      <c r="B245" s="11"/>
      <c r="C245" s="20"/>
      <c r="D245" s="2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5"/>
    </row>
    <row r="246">
      <c r="A246" s="22"/>
      <c r="B246" s="11"/>
      <c r="C246" s="20"/>
      <c r="D246" s="2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5"/>
    </row>
    <row r="247">
      <c r="A247" s="22"/>
      <c r="B247" s="11"/>
      <c r="C247" s="20"/>
      <c r="D247" s="2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5"/>
    </row>
    <row r="248">
      <c r="A248" s="22"/>
      <c r="B248" s="11"/>
      <c r="C248" s="20"/>
      <c r="D248" s="2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5"/>
    </row>
    <row r="249">
      <c r="A249" s="22"/>
      <c r="B249" s="11"/>
      <c r="C249" s="20"/>
      <c r="D249" s="2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5"/>
    </row>
    <row r="250">
      <c r="A250" s="22"/>
      <c r="B250" s="11"/>
      <c r="C250" s="20"/>
      <c r="D250" s="2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5"/>
    </row>
    <row r="251">
      <c r="A251" s="22"/>
      <c r="B251" s="11"/>
      <c r="C251" s="20"/>
      <c r="D251" s="2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5"/>
    </row>
    <row r="252">
      <c r="A252" s="22"/>
      <c r="B252" s="11"/>
      <c r="C252" s="20"/>
      <c r="D252" s="2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5"/>
    </row>
    <row r="253">
      <c r="A253" s="54"/>
      <c r="B253" s="11"/>
      <c r="C253" s="20"/>
      <c r="D253" s="2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5"/>
    </row>
    <row r="254">
      <c r="A254" s="54"/>
      <c r="B254" s="11"/>
      <c r="C254" s="20"/>
      <c r="D254" s="2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5"/>
    </row>
    <row r="255">
      <c r="A255" s="54"/>
      <c r="B255" s="11"/>
      <c r="C255" s="20"/>
      <c r="D255" s="2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5"/>
    </row>
    <row r="256">
      <c r="A256" s="54"/>
      <c r="B256" s="11"/>
      <c r="C256" s="20"/>
      <c r="D256" s="2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5"/>
    </row>
    <row r="257">
      <c r="A257" s="54"/>
      <c r="B257" s="11"/>
      <c r="C257" s="20"/>
      <c r="D257" s="2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5"/>
    </row>
    <row r="258">
      <c r="A258" s="54"/>
      <c r="B258" s="11"/>
      <c r="C258" s="20"/>
      <c r="D258" s="2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5"/>
    </row>
    <row r="259">
      <c r="A259" s="54"/>
      <c r="B259" s="11"/>
      <c r="C259" s="20"/>
      <c r="D259" s="2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5"/>
    </row>
    <row r="260">
      <c r="A260" s="54"/>
      <c r="B260" s="11"/>
      <c r="C260" s="20"/>
      <c r="D260" s="2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5"/>
    </row>
    <row r="261">
      <c r="A261" s="54"/>
      <c r="B261" s="11"/>
      <c r="C261" s="20"/>
      <c r="D261" s="2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5"/>
    </row>
    <row r="262">
      <c r="A262" s="54"/>
      <c r="B262" s="11"/>
      <c r="C262" s="20"/>
      <c r="D262" s="2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5"/>
    </row>
    <row r="263">
      <c r="A263" s="54"/>
      <c r="B263" s="11"/>
      <c r="C263" s="20"/>
      <c r="D263" s="2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5"/>
    </row>
    <row r="264">
      <c r="A264" s="54"/>
      <c r="B264" s="11"/>
      <c r="C264" s="20"/>
      <c r="D264" s="20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5"/>
    </row>
    <row r="265">
      <c r="A265" s="54"/>
      <c r="B265" s="11"/>
      <c r="C265" s="20"/>
      <c r="D265" s="20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5"/>
    </row>
    <row r="266">
      <c r="A266" s="54"/>
      <c r="B266" s="11"/>
      <c r="C266" s="20"/>
      <c r="D266" s="20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5"/>
    </row>
    <row r="267">
      <c r="A267" s="54"/>
      <c r="B267" s="11"/>
      <c r="C267" s="20"/>
      <c r="D267" s="20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5"/>
    </row>
    <row r="268">
      <c r="A268" s="54"/>
      <c r="B268" s="11"/>
      <c r="C268" s="20"/>
      <c r="D268" s="20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5"/>
    </row>
    <row r="269">
      <c r="A269" s="54"/>
      <c r="B269" s="11"/>
      <c r="C269" s="20"/>
      <c r="D269" s="20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5"/>
    </row>
    <row r="270">
      <c r="A270" s="54"/>
      <c r="B270" s="11"/>
      <c r="C270" s="20"/>
      <c r="D270" s="20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5"/>
    </row>
    <row r="271">
      <c r="A271" s="54"/>
      <c r="B271" s="11"/>
      <c r="C271" s="20"/>
      <c r="D271" s="20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5"/>
    </row>
    <row r="272">
      <c r="A272" s="54"/>
      <c r="B272" s="11"/>
      <c r="C272" s="20"/>
      <c r="D272" s="20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5"/>
    </row>
    <row r="273">
      <c r="A273" s="54"/>
      <c r="B273" s="11"/>
      <c r="C273" s="20"/>
      <c r="D273" s="20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5"/>
    </row>
    <row r="274">
      <c r="A274" s="54"/>
      <c r="B274" s="11"/>
      <c r="C274" s="20"/>
      <c r="D274" s="2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5"/>
    </row>
    <row r="275">
      <c r="A275" s="54"/>
      <c r="B275" s="11"/>
      <c r="C275" s="20"/>
      <c r="D275" s="20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5"/>
    </row>
    <row r="276">
      <c r="A276" s="54"/>
      <c r="B276" s="11"/>
      <c r="C276" s="20"/>
      <c r="D276" s="20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5"/>
    </row>
    <row r="277">
      <c r="A277" s="54"/>
      <c r="B277" s="11"/>
      <c r="C277" s="20"/>
      <c r="D277" s="20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5"/>
    </row>
    <row r="278">
      <c r="A278" s="54"/>
      <c r="B278" s="11"/>
      <c r="C278" s="20"/>
      <c r="D278" s="20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5"/>
    </row>
    <row r="279">
      <c r="A279" s="54"/>
      <c r="B279" s="11"/>
      <c r="C279" s="20"/>
      <c r="D279" s="20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5"/>
    </row>
    <row r="280">
      <c r="A280" s="22"/>
      <c r="B280" s="11"/>
      <c r="C280" s="20"/>
      <c r="D280" s="2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5"/>
    </row>
    <row r="281">
      <c r="A281" s="22"/>
      <c r="B281" s="11"/>
      <c r="C281" s="20"/>
      <c r="D281" s="20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5"/>
    </row>
    <row r="282">
      <c r="A282" s="22"/>
      <c r="B282" s="11"/>
      <c r="C282" s="20"/>
      <c r="D282" s="20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5"/>
    </row>
    <row r="283">
      <c r="A283" s="22"/>
      <c r="B283" s="11"/>
      <c r="C283" s="20"/>
      <c r="D283" s="20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5"/>
    </row>
    <row r="284">
      <c r="A284" s="22"/>
      <c r="B284" s="11"/>
      <c r="C284" s="20"/>
      <c r="D284" s="20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5"/>
    </row>
    <row r="285">
      <c r="A285" s="22"/>
      <c r="B285" s="11"/>
      <c r="C285" s="20"/>
      <c r="D285" s="20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5"/>
    </row>
    <row r="286">
      <c r="A286" s="22"/>
      <c r="B286" s="11"/>
      <c r="C286" s="20"/>
      <c r="D286" s="20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5"/>
    </row>
    <row r="287">
      <c r="A287" s="22"/>
      <c r="B287" s="11"/>
      <c r="C287" s="20"/>
      <c r="D287" s="20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5"/>
    </row>
    <row r="288">
      <c r="A288" s="22"/>
      <c r="B288" s="11"/>
      <c r="C288" s="20"/>
      <c r="D288" s="20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5"/>
    </row>
    <row r="289">
      <c r="A289" s="22"/>
      <c r="B289" s="11"/>
      <c r="C289" s="20"/>
      <c r="D289" s="20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5"/>
    </row>
    <row r="290">
      <c r="A290" s="22"/>
      <c r="B290" s="11"/>
      <c r="C290" s="20"/>
      <c r="D290" s="20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5"/>
    </row>
    <row r="291">
      <c r="A291" s="22"/>
      <c r="B291" s="11"/>
      <c r="C291" s="20"/>
      <c r="D291" s="20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5"/>
    </row>
    <row r="292">
      <c r="A292" s="22"/>
      <c r="B292" s="11"/>
      <c r="C292" s="20"/>
      <c r="D292" s="20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5"/>
    </row>
    <row r="293">
      <c r="A293" s="22"/>
      <c r="B293" s="11"/>
      <c r="C293" s="20"/>
      <c r="D293" s="20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5"/>
    </row>
    <row r="294">
      <c r="A294" s="22"/>
      <c r="B294" s="11"/>
      <c r="C294" s="20"/>
      <c r="D294" s="20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5"/>
    </row>
    <row r="295">
      <c r="A295" s="22"/>
      <c r="B295" s="11"/>
      <c r="C295" s="20"/>
      <c r="D295" s="20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5"/>
    </row>
    <row r="296">
      <c r="A296" s="22"/>
      <c r="B296" s="11"/>
      <c r="C296" s="20"/>
      <c r="D296" s="20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5"/>
    </row>
    <row r="297">
      <c r="A297" s="22"/>
      <c r="B297" s="11"/>
      <c r="C297" s="20"/>
      <c r="D297" s="20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5"/>
    </row>
    <row r="298">
      <c r="A298" s="22"/>
      <c r="B298" s="11"/>
      <c r="C298" s="20"/>
      <c r="D298" s="20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5"/>
    </row>
    <row r="299">
      <c r="A299" s="54"/>
      <c r="B299" s="11"/>
      <c r="C299" s="20"/>
      <c r="D299" s="20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5"/>
    </row>
    <row r="300">
      <c r="A300" s="54"/>
      <c r="B300" s="11"/>
      <c r="C300" s="20"/>
      <c r="D300" s="20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5"/>
    </row>
    <row r="301">
      <c r="A301" s="54"/>
      <c r="B301" s="11"/>
      <c r="C301" s="20"/>
      <c r="D301" s="20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5"/>
    </row>
    <row r="302">
      <c r="A302" s="54"/>
      <c r="B302" s="11"/>
      <c r="C302" s="20"/>
      <c r="D302" s="20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5"/>
    </row>
    <row r="303">
      <c r="A303" s="54"/>
      <c r="B303" s="11"/>
      <c r="C303" s="20"/>
      <c r="D303" s="20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5"/>
    </row>
    <row r="304">
      <c r="A304" s="54"/>
      <c r="B304" s="11"/>
      <c r="C304" s="20"/>
      <c r="D304" s="20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5"/>
    </row>
    <row r="305">
      <c r="A305" s="54"/>
      <c r="B305" s="11"/>
      <c r="C305" s="20"/>
      <c r="D305" s="20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5"/>
    </row>
    <row r="306">
      <c r="A306" s="54"/>
      <c r="B306" s="11"/>
      <c r="C306" s="20"/>
      <c r="D306" s="20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5"/>
    </row>
    <row r="307">
      <c r="A307" s="54"/>
      <c r="B307" s="11"/>
      <c r="C307" s="20"/>
      <c r="D307" s="20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5"/>
    </row>
    <row r="308">
      <c r="A308" s="54"/>
      <c r="B308" s="11"/>
      <c r="C308" s="20"/>
      <c r="D308" s="20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5"/>
    </row>
    <row r="309">
      <c r="A309" s="54"/>
      <c r="B309" s="11"/>
      <c r="C309" s="20"/>
      <c r="D309" s="20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5"/>
    </row>
    <row r="310">
      <c r="A310" s="54"/>
      <c r="B310" s="11"/>
      <c r="C310" s="20"/>
      <c r="D310" s="20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5"/>
    </row>
    <row r="311">
      <c r="A311" s="54"/>
      <c r="B311" s="11"/>
      <c r="C311" s="20"/>
      <c r="D311" s="2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5"/>
    </row>
    <row r="312">
      <c r="A312" s="54"/>
      <c r="B312" s="11"/>
      <c r="C312" s="20"/>
      <c r="D312" s="20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5"/>
    </row>
    <row r="313">
      <c r="A313" s="54"/>
      <c r="B313" s="11"/>
      <c r="C313" s="20"/>
      <c r="D313" s="20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5"/>
    </row>
    <row r="314">
      <c r="A314" s="54"/>
      <c r="B314" s="11"/>
      <c r="C314" s="20"/>
      <c r="D314" s="20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5"/>
    </row>
    <row r="315">
      <c r="A315" s="54"/>
      <c r="B315" s="11"/>
      <c r="C315" s="20"/>
      <c r="D315" s="20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5"/>
    </row>
    <row r="316">
      <c r="A316" s="54"/>
      <c r="B316" s="11"/>
      <c r="C316" s="20"/>
      <c r="D316" s="20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5"/>
    </row>
    <row r="317">
      <c r="A317" s="22"/>
      <c r="B317" s="11"/>
      <c r="C317" s="20"/>
      <c r="D317" s="20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5"/>
    </row>
    <row r="318">
      <c r="A318" s="22"/>
      <c r="B318" s="11"/>
      <c r="C318" s="20"/>
      <c r="D318" s="20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5"/>
    </row>
    <row r="319">
      <c r="A319" s="22"/>
      <c r="B319" s="11"/>
      <c r="C319" s="20"/>
      <c r="D319" s="20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5"/>
    </row>
    <row r="320">
      <c r="A320" s="22"/>
      <c r="B320" s="11"/>
      <c r="C320" s="20"/>
      <c r="D320" s="20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5"/>
    </row>
    <row r="321">
      <c r="A321" s="22"/>
      <c r="B321" s="11"/>
      <c r="C321" s="20"/>
      <c r="D321" s="20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5"/>
    </row>
    <row r="322">
      <c r="A322" s="22"/>
      <c r="B322" s="11"/>
      <c r="C322" s="20"/>
      <c r="D322" s="2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5"/>
    </row>
    <row r="323">
      <c r="A323" s="22"/>
      <c r="B323" s="11"/>
      <c r="C323" s="20"/>
      <c r="D323" s="20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5"/>
    </row>
    <row r="324">
      <c r="A324" s="22"/>
      <c r="B324" s="11"/>
      <c r="C324" s="20"/>
      <c r="D324" s="20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5"/>
    </row>
    <row r="325">
      <c r="A325" s="22"/>
      <c r="B325" s="11"/>
      <c r="C325" s="20"/>
      <c r="D325" s="20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5"/>
    </row>
    <row r="326">
      <c r="A326" s="22"/>
      <c r="B326" s="11"/>
      <c r="C326" s="20"/>
      <c r="D326" s="20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5"/>
    </row>
    <row r="327">
      <c r="A327" s="22"/>
      <c r="B327" s="11"/>
      <c r="C327" s="20"/>
      <c r="D327" s="20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5"/>
    </row>
    <row r="328">
      <c r="A328" s="22"/>
      <c r="B328" s="11"/>
      <c r="C328" s="20"/>
      <c r="D328" s="2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5"/>
    </row>
    <row r="329">
      <c r="A329" s="22"/>
      <c r="B329" s="11"/>
      <c r="C329" s="20"/>
      <c r="D329" s="20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5"/>
    </row>
    <row r="330">
      <c r="A330" s="22"/>
      <c r="B330" s="11"/>
      <c r="C330" s="20"/>
      <c r="D330" s="2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5"/>
    </row>
    <row r="331">
      <c r="A331" s="22"/>
      <c r="B331" s="11"/>
      <c r="C331" s="20"/>
      <c r="D331" s="20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5"/>
    </row>
    <row r="332">
      <c r="A332" s="22"/>
      <c r="B332" s="11"/>
      <c r="C332" s="20"/>
      <c r="D332" s="20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5"/>
    </row>
    <row r="333">
      <c r="A333" s="22"/>
      <c r="B333" s="11"/>
      <c r="C333" s="20"/>
      <c r="D333" s="20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5"/>
    </row>
    <row r="334">
      <c r="A334" s="22"/>
      <c r="B334" s="11"/>
      <c r="C334" s="20"/>
      <c r="D334" s="20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5"/>
    </row>
    <row r="335">
      <c r="A335" s="22"/>
      <c r="B335" s="11"/>
      <c r="C335" s="20"/>
      <c r="D335" s="20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5"/>
    </row>
    <row r="336">
      <c r="A336" s="54"/>
      <c r="B336" s="11"/>
      <c r="C336" s="20"/>
      <c r="D336" s="2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5"/>
    </row>
    <row r="337">
      <c r="A337" s="54"/>
      <c r="B337" s="11"/>
      <c r="C337" s="20"/>
      <c r="D337" s="20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5"/>
    </row>
    <row r="338">
      <c r="A338" s="54"/>
      <c r="B338" s="11"/>
      <c r="C338" s="20"/>
      <c r="D338" s="20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5"/>
    </row>
    <row r="339">
      <c r="A339" s="54"/>
      <c r="B339" s="11"/>
      <c r="C339" s="20"/>
      <c r="D339" s="20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5"/>
    </row>
    <row r="340">
      <c r="A340" s="54"/>
      <c r="B340" s="11"/>
      <c r="C340" s="20"/>
      <c r="D340" s="20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5"/>
    </row>
    <row r="341">
      <c r="A341" s="54"/>
      <c r="B341" s="11"/>
      <c r="C341" s="20"/>
      <c r="D341" s="20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5"/>
    </row>
    <row r="342">
      <c r="A342" s="54"/>
      <c r="B342" s="11"/>
      <c r="C342" s="20"/>
      <c r="D342" s="20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5"/>
    </row>
    <row r="343">
      <c r="A343" s="54"/>
      <c r="B343" s="11"/>
      <c r="C343" s="20"/>
      <c r="D343" s="20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5"/>
    </row>
    <row r="344">
      <c r="A344" s="54"/>
      <c r="B344" s="11"/>
      <c r="C344" s="20"/>
      <c r="D344" s="20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5"/>
    </row>
    <row r="345">
      <c r="A345" s="54"/>
      <c r="B345" s="11"/>
      <c r="C345" s="20"/>
      <c r="D345" s="20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5"/>
    </row>
    <row r="346">
      <c r="A346" s="54"/>
      <c r="B346" s="11"/>
      <c r="C346" s="20"/>
      <c r="D346" s="20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5"/>
    </row>
    <row r="347">
      <c r="A347" s="54"/>
      <c r="B347" s="11"/>
      <c r="C347" s="20"/>
      <c r="D347" s="20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5"/>
    </row>
    <row r="348">
      <c r="A348" s="54"/>
      <c r="B348" s="11"/>
      <c r="C348" s="20"/>
      <c r="D348" s="20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5"/>
    </row>
    <row r="349">
      <c r="A349" s="54"/>
      <c r="B349" s="11"/>
      <c r="C349" s="20"/>
      <c r="D349" s="20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5"/>
    </row>
    <row r="350">
      <c r="A350" s="54"/>
      <c r="B350" s="11"/>
      <c r="C350" s="20"/>
      <c r="D350" s="20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5"/>
    </row>
    <row r="351">
      <c r="A351" s="54"/>
      <c r="B351" s="11"/>
      <c r="C351" s="20"/>
      <c r="D351" s="20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5"/>
    </row>
    <row r="352">
      <c r="A352" s="54"/>
      <c r="B352" s="11"/>
      <c r="C352" s="20"/>
      <c r="D352" s="20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5"/>
    </row>
    <row r="353">
      <c r="A353" s="54"/>
      <c r="B353" s="11"/>
      <c r="C353" s="20"/>
      <c r="D353" s="20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5"/>
    </row>
    <row r="354">
      <c r="A354" s="54"/>
      <c r="B354" s="11"/>
      <c r="C354" s="20"/>
      <c r="D354" s="20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5"/>
    </row>
    <row r="355">
      <c r="A355" s="54"/>
      <c r="B355" s="11"/>
      <c r="C355" s="20"/>
      <c r="D355" s="20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5"/>
    </row>
    <row r="356">
      <c r="A356" s="54"/>
      <c r="B356" s="11"/>
      <c r="C356" s="20"/>
      <c r="D356" s="20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5"/>
    </row>
    <row r="357">
      <c r="A357" s="54"/>
      <c r="B357" s="11"/>
      <c r="C357" s="20"/>
      <c r="D357" s="20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5"/>
    </row>
    <row r="358">
      <c r="A358" s="54"/>
      <c r="B358" s="11"/>
      <c r="C358" s="20"/>
      <c r="D358" s="20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5"/>
    </row>
    <row r="359">
      <c r="A359" s="54"/>
      <c r="B359" s="11"/>
      <c r="C359" s="20"/>
      <c r="D359" s="20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5"/>
    </row>
    <row r="360">
      <c r="A360" s="54"/>
      <c r="B360" s="11"/>
      <c r="C360" s="20"/>
      <c r="D360" s="20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5"/>
    </row>
    <row r="361">
      <c r="A361" s="54"/>
      <c r="B361" s="11"/>
      <c r="C361" s="20"/>
      <c r="D361" s="2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5"/>
    </row>
    <row r="362">
      <c r="A362" s="54"/>
      <c r="B362" s="11"/>
      <c r="C362" s="20"/>
      <c r="D362" s="20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5"/>
    </row>
    <row r="363">
      <c r="A363" s="22"/>
      <c r="B363" s="11"/>
      <c r="C363" s="20"/>
      <c r="D363" s="20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5"/>
    </row>
    <row r="364">
      <c r="A364" s="22"/>
      <c r="B364" s="11"/>
      <c r="C364" s="20"/>
      <c r="D364" s="20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5"/>
    </row>
    <row r="365">
      <c r="A365" s="22"/>
      <c r="B365" s="11"/>
      <c r="C365" s="20"/>
      <c r="D365" s="20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5"/>
    </row>
    <row r="366">
      <c r="A366" s="22"/>
      <c r="B366" s="11"/>
      <c r="C366" s="20"/>
      <c r="D366" s="2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5"/>
    </row>
    <row r="367">
      <c r="A367" s="22"/>
      <c r="B367" s="11"/>
      <c r="C367" s="20"/>
      <c r="D367" s="20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5"/>
    </row>
    <row r="368">
      <c r="A368" s="22"/>
      <c r="B368" s="11"/>
      <c r="C368" s="20"/>
      <c r="D368" s="20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5"/>
    </row>
    <row r="369">
      <c r="A369" s="22"/>
      <c r="B369" s="11"/>
      <c r="C369" s="20"/>
      <c r="D369" s="20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5"/>
    </row>
    <row r="370">
      <c r="A370" s="22"/>
      <c r="B370" s="11"/>
      <c r="C370" s="20"/>
      <c r="D370" s="20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5"/>
    </row>
    <row r="371">
      <c r="A371" s="22"/>
      <c r="B371" s="11"/>
      <c r="C371" s="20"/>
      <c r="D371" s="20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5"/>
    </row>
    <row r="372">
      <c r="A372" s="22"/>
      <c r="B372" s="11"/>
      <c r="C372" s="20"/>
      <c r="D372" s="20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5"/>
    </row>
    <row r="373">
      <c r="A373" s="22"/>
      <c r="B373" s="11"/>
      <c r="C373" s="20"/>
      <c r="D373" s="20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5"/>
    </row>
    <row r="374">
      <c r="A374" s="22"/>
      <c r="B374" s="11"/>
      <c r="C374" s="20"/>
      <c r="D374" s="20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5"/>
    </row>
    <row r="375">
      <c r="A375" s="22"/>
      <c r="B375" s="11"/>
      <c r="C375" s="20"/>
      <c r="D375" s="20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5"/>
    </row>
    <row r="376">
      <c r="A376" s="22"/>
      <c r="B376" s="11"/>
      <c r="C376" s="20"/>
      <c r="D376" s="20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5"/>
    </row>
    <row r="377">
      <c r="A377" s="22"/>
      <c r="B377" s="11"/>
      <c r="C377" s="20"/>
      <c r="D377" s="20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5"/>
    </row>
    <row r="378">
      <c r="A378" s="22"/>
      <c r="B378" s="11"/>
      <c r="C378" s="20"/>
      <c r="D378" s="20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5"/>
    </row>
    <row r="379">
      <c r="A379" s="22"/>
      <c r="B379" s="11"/>
      <c r="C379" s="20"/>
      <c r="D379" s="20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5"/>
    </row>
    <row r="380">
      <c r="A380" s="22"/>
      <c r="B380" s="11"/>
      <c r="C380" s="20"/>
      <c r="D380" s="20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5"/>
    </row>
    <row r="381">
      <c r="A381" s="22"/>
      <c r="B381" s="11"/>
      <c r="C381" s="20"/>
      <c r="D381" s="20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5"/>
    </row>
    <row r="382">
      <c r="A382" s="54"/>
      <c r="B382" s="11"/>
      <c r="C382" s="20"/>
      <c r="D382" s="20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5"/>
    </row>
    <row r="383">
      <c r="A383" s="54"/>
      <c r="B383" s="11"/>
      <c r="C383" s="20"/>
      <c r="D383" s="20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5"/>
    </row>
    <row r="384">
      <c r="A384" s="54"/>
      <c r="B384" s="11"/>
      <c r="C384" s="20"/>
      <c r="D384" s="20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5"/>
    </row>
    <row r="385">
      <c r="A385" s="54"/>
      <c r="B385" s="11"/>
      <c r="C385" s="20"/>
      <c r="D385" s="20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5"/>
    </row>
    <row r="386">
      <c r="A386" s="54"/>
      <c r="B386" s="11"/>
      <c r="C386" s="20"/>
      <c r="D386" s="2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5"/>
    </row>
    <row r="387">
      <c r="A387" s="54"/>
      <c r="B387" s="11"/>
      <c r="C387" s="20"/>
      <c r="D387" s="20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5"/>
    </row>
    <row r="388">
      <c r="A388" s="54"/>
      <c r="B388" s="11"/>
      <c r="C388" s="20"/>
      <c r="D388" s="20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5"/>
    </row>
    <row r="389">
      <c r="A389" s="54"/>
      <c r="B389" s="11"/>
      <c r="C389" s="20"/>
      <c r="D389" s="20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5"/>
    </row>
    <row r="390">
      <c r="A390" s="54"/>
      <c r="B390" s="11"/>
      <c r="C390" s="20"/>
      <c r="D390" s="20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5"/>
    </row>
    <row r="391">
      <c r="A391" s="54"/>
      <c r="B391" s="11"/>
      <c r="C391" s="20"/>
      <c r="D391" s="20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5"/>
    </row>
    <row r="392">
      <c r="A392" s="54"/>
      <c r="B392" s="11"/>
      <c r="C392" s="20"/>
      <c r="D392" s="20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5"/>
    </row>
    <row r="393">
      <c r="A393" s="54"/>
      <c r="B393" s="11"/>
      <c r="C393" s="20"/>
      <c r="D393" s="20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5"/>
    </row>
    <row r="394">
      <c r="A394" s="54"/>
      <c r="B394" s="11"/>
      <c r="C394" s="20"/>
      <c r="D394" s="20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5"/>
    </row>
    <row r="395">
      <c r="A395" s="54"/>
      <c r="B395" s="11"/>
      <c r="C395" s="20"/>
      <c r="D395" s="20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5"/>
    </row>
    <row r="396">
      <c r="A396" s="54"/>
      <c r="B396" s="11"/>
      <c r="C396" s="20"/>
      <c r="D396" s="2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5"/>
    </row>
    <row r="397">
      <c r="A397" s="54"/>
      <c r="B397" s="11"/>
      <c r="C397" s="20"/>
      <c r="D397" s="20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5"/>
    </row>
    <row r="398">
      <c r="A398" s="54"/>
      <c r="B398" s="11"/>
      <c r="C398" s="20"/>
      <c r="D398" s="2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5"/>
    </row>
    <row r="399">
      <c r="A399" s="54"/>
      <c r="B399" s="11"/>
      <c r="C399" s="20"/>
      <c r="D399" s="20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5"/>
    </row>
    <row r="400">
      <c r="A400" s="22"/>
      <c r="B400" s="11"/>
      <c r="C400" s="20"/>
      <c r="D400" s="20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5"/>
    </row>
    <row r="401">
      <c r="A401" s="22"/>
      <c r="B401" s="11"/>
      <c r="C401" s="20"/>
      <c r="D401" s="20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5"/>
    </row>
    <row r="402">
      <c r="A402" s="22"/>
      <c r="B402" s="11"/>
      <c r="C402" s="20"/>
      <c r="D402" s="20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5"/>
    </row>
    <row r="403">
      <c r="A403" s="22"/>
      <c r="B403" s="11"/>
      <c r="C403" s="20"/>
      <c r="D403" s="20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5"/>
    </row>
    <row r="404">
      <c r="A404" s="22"/>
      <c r="B404" s="11"/>
      <c r="C404" s="20"/>
      <c r="D404" s="20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5"/>
    </row>
    <row r="405">
      <c r="A405" s="22"/>
      <c r="B405" s="11"/>
      <c r="C405" s="20"/>
      <c r="D405" s="20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5"/>
    </row>
    <row r="406">
      <c r="A406" s="22"/>
      <c r="B406" s="11"/>
      <c r="C406" s="20"/>
      <c r="D406" s="20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5"/>
    </row>
    <row r="407">
      <c r="A407" s="22"/>
      <c r="B407" s="11"/>
      <c r="C407" s="20"/>
      <c r="D407" s="20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5"/>
    </row>
    <row r="408">
      <c r="A408" s="22"/>
      <c r="B408" s="11"/>
      <c r="C408" s="20"/>
      <c r="D408" s="20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5"/>
    </row>
    <row r="409">
      <c r="A409" s="22"/>
      <c r="B409" s="11"/>
      <c r="C409" s="20"/>
      <c r="D409" s="20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5"/>
    </row>
    <row r="410">
      <c r="A410" s="22"/>
      <c r="B410" s="11"/>
      <c r="C410" s="20"/>
      <c r="D410" s="20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5"/>
    </row>
    <row r="411">
      <c r="A411" s="22"/>
      <c r="B411" s="11"/>
      <c r="C411" s="20"/>
      <c r="D411" s="2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5"/>
    </row>
    <row r="412">
      <c r="A412" s="22"/>
      <c r="B412" s="11"/>
      <c r="C412" s="20"/>
      <c r="D412" s="20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5"/>
    </row>
    <row r="413">
      <c r="A413" s="22"/>
      <c r="B413" s="11"/>
      <c r="C413" s="20"/>
      <c r="D413" s="20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5"/>
    </row>
    <row r="414">
      <c r="A414" s="22"/>
      <c r="B414" s="11"/>
      <c r="C414" s="20"/>
      <c r="D414" s="20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5"/>
    </row>
    <row r="415">
      <c r="A415" s="22"/>
      <c r="B415" s="11"/>
      <c r="C415" s="20"/>
      <c r="D415" s="20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5"/>
    </row>
    <row r="416">
      <c r="A416" s="22"/>
      <c r="B416" s="11"/>
      <c r="C416" s="20"/>
      <c r="D416" s="20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5"/>
    </row>
    <row r="417">
      <c r="A417" s="22"/>
      <c r="B417" s="11"/>
      <c r="C417" s="20"/>
      <c r="D417" s="20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5"/>
    </row>
    <row r="418">
      <c r="A418" s="22"/>
      <c r="B418" s="11"/>
      <c r="C418" s="20"/>
      <c r="D418" s="20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5"/>
    </row>
    <row r="419">
      <c r="A419" s="54"/>
      <c r="B419" s="11"/>
      <c r="C419" s="20"/>
      <c r="D419" s="20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5"/>
    </row>
    <row r="420">
      <c r="A420" s="54"/>
      <c r="B420" s="11"/>
      <c r="C420" s="20"/>
      <c r="D420" s="20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5"/>
    </row>
    <row r="421">
      <c r="A421" s="54"/>
      <c r="B421" s="11"/>
      <c r="C421" s="20"/>
      <c r="D421" s="20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5"/>
    </row>
    <row r="422">
      <c r="A422" s="54"/>
      <c r="B422" s="11"/>
      <c r="C422" s="20"/>
      <c r="D422" s="2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5"/>
    </row>
    <row r="423">
      <c r="A423" s="54"/>
      <c r="B423" s="11"/>
      <c r="C423" s="20"/>
      <c r="D423" s="20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5"/>
    </row>
    <row r="424">
      <c r="A424" s="54"/>
      <c r="B424" s="11"/>
      <c r="C424" s="20"/>
      <c r="D424" s="20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5"/>
    </row>
    <row r="425">
      <c r="A425" s="54"/>
      <c r="B425" s="11"/>
      <c r="C425" s="20"/>
      <c r="D425" s="20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5"/>
    </row>
    <row r="426">
      <c r="A426" s="54"/>
      <c r="B426" s="11"/>
      <c r="C426" s="20"/>
      <c r="D426" s="20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5"/>
    </row>
    <row r="427">
      <c r="A427" s="54"/>
      <c r="B427" s="11"/>
      <c r="C427" s="20"/>
      <c r="D427" s="20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5"/>
    </row>
    <row r="428">
      <c r="A428" s="54"/>
      <c r="B428" s="11"/>
      <c r="C428" s="20"/>
      <c r="D428" s="20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5"/>
    </row>
    <row r="429">
      <c r="A429" s="54"/>
      <c r="B429" s="11"/>
      <c r="C429" s="20"/>
      <c r="D429" s="20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5"/>
    </row>
    <row r="430">
      <c r="A430" s="54"/>
      <c r="B430" s="11"/>
      <c r="C430" s="20"/>
      <c r="D430" s="20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5"/>
    </row>
    <row r="431">
      <c r="A431" s="54"/>
      <c r="B431" s="11"/>
      <c r="C431" s="20"/>
      <c r="D431" s="20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5"/>
    </row>
    <row r="432">
      <c r="A432" s="54"/>
      <c r="B432" s="11"/>
      <c r="C432" s="20"/>
      <c r="D432" s="20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5"/>
    </row>
    <row r="433">
      <c r="A433" s="54"/>
      <c r="B433" s="11"/>
      <c r="C433" s="20"/>
      <c r="D433" s="20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5"/>
    </row>
    <row r="434">
      <c r="A434" s="54"/>
      <c r="B434" s="11"/>
      <c r="C434" s="20"/>
      <c r="D434" s="20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5"/>
    </row>
    <row r="435">
      <c r="A435" s="54"/>
      <c r="B435" s="11"/>
      <c r="C435" s="20"/>
      <c r="D435" s="20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5"/>
    </row>
    <row r="436">
      <c r="A436" s="54"/>
      <c r="B436" s="11"/>
      <c r="C436" s="20"/>
      <c r="D436" s="2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5"/>
    </row>
    <row r="437">
      <c r="A437" s="54"/>
      <c r="B437" s="11"/>
      <c r="C437" s="20"/>
      <c r="D437" s="20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5"/>
    </row>
    <row r="438">
      <c r="A438" s="54"/>
      <c r="B438" s="11"/>
      <c r="C438" s="20"/>
      <c r="D438" s="20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5"/>
    </row>
    <row r="439">
      <c r="A439" s="54"/>
      <c r="B439" s="11"/>
      <c r="C439" s="20"/>
      <c r="D439" s="20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5"/>
    </row>
    <row r="440">
      <c r="A440" s="54"/>
      <c r="B440" s="11"/>
      <c r="C440" s="20"/>
      <c r="D440" s="20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5"/>
    </row>
    <row r="441">
      <c r="A441" s="54"/>
      <c r="B441" s="11"/>
      <c r="C441" s="20"/>
      <c r="D441" s="20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5"/>
    </row>
    <row r="442">
      <c r="A442" s="54"/>
      <c r="B442" s="11"/>
      <c r="C442" s="20"/>
      <c r="D442" s="20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5"/>
    </row>
    <row r="443">
      <c r="A443" s="54"/>
      <c r="B443" s="11"/>
      <c r="C443" s="20"/>
      <c r="D443" s="20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5"/>
    </row>
    <row r="444">
      <c r="A444" s="54"/>
      <c r="B444" s="11"/>
      <c r="C444" s="20"/>
      <c r="D444" s="20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5"/>
    </row>
    <row r="445">
      <c r="A445" s="54"/>
      <c r="B445" s="11"/>
      <c r="C445" s="20"/>
      <c r="D445" s="20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5"/>
    </row>
    <row r="446">
      <c r="A446" s="22"/>
      <c r="B446" s="11"/>
      <c r="C446" s="20"/>
      <c r="D446" s="20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5"/>
    </row>
    <row r="447">
      <c r="A447" s="22"/>
      <c r="B447" s="11"/>
      <c r="C447" s="20"/>
      <c r="D447" s="20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5"/>
    </row>
    <row r="448">
      <c r="A448" s="22"/>
      <c r="B448" s="11"/>
      <c r="C448" s="20"/>
      <c r="D448" s="20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5"/>
    </row>
    <row r="449">
      <c r="A449" s="22"/>
      <c r="B449" s="11"/>
      <c r="C449" s="20"/>
      <c r="D449" s="20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5"/>
    </row>
    <row r="450">
      <c r="A450" s="22"/>
      <c r="B450" s="11"/>
      <c r="C450" s="20"/>
      <c r="D450" s="20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5"/>
    </row>
    <row r="451">
      <c r="A451" s="22"/>
      <c r="B451" s="11"/>
      <c r="C451" s="20"/>
      <c r="D451" s="20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5"/>
    </row>
    <row r="452">
      <c r="A452" s="22"/>
      <c r="B452" s="11"/>
      <c r="C452" s="20"/>
      <c r="D452" s="20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5"/>
    </row>
    <row r="453">
      <c r="A453" s="22"/>
      <c r="B453" s="11"/>
      <c r="C453" s="20"/>
      <c r="D453" s="20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5"/>
    </row>
    <row r="454">
      <c r="A454" s="22"/>
      <c r="B454" s="11"/>
      <c r="C454" s="20"/>
      <c r="D454" s="20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5"/>
    </row>
    <row r="455">
      <c r="A455" s="22"/>
      <c r="B455" s="11"/>
      <c r="C455" s="20"/>
      <c r="D455" s="20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5"/>
    </row>
    <row r="456">
      <c r="A456" s="22"/>
      <c r="B456" s="11"/>
      <c r="C456" s="20"/>
      <c r="D456" s="20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5"/>
    </row>
    <row r="457">
      <c r="A457" s="22"/>
      <c r="B457" s="11"/>
      <c r="C457" s="20"/>
      <c r="D457" s="20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5"/>
    </row>
    <row r="458">
      <c r="A458" s="22"/>
      <c r="B458" s="11"/>
      <c r="C458" s="20"/>
      <c r="D458" s="20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5"/>
    </row>
    <row r="459">
      <c r="A459" s="22"/>
      <c r="B459" s="11"/>
      <c r="C459" s="20"/>
      <c r="D459" s="20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5"/>
    </row>
    <row r="460">
      <c r="A460" s="22"/>
      <c r="B460" s="11"/>
      <c r="C460" s="20"/>
      <c r="D460" s="20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5"/>
    </row>
    <row r="461">
      <c r="A461" s="22"/>
      <c r="B461" s="11"/>
      <c r="C461" s="20"/>
      <c r="D461" s="2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5"/>
    </row>
    <row r="462">
      <c r="A462" s="22"/>
      <c r="B462" s="11"/>
      <c r="C462" s="20"/>
      <c r="D462" s="20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5"/>
    </row>
    <row r="463">
      <c r="A463" s="22"/>
      <c r="B463" s="11"/>
      <c r="C463" s="20"/>
      <c r="D463" s="20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5"/>
    </row>
    <row r="464">
      <c r="A464" s="22"/>
      <c r="B464" s="11"/>
      <c r="C464" s="20"/>
      <c r="D464" s="20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5"/>
    </row>
    <row r="465">
      <c r="A465" s="54"/>
      <c r="B465" s="11"/>
      <c r="C465" s="20"/>
      <c r="D465" s="20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5"/>
    </row>
    <row r="466">
      <c r="A466" s="54"/>
      <c r="B466" s="11"/>
      <c r="C466" s="20"/>
      <c r="D466" s="20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5"/>
    </row>
    <row r="467">
      <c r="A467" s="54"/>
      <c r="B467" s="11"/>
      <c r="C467" s="20"/>
      <c r="D467" s="20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5"/>
    </row>
    <row r="468">
      <c r="A468" s="54"/>
      <c r="B468" s="11"/>
      <c r="C468" s="20"/>
      <c r="D468" s="20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5"/>
    </row>
    <row r="469">
      <c r="A469" s="54"/>
      <c r="B469" s="11"/>
      <c r="C469" s="20"/>
      <c r="D469" s="20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5"/>
    </row>
    <row r="470">
      <c r="A470" s="54"/>
      <c r="B470" s="11"/>
      <c r="C470" s="20"/>
      <c r="D470" s="20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5"/>
    </row>
    <row r="471">
      <c r="A471" s="54"/>
      <c r="B471" s="11"/>
      <c r="C471" s="20"/>
      <c r="D471" s="20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5"/>
    </row>
    <row r="472">
      <c r="A472" s="54"/>
      <c r="B472" s="11"/>
      <c r="C472" s="20"/>
      <c r="D472" s="20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5"/>
    </row>
    <row r="473">
      <c r="A473" s="54"/>
      <c r="B473" s="11"/>
      <c r="C473" s="20"/>
      <c r="D473" s="20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5"/>
    </row>
    <row r="474">
      <c r="A474" s="54"/>
      <c r="B474" s="11"/>
      <c r="C474" s="20"/>
      <c r="D474" s="20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5"/>
    </row>
    <row r="475">
      <c r="A475" s="54"/>
      <c r="B475" s="11"/>
      <c r="C475" s="20"/>
      <c r="D475" s="20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5"/>
    </row>
    <row r="476">
      <c r="A476" s="54"/>
      <c r="B476" s="11"/>
      <c r="C476" s="20"/>
      <c r="D476" s="20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5"/>
    </row>
    <row r="477">
      <c r="A477" s="54"/>
      <c r="B477" s="11"/>
      <c r="C477" s="20"/>
      <c r="D477" s="20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5"/>
    </row>
    <row r="478">
      <c r="A478" s="54"/>
      <c r="B478" s="11"/>
      <c r="C478" s="20"/>
      <c r="D478" s="20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5"/>
    </row>
    <row r="479">
      <c r="A479" s="54"/>
      <c r="B479" s="11"/>
      <c r="C479" s="20"/>
      <c r="D479" s="20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5"/>
    </row>
    <row r="480">
      <c r="A480" s="54"/>
      <c r="B480" s="11"/>
      <c r="C480" s="20"/>
      <c r="D480" s="20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5"/>
    </row>
    <row r="481">
      <c r="A481" s="54"/>
      <c r="B481" s="11"/>
      <c r="C481" s="20"/>
      <c r="D481" s="20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5"/>
    </row>
    <row r="482">
      <c r="A482" s="54"/>
      <c r="B482" s="11"/>
      <c r="C482" s="20"/>
      <c r="D482" s="20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5"/>
    </row>
    <row r="483">
      <c r="A483" s="22"/>
      <c r="B483" s="11"/>
      <c r="C483" s="20"/>
      <c r="D483" s="20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5"/>
    </row>
    <row r="484">
      <c r="A484" s="22"/>
      <c r="B484" s="11"/>
      <c r="C484" s="20"/>
      <c r="D484" s="20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5"/>
    </row>
    <row r="485">
      <c r="A485" s="22"/>
      <c r="B485" s="11"/>
      <c r="C485" s="20"/>
      <c r="D485" s="20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5"/>
    </row>
    <row r="486">
      <c r="A486" s="22"/>
      <c r="B486" s="11"/>
      <c r="C486" s="20"/>
      <c r="D486" s="2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5"/>
    </row>
    <row r="487">
      <c r="A487" s="22"/>
      <c r="B487" s="11"/>
      <c r="C487" s="20"/>
      <c r="D487" s="2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5"/>
    </row>
    <row r="488">
      <c r="A488" s="22"/>
      <c r="B488" s="11"/>
      <c r="C488" s="20"/>
      <c r="D488" s="20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5"/>
    </row>
    <row r="489">
      <c r="A489" s="22"/>
      <c r="B489" s="11"/>
      <c r="C489" s="20"/>
      <c r="D489" s="20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5"/>
    </row>
    <row r="490">
      <c r="A490" s="22"/>
      <c r="B490" s="11"/>
      <c r="C490" s="20"/>
      <c r="D490" s="20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5"/>
    </row>
    <row r="491">
      <c r="A491" s="22"/>
      <c r="B491" s="11"/>
      <c r="C491" s="20"/>
      <c r="D491" s="20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5"/>
    </row>
    <row r="492">
      <c r="A492" s="22"/>
      <c r="B492" s="11"/>
      <c r="C492" s="20"/>
      <c r="D492" s="20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5"/>
    </row>
    <row r="493">
      <c r="A493" s="22"/>
      <c r="B493" s="11"/>
      <c r="C493" s="20"/>
      <c r="D493" s="20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5"/>
    </row>
    <row r="494">
      <c r="A494" s="22"/>
      <c r="B494" s="11"/>
      <c r="C494" s="20"/>
      <c r="D494" s="20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5"/>
    </row>
    <row r="495">
      <c r="A495" s="22"/>
      <c r="B495" s="11"/>
      <c r="C495" s="20"/>
      <c r="D495" s="20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5"/>
    </row>
    <row r="496">
      <c r="A496" s="22"/>
      <c r="B496" s="11"/>
      <c r="C496" s="20"/>
      <c r="D496" s="20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5"/>
    </row>
    <row r="497">
      <c r="A497" s="22"/>
      <c r="B497" s="11"/>
      <c r="C497" s="20"/>
      <c r="D497" s="20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5"/>
    </row>
    <row r="498">
      <c r="A498" s="22"/>
      <c r="B498" s="11"/>
      <c r="C498" s="20"/>
      <c r="D498" s="20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5"/>
    </row>
    <row r="499">
      <c r="A499" s="22"/>
      <c r="B499" s="11"/>
      <c r="C499" s="20"/>
      <c r="D499" s="20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5"/>
    </row>
    <row r="500">
      <c r="A500" s="22"/>
      <c r="B500" s="11"/>
      <c r="C500" s="20"/>
      <c r="D500" s="20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5"/>
    </row>
    <row r="501">
      <c r="A501" s="22"/>
      <c r="B501" s="11"/>
      <c r="C501" s="20"/>
      <c r="D501" s="20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5"/>
    </row>
    <row r="502">
      <c r="A502" s="54"/>
      <c r="B502" s="11"/>
      <c r="C502" s="20"/>
      <c r="D502" s="20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5"/>
    </row>
    <row r="503">
      <c r="A503" s="54"/>
      <c r="B503" s="11"/>
      <c r="C503" s="20"/>
      <c r="D503" s="20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5"/>
    </row>
    <row r="504">
      <c r="A504" s="54"/>
      <c r="B504" s="11"/>
      <c r="C504" s="20"/>
      <c r="D504" s="20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5"/>
    </row>
    <row r="505">
      <c r="A505" s="54"/>
      <c r="B505" s="11"/>
      <c r="C505" s="20"/>
      <c r="D505" s="20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5"/>
    </row>
    <row r="506">
      <c r="A506" s="54"/>
      <c r="B506" s="11"/>
      <c r="C506" s="20"/>
      <c r="D506" s="20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5"/>
    </row>
    <row r="507">
      <c r="A507" s="54"/>
      <c r="B507" s="11"/>
      <c r="C507" s="20"/>
      <c r="D507" s="20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5"/>
    </row>
    <row r="508">
      <c r="A508" s="54"/>
      <c r="B508" s="11"/>
      <c r="C508" s="20"/>
      <c r="D508" s="20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5"/>
    </row>
    <row r="509">
      <c r="A509" s="54"/>
      <c r="B509" s="11"/>
      <c r="C509" s="20"/>
      <c r="D509" s="20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5"/>
    </row>
    <row r="510">
      <c r="A510" s="54"/>
      <c r="B510" s="11"/>
      <c r="C510" s="20"/>
      <c r="D510" s="20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5"/>
    </row>
    <row r="511">
      <c r="A511" s="54"/>
      <c r="B511" s="11"/>
      <c r="C511" s="20"/>
      <c r="D511" s="20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5"/>
    </row>
    <row r="512">
      <c r="A512" s="54"/>
      <c r="B512" s="11"/>
      <c r="C512" s="20"/>
      <c r="D512" s="20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5"/>
    </row>
    <row r="513">
      <c r="A513" s="54"/>
      <c r="B513" s="11"/>
      <c r="C513" s="20"/>
      <c r="D513" s="20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5"/>
    </row>
    <row r="514">
      <c r="A514" s="54"/>
      <c r="B514" s="11"/>
      <c r="C514" s="20"/>
      <c r="D514" s="20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5"/>
    </row>
    <row r="515">
      <c r="A515" s="54"/>
      <c r="B515" s="11"/>
      <c r="C515" s="20"/>
      <c r="D515" s="20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5"/>
    </row>
    <row r="516">
      <c r="A516" s="54"/>
      <c r="B516" s="11"/>
      <c r="C516" s="20"/>
      <c r="D516" s="20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5"/>
    </row>
    <row r="517">
      <c r="A517" s="54"/>
      <c r="B517" s="11"/>
      <c r="C517" s="20"/>
      <c r="D517" s="20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5"/>
    </row>
    <row r="518">
      <c r="A518" s="54"/>
      <c r="B518" s="11"/>
      <c r="C518" s="20"/>
      <c r="D518" s="20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5"/>
    </row>
    <row r="519">
      <c r="A519" s="54"/>
      <c r="B519" s="11"/>
      <c r="C519" s="20"/>
      <c r="D519" s="20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5"/>
    </row>
    <row r="520">
      <c r="A520" s="54"/>
      <c r="B520" s="11"/>
      <c r="C520" s="20"/>
      <c r="D520" s="20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5"/>
    </row>
    <row r="521">
      <c r="A521" s="54"/>
      <c r="B521" s="11"/>
      <c r="C521" s="20"/>
      <c r="D521" s="20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5"/>
    </row>
    <row r="522">
      <c r="A522" s="54"/>
      <c r="B522" s="11"/>
      <c r="C522" s="20"/>
      <c r="D522" s="20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5"/>
    </row>
    <row r="523">
      <c r="A523" s="54"/>
      <c r="B523" s="11"/>
      <c r="C523" s="20"/>
      <c r="D523" s="20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5"/>
    </row>
    <row r="524">
      <c r="A524" s="54"/>
      <c r="B524" s="11"/>
      <c r="C524" s="20"/>
      <c r="D524" s="20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5"/>
    </row>
    <row r="525">
      <c r="A525" s="54"/>
      <c r="B525" s="11"/>
      <c r="C525" s="20"/>
      <c r="D525" s="20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5"/>
    </row>
    <row r="526">
      <c r="A526" s="54"/>
      <c r="B526" s="11"/>
      <c r="C526" s="20"/>
      <c r="D526" s="20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5"/>
    </row>
    <row r="527">
      <c r="A527" s="54"/>
      <c r="B527" s="11"/>
      <c r="C527" s="20"/>
      <c r="D527" s="20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5"/>
    </row>
    <row r="528">
      <c r="A528" s="54"/>
      <c r="B528" s="11"/>
      <c r="C528" s="20"/>
      <c r="D528" s="20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5"/>
    </row>
    <row r="529">
      <c r="A529" s="22"/>
      <c r="B529" s="11"/>
      <c r="C529" s="20"/>
      <c r="D529" s="20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5"/>
    </row>
    <row r="530">
      <c r="A530" s="22"/>
      <c r="B530" s="11"/>
      <c r="C530" s="20"/>
      <c r="D530" s="20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5"/>
    </row>
    <row r="531">
      <c r="A531" s="22"/>
      <c r="B531" s="11"/>
      <c r="C531" s="20"/>
      <c r="D531" s="20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5"/>
    </row>
    <row r="532">
      <c r="A532" s="22"/>
      <c r="B532" s="11"/>
      <c r="C532" s="20"/>
      <c r="D532" s="20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5"/>
    </row>
    <row r="533">
      <c r="A533" s="22"/>
      <c r="B533" s="11"/>
      <c r="C533" s="20"/>
      <c r="D533" s="20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5"/>
    </row>
    <row r="534">
      <c r="A534" s="22"/>
      <c r="B534" s="11"/>
      <c r="C534" s="20"/>
      <c r="D534" s="20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5"/>
    </row>
    <row r="535">
      <c r="A535" s="22"/>
      <c r="B535" s="11"/>
      <c r="C535" s="20"/>
      <c r="D535" s="20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5"/>
    </row>
    <row r="536">
      <c r="A536" s="22"/>
      <c r="B536" s="11"/>
      <c r="C536" s="20"/>
      <c r="D536" s="20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5"/>
    </row>
    <row r="537">
      <c r="A537" s="22"/>
      <c r="B537" s="11"/>
      <c r="C537" s="20"/>
      <c r="D537" s="20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5"/>
    </row>
    <row r="538">
      <c r="A538" s="22"/>
      <c r="B538" s="11"/>
      <c r="C538" s="20"/>
      <c r="D538" s="20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5"/>
    </row>
    <row r="539">
      <c r="A539" s="22"/>
      <c r="B539" s="11"/>
      <c r="C539" s="20"/>
      <c r="D539" s="20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5"/>
    </row>
    <row r="540">
      <c r="A540" s="22"/>
      <c r="B540" s="11"/>
      <c r="C540" s="20"/>
      <c r="D540" s="20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5"/>
    </row>
    <row r="541">
      <c r="A541" s="22"/>
      <c r="B541" s="11"/>
      <c r="C541" s="20"/>
      <c r="D541" s="20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5"/>
    </row>
    <row r="542">
      <c r="A542" s="22"/>
      <c r="B542" s="11"/>
      <c r="C542" s="20"/>
      <c r="D542" s="20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5"/>
    </row>
    <row r="543">
      <c r="A543" s="22"/>
      <c r="B543" s="11"/>
      <c r="C543" s="20"/>
      <c r="D543" s="20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5"/>
    </row>
    <row r="544">
      <c r="A544" s="22"/>
      <c r="B544" s="11"/>
      <c r="C544" s="20"/>
      <c r="D544" s="20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5"/>
    </row>
    <row r="545">
      <c r="A545" s="22"/>
      <c r="B545" s="11"/>
      <c r="C545" s="20"/>
      <c r="D545" s="20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5"/>
    </row>
    <row r="546">
      <c r="A546" s="22"/>
      <c r="B546" s="11"/>
      <c r="C546" s="20"/>
      <c r="D546" s="20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5"/>
    </row>
    <row r="547">
      <c r="A547" s="22"/>
      <c r="B547" s="11"/>
      <c r="C547" s="20"/>
      <c r="D547" s="20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5"/>
    </row>
    <row r="548">
      <c r="A548" s="54"/>
      <c r="B548" s="11"/>
      <c r="C548" s="20"/>
      <c r="D548" s="20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5"/>
    </row>
    <row r="549">
      <c r="A549" s="54"/>
      <c r="B549" s="11"/>
      <c r="C549" s="20"/>
      <c r="D549" s="20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5"/>
    </row>
    <row r="550">
      <c r="A550" s="54"/>
      <c r="B550" s="11"/>
      <c r="C550" s="20"/>
      <c r="D550" s="20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5"/>
    </row>
    <row r="551">
      <c r="A551" s="54"/>
      <c r="B551" s="11"/>
      <c r="C551" s="20"/>
      <c r="D551" s="20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5"/>
    </row>
    <row r="552">
      <c r="A552" s="54"/>
      <c r="B552" s="11"/>
      <c r="C552" s="20"/>
      <c r="D552" s="20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5"/>
    </row>
    <row r="553">
      <c r="A553" s="54"/>
      <c r="B553" s="11"/>
      <c r="C553" s="20"/>
      <c r="D553" s="20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5"/>
    </row>
    <row r="554">
      <c r="A554" s="54"/>
      <c r="B554" s="11"/>
      <c r="C554" s="20"/>
      <c r="D554" s="20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5"/>
    </row>
    <row r="555">
      <c r="A555" s="54"/>
      <c r="B555" s="11"/>
      <c r="C555" s="20"/>
      <c r="D555" s="20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5"/>
    </row>
    <row r="556">
      <c r="A556" s="54"/>
      <c r="B556" s="11"/>
      <c r="C556" s="20"/>
      <c r="D556" s="20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5"/>
    </row>
    <row r="557">
      <c r="A557" s="54"/>
      <c r="B557" s="11"/>
      <c r="C557" s="20"/>
      <c r="D557" s="20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5"/>
    </row>
    <row r="558">
      <c r="A558" s="54"/>
      <c r="B558" s="11"/>
      <c r="C558" s="20"/>
      <c r="D558" s="20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5"/>
    </row>
    <row r="559">
      <c r="A559" s="54"/>
      <c r="B559" s="11"/>
      <c r="C559" s="20"/>
      <c r="D559" s="20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5"/>
    </row>
    <row r="560">
      <c r="A560" s="54"/>
      <c r="B560" s="11"/>
      <c r="C560" s="20"/>
      <c r="D560" s="20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5"/>
    </row>
    <row r="561">
      <c r="A561" s="54"/>
      <c r="B561" s="11"/>
      <c r="C561" s="20"/>
      <c r="D561" s="20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5"/>
    </row>
    <row r="562">
      <c r="A562" s="54"/>
      <c r="B562" s="11"/>
      <c r="C562" s="20"/>
      <c r="D562" s="20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5"/>
    </row>
    <row r="563">
      <c r="A563" s="54"/>
      <c r="B563" s="11"/>
      <c r="C563" s="20"/>
      <c r="D563" s="20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5"/>
    </row>
    <row r="564">
      <c r="A564" s="54"/>
      <c r="B564" s="11"/>
      <c r="C564" s="20"/>
      <c r="D564" s="20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5"/>
    </row>
    <row r="565">
      <c r="A565" s="54"/>
      <c r="B565" s="11"/>
      <c r="C565" s="20"/>
      <c r="D565" s="20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5"/>
    </row>
    <row r="566">
      <c r="A566" s="22"/>
      <c r="B566" s="11"/>
      <c r="C566" s="20"/>
      <c r="D566" s="20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5"/>
    </row>
    <row r="567">
      <c r="A567" s="22"/>
      <c r="B567" s="11"/>
      <c r="C567" s="20"/>
      <c r="D567" s="20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5"/>
    </row>
    <row r="568">
      <c r="A568" s="22"/>
      <c r="B568" s="11"/>
      <c r="C568" s="20"/>
      <c r="D568" s="20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5"/>
    </row>
    <row r="569">
      <c r="A569" s="22"/>
      <c r="B569" s="11"/>
      <c r="C569" s="20"/>
      <c r="D569" s="20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5"/>
    </row>
    <row r="570">
      <c r="A570" s="22"/>
      <c r="B570" s="11"/>
      <c r="C570" s="20"/>
      <c r="D570" s="20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5"/>
    </row>
    <row r="571">
      <c r="A571" s="22"/>
      <c r="B571" s="11"/>
      <c r="C571" s="20"/>
      <c r="D571" s="20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5"/>
    </row>
    <row r="572">
      <c r="A572" s="22"/>
      <c r="B572" s="11"/>
      <c r="C572" s="20"/>
      <c r="D572" s="20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5"/>
    </row>
    <row r="573">
      <c r="A573" s="22"/>
      <c r="B573" s="11"/>
      <c r="C573" s="20"/>
      <c r="D573" s="20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5"/>
    </row>
    <row r="574">
      <c r="A574" s="22"/>
      <c r="B574" s="11"/>
      <c r="C574" s="20"/>
      <c r="D574" s="20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5"/>
    </row>
    <row r="575">
      <c r="A575" s="22"/>
      <c r="B575" s="11"/>
      <c r="C575" s="20"/>
      <c r="D575" s="20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5"/>
    </row>
    <row r="576">
      <c r="A576" s="22"/>
      <c r="B576" s="11"/>
      <c r="C576" s="20"/>
      <c r="D576" s="20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5"/>
    </row>
    <row r="577">
      <c r="A577" s="22"/>
      <c r="B577" s="11"/>
      <c r="C577" s="20"/>
      <c r="D577" s="20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5"/>
    </row>
    <row r="578">
      <c r="A578" s="22"/>
      <c r="B578" s="11"/>
      <c r="C578" s="20"/>
      <c r="D578" s="20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5"/>
    </row>
    <row r="579">
      <c r="A579" s="22"/>
      <c r="B579" s="11"/>
      <c r="C579" s="20"/>
      <c r="D579" s="20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5"/>
    </row>
    <row r="580">
      <c r="A580" s="22"/>
      <c r="B580" s="11"/>
      <c r="C580" s="20"/>
      <c r="D580" s="20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5"/>
    </row>
    <row r="581">
      <c r="A581" s="22"/>
      <c r="B581" s="11"/>
      <c r="C581" s="20"/>
      <c r="D581" s="20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5"/>
    </row>
    <row r="582">
      <c r="A582" s="22"/>
      <c r="B582" s="11"/>
      <c r="C582" s="20"/>
      <c r="D582" s="20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5"/>
    </row>
    <row r="583">
      <c r="A583" s="22"/>
      <c r="B583" s="11"/>
      <c r="C583" s="20"/>
      <c r="D583" s="20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5"/>
    </row>
    <row r="584">
      <c r="A584" s="22"/>
      <c r="B584" s="11"/>
      <c r="C584" s="20"/>
      <c r="D584" s="20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5"/>
    </row>
    <row r="585">
      <c r="A585" s="54"/>
      <c r="B585" s="11"/>
      <c r="C585" s="20"/>
      <c r="D585" s="20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5"/>
    </row>
    <row r="586">
      <c r="A586" s="54"/>
      <c r="B586" s="11"/>
      <c r="C586" s="20"/>
      <c r="D586" s="20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5"/>
    </row>
    <row r="587">
      <c r="A587" s="54"/>
      <c r="B587" s="11"/>
      <c r="C587" s="20"/>
      <c r="D587" s="20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5"/>
    </row>
    <row r="588">
      <c r="A588" s="54"/>
      <c r="B588" s="11"/>
      <c r="C588" s="20"/>
      <c r="D588" s="20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5"/>
    </row>
    <row r="589">
      <c r="A589" s="54"/>
      <c r="B589" s="11"/>
      <c r="C589" s="20"/>
      <c r="D589" s="20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5"/>
    </row>
    <row r="590">
      <c r="A590" s="54"/>
      <c r="B590" s="11"/>
      <c r="C590" s="20"/>
      <c r="D590" s="20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5"/>
    </row>
    <row r="591">
      <c r="A591" s="54"/>
      <c r="B591" s="11"/>
      <c r="C591" s="20"/>
      <c r="D591" s="20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5"/>
    </row>
    <row r="592">
      <c r="A592" s="54"/>
      <c r="B592" s="11"/>
      <c r="C592" s="20"/>
      <c r="D592" s="20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5"/>
    </row>
    <row r="593">
      <c r="A593" s="54"/>
      <c r="B593" s="11"/>
      <c r="C593" s="20"/>
      <c r="D593" s="20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5"/>
    </row>
    <row r="594">
      <c r="A594" s="54"/>
      <c r="B594" s="11"/>
      <c r="C594" s="20"/>
      <c r="D594" s="20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5"/>
    </row>
    <row r="595">
      <c r="A595" s="54"/>
      <c r="B595" s="11"/>
      <c r="C595" s="20"/>
      <c r="D595" s="20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5"/>
    </row>
    <row r="596">
      <c r="A596" s="54"/>
      <c r="B596" s="11"/>
      <c r="C596" s="20"/>
      <c r="D596" s="20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5"/>
    </row>
    <row r="597">
      <c r="A597" s="54"/>
      <c r="B597" s="11"/>
      <c r="C597" s="20"/>
      <c r="D597" s="20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5"/>
    </row>
    <row r="598">
      <c r="A598" s="54"/>
      <c r="B598" s="11"/>
      <c r="C598" s="20"/>
      <c r="D598" s="20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5"/>
    </row>
    <row r="599">
      <c r="A599" s="54"/>
      <c r="B599" s="11"/>
      <c r="C599" s="20"/>
      <c r="D599" s="20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5"/>
    </row>
    <row r="600">
      <c r="A600" s="54"/>
      <c r="B600" s="11"/>
      <c r="C600" s="20"/>
      <c r="D600" s="20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5"/>
    </row>
    <row r="601">
      <c r="A601" s="54"/>
      <c r="B601" s="11"/>
      <c r="C601" s="20"/>
      <c r="D601" s="20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5"/>
    </row>
    <row r="602">
      <c r="A602" s="54"/>
      <c r="B602" s="11"/>
      <c r="C602" s="20"/>
      <c r="D602" s="20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5"/>
    </row>
    <row r="603">
      <c r="A603" s="54"/>
      <c r="B603" s="11"/>
      <c r="C603" s="20"/>
      <c r="D603" s="20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5"/>
    </row>
    <row r="604">
      <c r="A604" s="54"/>
      <c r="B604" s="11"/>
      <c r="C604" s="20"/>
      <c r="D604" s="20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5"/>
    </row>
    <row r="605">
      <c r="A605" s="54"/>
      <c r="B605" s="11"/>
      <c r="C605" s="20"/>
      <c r="D605" s="20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5"/>
    </row>
    <row r="606">
      <c r="A606" s="54"/>
      <c r="B606" s="11"/>
      <c r="C606" s="20"/>
      <c r="D606" s="20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5"/>
    </row>
    <row r="607">
      <c r="A607" s="54"/>
      <c r="B607" s="11"/>
      <c r="C607" s="20"/>
      <c r="D607" s="20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5"/>
    </row>
    <row r="608">
      <c r="A608" s="54"/>
      <c r="B608" s="11"/>
      <c r="C608" s="20"/>
      <c r="D608" s="20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5"/>
    </row>
    <row r="609">
      <c r="A609" s="54"/>
      <c r="B609" s="11"/>
      <c r="C609" s="20"/>
      <c r="D609" s="20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5"/>
    </row>
    <row r="610">
      <c r="A610" s="54"/>
      <c r="B610" s="11"/>
      <c r="C610" s="20"/>
      <c r="D610" s="20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5"/>
    </row>
    <row r="611">
      <c r="A611" s="54"/>
      <c r="B611" s="11"/>
      <c r="C611" s="20"/>
      <c r="D611" s="20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5"/>
    </row>
    <row r="612">
      <c r="A612" s="22"/>
      <c r="B612" s="11"/>
      <c r="C612" s="20"/>
      <c r="D612" s="20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5"/>
    </row>
    <row r="613">
      <c r="A613" s="22"/>
      <c r="B613" s="11"/>
      <c r="C613" s="20"/>
      <c r="D613" s="20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5"/>
    </row>
    <row r="614">
      <c r="A614" s="22"/>
      <c r="B614" s="11"/>
      <c r="C614" s="20"/>
      <c r="D614" s="20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5"/>
    </row>
    <row r="615">
      <c r="A615" s="22"/>
      <c r="B615" s="11"/>
      <c r="C615" s="20"/>
      <c r="D615" s="20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5"/>
    </row>
    <row r="616">
      <c r="A616" s="22"/>
      <c r="B616" s="11"/>
      <c r="C616" s="20"/>
      <c r="D616" s="20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5"/>
    </row>
    <row r="617">
      <c r="A617" s="22"/>
      <c r="B617" s="11"/>
      <c r="C617" s="20"/>
      <c r="D617" s="20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5"/>
    </row>
    <row r="618">
      <c r="A618" s="22"/>
      <c r="B618" s="11"/>
      <c r="C618" s="20"/>
      <c r="D618" s="20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5"/>
    </row>
    <row r="619">
      <c r="A619" s="22"/>
      <c r="B619" s="11"/>
      <c r="C619" s="20"/>
      <c r="D619" s="20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5"/>
    </row>
    <row r="620">
      <c r="A620" s="22"/>
      <c r="B620" s="11"/>
      <c r="C620" s="20"/>
      <c r="D620" s="20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5"/>
    </row>
    <row r="621">
      <c r="A621" s="22"/>
      <c r="B621" s="11"/>
      <c r="C621" s="20"/>
      <c r="D621" s="20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5"/>
    </row>
    <row r="622">
      <c r="A622" s="22"/>
      <c r="B622" s="11"/>
      <c r="C622" s="20"/>
      <c r="D622" s="20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5"/>
    </row>
    <row r="623">
      <c r="A623" s="22"/>
      <c r="B623" s="11"/>
      <c r="C623" s="20"/>
      <c r="D623" s="20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5"/>
    </row>
    <row r="624">
      <c r="A624" s="22"/>
      <c r="B624" s="11"/>
      <c r="C624" s="20"/>
      <c r="D624" s="20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5"/>
    </row>
    <row r="625">
      <c r="A625" s="22"/>
      <c r="B625" s="11"/>
      <c r="C625" s="20"/>
      <c r="D625" s="20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5"/>
    </row>
    <row r="626">
      <c r="A626" s="22"/>
      <c r="B626" s="11"/>
      <c r="C626" s="20"/>
      <c r="D626" s="20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5"/>
    </row>
    <row r="627">
      <c r="A627" s="22"/>
      <c r="B627" s="11"/>
      <c r="C627" s="20"/>
      <c r="D627" s="20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5"/>
    </row>
    <row r="628">
      <c r="A628" s="22"/>
      <c r="B628" s="11"/>
      <c r="C628" s="20"/>
      <c r="D628" s="20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5"/>
    </row>
    <row r="629">
      <c r="A629" s="22"/>
      <c r="B629" s="11"/>
      <c r="C629" s="20"/>
      <c r="D629" s="20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5"/>
    </row>
    <row r="630">
      <c r="A630" s="22"/>
      <c r="B630" s="11"/>
      <c r="C630" s="20"/>
      <c r="D630" s="20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5"/>
    </row>
    <row r="631">
      <c r="A631" s="54"/>
      <c r="B631" s="11"/>
      <c r="C631" s="20"/>
      <c r="D631" s="20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5"/>
    </row>
    <row r="632">
      <c r="A632" s="54"/>
      <c r="B632" s="11"/>
      <c r="C632" s="20"/>
      <c r="D632" s="20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5"/>
    </row>
    <row r="633">
      <c r="A633" s="54"/>
      <c r="B633" s="11"/>
      <c r="C633" s="20"/>
      <c r="D633" s="20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5"/>
    </row>
    <row r="634">
      <c r="A634" s="54"/>
      <c r="B634" s="11"/>
      <c r="C634" s="20"/>
      <c r="D634" s="20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5"/>
    </row>
    <row r="635">
      <c r="A635" s="54"/>
      <c r="B635" s="11"/>
      <c r="C635" s="20"/>
      <c r="D635" s="20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5"/>
    </row>
    <row r="636">
      <c r="A636" s="54"/>
      <c r="B636" s="11"/>
      <c r="C636" s="20"/>
      <c r="D636" s="20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5"/>
    </row>
    <row r="637">
      <c r="A637" s="54"/>
      <c r="B637" s="11"/>
      <c r="C637" s="20"/>
      <c r="D637" s="20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5"/>
    </row>
    <row r="638">
      <c r="A638" s="54"/>
      <c r="B638" s="11"/>
      <c r="C638" s="20"/>
      <c r="D638" s="20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5"/>
    </row>
    <row r="639">
      <c r="A639" s="54"/>
      <c r="B639" s="11"/>
      <c r="C639" s="20"/>
      <c r="D639" s="20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5"/>
    </row>
    <row r="640">
      <c r="A640" s="54"/>
      <c r="B640" s="11"/>
      <c r="C640" s="20"/>
      <c r="D640" s="20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5"/>
    </row>
    <row r="641">
      <c r="A641" s="54"/>
      <c r="B641" s="11"/>
      <c r="C641" s="20"/>
      <c r="D641" s="20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5"/>
    </row>
    <row r="642">
      <c r="A642" s="54"/>
      <c r="B642" s="11"/>
      <c r="C642" s="20"/>
      <c r="D642" s="20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5"/>
    </row>
    <row r="643">
      <c r="A643" s="54"/>
      <c r="B643" s="11"/>
      <c r="C643" s="20"/>
      <c r="D643" s="20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5"/>
    </row>
    <row r="644">
      <c r="A644" s="54"/>
      <c r="B644" s="11"/>
      <c r="C644" s="20"/>
      <c r="D644" s="20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5"/>
    </row>
    <row r="645">
      <c r="A645" s="54"/>
      <c r="B645" s="11"/>
      <c r="C645" s="20"/>
      <c r="D645" s="20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5"/>
    </row>
    <row r="646">
      <c r="A646" s="54"/>
      <c r="B646" s="11"/>
      <c r="C646" s="20"/>
      <c r="D646" s="20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5"/>
    </row>
    <row r="647">
      <c r="A647" s="54"/>
      <c r="B647" s="11"/>
      <c r="C647" s="20"/>
      <c r="D647" s="20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5"/>
    </row>
    <row r="648">
      <c r="A648" s="54"/>
      <c r="B648" s="11"/>
      <c r="C648" s="20"/>
      <c r="D648" s="20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5"/>
    </row>
    <row r="649">
      <c r="A649" s="22"/>
      <c r="B649" s="11"/>
      <c r="C649" s="20"/>
      <c r="D649" s="20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5"/>
    </row>
    <row r="650">
      <c r="A650" s="22"/>
      <c r="B650" s="11"/>
      <c r="C650" s="20"/>
      <c r="D650" s="20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5"/>
    </row>
    <row r="651">
      <c r="A651" s="22"/>
      <c r="B651" s="11"/>
      <c r="C651" s="20"/>
      <c r="D651" s="20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5"/>
    </row>
    <row r="652">
      <c r="A652" s="22"/>
      <c r="B652" s="11"/>
      <c r="C652" s="20"/>
      <c r="D652" s="20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5"/>
    </row>
    <row r="653">
      <c r="A653" s="22"/>
      <c r="B653" s="11"/>
      <c r="C653" s="20"/>
      <c r="D653" s="20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5"/>
    </row>
    <row r="654">
      <c r="A654" s="22"/>
      <c r="B654" s="11"/>
      <c r="C654" s="20"/>
      <c r="D654" s="20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5"/>
    </row>
    <row r="655">
      <c r="A655" s="22"/>
      <c r="B655" s="11"/>
      <c r="C655" s="20"/>
      <c r="D655" s="20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5"/>
    </row>
    <row r="656">
      <c r="A656" s="22"/>
      <c r="B656" s="11"/>
      <c r="C656" s="20"/>
      <c r="D656" s="20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5"/>
    </row>
    <row r="657">
      <c r="A657" s="22"/>
      <c r="B657" s="11"/>
      <c r="C657" s="20"/>
      <c r="D657" s="20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5"/>
    </row>
    <row r="658">
      <c r="A658" s="22"/>
      <c r="B658" s="11"/>
      <c r="C658" s="20"/>
      <c r="D658" s="20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5"/>
    </row>
    <row r="659">
      <c r="A659" s="22"/>
      <c r="B659" s="11"/>
      <c r="C659" s="20"/>
      <c r="D659" s="20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5"/>
    </row>
    <row r="660">
      <c r="A660" s="22"/>
      <c r="B660" s="11"/>
      <c r="C660" s="20"/>
      <c r="D660" s="20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5"/>
    </row>
    <row r="661">
      <c r="A661" s="22"/>
      <c r="B661" s="11"/>
      <c r="C661" s="20"/>
      <c r="D661" s="20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5"/>
    </row>
    <row r="662">
      <c r="A662" s="22"/>
      <c r="B662" s="11"/>
      <c r="C662" s="20"/>
      <c r="D662" s="20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5"/>
    </row>
    <row r="663">
      <c r="A663" s="22"/>
      <c r="B663" s="11"/>
      <c r="C663" s="20"/>
      <c r="D663" s="20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5"/>
    </row>
    <row r="664">
      <c r="A664" s="22"/>
      <c r="B664" s="11"/>
      <c r="C664" s="20"/>
      <c r="D664" s="20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5"/>
    </row>
    <row r="665">
      <c r="A665" s="22"/>
      <c r="B665" s="11"/>
      <c r="C665" s="20"/>
      <c r="D665" s="20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5"/>
    </row>
    <row r="666">
      <c r="A666" s="22"/>
      <c r="B666" s="11"/>
      <c r="C666" s="20"/>
      <c r="D666" s="20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5"/>
    </row>
    <row r="667">
      <c r="A667" s="22"/>
      <c r="B667" s="11"/>
      <c r="C667" s="20"/>
      <c r="D667" s="20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5"/>
    </row>
    <row r="668">
      <c r="A668" s="54"/>
      <c r="B668" s="11"/>
      <c r="C668" s="20"/>
      <c r="D668" s="20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5"/>
    </row>
    <row r="669">
      <c r="A669" s="54"/>
      <c r="B669" s="11"/>
      <c r="C669" s="20"/>
      <c r="D669" s="20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5"/>
    </row>
    <row r="670">
      <c r="A670" s="54"/>
      <c r="B670" s="11"/>
      <c r="C670" s="20"/>
      <c r="D670" s="20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5"/>
    </row>
    <row r="671">
      <c r="A671" s="54"/>
      <c r="B671" s="11"/>
      <c r="C671" s="20"/>
      <c r="D671" s="20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5"/>
    </row>
    <row r="672">
      <c r="A672" s="54"/>
      <c r="B672" s="11"/>
      <c r="C672" s="20"/>
      <c r="D672" s="20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5"/>
    </row>
    <row r="673">
      <c r="A673" s="54"/>
      <c r="B673" s="11"/>
      <c r="C673" s="20"/>
      <c r="D673" s="20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5"/>
    </row>
    <row r="674">
      <c r="A674" s="54"/>
      <c r="B674" s="11"/>
      <c r="C674" s="20"/>
      <c r="D674" s="20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5"/>
    </row>
    <row r="675">
      <c r="A675" s="54"/>
      <c r="B675" s="11"/>
      <c r="C675" s="20"/>
      <c r="D675" s="20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5"/>
    </row>
    <row r="676">
      <c r="A676" s="54"/>
      <c r="B676" s="11"/>
      <c r="C676" s="20"/>
      <c r="D676" s="20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5"/>
    </row>
    <row r="677">
      <c r="A677" s="54"/>
      <c r="B677" s="11"/>
      <c r="C677" s="20"/>
      <c r="D677" s="20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5"/>
    </row>
    <row r="678">
      <c r="A678" s="54"/>
      <c r="B678" s="11"/>
      <c r="C678" s="20"/>
      <c r="D678" s="20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5"/>
    </row>
    <row r="679">
      <c r="A679" s="54"/>
      <c r="B679" s="11"/>
      <c r="C679" s="20"/>
      <c r="D679" s="20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5"/>
    </row>
    <row r="680">
      <c r="A680" s="54"/>
      <c r="B680" s="11"/>
      <c r="C680" s="20"/>
      <c r="D680" s="20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5"/>
    </row>
    <row r="681">
      <c r="A681" s="54"/>
      <c r="B681" s="11"/>
      <c r="C681" s="20"/>
      <c r="D681" s="20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5"/>
    </row>
    <row r="682">
      <c r="A682" s="54"/>
      <c r="B682" s="11"/>
      <c r="C682" s="20"/>
      <c r="D682" s="20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5"/>
    </row>
    <row r="683">
      <c r="A683" s="54"/>
      <c r="B683" s="11"/>
      <c r="C683" s="20"/>
      <c r="D683" s="20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5"/>
    </row>
    <row r="684">
      <c r="A684" s="54"/>
      <c r="B684" s="11"/>
      <c r="C684" s="20"/>
      <c r="D684" s="20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5"/>
    </row>
    <row r="685">
      <c r="A685" s="54"/>
      <c r="B685" s="11"/>
      <c r="C685" s="20"/>
      <c r="D685" s="20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5"/>
    </row>
    <row r="686">
      <c r="A686" s="54"/>
      <c r="B686" s="11"/>
      <c r="C686" s="20"/>
      <c r="D686" s="20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5"/>
    </row>
    <row r="687">
      <c r="A687" s="54"/>
      <c r="B687" s="11"/>
      <c r="C687" s="20"/>
      <c r="D687" s="20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5"/>
    </row>
    <row r="688">
      <c r="A688" s="54"/>
      <c r="B688" s="11"/>
      <c r="C688" s="20"/>
      <c r="D688" s="20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5"/>
    </row>
    <row r="689">
      <c r="A689" s="54"/>
      <c r="B689" s="11"/>
      <c r="C689" s="20"/>
      <c r="D689" s="20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5"/>
    </row>
    <row r="690">
      <c r="A690" s="54"/>
      <c r="B690" s="11"/>
      <c r="C690" s="20"/>
      <c r="D690" s="20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5"/>
    </row>
    <row r="691">
      <c r="A691" s="54"/>
      <c r="B691" s="11"/>
      <c r="C691" s="20"/>
      <c r="D691" s="20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5"/>
    </row>
    <row r="692">
      <c r="A692" s="54"/>
      <c r="B692" s="11"/>
      <c r="C692" s="20"/>
      <c r="D692" s="20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5"/>
    </row>
    <row r="693">
      <c r="A693" s="54"/>
      <c r="B693" s="11"/>
      <c r="C693" s="20"/>
      <c r="D693" s="20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5"/>
    </row>
    <row r="694">
      <c r="A694" s="54"/>
      <c r="B694" s="11"/>
      <c r="C694" s="20"/>
      <c r="D694" s="20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5"/>
    </row>
    <row r="695">
      <c r="A695" s="22"/>
      <c r="B695" s="11"/>
      <c r="C695" s="20"/>
      <c r="D695" s="20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5"/>
    </row>
    <row r="696">
      <c r="A696" s="22"/>
      <c r="B696" s="11"/>
      <c r="C696" s="20"/>
      <c r="D696" s="20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5"/>
    </row>
    <row r="697">
      <c r="A697" s="22"/>
      <c r="B697" s="11"/>
      <c r="C697" s="20"/>
      <c r="D697" s="20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5"/>
    </row>
    <row r="698">
      <c r="A698" s="22"/>
      <c r="B698" s="11"/>
      <c r="C698" s="20"/>
      <c r="D698" s="20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5"/>
    </row>
    <row r="699">
      <c r="A699" s="22"/>
      <c r="B699" s="11"/>
      <c r="C699" s="20"/>
      <c r="D699" s="20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5"/>
    </row>
    <row r="700">
      <c r="A700" s="22"/>
      <c r="B700" s="11"/>
      <c r="C700" s="20"/>
      <c r="D700" s="20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5"/>
    </row>
    <row r="701">
      <c r="A701" s="22"/>
      <c r="B701" s="11"/>
      <c r="C701" s="20"/>
      <c r="D701" s="20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5"/>
    </row>
    <row r="702">
      <c r="A702" s="22"/>
      <c r="B702" s="11"/>
      <c r="C702" s="20"/>
      <c r="D702" s="20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5"/>
    </row>
    <row r="703">
      <c r="A703" s="22"/>
      <c r="B703" s="11"/>
      <c r="C703" s="20"/>
      <c r="D703" s="20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5"/>
    </row>
    <row r="704">
      <c r="A704" s="22"/>
      <c r="B704" s="11"/>
      <c r="C704" s="20"/>
      <c r="D704" s="20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5"/>
    </row>
    <row r="705">
      <c r="A705" s="22"/>
      <c r="B705" s="11"/>
      <c r="C705" s="20"/>
      <c r="D705" s="20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5"/>
    </row>
    <row r="706">
      <c r="A706" s="22"/>
      <c r="B706" s="11"/>
      <c r="C706" s="20"/>
      <c r="D706" s="20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5"/>
    </row>
    <row r="707">
      <c r="A707" s="22"/>
      <c r="B707" s="11"/>
      <c r="C707" s="20"/>
      <c r="D707" s="20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5"/>
    </row>
    <row r="708">
      <c r="A708" s="22"/>
      <c r="B708" s="11"/>
      <c r="C708" s="20"/>
      <c r="D708" s="20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5"/>
    </row>
    <row r="709">
      <c r="A709" s="22"/>
      <c r="B709" s="11"/>
      <c r="C709" s="20"/>
      <c r="D709" s="20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5"/>
    </row>
    <row r="710">
      <c r="A710" s="22"/>
      <c r="B710" s="11"/>
      <c r="C710" s="20"/>
      <c r="D710" s="20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5"/>
    </row>
    <row r="711">
      <c r="A711" s="22"/>
      <c r="B711" s="11"/>
      <c r="C711" s="20"/>
      <c r="D711" s="20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5"/>
    </row>
    <row r="712">
      <c r="A712" s="22"/>
      <c r="B712" s="11"/>
      <c r="C712" s="20"/>
      <c r="D712" s="20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5"/>
    </row>
    <row r="713">
      <c r="A713" s="22"/>
      <c r="B713" s="11"/>
      <c r="C713" s="20"/>
      <c r="D713" s="20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5"/>
    </row>
    <row r="714">
      <c r="A714" s="54"/>
      <c r="B714" s="11"/>
      <c r="C714" s="20"/>
      <c r="D714" s="20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5"/>
    </row>
    <row r="715">
      <c r="A715" s="54"/>
      <c r="B715" s="11"/>
      <c r="C715" s="20"/>
      <c r="D715" s="20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5"/>
    </row>
    <row r="716">
      <c r="A716" s="54"/>
      <c r="B716" s="11"/>
      <c r="C716" s="20"/>
      <c r="D716" s="20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5"/>
    </row>
    <row r="717">
      <c r="A717" s="54"/>
      <c r="B717" s="11"/>
      <c r="C717" s="20"/>
      <c r="D717" s="20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5"/>
    </row>
    <row r="718">
      <c r="A718" s="54"/>
      <c r="B718" s="11"/>
      <c r="C718" s="20"/>
      <c r="D718" s="20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5"/>
    </row>
    <row r="719">
      <c r="A719" s="54"/>
      <c r="B719" s="11"/>
      <c r="C719" s="20"/>
      <c r="D719" s="20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5"/>
    </row>
    <row r="720">
      <c r="A720" s="54"/>
      <c r="B720" s="11"/>
      <c r="C720" s="20"/>
      <c r="D720" s="20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5"/>
    </row>
    <row r="721">
      <c r="A721" s="54"/>
      <c r="B721" s="11"/>
      <c r="C721" s="20"/>
      <c r="D721" s="20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5"/>
    </row>
    <row r="722">
      <c r="A722" s="54"/>
      <c r="B722" s="11"/>
      <c r="C722" s="20"/>
      <c r="D722" s="20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5"/>
    </row>
    <row r="723">
      <c r="A723" s="54"/>
      <c r="B723" s="11"/>
      <c r="C723" s="20"/>
      <c r="D723" s="20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5"/>
    </row>
    <row r="724">
      <c r="A724" s="54"/>
      <c r="B724" s="11"/>
      <c r="C724" s="20"/>
      <c r="D724" s="20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5"/>
    </row>
    <row r="725">
      <c r="A725" s="54"/>
      <c r="B725" s="11"/>
      <c r="C725" s="20"/>
      <c r="D725" s="20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5"/>
    </row>
    <row r="726">
      <c r="A726" s="54"/>
      <c r="B726" s="11"/>
      <c r="C726" s="20"/>
      <c r="D726" s="20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5"/>
    </row>
    <row r="727">
      <c r="A727" s="54"/>
      <c r="B727" s="11"/>
      <c r="C727" s="20"/>
      <c r="D727" s="20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5"/>
    </row>
    <row r="728">
      <c r="A728" s="54"/>
      <c r="B728" s="11"/>
      <c r="C728" s="20"/>
      <c r="D728" s="20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5"/>
    </row>
    <row r="729">
      <c r="A729" s="54"/>
      <c r="B729" s="11"/>
      <c r="C729" s="20"/>
      <c r="D729" s="20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5"/>
    </row>
    <row r="730">
      <c r="A730" s="54"/>
      <c r="B730" s="11"/>
      <c r="C730" s="20"/>
      <c r="D730" s="20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5"/>
    </row>
    <row r="731">
      <c r="A731" s="54"/>
      <c r="B731" s="11"/>
      <c r="C731" s="20"/>
      <c r="D731" s="20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5"/>
    </row>
    <row r="732">
      <c r="A732" s="22"/>
      <c r="B732" s="11"/>
      <c r="C732" s="20"/>
      <c r="D732" s="20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5"/>
    </row>
    <row r="733">
      <c r="A733" s="22"/>
      <c r="B733" s="11"/>
      <c r="C733" s="20"/>
      <c r="D733" s="20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5"/>
    </row>
    <row r="734">
      <c r="A734" s="22"/>
      <c r="B734" s="11"/>
      <c r="C734" s="20"/>
      <c r="D734" s="20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5"/>
    </row>
    <row r="735">
      <c r="A735" s="22"/>
      <c r="B735" s="11"/>
      <c r="C735" s="20"/>
      <c r="D735" s="20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5"/>
    </row>
    <row r="736">
      <c r="A736" s="22"/>
      <c r="B736" s="11"/>
      <c r="C736" s="20"/>
      <c r="D736" s="20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5"/>
    </row>
    <row r="737">
      <c r="A737" s="22"/>
      <c r="B737" s="11"/>
      <c r="C737" s="20"/>
      <c r="D737" s="20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5"/>
    </row>
    <row r="738">
      <c r="A738" s="22"/>
      <c r="B738" s="11"/>
      <c r="C738" s="20"/>
      <c r="D738" s="20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5"/>
    </row>
    <row r="739">
      <c r="A739" s="22"/>
      <c r="B739" s="11"/>
      <c r="C739" s="20"/>
      <c r="D739" s="20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5"/>
    </row>
    <row r="740">
      <c r="A740" s="22"/>
      <c r="B740" s="11"/>
      <c r="C740" s="20"/>
      <c r="D740" s="20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5"/>
    </row>
    <row r="741">
      <c r="A741" s="22"/>
      <c r="B741" s="11"/>
      <c r="C741" s="20"/>
      <c r="D741" s="20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5"/>
    </row>
    <row r="742">
      <c r="A742" s="22"/>
      <c r="B742" s="11"/>
      <c r="C742" s="20"/>
      <c r="D742" s="20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5"/>
    </row>
    <row r="743">
      <c r="A743" s="22"/>
      <c r="B743" s="11"/>
      <c r="C743" s="20"/>
      <c r="D743" s="20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5"/>
    </row>
    <row r="744">
      <c r="A744" s="22"/>
      <c r="B744" s="11"/>
      <c r="C744" s="20"/>
      <c r="D744" s="20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5"/>
    </row>
    <row r="745">
      <c r="A745" s="22"/>
      <c r="B745" s="11"/>
      <c r="C745" s="20"/>
      <c r="D745" s="20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5"/>
    </row>
    <row r="746">
      <c r="A746" s="22"/>
      <c r="B746" s="11"/>
      <c r="C746" s="20"/>
      <c r="D746" s="20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5"/>
    </row>
    <row r="747">
      <c r="A747" s="22"/>
      <c r="B747" s="11"/>
      <c r="C747" s="20"/>
      <c r="D747" s="20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5"/>
    </row>
    <row r="748">
      <c r="A748" s="22"/>
      <c r="B748" s="11"/>
      <c r="C748" s="20"/>
      <c r="D748" s="20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5"/>
    </row>
    <row r="749">
      <c r="A749" s="22"/>
      <c r="B749" s="11"/>
      <c r="C749" s="20"/>
      <c r="D749" s="20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5"/>
    </row>
    <row r="750">
      <c r="A750" s="22"/>
      <c r="B750" s="11"/>
      <c r="C750" s="20"/>
      <c r="D750" s="20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5"/>
    </row>
    <row r="751">
      <c r="A751" s="54"/>
      <c r="B751" s="11"/>
      <c r="C751" s="20"/>
      <c r="D751" s="20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5"/>
    </row>
    <row r="752">
      <c r="A752" s="54"/>
      <c r="B752" s="11"/>
      <c r="C752" s="20"/>
      <c r="D752" s="20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5"/>
    </row>
    <row r="753">
      <c r="A753" s="54"/>
      <c r="B753" s="11"/>
      <c r="C753" s="20"/>
      <c r="D753" s="20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5"/>
    </row>
    <row r="754">
      <c r="A754" s="54"/>
      <c r="B754" s="11"/>
      <c r="C754" s="20"/>
      <c r="D754" s="20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5"/>
    </row>
    <row r="755">
      <c r="A755" s="54"/>
      <c r="B755" s="11"/>
      <c r="C755" s="20"/>
      <c r="D755" s="20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5"/>
    </row>
    <row r="756">
      <c r="A756" s="54"/>
      <c r="B756" s="11"/>
      <c r="C756" s="20"/>
      <c r="D756" s="20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5"/>
    </row>
    <row r="757">
      <c r="A757" s="54"/>
      <c r="B757" s="11"/>
      <c r="C757" s="20"/>
      <c r="D757" s="20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5"/>
    </row>
    <row r="758">
      <c r="A758" s="54"/>
      <c r="B758" s="11"/>
      <c r="C758" s="20"/>
      <c r="D758" s="20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5"/>
    </row>
    <row r="759">
      <c r="A759" s="54"/>
      <c r="B759" s="11"/>
      <c r="C759" s="20"/>
      <c r="D759" s="20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5"/>
    </row>
    <row r="760">
      <c r="A760" s="54"/>
      <c r="B760" s="11"/>
      <c r="C760" s="20"/>
      <c r="D760" s="20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5"/>
    </row>
    <row r="761">
      <c r="A761" s="54"/>
      <c r="B761" s="11"/>
      <c r="C761" s="20"/>
      <c r="D761" s="20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5"/>
    </row>
    <row r="762">
      <c r="A762" s="54"/>
      <c r="B762" s="11"/>
      <c r="C762" s="20"/>
      <c r="D762" s="20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5"/>
    </row>
    <row r="763">
      <c r="A763" s="54"/>
      <c r="B763" s="11"/>
      <c r="C763" s="20"/>
      <c r="D763" s="20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5"/>
    </row>
    <row r="764">
      <c r="A764" s="54"/>
      <c r="B764" s="11"/>
      <c r="C764" s="20"/>
      <c r="D764" s="20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5"/>
    </row>
    <row r="765">
      <c r="A765" s="54"/>
      <c r="B765" s="11"/>
      <c r="C765" s="20"/>
      <c r="D765" s="20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5"/>
    </row>
    <row r="766">
      <c r="A766" s="54"/>
      <c r="B766" s="11"/>
      <c r="C766" s="20"/>
      <c r="D766" s="20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5"/>
    </row>
    <row r="767">
      <c r="A767" s="54"/>
      <c r="B767" s="11"/>
      <c r="C767" s="20"/>
      <c r="D767" s="20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5"/>
    </row>
    <row r="768">
      <c r="A768" s="54"/>
      <c r="B768" s="11"/>
      <c r="C768" s="20"/>
      <c r="D768" s="20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5"/>
    </row>
    <row r="769">
      <c r="A769" s="54"/>
      <c r="B769" s="11"/>
      <c r="C769" s="20"/>
      <c r="D769" s="20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5"/>
    </row>
    <row r="770">
      <c r="A770" s="54"/>
      <c r="B770" s="11"/>
      <c r="C770" s="20"/>
      <c r="D770" s="20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5"/>
    </row>
    <row r="771">
      <c r="A771" s="54"/>
      <c r="B771" s="11"/>
      <c r="C771" s="20"/>
      <c r="D771" s="20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5"/>
    </row>
    <row r="772">
      <c r="A772" s="54"/>
      <c r="B772" s="11"/>
      <c r="C772" s="20"/>
      <c r="D772" s="20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5"/>
    </row>
    <row r="773">
      <c r="A773" s="54"/>
      <c r="B773" s="11"/>
      <c r="C773" s="20"/>
      <c r="D773" s="20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5"/>
    </row>
    <row r="774">
      <c r="A774" s="54"/>
      <c r="B774" s="11"/>
      <c r="C774" s="20"/>
      <c r="D774" s="20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5"/>
    </row>
    <row r="775">
      <c r="A775" s="54"/>
      <c r="B775" s="11"/>
      <c r="C775" s="20"/>
      <c r="D775" s="20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5"/>
    </row>
    <row r="776">
      <c r="A776" s="54"/>
      <c r="B776" s="11"/>
      <c r="C776" s="20"/>
      <c r="D776" s="20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5"/>
    </row>
    <row r="777">
      <c r="A777" s="54"/>
      <c r="B777" s="11"/>
      <c r="C777" s="20"/>
      <c r="D777" s="20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5"/>
    </row>
    <row r="778">
      <c r="A778" s="22"/>
      <c r="B778" s="11"/>
      <c r="C778" s="20"/>
      <c r="D778" s="20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5"/>
    </row>
    <row r="779">
      <c r="A779" s="22"/>
      <c r="B779" s="11"/>
      <c r="C779" s="20"/>
      <c r="D779" s="20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5"/>
    </row>
    <row r="780">
      <c r="A780" s="22"/>
      <c r="B780" s="11"/>
      <c r="C780" s="20"/>
      <c r="D780" s="20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5"/>
    </row>
    <row r="781">
      <c r="A781" s="22"/>
      <c r="B781" s="11"/>
      <c r="C781" s="20"/>
      <c r="D781" s="20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5"/>
    </row>
    <row r="782">
      <c r="A782" s="22"/>
      <c r="B782" s="11"/>
      <c r="C782" s="20"/>
      <c r="D782" s="20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5"/>
    </row>
    <row r="783">
      <c r="A783" s="22"/>
      <c r="B783" s="11"/>
      <c r="C783" s="20"/>
      <c r="D783" s="20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5"/>
    </row>
    <row r="784">
      <c r="A784" s="22"/>
      <c r="B784" s="11"/>
      <c r="C784" s="20"/>
      <c r="D784" s="20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5"/>
    </row>
    <row r="785">
      <c r="A785" s="22"/>
      <c r="B785" s="11"/>
      <c r="C785" s="20"/>
      <c r="D785" s="20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5"/>
    </row>
    <row r="786">
      <c r="A786" s="22"/>
      <c r="B786" s="11"/>
      <c r="C786" s="20"/>
      <c r="D786" s="20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5"/>
    </row>
    <row r="787">
      <c r="A787" s="22"/>
      <c r="B787" s="11"/>
      <c r="C787" s="20"/>
      <c r="D787" s="20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5"/>
    </row>
    <row r="788">
      <c r="A788" s="22"/>
      <c r="B788" s="11"/>
      <c r="C788" s="20"/>
      <c r="D788" s="20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5"/>
    </row>
    <row r="789">
      <c r="A789" s="22"/>
      <c r="B789" s="11"/>
      <c r="C789" s="20"/>
      <c r="D789" s="20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5"/>
    </row>
    <row r="790">
      <c r="A790" s="22"/>
      <c r="B790" s="11"/>
      <c r="C790" s="20"/>
      <c r="D790" s="20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5"/>
    </row>
    <row r="791">
      <c r="A791" s="22"/>
      <c r="B791" s="11"/>
      <c r="C791" s="20"/>
      <c r="D791" s="20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5"/>
    </row>
    <row r="792">
      <c r="A792" s="22"/>
      <c r="B792" s="11"/>
      <c r="C792" s="20"/>
      <c r="D792" s="20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5"/>
    </row>
    <row r="793">
      <c r="A793" s="22"/>
      <c r="B793" s="11"/>
      <c r="C793" s="20"/>
      <c r="D793" s="20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5"/>
    </row>
    <row r="794">
      <c r="A794" s="22"/>
      <c r="B794" s="11"/>
      <c r="C794" s="20"/>
      <c r="D794" s="20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5"/>
    </row>
    <row r="795">
      <c r="A795" s="22"/>
      <c r="B795" s="11"/>
      <c r="C795" s="20"/>
      <c r="D795" s="20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5"/>
    </row>
    <row r="796">
      <c r="A796" s="22"/>
      <c r="B796" s="11"/>
      <c r="C796" s="20"/>
      <c r="D796" s="20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5"/>
    </row>
    <row r="797">
      <c r="A797" s="54"/>
      <c r="B797" s="11"/>
      <c r="C797" s="20"/>
      <c r="D797" s="20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5"/>
    </row>
    <row r="798">
      <c r="A798" s="54"/>
      <c r="B798" s="11"/>
      <c r="C798" s="20"/>
      <c r="D798" s="20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5"/>
    </row>
    <row r="799">
      <c r="A799" s="54"/>
      <c r="B799" s="11"/>
      <c r="C799" s="20"/>
      <c r="D799" s="20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5"/>
    </row>
    <row r="800">
      <c r="A800" s="54"/>
      <c r="B800" s="11"/>
      <c r="C800" s="20"/>
      <c r="D800" s="20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5"/>
    </row>
    <row r="801">
      <c r="A801" s="54"/>
      <c r="B801" s="11"/>
      <c r="C801" s="20"/>
      <c r="D801" s="20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5"/>
    </row>
    <row r="802">
      <c r="A802" s="54"/>
      <c r="B802" s="11"/>
      <c r="C802" s="20"/>
      <c r="D802" s="20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5"/>
    </row>
    <row r="803">
      <c r="A803" s="54"/>
      <c r="B803" s="11"/>
      <c r="C803" s="20"/>
      <c r="D803" s="20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5"/>
    </row>
    <row r="804">
      <c r="A804" s="54"/>
      <c r="B804" s="11"/>
      <c r="C804" s="20"/>
      <c r="D804" s="20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5"/>
    </row>
    <row r="805">
      <c r="A805" s="54"/>
      <c r="B805" s="11"/>
      <c r="C805" s="20"/>
      <c r="D805" s="20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5"/>
    </row>
    <row r="806">
      <c r="A806" s="54"/>
      <c r="B806" s="11"/>
      <c r="C806" s="20"/>
      <c r="D806" s="20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5"/>
    </row>
    <row r="807">
      <c r="A807" s="54"/>
      <c r="B807" s="11"/>
      <c r="C807" s="20"/>
      <c r="D807" s="20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5"/>
    </row>
    <row r="808">
      <c r="A808" s="54"/>
      <c r="B808" s="11"/>
      <c r="C808" s="20"/>
      <c r="D808" s="20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5"/>
    </row>
    <row r="809">
      <c r="A809" s="54"/>
      <c r="B809" s="11"/>
      <c r="C809" s="20"/>
      <c r="D809" s="20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5"/>
    </row>
    <row r="810">
      <c r="A810" s="54"/>
      <c r="B810" s="11"/>
      <c r="C810" s="20"/>
      <c r="D810" s="20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5"/>
    </row>
    <row r="811">
      <c r="A811" s="54"/>
      <c r="B811" s="11"/>
      <c r="C811" s="20"/>
      <c r="D811" s="20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5"/>
    </row>
    <row r="812">
      <c r="A812" s="54"/>
      <c r="B812" s="11"/>
      <c r="C812" s="20"/>
      <c r="D812" s="20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5"/>
    </row>
    <row r="813">
      <c r="A813" s="54"/>
      <c r="B813" s="11"/>
      <c r="C813" s="20"/>
      <c r="D813" s="20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5"/>
    </row>
    <row r="814">
      <c r="A814" s="54"/>
      <c r="B814" s="11"/>
      <c r="C814" s="20"/>
      <c r="D814" s="20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5"/>
    </row>
    <row r="815">
      <c r="A815" s="22"/>
      <c r="B815" s="11"/>
      <c r="C815" s="20"/>
      <c r="D815" s="20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5"/>
    </row>
    <row r="816">
      <c r="A816" s="22"/>
      <c r="B816" s="11"/>
      <c r="C816" s="20"/>
      <c r="D816" s="20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5"/>
    </row>
    <row r="817">
      <c r="A817" s="22"/>
      <c r="B817" s="11"/>
      <c r="C817" s="20"/>
      <c r="D817" s="20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5"/>
    </row>
    <row r="818">
      <c r="A818" s="22"/>
      <c r="B818" s="11"/>
      <c r="C818" s="20"/>
      <c r="D818" s="20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5"/>
    </row>
    <row r="819">
      <c r="A819" s="22"/>
      <c r="B819" s="11"/>
      <c r="C819" s="20"/>
      <c r="D819" s="20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5"/>
    </row>
    <row r="820">
      <c r="A820" s="22"/>
      <c r="B820" s="11"/>
      <c r="C820" s="20"/>
      <c r="D820" s="20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5"/>
    </row>
    <row r="821">
      <c r="A821" s="22"/>
      <c r="B821" s="11"/>
      <c r="C821" s="20"/>
      <c r="D821" s="20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5"/>
    </row>
    <row r="822">
      <c r="A822" s="22"/>
      <c r="B822" s="11"/>
      <c r="C822" s="20"/>
      <c r="D822" s="20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5"/>
    </row>
    <row r="823">
      <c r="A823" s="22"/>
      <c r="B823" s="11"/>
      <c r="C823" s="20"/>
      <c r="D823" s="20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5"/>
    </row>
    <row r="824">
      <c r="A824" s="22"/>
      <c r="B824" s="11"/>
      <c r="C824" s="20"/>
      <c r="D824" s="20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5"/>
    </row>
    <row r="825">
      <c r="A825" s="22"/>
      <c r="B825" s="11"/>
      <c r="C825" s="20"/>
      <c r="D825" s="20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5"/>
    </row>
    <row r="826">
      <c r="A826" s="22"/>
      <c r="B826" s="11"/>
      <c r="C826" s="20"/>
      <c r="D826" s="20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5"/>
    </row>
    <row r="827">
      <c r="A827" s="22"/>
      <c r="B827" s="11"/>
      <c r="C827" s="20"/>
      <c r="D827" s="20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5"/>
    </row>
    <row r="828">
      <c r="A828" s="22"/>
      <c r="B828" s="11"/>
      <c r="C828" s="20"/>
      <c r="D828" s="20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5"/>
    </row>
    <row r="829">
      <c r="A829" s="22"/>
      <c r="B829" s="11"/>
      <c r="C829" s="20"/>
      <c r="D829" s="20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5"/>
    </row>
    <row r="830">
      <c r="A830" s="22"/>
      <c r="B830" s="11"/>
      <c r="C830" s="20"/>
      <c r="D830" s="20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5"/>
    </row>
    <row r="831">
      <c r="A831" s="22"/>
      <c r="B831" s="11"/>
      <c r="C831" s="20"/>
      <c r="D831" s="20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5"/>
    </row>
    <row r="832">
      <c r="A832" s="22"/>
      <c r="B832" s="11"/>
      <c r="C832" s="20"/>
      <c r="D832" s="20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5"/>
    </row>
    <row r="833">
      <c r="A833" s="22"/>
      <c r="B833" s="11"/>
      <c r="C833" s="20"/>
      <c r="D833" s="20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5"/>
    </row>
    <row r="834">
      <c r="A834" s="54"/>
      <c r="B834" s="11"/>
      <c r="C834" s="20"/>
      <c r="D834" s="20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5"/>
    </row>
    <row r="835">
      <c r="A835" s="54"/>
      <c r="B835" s="11"/>
      <c r="C835" s="20"/>
      <c r="D835" s="20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5"/>
    </row>
    <row r="836">
      <c r="A836" s="54"/>
      <c r="B836" s="11"/>
      <c r="C836" s="20"/>
      <c r="D836" s="20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5"/>
    </row>
    <row r="837">
      <c r="A837" s="54"/>
      <c r="B837" s="11"/>
      <c r="C837" s="20"/>
      <c r="D837" s="20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5"/>
    </row>
    <row r="838">
      <c r="A838" s="54"/>
      <c r="B838" s="11"/>
      <c r="C838" s="20"/>
      <c r="D838" s="20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5"/>
    </row>
    <row r="839">
      <c r="A839" s="54"/>
      <c r="B839" s="11"/>
      <c r="C839" s="20"/>
      <c r="D839" s="20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5"/>
    </row>
    <row r="840">
      <c r="A840" s="54"/>
      <c r="B840" s="11"/>
      <c r="C840" s="20"/>
      <c r="D840" s="20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5"/>
    </row>
    <row r="841">
      <c r="A841" s="54"/>
      <c r="B841" s="11"/>
      <c r="C841" s="20"/>
      <c r="D841" s="20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5"/>
    </row>
    <row r="842">
      <c r="A842" s="54"/>
      <c r="B842" s="11"/>
      <c r="C842" s="20"/>
      <c r="D842" s="20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5"/>
    </row>
    <row r="843">
      <c r="A843" s="54"/>
      <c r="B843" s="11"/>
      <c r="C843" s="20"/>
      <c r="D843" s="20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5"/>
    </row>
    <row r="844">
      <c r="A844" s="54"/>
      <c r="B844" s="11"/>
      <c r="C844" s="20"/>
      <c r="D844" s="20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5"/>
    </row>
    <row r="845">
      <c r="A845" s="54"/>
      <c r="B845" s="11"/>
      <c r="C845" s="20"/>
      <c r="D845" s="20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5"/>
    </row>
    <row r="846">
      <c r="A846" s="54"/>
      <c r="B846" s="11"/>
      <c r="C846" s="20"/>
      <c r="D846" s="20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5"/>
    </row>
    <row r="847">
      <c r="A847" s="54"/>
      <c r="B847" s="11"/>
      <c r="C847" s="20"/>
      <c r="D847" s="20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5"/>
    </row>
    <row r="848">
      <c r="A848" s="54"/>
      <c r="B848" s="11"/>
      <c r="C848" s="20"/>
      <c r="D848" s="20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5"/>
    </row>
    <row r="849">
      <c r="A849" s="54"/>
      <c r="B849" s="11"/>
      <c r="C849" s="20"/>
      <c r="D849" s="20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5"/>
    </row>
    <row r="850">
      <c r="A850" s="54"/>
      <c r="B850" s="11"/>
      <c r="C850" s="20"/>
      <c r="D850" s="20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5"/>
    </row>
    <row r="851">
      <c r="A851" s="54"/>
      <c r="B851" s="11"/>
      <c r="C851" s="20"/>
      <c r="D851" s="20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5"/>
    </row>
    <row r="852">
      <c r="A852" s="54"/>
      <c r="B852" s="11"/>
      <c r="C852" s="20"/>
      <c r="D852" s="20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5"/>
    </row>
    <row r="853">
      <c r="A853" s="54"/>
      <c r="B853" s="11"/>
      <c r="C853" s="20"/>
      <c r="D853" s="20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5"/>
    </row>
    <row r="854">
      <c r="A854" s="54"/>
      <c r="B854" s="11"/>
      <c r="C854" s="20"/>
      <c r="D854" s="20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5"/>
    </row>
    <row r="855">
      <c r="A855" s="54"/>
      <c r="B855" s="11"/>
      <c r="C855" s="20"/>
      <c r="D855" s="20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5"/>
    </row>
    <row r="856">
      <c r="A856" s="54"/>
      <c r="B856" s="11"/>
      <c r="C856" s="20"/>
      <c r="D856" s="20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5"/>
    </row>
    <row r="857">
      <c r="A857" s="54"/>
      <c r="B857" s="11"/>
      <c r="C857" s="20"/>
      <c r="D857" s="20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5"/>
    </row>
    <row r="858">
      <c r="A858" s="54"/>
      <c r="B858" s="11"/>
      <c r="C858" s="20"/>
      <c r="D858" s="20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5"/>
    </row>
    <row r="859">
      <c r="A859" s="54"/>
      <c r="B859" s="11"/>
      <c r="C859" s="20"/>
      <c r="D859" s="20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5"/>
    </row>
    <row r="860">
      <c r="A860" s="54"/>
      <c r="B860" s="11"/>
      <c r="C860" s="20"/>
      <c r="D860" s="20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5"/>
    </row>
    <row r="861">
      <c r="A861" s="22"/>
      <c r="B861" s="11"/>
      <c r="C861" s="20"/>
      <c r="D861" s="20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5"/>
    </row>
    <row r="862">
      <c r="A862" s="22"/>
      <c r="B862" s="11"/>
      <c r="C862" s="20"/>
      <c r="D862" s="20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5"/>
    </row>
    <row r="863">
      <c r="A863" s="22"/>
      <c r="B863" s="11"/>
      <c r="C863" s="20"/>
      <c r="D863" s="20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5"/>
    </row>
    <row r="864">
      <c r="A864" s="22"/>
      <c r="B864" s="11"/>
      <c r="C864" s="20"/>
      <c r="D864" s="20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5"/>
    </row>
    <row r="865">
      <c r="A865" s="22"/>
      <c r="B865" s="11"/>
      <c r="C865" s="20"/>
      <c r="D865" s="20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5"/>
    </row>
    <row r="866">
      <c r="A866" s="22"/>
      <c r="B866" s="11"/>
      <c r="C866" s="20"/>
      <c r="D866" s="20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5"/>
    </row>
    <row r="867">
      <c r="A867" s="22"/>
      <c r="B867" s="11"/>
      <c r="C867" s="20"/>
      <c r="D867" s="20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5"/>
    </row>
    <row r="868">
      <c r="A868" s="22"/>
      <c r="B868" s="11"/>
      <c r="C868" s="20"/>
      <c r="D868" s="20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5"/>
    </row>
    <row r="869">
      <c r="A869" s="22"/>
      <c r="B869" s="11"/>
      <c r="C869" s="20"/>
      <c r="D869" s="20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5"/>
    </row>
    <row r="870">
      <c r="A870" s="22"/>
      <c r="B870" s="11"/>
      <c r="C870" s="20"/>
      <c r="D870" s="20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5"/>
    </row>
    <row r="871">
      <c r="A871" s="22"/>
      <c r="B871" s="11"/>
      <c r="C871" s="20"/>
      <c r="D871" s="20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5"/>
    </row>
    <row r="872">
      <c r="A872" s="22"/>
      <c r="B872" s="11"/>
      <c r="C872" s="20"/>
      <c r="D872" s="20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5"/>
    </row>
    <row r="873">
      <c r="A873" s="22"/>
      <c r="B873" s="11"/>
      <c r="C873" s="20"/>
      <c r="D873" s="20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5"/>
    </row>
    <row r="874">
      <c r="A874" s="22"/>
      <c r="B874" s="11"/>
      <c r="C874" s="20"/>
      <c r="D874" s="20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5"/>
    </row>
    <row r="875">
      <c r="A875" s="22"/>
      <c r="B875" s="11"/>
      <c r="C875" s="20"/>
      <c r="D875" s="20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5"/>
    </row>
    <row r="876">
      <c r="A876" s="22"/>
      <c r="B876" s="11"/>
      <c r="C876" s="20"/>
      <c r="D876" s="20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5"/>
    </row>
    <row r="877">
      <c r="A877" s="22"/>
      <c r="B877" s="11"/>
      <c r="C877" s="20"/>
      <c r="D877" s="20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5"/>
    </row>
    <row r="878">
      <c r="A878" s="22"/>
      <c r="B878" s="11"/>
      <c r="C878" s="20"/>
      <c r="D878" s="20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5"/>
    </row>
    <row r="879">
      <c r="A879" s="22"/>
      <c r="B879" s="11"/>
      <c r="C879" s="20"/>
      <c r="D879" s="20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5"/>
    </row>
    <row r="880">
      <c r="A880" s="54"/>
      <c r="B880" s="11"/>
      <c r="C880" s="20"/>
      <c r="D880" s="20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5"/>
    </row>
    <row r="881">
      <c r="A881" s="54"/>
      <c r="B881" s="11"/>
      <c r="C881" s="20"/>
      <c r="D881" s="20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5"/>
    </row>
    <row r="882">
      <c r="A882" s="54"/>
      <c r="B882" s="11"/>
      <c r="C882" s="20"/>
      <c r="D882" s="20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5"/>
    </row>
    <row r="883">
      <c r="A883" s="54"/>
      <c r="B883" s="11"/>
      <c r="C883" s="20"/>
      <c r="D883" s="20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5"/>
    </row>
    <row r="884">
      <c r="A884" s="54"/>
      <c r="B884" s="11"/>
      <c r="C884" s="20"/>
      <c r="D884" s="20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5"/>
    </row>
    <row r="885">
      <c r="A885" s="54"/>
      <c r="B885" s="11"/>
      <c r="C885" s="20"/>
      <c r="D885" s="20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5"/>
    </row>
    <row r="886">
      <c r="A886" s="54"/>
      <c r="B886" s="11"/>
      <c r="C886" s="20"/>
      <c r="D886" s="20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5"/>
    </row>
    <row r="887">
      <c r="A887" s="54"/>
      <c r="B887" s="11"/>
      <c r="C887" s="20"/>
      <c r="D887" s="20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5"/>
    </row>
    <row r="888">
      <c r="A888" s="54"/>
      <c r="B888" s="11"/>
      <c r="C888" s="20"/>
      <c r="D888" s="20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5"/>
    </row>
    <row r="889">
      <c r="A889" s="54"/>
      <c r="B889" s="11"/>
      <c r="C889" s="20"/>
      <c r="D889" s="20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5"/>
    </row>
    <row r="890">
      <c r="A890" s="54"/>
      <c r="B890" s="11"/>
      <c r="C890" s="20"/>
      <c r="D890" s="20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5"/>
    </row>
    <row r="891">
      <c r="A891" s="54"/>
      <c r="B891" s="11"/>
      <c r="C891" s="20"/>
      <c r="D891" s="20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5"/>
    </row>
    <row r="892">
      <c r="A892" s="54"/>
      <c r="B892" s="11"/>
      <c r="C892" s="20"/>
      <c r="D892" s="20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5"/>
    </row>
    <row r="893">
      <c r="A893" s="54"/>
      <c r="B893" s="11"/>
      <c r="C893" s="20"/>
      <c r="D893" s="20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5"/>
    </row>
    <row r="894">
      <c r="A894" s="54"/>
      <c r="B894" s="11"/>
      <c r="C894" s="20"/>
      <c r="D894" s="20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5"/>
    </row>
    <row r="895">
      <c r="A895" s="54"/>
      <c r="B895" s="11"/>
      <c r="C895" s="20"/>
      <c r="D895" s="20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5"/>
    </row>
    <row r="896">
      <c r="A896" s="54"/>
      <c r="B896" s="11"/>
      <c r="C896" s="20"/>
      <c r="D896" s="20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5"/>
    </row>
    <row r="897">
      <c r="A897" s="54"/>
      <c r="B897" s="11"/>
      <c r="C897" s="20"/>
      <c r="D897" s="20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5"/>
    </row>
    <row r="898">
      <c r="A898" s="22"/>
      <c r="B898" s="11"/>
      <c r="C898" s="20"/>
      <c r="D898" s="20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5"/>
    </row>
    <row r="899">
      <c r="A899" s="22"/>
      <c r="B899" s="11"/>
      <c r="C899" s="20"/>
      <c r="D899" s="20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5"/>
    </row>
    <row r="900">
      <c r="A900" s="22"/>
      <c r="B900" s="11"/>
      <c r="C900" s="20"/>
      <c r="D900" s="20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5"/>
    </row>
    <row r="901">
      <c r="A901" s="22"/>
      <c r="B901" s="11"/>
      <c r="C901" s="20"/>
      <c r="D901" s="20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5"/>
    </row>
    <row r="902">
      <c r="A902" s="22"/>
      <c r="B902" s="11"/>
      <c r="C902" s="20"/>
      <c r="D902" s="20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5"/>
    </row>
    <row r="903">
      <c r="A903" s="22"/>
      <c r="B903" s="11"/>
      <c r="C903" s="20"/>
      <c r="D903" s="20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5"/>
    </row>
    <row r="904">
      <c r="A904" s="22"/>
      <c r="B904" s="11"/>
      <c r="C904" s="20"/>
      <c r="D904" s="20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5"/>
    </row>
    <row r="905">
      <c r="A905" s="22"/>
      <c r="B905" s="11"/>
      <c r="C905" s="20"/>
      <c r="D905" s="20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5"/>
    </row>
    <row r="906">
      <c r="A906" s="22"/>
      <c r="B906" s="11"/>
      <c r="C906" s="20"/>
      <c r="D906" s="20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5"/>
    </row>
    <row r="907">
      <c r="A907" s="22"/>
      <c r="B907" s="11"/>
      <c r="C907" s="20"/>
      <c r="D907" s="20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5"/>
    </row>
    <row r="908">
      <c r="A908" s="22"/>
      <c r="B908" s="11"/>
      <c r="C908" s="20"/>
      <c r="D908" s="20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5"/>
    </row>
    <row r="909">
      <c r="A909" s="22"/>
      <c r="B909" s="11"/>
      <c r="C909" s="20"/>
      <c r="D909" s="20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5"/>
    </row>
    <row r="910">
      <c r="A910" s="22"/>
      <c r="B910" s="11"/>
      <c r="C910" s="20"/>
      <c r="D910" s="20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5"/>
    </row>
    <row r="911">
      <c r="A911" s="22"/>
      <c r="B911" s="11"/>
      <c r="C911" s="20"/>
      <c r="D911" s="20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5"/>
    </row>
    <row r="912">
      <c r="A912" s="22"/>
      <c r="B912" s="11"/>
      <c r="C912" s="20"/>
      <c r="D912" s="20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5"/>
    </row>
    <row r="913">
      <c r="A913" s="22"/>
      <c r="B913" s="11"/>
      <c r="C913" s="20"/>
      <c r="D913" s="20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5"/>
    </row>
    <row r="914">
      <c r="A914" s="22"/>
      <c r="B914" s="11"/>
      <c r="C914" s="20"/>
      <c r="D914" s="20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5"/>
    </row>
    <row r="915">
      <c r="A915" s="22"/>
      <c r="B915" s="11"/>
      <c r="C915" s="20"/>
      <c r="D915" s="20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5"/>
    </row>
    <row r="916">
      <c r="A916" s="22"/>
      <c r="B916" s="11"/>
      <c r="C916" s="20"/>
      <c r="D916" s="20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5"/>
    </row>
    <row r="917">
      <c r="A917" s="54"/>
      <c r="B917" s="11"/>
      <c r="C917" s="20"/>
      <c r="D917" s="20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5"/>
    </row>
    <row r="918">
      <c r="A918" s="54"/>
      <c r="B918" s="11"/>
      <c r="C918" s="20"/>
      <c r="D918" s="20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5"/>
    </row>
    <row r="919">
      <c r="A919" s="54"/>
      <c r="B919" s="11"/>
      <c r="C919" s="20"/>
      <c r="D919" s="20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5"/>
    </row>
    <row r="920">
      <c r="A920" s="54"/>
      <c r="B920" s="11"/>
      <c r="C920" s="20"/>
      <c r="D920" s="20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5"/>
    </row>
    <row r="921">
      <c r="A921" s="54"/>
      <c r="B921" s="11"/>
      <c r="C921" s="20"/>
      <c r="D921" s="20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5"/>
    </row>
    <row r="922">
      <c r="A922" s="54"/>
      <c r="B922" s="11"/>
      <c r="C922" s="20"/>
      <c r="D922" s="20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5"/>
    </row>
    <row r="923">
      <c r="A923" s="54"/>
      <c r="B923" s="11"/>
      <c r="C923" s="20"/>
      <c r="D923" s="20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5"/>
    </row>
    <row r="924">
      <c r="A924" s="54"/>
      <c r="B924" s="11"/>
      <c r="C924" s="20"/>
      <c r="D924" s="20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5"/>
    </row>
    <row r="925">
      <c r="A925" s="54"/>
      <c r="B925" s="11"/>
      <c r="C925" s="20"/>
      <c r="D925" s="20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5"/>
    </row>
    <row r="926">
      <c r="A926" s="54"/>
      <c r="B926" s="11"/>
      <c r="C926" s="20"/>
      <c r="D926" s="20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5"/>
    </row>
    <row r="927">
      <c r="A927" s="54"/>
      <c r="B927" s="11"/>
      <c r="C927" s="20"/>
      <c r="D927" s="20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5"/>
    </row>
    <row r="928">
      <c r="A928" s="54"/>
      <c r="B928" s="11"/>
      <c r="C928" s="20"/>
      <c r="D928" s="20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5"/>
    </row>
    <row r="929">
      <c r="A929" s="54"/>
      <c r="B929" s="11"/>
      <c r="C929" s="20"/>
      <c r="D929" s="20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5"/>
    </row>
    <row r="930">
      <c r="A930" s="54"/>
      <c r="B930" s="11"/>
      <c r="C930" s="20"/>
      <c r="D930" s="20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5"/>
    </row>
    <row r="931">
      <c r="A931" s="54"/>
      <c r="B931" s="11"/>
      <c r="C931" s="20"/>
      <c r="D931" s="20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5"/>
    </row>
    <row r="932">
      <c r="A932" s="54"/>
      <c r="B932" s="11"/>
      <c r="C932" s="20"/>
      <c r="D932" s="20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5"/>
    </row>
    <row r="933">
      <c r="A933" s="54"/>
      <c r="B933" s="11"/>
      <c r="C933" s="20"/>
      <c r="D933" s="20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5"/>
    </row>
    <row r="934">
      <c r="A934" s="54"/>
      <c r="B934" s="11"/>
      <c r="C934" s="20"/>
      <c r="D934" s="20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5"/>
    </row>
    <row r="935">
      <c r="A935" s="54"/>
      <c r="B935" s="11"/>
      <c r="C935" s="20"/>
      <c r="D935" s="20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5"/>
    </row>
    <row r="936">
      <c r="A936" s="54"/>
      <c r="B936" s="11"/>
      <c r="C936" s="20"/>
      <c r="D936" s="20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5"/>
    </row>
    <row r="937">
      <c r="A937" s="54"/>
      <c r="B937" s="11"/>
      <c r="C937" s="20"/>
      <c r="D937" s="20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5"/>
    </row>
    <row r="938">
      <c r="A938" s="54"/>
      <c r="B938" s="11"/>
      <c r="C938" s="20"/>
      <c r="D938" s="20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5"/>
    </row>
    <row r="939">
      <c r="A939" s="54"/>
      <c r="B939" s="11"/>
      <c r="C939" s="20"/>
      <c r="D939" s="20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5"/>
    </row>
    <row r="940">
      <c r="A940" s="54"/>
      <c r="B940" s="11"/>
      <c r="C940" s="20"/>
      <c r="D940" s="20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5"/>
    </row>
    <row r="941">
      <c r="A941" s="54"/>
      <c r="B941" s="11"/>
      <c r="C941" s="20"/>
      <c r="D941" s="20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5"/>
    </row>
    <row r="942">
      <c r="A942" s="54"/>
      <c r="B942" s="11"/>
      <c r="C942" s="20"/>
      <c r="D942" s="20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5"/>
    </row>
    <row r="943">
      <c r="A943" s="54"/>
      <c r="B943" s="11"/>
      <c r="C943" s="20"/>
      <c r="D943" s="20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5"/>
    </row>
    <row r="944">
      <c r="A944" s="22"/>
      <c r="B944" s="11"/>
      <c r="C944" s="20"/>
      <c r="D944" s="20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5"/>
    </row>
    <row r="945">
      <c r="A945" s="22"/>
      <c r="B945" s="11"/>
      <c r="C945" s="20"/>
      <c r="D945" s="20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5"/>
    </row>
    <row r="946">
      <c r="A946" s="22"/>
      <c r="B946" s="11"/>
      <c r="C946" s="20"/>
      <c r="D946" s="20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5"/>
    </row>
    <row r="947">
      <c r="A947" s="22"/>
      <c r="B947" s="11"/>
      <c r="C947" s="20"/>
      <c r="D947" s="20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5"/>
    </row>
    <row r="948">
      <c r="A948" s="22"/>
      <c r="B948" s="11"/>
      <c r="C948" s="20"/>
      <c r="D948" s="20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5"/>
    </row>
    <row r="949">
      <c r="A949" s="22"/>
      <c r="B949" s="11"/>
      <c r="C949" s="20"/>
      <c r="D949" s="20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5"/>
    </row>
    <row r="950">
      <c r="A950" s="22"/>
      <c r="B950" s="11"/>
      <c r="C950" s="20"/>
      <c r="D950" s="20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5"/>
    </row>
    <row r="951">
      <c r="A951" s="22"/>
      <c r="B951" s="11"/>
      <c r="C951" s="20"/>
      <c r="D951" s="20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5"/>
    </row>
    <row r="952">
      <c r="A952" s="22"/>
      <c r="B952" s="11"/>
      <c r="C952" s="20"/>
      <c r="D952" s="20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5"/>
    </row>
    <row r="953">
      <c r="A953" s="22"/>
      <c r="B953" s="11"/>
      <c r="C953" s="20"/>
      <c r="D953" s="20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5"/>
    </row>
    <row r="954">
      <c r="A954" s="22"/>
      <c r="B954" s="11"/>
      <c r="C954" s="20"/>
      <c r="D954" s="20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5"/>
    </row>
    <row r="955">
      <c r="A955" s="22"/>
      <c r="B955" s="11"/>
      <c r="C955" s="20"/>
      <c r="D955" s="20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5"/>
    </row>
    <row r="956">
      <c r="A956" s="22"/>
      <c r="B956" s="11"/>
      <c r="C956" s="20"/>
      <c r="D956" s="20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5"/>
    </row>
    <row r="957">
      <c r="A957" s="22"/>
      <c r="B957" s="11"/>
      <c r="C957" s="20"/>
      <c r="D957" s="20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5"/>
    </row>
    <row r="958">
      <c r="A958" s="22"/>
      <c r="B958" s="11"/>
      <c r="C958" s="20"/>
      <c r="D958" s="20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5"/>
    </row>
    <row r="959">
      <c r="A959" s="22"/>
      <c r="B959" s="11"/>
      <c r="C959" s="20"/>
      <c r="D959" s="20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5"/>
    </row>
    <row r="960">
      <c r="A960" s="22"/>
      <c r="B960" s="11"/>
      <c r="C960" s="20"/>
      <c r="D960" s="20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5"/>
    </row>
    <row r="961">
      <c r="A961" s="22"/>
      <c r="B961" s="11"/>
      <c r="C961" s="20"/>
      <c r="D961" s="20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5"/>
    </row>
    <row r="962">
      <c r="A962" s="22"/>
      <c r="B962" s="11"/>
      <c r="C962" s="20"/>
      <c r="D962" s="20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5"/>
    </row>
    <row r="963">
      <c r="A963" s="54"/>
      <c r="B963" s="11"/>
      <c r="C963" s="20"/>
      <c r="D963" s="20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5"/>
    </row>
    <row r="964">
      <c r="A964" s="54"/>
      <c r="B964" s="11"/>
      <c r="C964" s="20"/>
      <c r="D964" s="20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5"/>
    </row>
    <row r="965">
      <c r="A965" s="54"/>
      <c r="B965" s="11"/>
      <c r="C965" s="20"/>
      <c r="D965" s="20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5"/>
    </row>
    <row r="966">
      <c r="A966" s="54"/>
      <c r="B966" s="11"/>
      <c r="C966" s="20"/>
      <c r="D966" s="20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5"/>
    </row>
    <row r="967">
      <c r="A967" s="54"/>
      <c r="B967" s="11"/>
      <c r="C967" s="20"/>
      <c r="D967" s="20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5"/>
    </row>
    <row r="968">
      <c r="A968" s="54"/>
      <c r="B968" s="11"/>
      <c r="C968" s="20"/>
      <c r="D968" s="20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5"/>
    </row>
    <row r="969">
      <c r="A969" s="54"/>
      <c r="B969" s="11"/>
      <c r="C969" s="20"/>
      <c r="D969" s="20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5"/>
    </row>
    <row r="970">
      <c r="A970" s="54"/>
      <c r="B970" s="11"/>
      <c r="C970" s="20"/>
      <c r="D970" s="20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5"/>
    </row>
    <row r="971">
      <c r="A971" s="54"/>
      <c r="B971" s="11"/>
      <c r="C971" s="20"/>
      <c r="D971" s="20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5"/>
    </row>
    <row r="972">
      <c r="A972" s="54"/>
      <c r="B972" s="11"/>
      <c r="C972" s="20"/>
      <c r="D972" s="20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5"/>
    </row>
    <row r="973">
      <c r="A973" s="54"/>
      <c r="B973" s="11"/>
      <c r="C973" s="20"/>
      <c r="D973" s="20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5"/>
    </row>
    <row r="974">
      <c r="A974" s="54"/>
      <c r="B974" s="11"/>
      <c r="C974" s="20"/>
      <c r="D974" s="20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5"/>
    </row>
    <row r="975">
      <c r="A975" s="54"/>
      <c r="B975" s="11"/>
      <c r="C975" s="20"/>
      <c r="D975" s="20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5"/>
    </row>
    <row r="976">
      <c r="A976" s="54"/>
      <c r="B976" s="11"/>
      <c r="C976" s="20"/>
      <c r="D976" s="20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5"/>
    </row>
    <row r="977">
      <c r="A977" s="54"/>
      <c r="B977" s="11"/>
      <c r="C977" s="20"/>
      <c r="D977" s="20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5"/>
    </row>
    <row r="978">
      <c r="A978" s="54"/>
      <c r="B978" s="11"/>
      <c r="C978" s="20"/>
      <c r="D978" s="20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5"/>
    </row>
    <row r="979">
      <c r="A979" s="54"/>
      <c r="B979" s="11"/>
      <c r="C979" s="20"/>
      <c r="D979" s="20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5"/>
    </row>
    <row r="980">
      <c r="A980" s="54"/>
      <c r="B980" s="11"/>
      <c r="C980" s="20"/>
      <c r="D980" s="20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5"/>
    </row>
    <row r="981">
      <c r="A981" s="22"/>
      <c r="B981" s="11"/>
      <c r="C981" s="20"/>
      <c r="D981" s="20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5"/>
    </row>
    <row r="982">
      <c r="A982" s="22"/>
      <c r="B982" s="11"/>
      <c r="C982" s="20"/>
      <c r="D982" s="20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5"/>
    </row>
    <row r="983">
      <c r="A983" s="22"/>
      <c r="B983" s="11"/>
      <c r="C983" s="20"/>
      <c r="D983" s="20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5"/>
    </row>
    <row r="984">
      <c r="A984" s="22"/>
      <c r="B984" s="11"/>
      <c r="C984" s="20"/>
      <c r="D984" s="20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5"/>
    </row>
    <row r="985">
      <c r="A985" s="22"/>
      <c r="B985" s="11"/>
      <c r="C985" s="20"/>
      <c r="D985" s="20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5"/>
    </row>
    <row r="986">
      <c r="A986" s="22"/>
      <c r="B986" s="11"/>
      <c r="C986" s="20"/>
      <c r="D986" s="20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5"/>
    </row>
    <row r="987">
      <c r="A987" s="22"/>
      <c r="B987" s="11"/>
      <c r="C987" s="20"/>
      <c r="D987" s="20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5"/>
    </row>
    <row r="988">
      <c r="A988" s="22"/>
      <c r="B988" s="11"/>
      <c r="C988" s="20"/>
      <c r="D988" s="20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5"/>
    </row>
    <row r="989">
      <c r="A989" s="22"/>
      <c r="B989" s="11"/>
      <c r="C989" s="20"/>
      <c r="D989" s="20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5"/>
    </row>
    <row r="990">
      <c r="A990" s="22"/>
      <c r="B990" s="11"/>
      <c r="C990" s="20"/>
      <c r="D990" s="20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5"/>
    </row>
    <row r="991">
      <c r="A991" s="22"/>
      <c r="B991" s="11"/>
      <c r="C991" s="20"/>
      <c r="D991" s="20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5"/>
    </row>
    <row r="992">
      <c r="A992" s="22"/>
      <c r="B992" s="11"/>
      <c r="C992" s="20"/>
      <c r="D992" s="20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5"/>
    </row>
    <row r="993">
      <c r="A993" s="22"/>
      <c r="B993" s="11"/>
      <c r="C993" s="20"/>
      <c r="D993" s="20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5"/>
    </row>
    <row r="994">
      <c r="A994" s="22"/>
      <c r="B994" s="11"/>
      <c r="C994" s="20"/>
      <c r="D994" s="20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5"/>
    </row>
    <row r="995">
      <c r="A995" s="22"/>
      <c r="B995" s="11"/>
      <c r="C995" s="20"/>
      <c r="D995" s="20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5"/>
    </row>
    <row r="996">
      <c r="A996" s="22"/>
      <c r="B996" s="11"/>
      <c r="C996" s="20"/>
      <c r="D996" s="20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5"/>
    </row>
    <row r="997">
      <c r="A997" s="22"/>
      <c r="B997" s="11"/>
      <c r="C997" s="20"/>
      <c r="D997" s="20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5"/>
    </row>
    <row r="998">
      <c r="A998" s="22"/>
      <c r="B998" s="11"/>
      <c r="C998" s="20"/>
      <c r="D998" s="20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5"/>
    </row>
    <row r="999">
      <c r="A999" s="22"/>
      <c r="B999" s="11"/>
      <c r="C999" s="20"/>
      <c r="D999" s="20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5"/>
    </row>
    <row r="1000">
      <c r="A1000" s="11"/>
      <c r="B1000" s="11"/>
      <c r="C1000" s="20"/>
      <c r="D1000" s="20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5"/>
    </row>
    <row r="1001">
      <c r="A1001" s="11"/>
      <c r="B1001" s="11"/>
      <c r="C1001" s="20"/>
      <c r="D1001" s="20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5"/>
    </row>
    <row r="1002">
      <c r="A1002" s="11"/>
      <c r="B1002" s="11"/>
      <c r="C1002" s="20"/>
      <c r="D1002" s="20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5"/>
    </row>
    <row r="1003">
      <c r="A1003" s="11"/>
      <c r="B1003" s="11"/>
      <c r="C1003" s="20"/>
      <c r="D1003" s="20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5"/>
    </row>
    <row r="1004">
      <c r="A1004" s="11"/>
      <c r="B1004" s="11"/>
      <c r="C1004" s="20"/>
      <c r="D1004" s="20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5"/>
    </row>
    <row r="1005">
      <c r="A1005" s="11"/>
      <c r="B1005" s="11"/>
      <c r="C1005" s="20"/>
      <c r="D1005" s="20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5"/>
    </row>
    <row r="1006">
      <c r="A1006" s="11"/>
      <c r="B1006" s="11"/>
      <c r="C1006" s="20"/>
      <c r="D1006" s="20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5"/>
    </row>
    <row r="1007">
      <c r="A1007" s="11"/>
      <c r="B1007" s="11"/>
      <c r="C1007" s="20"/>
      <c r="D1007" s="20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5"/>
    </row>
    <row r="1008">
      <c r="A1008" s="11"/>
      <c r="B1008" s="11"/>
      <c r="C1008" s="20"/>
      <c r="D1008" s="20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5"/>
    </row>
    <row r="1009">
      <c r="A1009" s="11"/>
      <c r="B1009" s="11"/>
      <c r="C1009" s="20"/>
      <c r="D1009" s="20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5"/>
    </row>
    <row r="1010">
      <c r="A1010" s="11"/>
      <c r="B1010" s="11"/>
      <c r="C1010" s="20"/>
      <c r="D1010" s="20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5"/>
    </row>
    <row r="1011">
      <c r="A1011" s="11"/>
      <c r="B1011" s="11"/>
      <c r="C1011" s="20"/>
      <c r="D1011" s="20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5"/>
    </row>
    <row r="1012">
      <c r="A1012" s="11"/>
      <c r="B1012" s="11"/>
      <c r="C1012" s="20"/>
      <c r="D1012" s="20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5"/>
    </row>
    <row r="1013">
      <c r="A1013" s="11"/>
      <c r="B1013" s="11"/>
      <c r="C1013" s="20"/>
      <c r="D1013" s="20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5"/>
    </row>
    <row r="1014">
      <c r="A1014" s="11"/>
      <c r="B1014" s="11"/>
      <c r="C1014" s="20"/>
      <c r="D1014" s="20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5"/>
    </row>
    <row r="1015">
      <c r="A1015" s="11"/>
      <c r="B1015" s="11"/>
      <c r="C1015" s="20"/>
      <c r="D1015" s="20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5"/>
    </row>
    <row r="1016">
      <c r="A1016" s="11"/>
      <c r="B1016" s="11"/>
      <c r="C1016" s="20"/>
      <c r="D1016" s="20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5"/>
    </row>
    <row r="1017">
      <c r="A1017" s="11"/>
      <c r="B1017" s="11"/>
      <c r="C1017" s="20"/>
      <c r="D1017" s="20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5"/>
    </row>
    <row r="1018">
      <c r="A1018" s="11"/>
      <c r="B1018" s="11"/>
      <c r="C1018" s="20"/>
      <c r="D1018" s="20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5"/>
    </row>
    <row r="1019">
      <c r="A1019" s="11"/>
      <c r="B1019" s="11"/>
      <c r="C1019" s="20"/>
      <c r="D1019" s="20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5"/>
    </row>
    <row r="1020">
      <c r="A1020" s="11"/>
      <c r="B1020" s="11"/>
      <c r="C1020" s="20"/>
      <c r="D1020" s="20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5"/>
    </row>
    <row r="1021">
      <c r="A1021" s="11"/>
      <c r="B1021" s="11"/>
      <c r="C1021" s="20"/>
      <c r="D1021" s="20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5"/>
    </row>
    <row r="1022">
      <c r="A1022" s="11"/>
      <c r="B1022" s="11"/>
      <c r="C1022" s="20"/>
      <c r="D1022" s="20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5"/>
    </row>
    <row r="1023">
      <c r="A1023" s="11"/>
      <c r="B1023" s="11"/>
      <c r="C1023" s="20"/>
      <c r="D1023" s="20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5"/>
    </row>
    <row r="1024">
      <c r="A1024" s="11"/>
      <c r="B1024" s="11"/>
      <c r="C1024" s="20"/>
      <c r="D1024" s="20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5"/>
    </row>
    <row r="1025">
      <c r="A1025" s="11"/>
      <c r="B1025" s="11"/>
      <c r="C1025" s="20"/>
      <c r="D1025" s="20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5"/>
    </row>
    <row r="1026">
      <c r="A1026" s="11"/>
      <c r="B1026" s="11"/>
      <c r="C1026" s="20"/>
      <c r="D1026" s="20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5"/>
    </row>
    <row r="1027">
      <c r="A1027" s="11"/>
      <c r="B1027" s="11"/>
      <c r="C1027" s="20"/>
      <c r="D1027" s="20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5"/>
    </row>
    <row r="1028">
      <c r="A1028" s="11"/>
      <c r="B1028" s="11"/>
      <c r="C1028" s="20"/>
      <c r="D1028" s="20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5"/>
    </row>
    <row r="1029">
      <c r="A1029" s="11"/>
      <c r="B1029" s="11"/>
      <c r="C1029" s="20"/>
      <c r="D1029" s="20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5"/>
    </row>
    <row r="1030">
      <c r="A1030" s="11"/>
      <c r="B1030" s="11"/>
      <c r="C1030" s="20"/>
      <c r="D1030" s="20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5"/>
    </row>
    <row r="1031">
      <c r="A1031" s="11"/>
      <c r="B1031" s="11"/>
      <c r="C1031" s="20"/>
      <c r="D1031" s="20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5"/>
    </row>
    <row r="1032">
      <c r="A1032" s="11"/>
      <c r="B1032" s="11"/>
      <c r="C1032" s="20"/>
      <c r="D1032" s="20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5"/>
    </row>
    <row r="1033">
      <c r="A1033" s="11"/>
      <c r="B1033" s="11"/>
      <c r="C1033" s="20"/>
      <c r="D1033" s="20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5"/>
    </row>
    <row r="1034">
      <c r="A1034" s="11"/>
      <c r="B1034" s="11"/>
      <c r="C1034" s="20"/>
      <c r="D1034" s="20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5"/>
    </row>
    <row r="1035">
      <c r="A1035" s="11"/>
      <c r="B1035" s="11"/>
      <c r="C1035" s="20"/>
      <c r="D1035" s="20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5"/>
    </row>
    <row r="1036">
      <c r="A1036" s="11"/>
      <c r="B1036" s="11"/>
      <c r="C1036" s="20"/>
      <c r="D1036" s="20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5"/>
    </row>
    <row r="1037">
      <c r="A1037" s="11"/>
      <c r="B1037" s="11"/>
      <c r="C1037" s="20"/>
      <c r="D1037" s="20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5"/>
    </row>
    <row r="1038">
      <c r="A1038" s="11"/>
      <c r="B1038" s="11"/>
      <c r="C1038" s="20"/>
      <c r="D1038" s="20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5"/>
    </row>
    <row r="1039">
      <c r="A1039" s="11"/>
      <c r="B1039" s="11"/>
      <c r="C1039" s="20"/>
      <c r="D1039" s="20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5"/>
    </row>
    <row r="1040">
      <c r="A1040" s="11"/>
      <c r="B1040" s="11"/>
      <c r="C1040" s="20"/>
      <c r="D1040" s="20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5"/>
    </row>
    <row r="1041">
      <c r="A1041" s="11"/>
      <c r="B1041" s="11"/>
      <c r="C1041" s="20"/>
      <c r="D1041" s="20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5"/>
    </row>
    <row r="1042">
      <c r="A1042" s="11"/>
      <c r="B1042" s="11"/>
      <c r="C1042" s="20"/>
      <c r="D1042" s="20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5"/>
    </row>
    <row r="1043">
      <c r="A1043" s="11"/>
      <c r="B1043" s="11"/>
      <c r="C1043" s="20"/>
      <c r="D1043" s="20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5"/>
    </row>
    <row r="1044">
      <c r="A1044" s="11"/>
      <c r="B1044" s="11"/>
      <c r="C1044" s="20"/>
      <c r="D1044" s="20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5"/>
    </row>
    <row r="1045">
      <c r="A1045" s="11"/>
      <c r="B1045" s="11"/>
      <c r="C1045" s="20"/>
      <c r="D1045" s="20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5"/>
    </row>
    <row r="1046">
      <c r="A1046" s="11"/>
      <c r="B1046" s="11"/>
      <c r="C1046" s="20"/>
      <c r="D1046" s="20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5"/>
    </row>
    <row r="1047">
      <c r="A1047" s="11"/>
      <c r="B1047" s="11"/>
      <c r="C1047" s="20"/>
      <c r="D1047" s="20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5"/>
    </row>
    <row r="1048">
      <c r="A1048" s="11"/>
      <c r="B1048" s="11"/>
      <c r="C1048" s="20"/>
      <c r="D1048" s="20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5"/>
    </row>
    <row r="1049">
      <c r="A1049" s="11"/>
      <c r="B1049" s="11"/>
      <c r="C1049" s="20"/>
      <c r="D1049" s="20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5"/>
    </row>
    <row r="1050">
      <c r="A1050" s="11"/>
      <c r="B1050" s="11"/>
      <c r="C1050" s="20"/>
      <c r="D1050" s="20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5"/>
    </row>
    <row r="1051">
      <c r="A1051" s="11"/>
      <c r="B1051" s="11"/>
      <c r="C1051" s="20"/>
      <c r="D1051" s="20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5"/>
    </row>
    <row r="1052">
      <c r="A1052" s="11"/>
      <c r="B1052" s="11"/>
      <c r="C1052" s="20"/>
      <c r="D1052" s="20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5"/>
    </row>
    <row r="1053">
      <c r="A1053" s="11"/>
      <c r="B1053" s="11"/>
      <c r="C1053" s="20"/>
      <c r="D1053" s="20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5"/>
    </row>
    <row r="1054">
      <c r="A1054" s="11"/>
      <c r="B1054" s="11"/>
      <c r="C1054" s="20"/>
      <c r="D1054" s="20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5"/>
    </row>
    <row r="1055">
      <c r="A1055" s="11"/>
      <c r="B1055" s="11"/>
      <c r="C1055" s="20"/>
      <c r="D1055" s="20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5"/>
    </row>
    <row r="1056">
      <c r="A1056" s="11"/>
      <c r="B1056" s="11"/>
      <c r="C1056" s="20"/>
      <c r="D1056" s="20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5"/>
    </row>
    <row r="1057">
      <c r="A1057" s="11"/>
      <c r="B1057" s="11"/>
      <c r="C1057" s="20"/>
      <c r="D1057" s="20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5"/>
    </row>
    <row r="1058">
      <c r="A1058" s="11"/>
      <c r="B1058" s="11"/>
      <c r="C1058" s="20"/>
      <c r="D1058" s="20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5"/>
    </row>
    <row r="1059">
      <c r="A1059" s="11"/>
      <c r="B1059" s="11"/>
      <c r="C1059" s="20"/>
      <c r="D1059" s="20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5"/>
    </row>
    <row r="1060">
      <c r="A1060" s="11"/>
      <c r="B1060" s="11"/>
      <c r="C1060" s="20"/>
      <c r="D1060" s="20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5"/>
    </row>
    <row r="1061">
      <c r="A1061" s="11"/>
      <c r="B1061" s="11"/>
      <c r="C1061" s="20"/>
      <c r="D1061" s="20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5"/>
    </row>
    <row r="1062">
      <c r="A1062" s="11"/>
      <c r="B1062" s="11"/>
      <c r="C1062" s="20"/>
      <c r="D1062" s="20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5"/>
    </row>
    <row r="1063">
      <c r="A1063" s="11"/>
      <c r="B1063" s="11"/>
      <c r="C1063" s="20"/>
      <c r="D1063" s="20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5"/>
    </row>
    <row r="1064">
      <c r="A1064" s="11"/>
      <c r="B1064" s="11"/>
      <c r="C1064" s="20"/>
      <c r="D1064" s="20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5"/>
    </row>
    <row r="1065">
      <c r="A1065" s="11"/>
      <c r="B1065" s="11"/>
      <c r="C1065" s="20"/>
      <c r="D1065" s="20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5"/>
    </row>
    <row r="1066">
      <c r="A1066" s="11"/>
      <c r="B1066" s="11"/>
      <c r="C1066" s="20"/>
      <c r="D1066" s="20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5"/>
    </row>
    <row r="1067">
      <c r="A1067" s="11"/>
      <c r="B1067" s="11"/>
      <c r="C1067" s="20"/>
      <c r="D1067" s="20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5"/>
    </row>
    <row r="1068">
      <c r="A1068" s="11"/>
      <c r="B1068" s="11"/>
      <c r="C1068" s="20"/>
      <c r="D1068" s="20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5"/>
    </row>
    <row r="1069">
      <c r="A1069" s="11"/>
      <c r="B1069" s="11"/>
      <c r="C1069" s="20"/>
      <c r="D1069" s="20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5"/>
    </row>
    <row r="1070">
      <c r="A1070" s="11"/>
      <c r="B1070" s="11"/>
      <c r="C1070" s="20"/>
      <c r="D1070" s="20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5"/>
    </row>
    <row r="1071">
      <c r="A1071" s="11"/>
      <c r="B1071" s="11"/>
      <c r="C1071" s="20"/>
      <c r="D1071" s="20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5"/>
    </row>
    <row r="1072">
      <c r="A1072" s="11"/>
      <c r="B1072" s="11"/>
      <c r="C1072" s="20"/>
      <c r="D1072" s="20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5"/>
    </row>
    <row r="1073">
      <c r="A1073" s="11"/>
      <c r="B1073" s="11"/>
      <c r="C1073" s="20"/>
      <c r="D1073" s="20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5"/>
    </row>
    <row r="1074">
      <c r="A1074" s="11"/>
      <c r="B1074" s="11"/>
      <c r="C1074" s="20"/>
      <c r="D1074" s="20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5"/>
    </row>
    <row r="1075">
      <c r="A1075" s="11"/>
      <c r="B1075" s="11"/>
      <c r="C1075" s="20"/>
      <c r="D1075" s="20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5"/>
    </row>
    <row r="1076">
      <c r="A1076" s="11"/>
      <c r="B1076" s="11"/>
      <c r="C1076" s="20"/>
      <c r="D1076" s="20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5"/>
    </row>
    <row r="1077">
      <c r="A1077" s="11"/>
      <c r="B1077" s="11"/>
      <c r="C1077" s="20"/>
      <c r="D1077" s="20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5"/>
    </row>
    <row r="1078">
      <c r="A1078" s="11"/>
      <c r="B1078" s="11"/>
      <c r="C1078" s="20"/>
      <c r="D1078" s="20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5"/>
    </row>
    <row r="1079">
      <c r="A1079" s="11"/>
      <c r="B1079" s="11"/>
      <c r="C1079" s="20"/>
      <c r="D1079" s="20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5"/>
    </row>
    <row r="1080">
      <c r="A1080" s="11"/>
      <c r="B1080" s="11"/>
      <c r="C1080" s="20"/>
      <c r="D1080" s="20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5"/>
    </row>
    <row r="1081">
      <c r="A1081" s="11"/>
      <c r="B1081" s="11"/>
      <c r="C1081" s="20"/>
      <c r="D1081" s="20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5"/>
    </row>
    <row r="1082">
      <c r="A1082" s="11"/>
      <c r="B1082" s="11"/>
      <c r="C1082" s="20"/>
      <c r="D1082" s="20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5"/>
    </row>
    <row r="1083">
      <c r="A1083" s="11"/>
      <c r="B1083" s="11"/>
      <c r="C1083" s="20"/>
      <c r="D1083" s="20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5"/>
    </row>
    <row r="1084">
      <c r="A1084" s="11"/>
      <c r="B1084" s="11"/>
      <c r="C1084" s="20"/>
      <c r="D1084" s="20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5"/>
    </row>
    <row r="1085">
      <c r="A1085" s="11"/>
      <c r="B1085" s="11"/>
      <c r="C1085" s="20"/>
      <c r="D1085" s="20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5"/>
    </row>
    <row r="1086">
      <c r="A1086" s="11"/>
      <c r="B1086" s="11"/>
      <c r="C1086" s="20"/>
      <c r="D1086" s="20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5"/>
    </row>
    <row r="1087">
      <c r="A1087" s="11"/>
      <c r="B1087" s="11"/>
      <c r="C1087" s="20"/>
      <c r="D1087" s="20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5"/>
    </row>
    <row r="1088">
      <c r="A1088" s="11"/>
      <c r="B1088" s="11"/>
      <c r="C1088" s="20"/>
      <c r="D1088" s="20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5"/>
    </row>
    <row r="1089">
      <c r="A1089" s="11"/>
      <c r="B1089" s="11"/>
      <c r="C1089" s="20"/>
      <c r="D1089" s="20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5"/>
    </row>
    <row r="1090">
      <c r="A1090" s="11"/>
      <c r="B1090" s="11"/>
      <c r="C1090" s="20"/>
      <c r="D1090" s="20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5"/>
    </row>
    <row r="1091">
      <c r="A1091" s="11"/>
      <c r="B1091" s="11"/>
      <c r="C1091" s="20"/>
      <c r="D1091" s="20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5"/>
    </row>
    <row r="1092">
      <c r="A1092" s="11"/>
      <c r="B1092" s="11"/>
      <c r="C1092" s="20"/>
      <c r="D1092" s="20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5"/>
    </row>
    <row r="1093">
      <c r="A1093" s="11"/>
      <c r="B1093" s="11"/>
      <c r="C1093" s="20"/>
      <c r="D1093" s="20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5"/>
    </row>
    <row r="1094">
      <c r="A1094" s="11"/>
      <c r="B1094" s="11"/>
      <c r="C1094" s="20"/>
      <c r="D1094" s="20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5"/>
    </row>
    <row r="1095">
      <c r="A1095" s="11"/>
      <c r="B1095" s="11"/>
      <c r="C1095" s="20"/>
      <c r="D1095" s="20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5"/>
    </row>
    <row r="1096">
      <c r="A1096" s="11"/>
      <c r="B1096" s="11"/>
      <c r="C1096" s="20"/>
      <c r="D1096" s="20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5"/>
    </row>
    <row r="1097">
      <c r="A1097" s="11"/>
      <c r="B1097" s="11"/>
      <c r="C1097" s="20"/>
      <c r="D1097" s="20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5"/>
    </row>
    <row r="1098">
      <c r="A1098" s="11"/>
      <c r="B1098" s="11"/>
      <c r="C1098" s="20"/>
      <c r="D1098" s="20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5"/>
    </row>
    <row r="1099">
      <c r="A1099" s="11"/>
      <c r="B1099" s="11"/>
      <c r="C1099" s="20"/>
      <c r="D1099" s="20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5"/>
    </row>
    <row r="1100">
      <c r="A1100" s="11"/>
      <c r="B1100" s="11"/>
      <c r="C1100" s="20"/>
      <c r="D1100" s="20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5"/>
    </row>
    <row r="1101">
      <c r="A1101" s="11"/>
      <c r="B1101" s="11"/>
      <c r="C1101" s="20"/>
      <c r="D1101" s="20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5"/>
    </row>
    <row r="1102">
      <c r="A1102" s="11"/>
      <c r="B1102" s="11"/>
      <c r="C1102" s="20"/>
      <c r="D1102" s="20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5"/>
    </row>
    <row r="1103">
      <c r="A1103" s="11"/>
      <c r="B1103" s="11"/>
      <c r="C1103" s="20"/>
      <c r="D1103" s="20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5"/>
    </row>
    <row r="1104">
      <c r="A1104" s="11"/>
      <c r="B1104" s="11"/>
      <c r="C1104" s="20"/>
      <c r="D1104" s="20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5"/>
    </row>
    <row r="1105">
      <c r="A1105" s="11"/>
      <c r="B1105" s="11"/>
      <c r="C1105" s="20"/>
      <c r="D1105" s="20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5"/>
    </row>
    <row r="1106">
      <c r="A1106" s="11"/>
      <c r="B1106" s="11"/>
      <c r="C1106" s="20"/>
      <c r="D1106" s="20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5"/>
    </row>
    <row r="1107">
      <c r="A1107" s="11"/>
      <c r="B1107" s="11"/>
      <c r="C1107" s="20"/>
      <c r="D1107" s="20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5"/>
    </row>
    <row r="1108">
      <c r="A1108" s="11"/>
      <c r="B1108" s="11"/>
      <c r="C1108" s="20"/>
      <c r="D1108" s="20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5"/>
    </row>
    <row r="1109">
      <c r="A1109" s="11"/>
      <c r="B1109" s="11"/>
      <c r="C1109" s="20"/>
      <c r="D1109" s="20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5"/>
    </row>
    <row r="1110">
      <c r="A1110" s="11"/>
      <c r="B1110" s="11"/>
      <c r="C1110" s="20"/>
      <c r="D1110" s="20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5"/>
    </row>
    <row r="1111">
      <c r="A1111" s="11"/>
      <c r="B1111" s="11"/>
      <c r="C1111" s="20"/>
      <c r="D1111" s="20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5"/>
    </row>
    <row r="1112">
      <c r="A1112" s="11"/>
      <c r="B1112" s="11"/>
      <c r="C1112" s="20"/>
      <c r="D1112" s="20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5"/>
    </row>
    <row r="1113">
      <c r="A1113" s="11"/>
      <c r="B1113" s="11"/>
      <c r="C1113" s="20"/>
      <c r="D1113" s="20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5"/>
    </row>
    <row r="1114">
      <c r="A1114" s="11"/>
      <c r="B1114" s="11"/>
      <c r="C1114" s="20"/>
      <c r="D1114" s="20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5"/>
    </row>
    <row r="1115">
      <c r="A1115" s="11"/>
      <c r="B1115" s="11"/>
      <c r="C1115" s="20"/>
      <c r="D1115" s="20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5"/>
    </row>
    <row r="1116">
      <c r="A1116" s="11"/>
      <c r="B1116" s="11"/>
      <c r="C1116" s="20"/>
      <c r="D1116" s="20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5"/>
    </row>
    <row r="1117">
      <c r="A1117" s="11"/>
      <c r="B1117" s="11"/>
      <c r="C1117" s="20"/>
      <c r="D1117" s="20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5"/>
    </row>
    <row r="1118">
      <c r="A1118" s="11"/>
      <c r="B1118" s="11"/>
      <c r="C1118" s="20"/>
      <c r="D1118" s="20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5"/>
    </row>
    <row r="1119">
      <c r="A1119" s="11"/>
      <c r="B1119" s="11"/>
      <c r="C1119" s="20"/>
      <c r="D1119" s="20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5"/>
    </row>
    <row r="1120">
      <c r="A1120" s="11"/>
      <c r="B1120" s="11"/>
      <c r="C1120" s="20"/>
      <c r="D1120" s="20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5"/>
    </row>
    <row r="1121">
      <c r="A1121" s="11"/>
      <c r="B1121" s="11"/>
      <c r="C1121" s="20"/>
      <c r="D1121" s="20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5"/>
    </row>
    <row r="1122">
      <c r="A1122" s="11"/>
      <c r="B1122" s="11"/>
      <c r="C1122" s="20"/>
      <c r="D1122" s="20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5"/>
    </row>
    <row r="1123">
      <c r="A1123" s="11"/>
      <c r="B1123" s="11"/>
      <c r="C1123" s="20"/>
      <c r="D1123" s="20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5"/>
    </row>
    <row r="1124">
      <c r="A1124" s="11"/>
      <c r="B1124" s="11"/>
      <c r="C1124" s="20"/>
      <c r="D1124" s="20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5"/>
    </row>
    <row r="1125">
      <c r="A1125" s="11"/>
      <c r="B1125" s="11"/>
      <c r="C1125" s="20"/>
      <c r="D1125" s="20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5"/>
    </row>
    <row r="1126">
      <c r="A1126" s="11"/>
      <c r="B1126" s="11"/>
      <c r="C1126" s="20"/>
      <c r="D1126" s="20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5"/>
    </row>
    <row r="1127">
      <c r="A1127" s="11"/>
      <c r="B1127" s="11"/>
      <c r="C1127" s="20"/>
      <c r="D1127" s="20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5"/>
    </row>
    <row r="1128">
      <c r="A1128" s="11"/>
      <c r="B1128" s="11"/>
      <c r="C1128" s="20"/>
      <c r="D1128" s="20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5"/>
    </row>
    <row r="1129">
      <c r="A1129" s="11"/>
      <c r="B1129" s="11"/>
      <c r="C1129" s="20"/>
      <c r="D1129" s="20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5"/>
    </row>
    <row r="1130">
      <c r="A1130" s="11"/>
      <c r="B1130" s="11"/>
      <c r="C1130" s="20"/>
      <c r="D1130" s="20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5"/>
    </row>
    <row r="1131">
      <c r="A1131" s="11"/>
      <c r="B1131" s="11"/>
      <c r="C1131" s="20"/>
      <c r="D1131" s="20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5"/>
    </row>
    <row r="1132">
      <c r="A1132" s="11"/>
      <c r="B1132" s="11"/>
      <c r="C1132" s="20"/>
      <c r="D1132" s="20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5"/>
    </row>
    <row r="1133">
      <c r="A1133" s="11"/>
      <c r="B1133" s="11"/>
      <c r="C1133" s="20"/>
      <c r="D1133" s="20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5"/>
    </row>
    <row r="1134">
      <c r="A1134" s="11"/>
      <c r="B1134" s="11"/>
      <c r="C1134" s="20"/>
      <c r="D1134" s="20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5"/>
    </row>
    <row r="1135">
      <c r="A1135" s="11"/>
      <c r="B1135" s="11"/>
      <c r="C1135" s="20"/>
      <c r="D1135" s="20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5"/>
    </row>
    <row r="1136">
      <c r="A1136" s="11"/>
      <c r="B1136" s="11"/>
      <c r="C1136" s="20"/>
      <c r="D1136" s="20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5"/>
    </row>
    <row r="1137">
      <c r="A1137" s="11"/>
      <c r="B1137" s="11"/>
      <c r="C1137" s="20"/>
      <c r="D1137" s="20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5"/>
    </row>
    <row r="1138">
      <c r="A1138" s="11"/>
      <c r="B1138" s="11"/>
      <c r="C1138" s="20"/>
      <c r="D1138" s="20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5"/>
    </row>
    <row r="1139">
      <c r="A1139" s="11"/>
      <c r="B1139" s="11"/>
      <c r="C1139" s="20"/>
      <c r="D1139" s="20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5"/>
    </row>
    <row r="1140">
      <c r="A1140" s="11"/>
      <c r="B1140" s="11"/>
      <c r="C1140" s="20"/>
      <c r="D1140" s="20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5"/>
    </row>
    <row r="1141">
      <c r="A1141" s="11"/>
      <c r="B1141" s="11"/>
      <c r="C1141" s="20"/>
      <c r="D1141" s="20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5"/>
    </row>
    <row r="1142">
      <c r="A1142" s="11"/>
      <c r="B1142" s="11"/>
      <c r="C1142" s="20"/>
      <c r="D1142" s="20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5"/>
    </row>
    <row r="1143">
      <c r="A1143" s="11"/>
      <c r="B1143" s="11"/>
      <c r="C1143" s="20"/>
      <c r="D1143" s="20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5"/>
    </row>
    <row r="1144">
      <c r="A1144" s="11"/>
      <c r="B1144" s="11"/>
      <c r="C1144" s="20"/>
      <c r="D1144" s="20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5"/>
    </row>
    <row r="1145">
      <c r="A1145" s="11"/>
      <c r="B1145" s="11"/>
      <c r="C1145" s="20"/>
      <c r="D1145" s="20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5"/>
    </row>
    <row r="1146">
      <c r="A1146" s="11"/>
      <c r="B1146" s="11"/>
      <c r="C1146" s="20"/>
      <c r="D1146" s="20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5"/>
    </row>
    <row r="1147">
      <c r="A1147" s="11"/>
      <c r="B1147" s="11"/>
      <c r="C1147" s="20"/>
      <c r="D1147" s="20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5"/>
    </row>
    <row r="1148">
      <c r="A1148" s="11"/>
      <c r="B1148" s="11"/>
      <c r="C1148" s="20"/>
      <c r="D1148" s="20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5"/>
    </row>
    <row r="1149">
      <c r="A1149" s="11"/>
      <c r="B1149" s="11"/>
      <c r="C1149" s="20"/>
      <c r="D1149" s="20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5"/>
    </row>
    <row r="1150">
      <c r="A1150" s="11"/>
      <c r="B1150" s="11"/>
      <c r="C1150" s="20"/>
      <c r="D1150" s="20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5"/>
    </row>
    <row r="1151">
      <c r="A1151" s="11"/>
      <c r="B1151" s="11"/>
      <c r="C1151" s="20"/>
      <c r="D1151" s="20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5"/>
    </row>
    <row r="1152">
      <c r="A1152" s="11"/>
      <c r="B1152" s="11"/>
      <c r="C1152" s="20"/>
      <c r="D1152" s="20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5"/>
    </row>
    <row r="1153">
      <c r="A1153" s="11"/>
      <c r="B1153" s="11"/>
      <c r="C1153" s="20"/>
      <c r="D1153" s="20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5"/>
    </row>
    <row r="1154">
      <c r="A1154" s="11"/>
      <c r="B1154" s="11"/>
      <c r="C1154" s="20"/>
      <c r="D1154" s="20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5"/>
    </row>
    <row r="1155">
      <c r="A1155" s="11"/>
      <c r="B1155" s="11"/>
      <c r="C1155" s="20"/>
      <c r="D1155" s="20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5"/>
    </row>
    <row r="1156">
      <c r="A1156" s="11"/>
      <c r="B1156" s="11"/>
      <c r="C1156" s="20"/>
      <c r="D1156" s="20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5"/>
    </row>
    <row r="1157">
      <c r="A1157" s="11"/>
      <c r="B1157" s="11"/>
      <c r="C1157" s="20"/>
      <c r="D1157" s="20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5"/>
    </row>
    <row r="1158">
      <c r="A1158" s="11"/>
      <c r="B1158" s="11"/>
      <c r="C1158" s="20"/>
      <c r="D1158" s="20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5"/>
    </row>
    <row r="1159">
      <c r="A1159" s="11"/>
      <c r="B1159" s="11"/>
      <c r="C1159" s="20"/>
      <c r="D1159" s="20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5"/>
    </row>
    <row r="1160">
      <c r="A1160" s="11"/>
      <c r="B1160" s="11"/>
      <c r="C1160" s="20"/>
      <c r="D1160" s="20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5"/>
    </row>
    <row r="1161">
      <c r="A1161" s="11"/>
      <c r="B1161" s="11"/>
      <c r="C1161" s="20"/>
      <c r="D1161" s="20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5"/>
    </row>
    <row r="1162">
      <c r="A1162" s="11"/>
      <c r="B1162" s="11"/>
      <c r="C1162" s="20"/>
      <c r="D1162" s="20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5"/>
    </row>
    <row r="1163">
      <c r="A1163" s="11"/>
      <c r="B1163" s="11"/>
      <c r="C1163" s="20"/>
      <c r="D1163" s="20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5"/>
    </row>
    <row r="1164">
      <c r="A1164" s="11"/>
      <c r="B1164" s="11"/>
      <c r="C1164" s="20"/>
      <c r="D1164" s="20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5"/>
    </row>
    <row r="1165">
      <c r="A1165" s="11"/>
      <c r="B1165" s="11"/>
      <c r="C1165" s="20"/>
      <c r="D1165" s="20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5"/>
    </row>
    <row r="1166">
      <c r="A1166" s="11"/>
      <c r="B1166" s="11"/>
      <c r="C1166" s="20"/>
      <c r="D1166" s="20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5"/>
    </row>
    <row r="1167">
      <c r="A1167" s="11"/>
      <c r="B1167" s="11"/>
      <c r="C1167" s="20"/>
      <c r="D1167" s="20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5"/>
    </row>
    <row r="1168">
      <c r="A1168" s="11"/>
      <c r="B1168" s="11"/>
      <c r="C1168" s="20"/>
      <c r="D1168" s="20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5"/>
    </row>
    <row r="1169">
      <c r="A1169" s="11"/>
      <c r="B1169" s="11"/>
      <c r="C1169" s="20"/>
      <c r="D1169" s="20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5"/>
    </row>
    <row r="1170">
      <c r="A1170" s="11"/>
      <c r="B1170" s="11"/>
      <c r="C1170" s="20"/>
      <c r="D1170" s="20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5"/>
    </row>
    <row r="1171">
      <c r="A1171" s="11"/>
      <c r="B1171" s="11"/>
      <c r="C1171" s="20"/>
      <c r="D1171" s="20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5"/>
    </row>
    <row r="1172">
      <c r="A1172" s="11"/>
      <c r="B1172" s="11"/>
      <c r="C1172" s="20"/>
      <c r="D1172" s="20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5"/>
    </row>
    <row r="1173">
      <c r="A1173" s="11"/>
      <c r="B1173" s="11"/>
      <c r="C1173" s="20"/>
      <c r="D1173" s="20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5"/>
    </row>
    <row r="1174">
      <c r="A1174" s="11"/>
      <c r="B1174" s="11"/>
      <c r="C1174" s="20"/>
      <c r="D1174" s="20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5"/>
    </row>
    <row r="1175">
      <c r="A1175" s="11"/>
      <c r="B1175" s="11"/>
      <c r="C1175" s="20"/>
      <c r="D1175" s="20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5"/>
    </row>
    <row r="1176">
      <c r="A1176" s="11"/>
      <c r="B1176" s="11"/>
      <c r="C1176" s="20"/>
      <c r="D1176" s="20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5"/>
    </row>
    <row r="1177">
      <c r="A1177" s="11"/>
      <c r="B1177" s="11"/>
      <c r="C1177" s="20"/>
      <c r="D1177" s="20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5"/>
    </row>
    <row r="1178">
      <c r="A1178" s="11"/>
      <c r="B1178" s="11"/>
      <c r="C1178" s="20"/>
      <c r="D1178" s="20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5"/>
    </row>
    <row r="1179">
      <c r="A1179" s="11"/>
      <c r="B1179" s="11"/>
      <c r="C1179" s="20"/>
      <c r="D1179" s="20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5"/>
    </row>
    <row r="1180">
      <c r="A1180" s="11"/>
      <c r="B1180" s="11"/>
      <c r="C1180" s="20"/>
      <c r="D1180" s="20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5"/>
    </row>
    <row r="1181">
      <c r="A1181" s="11"/>
      <c r="B1181" s="11"/>
      <c r="C1181" s="20"/>
      <c r="D1181" s="20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5"/>
    </row>
    <row r="1182">
      <c r="A1182" s="11"/>
      <c r="B1182" s="11"/>
      <c r="C1182" s="20"/>
      <c r="D1182" s="20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5"/>
    </row>
    <row r="1183">
      <c r="A1183" s="11"/>
      <c r="B1183" s="11"/>
      <c r="C1183" s="20"/>
      <c r="D1183" s="20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5"/>
    </row>
    <row r="1184">
      <c r="A1184" s="11"/>
      <c r="B1184" s="11"/>
      <c r="C1184" s="20"/>
      <c r="D1184" s="20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5"/>
    </row>
    <row r="1185">
      <c r="A1185" s="11"/>
      <c r="B1185" s="11"/>
      <c r="C1185" s="20"/>
      <c r="D1185" s="20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5"/>
    </row>
    <row r="1186">
      <c r="A1186" s="11"/>
      <c r="B1186" s="11"/>
      <c r="C1186" s="20"/>
      <c r="D1186" s="20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5"/>
    </row>
    <row r="1187">
      <c r="A1187" s="11"/>
      <c r="B1187" s="11"/>
      <c r="C1187" s="20"/>
      <c r="D1187" s="20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5"/>
    </row>
    <row r="1188">
      <c r="A1188" s="11"/>
      <c r="B1188" s="11"/>
      <c r="C1188" s="20"/>
      <c r="D1188" s="20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5"/>
    </row>
    <row r="1189">
      <c r="A1189" s="11"/>
      <c r="B1189" s="11"/>
      <c r="C1189" s="20"/>
      <c r="D1189" s="20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5"/>
    </row>
    <row r="1190">
      <c r="A1190" s="11"/>
      <c r="B1190" s="11"/>
      <c r="C1190" s="20"/>
      <c r="D1190" s="20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5"/>
    </row>
    <row r="1191">
      <c r="A1191" s="11"/>
      <c r="B1191" s="11"/>
      <c r="C1191" s="20"/>
      <c r="D1191" s="20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5"/>
    </row>
    <row r="1192">
      <c r="A1192" s="11"/>
      <c r="B1192" s="11"/>
      <c r="C1192" s="20"/>
      <c r="D1192" s="20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5"/>
    </row>
    <row r="1193">
      <c r="A1193" s="11"/>
      <c r="B1193" s="11"/>
      <c r="C1193" s="20"/>
      <c r="D1193" s="20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5"/>
    </row>
    <row r="1194">
      <c r="A1194" s="11"/>
      <c r="B1194" s="11"/>
      <c r="C1194" s="20"/>
      <c r="D1194" s="20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5"/>
    </row>
    <row r="1195">
      <c r="A1195" s="11"/>
      <c r="B1195" s="11"/>
      <c r="C1195" s="20"/>
      <c r="D1195" s="20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5"/>
    </row>
    <row r="1196">
      <c r="A1196" s="11"/>
      <c r="B1196" s="11"/>
      <c r="C1196" s="20"/>
      <c r="D1196" s="20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5"/>
    </row>
    <row r="1197">
      <c r="A1197" s="11"/>
      <c r="B1197" s="11"/>
      <c r="C1197" s="20"/>
      <c r="D1197" s="20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5"/>
    </row>
    <row r="1198">
      <c r="A1198" s="11"/>
      <c r="B1198" s="11"/>
      <c r="C1198" s="20"/>
      <c r="D1198" s="20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5"/>
    </row>
    <row r="1199">
      <c r="A1199" s="11"/>
      <c r="B1199" s="11"/>
      <c r="C1199" s="20"/>
      <c r="D1199" s="20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5"/>
    </row>
    <row r="1200">
      <c r="A1200" s="11"/>
      <c r="B1200" s="11"/>
      <c r="C1200" s="20"/>
      <c r="D1200" s="20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5"/>
    </row>
    <row r="1201">
      <c r="A1201" s="11"/>
      <c r="B1201" s="11"/>
      <c r="C1201" s="20"/>
      <c r="D1201" s="20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5"/>
    </row>
    <row r="1202">
      <c r="A1202" s="11"/>
      <c r="B1202" s="11"/>
      <c r="C1202" s="20"/>
      <c r="D1202" s="20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5"/>
    </row>
    <row r="1203">
      <c r="A1203" s="11"/>
      <c r="B1203" s="11"/>
      <c r="C1203" s="20"/>
      <c r="D1203" s="20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5"/>
    </row>
    <row r="1204">
      <c r="A1204" s="11"/>
      <c r="B1204" s="11"/>
      <c r="C1204" s="20"/>
      <c r="D1204" s="20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5"/>
    </row>
    <row r="1205">
      <c r="A1205" s="11"/>
      <c r="B1205" s="11"/>
      <c r="C1205" s="20"/>
      <c r="D1205" s="20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5"/>
    </row>
    <row r="1206">
      <c r="A1206" s="11"/>
      <c r="B1206" s="11"/>
      <c r="C1206" s="20"/>
      <c r="D1206" s="20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5"/>
    </row>
    <row r="1207">
      <c r="A1207" s="11"/>
      <c r="B1207" s="11"/>
      <c r="C1207" s="20"/>
      <c r="D1207" s="20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5"/>
    </row>
    <row r="1208">
      <c r="A1208" s="11"/>
      <c r="B1208" s="11"/>
      <c r="C1208" s="20"/>
      <c r="D1208" s="20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5"/>
    </row>
    <row r="1209">
      <c r="A1209" s="11"/>
      <c r="B1209" s="11"/>
      <c r="C1209" s="20"/>
      <c r="D1209" s="20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5"/>
    </row>
    <row r="1210">
      <c r="A1210" s="11"/>
      <c r="B1210" s="11"/>
      <c r="C1210" s="20"/>
      <c r="D1210" s="20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5"/>
    </row>
    <row r="1211">
      <c r="A1211" s="11"/>
      <c r="B1211" s="11"/>
      <c r="C1211" s="20"/>
      <c r="D1211" s="20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5"/>
    </row>
    <row r="1212">
      <c r="A1212" s="11"/>
      <c r="B1212" s="11"/>
      <c r="C1212" s="20"/>
      <c r="D1212" s="20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5"/>
    </row>
    <row r="1213">
      <c r="A1213" s="11"/>
      <c r="B1213" s="11"/>
      <c r="C1213" s="20"/>
      <c r="D1213" s="20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5"/>
    </row>
    <row r="1214">
      <c r="A1214" s="11"/>
      <c r="B1214" s="11"/>
      <c r="C1214" s="20"/>
      <c r="D1214" s="20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5"/>
    </row>
    <row r="1215">
      <c r="A1215" s="11"/>
      <c r="B1215" s="11"/>
      <c r="C1215" s="20"/>
      <c r="D1215" s="20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5"/>
    </row>
    <row r="1216">
      <c r="A1216" s="11"/>
      <c r="B1216" s="11"/>
      <c r="C1216" s="20"/>
      <c r="D1216" s="20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5"/>
    </row>
    <row r="1217">
      <c r="A1217" s="11"/>
      <c r="B1217" s="11"/>
      <c r="C1217" s="20"/>
      <c r="D1217" s="20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5"/>
    </row>
    <row r="1218">
      <c r="A1218" s="11"/>
      <c r="B1218" s="11"/>
      <c r="C1218" s="20"/>
      <c r="D1218" s="20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5"/>
    </row>
    <row r="1219">
      <c r="A1219" s="11"/>
      <c r="B1219" s="11"/>
      <c r="C1219" s="20"/>
      <c r="D1219" s="20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5"/>
    </row>
    <row r="1220">
      <c r="A1220" s="11"/>
      <c r="B1220" s="11"/>
      <c r="C1220" s="20"/>
      <c r="D1220" s="20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5"/>
    </row>
    <row r="1221">
      <c r="A1221" s="11"/>
      <c r="B1221" s="11"/>
      <c r="C1221" s="20"/>
      <c r="D1221" s="20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5"/>
    </row>
    <row r="1222">
      <c r="A1222" s="11"/>
      <c r="B1222" s="11"/>
      <c r="C1222" s="20"/>
      <c r="D1222" s="20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5"/>
    </row>
    <row r="1223">
      <c r="A1223" s="11"/>
      <c r="B1223" s="11"/>
      <c r="C1223" s="20"/>
      <c r="D1223" s="20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5"/>
    </row>
    <row r="1224">
      <c r="A1224" s="11"/>
      <c r="B1224" s="11"/>
      <c r="C1224" s="20"/>
      <c r="D1224" s="20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5"/>
    </row>
    <row r="1225">
      <c r="A1225" s="11"/>
      <c r="B1225" s="11"/>
      <c r="C1225" s="20"/>
      <c r="D1225" s="20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5"/>
    </row>
    <row r="1226">
      <c r="A1226" s="11"/>
      <c r="B1226" s="11"/>
      <c r="C1226" s="20"/>
      <c r="D1226" s="20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5"/>
    </row>
    <row r="1227">
      <c r="A1227" s="11"/>
      <c r="B1227" s="11"/>
      <c r="C1227" s="20"/>
      <c r="D1227" s="20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5"/>
    </row>
    <row r="1228">
      <c r="A1228" s="11"/>
      <c r="B1228" s="11"/>
      <c r="C1228" s="20"/>
      <c r="D1228" s="20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5"/>
    </row>
    <row r="1229">
      <c r="A1229" s="11"/>
      <c r="B1229" s="11"/>
      <c r="C1229" s="20"/>
      <c r="D1229" s="20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5"/>
    </row>
    <row r="1230">
      <c r="A1230" s="11"/>
      <c r="B1230" s="11"/>
      <c r="C1230" s="20"/>
      <c r="D1230" s="20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5"/>
    </row>
    <row r="1231">
      <c r="A1231" s="11"/>
      <c r="B1231" s="11"/>
      <c r="C1231" s="20"/>
      <c r="D1231" s="20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5"/>
    </row>
    <row r="1232">
      <c r="A1232" s="11"/>
      <c r="B1232" s="11"/>
      <c r="C1232" s="20"/>
      <c r="D1232" s="20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5"/>
    </row>
    <row r="1233">
      <c r="A1233" s="11"/>
      <c r="B1233" s="11"/>
      <c r="C1233" s="20"/>
      <c r="D1233" s="20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5"/>
    </row>
    <row r="1234">
      <c r="A1234" s="11"/>
      <c r="B1234" s="11"/>
      <c r="C1234" s="20"/>
      <c r="D1234" s="20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5"/>
    </row>
    <row r="1235">
      <c r="A1235" s="11"/>
      <c r="B1235" s="11"/>
      <c r="C1235" s="20"/>
      <c r="D1235" s="20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5"/>
    </row>
    <row r="1236">
      <c r="A1236" s="11"/>
      <c r="B1236" s="11"/>
      <c r="C1236" s="20"/>
      <c r="D1236" s="20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5"/>
    </row>
    <row r="1237">
      <c r="A1237" s="11"/>
      <c r="B1237" s="11"/>
      <c r="C1237" s="20"/>
      <c r="D1237" s="20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5"/>
    </row>
    <row r="1238">
      <c r="A1238" s="11"/>
      <c r="B1238" s="11"/>
      <c r="C1238" s="20"/>
      <c r="D1238" s="20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5"/>
    </row>
    <row r="1239">
      <c r="A1239" s="11"/>
      <c r="B1239" s="11"/>
      <c r="C1239" s="20"/>
      <c r="D1239" s="20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5"/>
    </row>
    <row r="1240">
      <c r="A1240" s="11"/>
      <c r="B1240" s="11"/>
      <c r="C1240" s="20"/>
      <c r="D1240" s="20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5"/>
    </row>
    <row r="1241">
      <c r="A1241" s="11"/>
      <c r="B1241" s="11"/>
      <c r="C1241" s="20"/>
      <c r="D1241" s="20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5"/>
    </row>
    <row r="1242">
      <c r="A1242" s="11"/>
      <c r="B1242" s="11"/>
      <c r="C1242" s="20"/>
      <c r="D1242" s="20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5"/>
    </row>
    <row r="1243">
      <c r="A1243" s="11"/>
      <c r="B1243" s="11"/>
      <c r="C1243" s="20"/>
      <c r="D1243" s="20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5"/>
    </row>
    <row r="1244">
      <c r="A1244" s="11"/>
      <c r="B1244" s="11"/>
      <c r="C1244" s="20"/>
      <c r="D1244" s="20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5"/>
    </row>
    <row r="1245">
      <c r="A1245" s="11"/>
      <c r="B1245" s="11"/>
      <c r="C1245" s="20"/>
      <c r="D1245" s="20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5"/>
    </row>
    <row r="1246">
      <c r="A1246" s="11"/>
      <c r="B1246" s="11"/>
      <c r="C1246" s="20"/>
      <c r="D1246" s="20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5"/>
    </row>
    <row r="1247">
      <c r="A1247" s="11"/>
      <c r="B1247" s="11"/>
      <c r="C1247" s="20"/>
      <c r="D1247" s="20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5"/>
    </row>
    <row r="1248">
      <c r="A1248" s="11"/>
      <c r="B1248" s="11"/>
      <c r="C1248" s="20"/>
      <c r="D1248" s="20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5"/>
    </row>
    <row r="1249">
      <c r="A1249" s="11"/>
      <c r="B1249" s="11"/>
      <c r="C1249" s="20"/>
      <c r="D1249" s="20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5"/>
    </row>
    <row r="1250">
      <c r="A1250" s="11"/>
      <c r="B1250" s="11"/>
      <c r="C1250" s="20"/>
      <c r="D1250" s="20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5"/>
    </row>
    <row r="1251">
      <c r="A1251" s="11"/>
      <c r="B1251" s="11"/>
      <c r="C1251" s="20"/>
      <c r="D1251" s="20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5"/>
    </row>
    <row r="1252">
      <c r="A1252" s="11"/>
      <c r="B1252" s="11"/>
      <c r="C1252" s="20"/>
      <c r="D1252" s="20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5"/>
    </row>
    <row r="1253">
      <c r="A1253" s="11"/>
      <c r="B1253" s="11"/>
      <c r="C1253" s="20"/>
      <c r="D1253" s="20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5"/>
    </row>
    <row r="1254">
      <c r="A1254" s="11"/>
      <c r="B1254" s="11"/>
      <c r="C1254" s="20"/>
      <c r="D1254" s="20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5"/>
    </row>
    <row r="1255">
      <c r="A1255" s="11"/>
      <c r="B1255" s="11"/>
      <c r="C1255" s="20"/>
      <c r="D1255" s="20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5"/>
    </row>
    <row r="1256">
      <c r="A1256" s="11"/>
      <c r="B1256" s="11"/>
      <c r="C1256" s="20"/>
      <c r="D1256" s="20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5"/>
    </row>
    <row r="1257">
      <c r="A1257" s="11"/>
      <c r="B1257" s="11"/>
      <c r="C1257" s="20"/>
      <c r="D1257" s="20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5"/>
    </row>
    <row r="1258">
      <c r="A1258" s="11"/>
      <c r="B1258" s="11"/>
      <c r="C1258" s="20"/>
      <c r="D1258" s="20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5"/>
    </row>
    <row r="1259">
      <c r="A1259" s="11"/>
      <c r="B1259" s="11"/>
      <c r="C1259" s="20"/>
      <c r="D1259" s="20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5"/>
    </row>
    <row r="1260">
      <c r="A1260" s="11"/>
      <c r="B1260" s="11"/>
      <c r="C1260" s="20"/>
      <c r="D1260" s="20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5"/>
    </row>
    <row r="1261">
      <c r="A1261" s="11"/>
      <c r="B1261" s="11"/>
      <c r="C1261" s="20"/>
      <c r="D1261" s="20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5"/>
    </row>
    <row r="1262">
      <c r="A1262" s="11"/>
      <c r="B1262" s="11"/>
      <c r="C1262" s="20"/>
      <c r="D1262" s="20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5"/>
    </row>
    <row r="1263">
      <c r="A1263" s="11"/>
      <c r="B1263" s="11"/>
      <c r="C1263" s="20"/>
      <c r="D1263" s="20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5"/>
    </row>
    <row r="1264">
      <c r="A1264" s="11"/>
      <c r="B1264" s="11"/>
      <c r="C1264" s="20"/>
      <c r="D1264" s="20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5"/>
    </row>
    <row r="1265">
      <c r="A1265" s="11"/>
      <c r="B1265" s="11"/>
      <c r="C1265" s="20"/>
      <c r="D1265" s="20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5"/>
    </row>
    <row r="1266">
      <c r="A1266" s="11"/>
      <c r="B1266" s="11"/>
      <c r="C1266" s="20"/>
      <c r="D1266" s="20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5"/>
    </row>
    <row r="1267">
      <c r="A1267" s="11"/>
      <c r="B1267" s="11"/>
      <c r="C1267" s="20"/>
      <c r="D1267" s="20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5"/>
    </row>
    <row r="1268">
      <c r="A1268" s="11"/>
      <c r="B1268" s="11"/>
      <c r="C1268" s="20"/>
      <c r="D1268" s="20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5"/>
    </row>
    <row r="1269">
      <c r="A1269" s="11"/>
      <c r="B1269" s="11"/>
      <c r="C1269" s="20"/>
      <c r="D1269" s="20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5"/>
    </row>
    <row r="1270">
      <c r="A1270" s="11"/>
      <c r="B1270" s="11"/>
      <c r="C1270" s="20"/>
      <c r="D1270" s="20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5"/>
    </row>
    <row r="1271">
      <c r="A1271" s="11"/>
      <c r="B1271" s="11"/>
      <c r="C1271" s="20"/>
      <c r="D1271" s="20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5"/>
    </row>
    <row r="1272">
      <c r="A1272" s="11"/>
      <c r="B1272" s="11"/>
      <c r="C1272" s="20"/>
      <c r="D1272" s="20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5"/>
    </row>
    <row r="1273">
      <c r="A1273" s="11"/>
      <c r="B1273" s="11"/>
      <c r="C1273" s="20"/>
      <c r="D1273" s="20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5"/>
    </row>
    <row r="1274">
      <c r="A1274" s="11"/>
      <c r="B1274" s="11"/>
      <c r="C1274" s="20"/>
      <c r="D1274" s="20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5"/>
    </row>
    <row r="1275">
      <c r="A1275" s="11"/>
      <c r="B1275" s="11"/>
      <c r="C1275" s="20"/>
      <c r="D1275" s="20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5"/>
    </row>
    <row r="1276">
      <c r="A1276" s="11"/>
      <c r="B1276" s="11"/>
      <c r="C1276" s="20"/>
      <c r="D1276" s="20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5"/>
    </row>
    <row r="1277">
      <c r="A1277" s="11"/>
      <c r="B1277" s="11"/>
      <c r="C1277" s="20"/>
      <c r="D1277" s="20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5"/>
    </row>
    <row r="1278">
      <c r="A1278" s="11"/>
      <c r="B1278" s="11"/>
      <c r="C1278" s="20"/>
      <c r="D1278" s="20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5"/>
    </row>
    <row r="1279">
      <c r="A1279" s="11"/>
      <c r="B1279" s="11"/>
      <c r="C1279" s="20"/>
      <c r="D1279" s="20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5"/>
    </row>
    <row r="1280">
      <c r="A1280" s="11"/>
      <c r="B1280" s="11"/>
      <c r="C1280" s="20"/>
      <c r="D1280" s="20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5"/>
    </row>
    <row r="1281">
      <c r="A1281" s="11"/>
      <c r="B1281" s="11"/>
      <c r="C1281" s="20"/>
      <c r="D1281" s="20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5"/>
    </row>
    <row r="1282">
      <c r="A1282" s="11"/>
      <c r="B1282" s="11"/>
      <c r="C1282" s="20"/>
      <c r="D1282" s="20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5"/>
    </row>
    <row r="1283">
      <c r="A1283" s="11"/>
      <c r="B1283" s="11"/>
      <c r="C1283" s="20"/>
      <c r="D1283" s="20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5"/>
    </row>
    <row r="1284">
      <c r="A1284" s="11"/>
      <c r="B1284" s="11"/>
      <c r="C1284" s="20"/>
      <c r="D1284" s="20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5"/>
    </row>
    <row r="1285">
      <c r="A1285" s="11"/>
      <c r="B1285" s="11"/>
      <c r="C1285" s="20"/>
      <c r="D1285" s="20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5"/>
    </row>
    <row r="1286">
      <c r="A1286" s="11"/>
      <c r="B1286" s="11"/>
      <c r="C1286" s="20"/>
      <c r="D1286" s="20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5"/>
    </row>
    <row r="1287">
      <c r="A1287" s="11"/>
      <c r="B1287" s="11"/>
      <c r="C1287" s="20"/>
      <c r="D1287" s="20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5"/>
    </row>
    <row r="1288">
      <c r="A1288" s="11"/>
      <c r="B1288" s="11"/>
      <c r="C1288" s="20"/>
      <c r="D1288" s="20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5"/>
    </row>
    <row r="1289">
      <c r="A1289" s="11"/>
      <c r="B1289" s="11"/>
      <c r="C1289" s="20"/>
      <c r="D1289" s="20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5"/>
    </row>
    <row r="1290">
      <c r="A1290" s="11"/>
      <c r="B1290" s="11"/>
      <c r="C1290" s="20"/>
      <c r="D1290" s="20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5"/>
    </row>
    <row r="1291">
      <c r="A1291" s="11"/>
      <c r="B1291" s="11"/>
      <c r="C1291" s="20"/>
      <c r="D1291" s="20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5"/>
    </row>
    <row r="1292">
      <c r="A1292" s="11"/>
      <c r="B1292" s="11"/>
      <c r="C1292" s="20"/>
      <c r="D1292" s="20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5"/>
    </row>
    <row r="1293">
      <c r="A1293" s="11"/>
      <c r="B1293" s="11"/>
      <c r="C1293" s="20"/>
      <c r="D1293" s="20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5"/>
    </row>
    <row r="1294">
      <c r="A1294" s="11"/>
      <c r="B1294" s="11"/>
      <c r="C1294" s="20"/>
      <c r="D1294" s="20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5"/>
    </row>
    <row r="1295">
      <c r="A1295" s="11"/>
      <c r="B1295" s="11"/>
      <c r="C1295" s="20"/>
      <c r="D1295" s="20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5"/>
    </row>
    <row r="1296">
      <c r="A1296" s="11"/>
      <c r="B1296" s="11"/>
      <c r="C1296" s="20"/>
      <c r="D1296" s="20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5"/>
    </row>
    <row r="1297">
      <c r="A1297" s="11"/>
      <c r="B1297" s="11"/>
      <c r="C1297" s="20"/>
      <c r="D1297" s="20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5"/>
    </row>
    <row r="1298">
      <c r="A1298" s="11"/>
      <c r="B1298" s="11"/>
      <c r="C1298" s="20"/>
      <c r="D1298" s="20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5"/>
    </row>
    <row r="1299">
      <c r="A1299" s="11"/>
      <c r="B1299" s="11"/>
      <c r="C1299" s="20"/>
      <c r="D1299" s="20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5"/>
    </row>
    <row r="1300">
      <c r="A1300" s="11"/>
      <c r="B1300" s="11"/>
      <c r="C1300" s="20"/>
      <c r="D1300" s="20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5"/>
    </row>
    <row r="1301">
      <c r="A1301" s="11"/>
      <c r="B1301" s="11"/>
      <c r="C1301" s="20"/>
      <c r="D1301" s="20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5"/>
    </row>
    <row r="1302">
      <c r="A1302" s="11"/>
      <c r="B1302" s="11"/>
      <c r="C1302" s="20"/>
      <c r="D1302" s="20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5"/>
    </row>
    <row r="1303">
      <c r="A1303" s="11"/>
      <c r="B1303" s="11"/>
      <c r="C1303" s="20"/>
      <c r="D1303" s="20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5"/>
    </row>
    <row r="1304">
      <c r="A1304" s="11"/>
      <c r="B1304" s="11"/>
      <c r="C1304" s="20"/>
      <c r="D1304" s="20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5"/>
    </row>
    <row r="1305">
      <c r="A1305" s="11"/>
      <c r="B1305" s="11"/>
      <c r="C1305" s="20"/>
      <c r="D1305" s="20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5"/>
    </row>
    <row r="1306">
      <c r="A1306" s="11"/>
      <c r="B1306" s="11"/>
      <c r="C1306" s="20"/>
      <c r="D1306" s="20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5"/>
    </row>
    <row r="1307">
      <c r="A1307" s="11"/>
      <c r="B1307" s="11"/>
      <c r="C1307" s="20"/>
      <c r="D1307" s="20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5"/>
    </row>
    <row r="1308">
      <c r="A1308" s="11"/>
      <c r="B1308" s="11"/>
      <c r="C1308" s="20"/>
      <c r="D1308" s="20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5"/>
    </row>
    <row r="1309">
      <c r="A1309" s="11"/>
      <c r="B1309" s="11"/>
      <c r="C1309" s="20"/>
      <c r="D1309" s="20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5"/>
    </row>
    <row r="1310">
      <c r="A1310" s="11"/>
      <c r="B1310" s="11"/>
      <c r="C1310" s="20"/>
      <c r="D1310" s="20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5"/>
    </row>
    <row r="1311">
      <c r="A1311" s="11"/>
      <c r="B1311" s="11"/>
      <c r="C1311" s="20"/>
      <c r="D1311" s="20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5"/>
    </row>
    <row r="1312">
      <c r="A1312" s="11"/>
      <c r="B1312" s="11"/>
      <c r="C1312" s="20"/>
      <c r="D1312" s="20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5"/>
    </row>
    <row r="1313">
      <c r="A1313" s="11"/>
      <c r="B1313" s="11"/>
      <c r="C1313" s="20"/>
      <c r="D1313" s="20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5"/>
    </row>
    <row r="1314">
      <c r="A1314" s="11"/>
      <c r="B1314" s="11"/>
      <c r="C1314" s="20"/>
      <c r="D1314" s="20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5"/>
    </row>
    <row r="1315">
      <c r="A1315" s="11"/>
      <c r="B1315" s="11"/>
      <c r="C1315" s="20"/>
      <c r="D1315" s="20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5"/>
    </row>
    <row r="1316">
      <c r="A1316" s="11"/>
      <c r="B1316" s="11"/>
      <c r="C1316" s="20"/>
      <c r="D1316" s="20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5"/>
    </row>
    <row r="1317">
      <c r="A1317" s="11"/>
      <c r="B1317" s="11"/>
      <c r="C1317" s="20"/>
      <c r="D1317" s="20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5"/>
    </row>
    <row r="1318">
      <c r="A1318" s="11"/>
      <c r="B1318" s="11"/>
      <c r="C1318" s="20"/>
      <c r="D1318" s="20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5"/>
    </row>
    <row r="1319">
      <c r="A1319" s="11"/>
      <c r="B1319" s="11"/>
      <c r="C1319" s="20"/>
      <c r="D1319" s="20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5"/>
    </row>
    <row r="1320">
      <c r="A1320" s="11"/>
      <c r="B1320" s="11"/>
      <c r="C1320" s="20"/>
      <c r="D1320" s="20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5"/>
    </row>
    <row r="1321">
      <c r="A1321" s="11"/>
      <c r="B1321" s="11"/>
      <c r="C1321" s="20"/>
      <c r="D1321" s="20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5"/>
    </row>
    <row r="1322">
      <c r="A1322" s="11"/>
      <c r="B1322" s="11"/>
      <c r="C1322" s="20"/>
      <c r="D1322" s="20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5"/>
    </row>
    <row r="1323">
      <c r="A1323" s="11"/>
      <c r="B1323" s="11"/>
      <c r="C1323" s="20"/>
      <c r="D1323" s="20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5"/>
    </row>
    <row r="1324">
      <c r="A1324" s="11"/>
      <c r="B1324" s="11"/>
      <c r="C1324" s="20"/>
      <c r="D1324" s="20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5"/>
    </row>
    <row r="1325">
      <c r="A1325" s="11"/>
      <c r="B1325" s="11"/>
      <c r="C1325" s="20"/>
      <c r="D1325" s="20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5"/>
    </row>
    <row r="1326">
      <c r="A1326" s="11"/>
      <c r="B1326" s="11"/>
      <c r="C1326" s="20"/>
      <c r="D1326" s="20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5"/>
    </row>
    <row r="1327">
      <c r="A1327" s="11"/>
      <c r="B1327" s="11"/>
      <c r="C1327" s="20"/>
      <c r="D1327" s="20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5"/>
    </row>
    <row r="1328">
      <c r="A1328" s="11"/>
      <c r="B1328" s="11"/>
      <c r="C1328" s="20"/>
      <c r="D1328" s="20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5"/>
    </row>
    <row r="1329">
      <c r="A1329" s="11"/>
      <c r="B1329" s="11"/>
      <c r="C1329" s="20"/>
      <c r="D1329" s="20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5"/>
    </row>
    <row r="1330">
      <c r="A1330" s="11"/>
      <c r="B1330" s="11"/>
      <c r="C1330" s="20"/>
      <c r="D1330" s="20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5"/>
    </row>
    <row r="1331">
      <c r="A1331" s="11"/>
      <c r="B1331" s="11"/>
      <c r="C1331" s="20"/>
      <c r="D1331" s="20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5"/>
    </row>
    <row r="1332">
      <c r="A1332" s="11"/>
      <c r="B1332" s="11"/>
      <c r="C1332" s="20"/>
      <c r="D1332" s="20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5"/>
    </row>
    <row r="1333">
      <c r="A1333" s="11"/>
      <c r="B1333" s="11"/>
      <c r="C1333" s="20"/>
      <c r="D1333" s="20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5"/>
    </row>
    <row r="1334">
      <c r="A1334" s="11"/>
      <c r="B1334" s="11"/>
      <c r="C1334" s="20"/>
      <c r="D1334" s="20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5"/>
    </row>
    <row r="1335">
      <c r="A1335" s="11"/>
      <c r="B1335" s="11"/>
      <c r="C1335" s="20"/>
      <c r="D1335" s="20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5"/>
    </row>
    <row r="1336">
      <c r="A1336" s="11"/>
      <c r="B1336" s="11"/>
      <c r="C1336" s="20"/>
      <c r="D1336" s="20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5"/>
    </row>
    <row r="1337">
      <c r="A1337" s="11"/>
      <c r="B1337" s="11"/>
      <c r="C1337" s="20"/>
      <c r="D1337" s="20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5"/>
    </row>
    <row r="1338">
      <c r="A1338" s="11"/>
      <c r="B1338" s="11"/>
      <c r="C1338" s="20"/>
      <c r="D1338" s="20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5"/>
    </row>
    <row r="1339">
      <c r="A1339" s="11"/>
      <c r="B1339" s="11"/>
      <c r="C1339" s="20"/>
      <c r="D1339" s="20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5"/>
    </row>
    <row r="1340">
      <c r="A1340" s="11"/>
      <c r="B1340" s="11"/>
      <c r="C1340" s="20"/>
      <c r="D1340" s="20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5"/>
    </row>
    <row r="1341">
      <c r="A1341" s="11"/>
      <c r="B1341" s="11"/>
      <c r="C1341" s="20"/>
      <c r="D1341" s="20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5"/>
    </row>
    <row r="1342">
      <c r="A1342" s="11"/>
      <c r="B1342" s="11"/>
      <c r="C1342" s="20"/>
      <c r="D1342" s="20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5"/>
    </row>
    <row r="1343">
      <c r="A1343" s="11"/>
      <c r="B1343" s="11"/>
      <c r="C1343" s="20"/>
      <c r="D1343" s="20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5"/>
    </row>
    <row r="1344">
      <c r="A1344" s="11"/>
      <c r="B1344" s="11"/>
      <c r="C1344" s="20"/>
      <c r="D1344" s="20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5"/>
    </row>
    <row r="1345">
      <c r="A1345" s="11"/>
      <c r="B1345" s="11"/>
      <c r="C1345" s="20"/>
      <c r="D1345" s="20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5"/>
    </row>
    <row r="1346">
      <c r="A1346" s="11"/>
      <c r="B1346" s="11"/>
      <c r="C1346" s="20"/>
      <c r="D1346" s="20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5"/>
    </row>
    <row r="1347">
      <c r="A1347" s="11"/>
      <c r="B1347" s="11"/>
      <c r="C1347" s="20"/>
      <c r="D1347" s="20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5"/>
    </row>
    <row r="1348">
      <c r="A1348" s="11"/>
      <c r="B1348" s="11"/>
      <c r="C1348" s="20"/>
      <c r="D1348" s="20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5"/>
    </row>
    <row r="1349">
      <c r="A1349" s="11"/>
      <c r="B1349" s="11"/>
      <c r="C1349" s="20"/>
      <c r="D1349" s="20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5"/>
    </row>
    <row r="1350">
      <c r="A1350" s="11"/>
      <c r="B1350" s="11"/>
      <c r="C1350" s="20"/>
      <c r="D1350" s="20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5"/>
    </row>
    <row r="1351">
      <c r="A1351" s="11"/>
      <c r="B1351" s="11"/>
      <c r="C1351" s="20"/>
      <c r="D1351" s="20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5"/>
    </row>
    <row r="1352">
      <c r="A1352" s="11"/>
      <c r="B1352" s="11"/>
      <c r="C1352" s="20"/>
      <c r="D1352" s="20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5"/>
    </row>
    <row r="1353">
      <c r="A1353" s="11"/>
      <c r="B1353" s="11"/>
      <c r="C1353" s="20"/>
      <c r="D1353" s="20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5"/>
    </row>
    <row r="1354">
      <c r="A1354" s="11"/>
      <c r="B1354" s="11"/>
      <c r="C1354" s="20"/>
      <c r="D1354" s="20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5"/>
    </row>
    <row r="1355">
      <c r="A1355" s="11"/>
      <c r="B1355" s="11"/>
      <c r="C1355" s="20"/>
      <c r="D1355" s="20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5"/>
    </row>
    <row r="1356">
      <c r="A1356" s="11"/>
      <c r="B1356" s="11"/>
      <c r="C1356" s="20"/>
      <c r="D1356" s="20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5"/>
    </row>
    <row r="1357">
      <c r="A1357" s="11"/>
      <c r="B1357" s="11"/>
      <c r="C1357" s="20"/>
      <c r="D1357" s="20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5"/>
    </row>
    <row r="1358">
      <c r="A1358" s="11"/>
      <c r="B1358" s="11"/>
      <c r="C1358" s="20"/>
      <c r="D1358" s="20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5"/>
    </row>
    <row r="1359">
      <c r="A1359" s="11"/>
      <c r="B1359" s="11"/>
      <c r="C1359" s="20"/>
      <c r="D1359" s="20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5"/>
    </row>
    <row r="1360">
      <c r="A1360" s="11"/>
      <c r="B1360" s="11"/>
      <c r="C1360" s="20"/>
      <c r="D1360" s="20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5"/>
    </row>
    <row r="1361">
      <c r="A1361" s="11"/>
      <c r="B1361" s="11"/>
      <c r="C1361" s="20"/>
      <c r="D1361" s="20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5"/>
    </row>
    <row r="1362">
      <c r="A1362" s="11"/>
      <c r="B1362" s="11"/>
      <c r="C1362" s="20"/>
      <c r="D1362" s="20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5"/>
    </row>
    <row r="1363">
      <c r="A1363" s="11"/>
      <c r="B1363" s="11"/>
      <c r="C1363" s="20"/>
      <c r="D1363" s="20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5"/>
    </row>
    <row r="1364">
      <c r="A1364" s="11"/>
      <c r="B1364" s="11"/>
      <c r="C1364" s="20"/>
      <c r="D1364" s="20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5"/>
    </row>
    <row r="1365">
      <c r="A1365" s="11"/>
      <c r="B1365" s="11"/>
      <c r="C1365" s="20"/>
      <c r="D1365" s="20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5"/>
    </row>
    <row r="1366">
      <c r="A1366" s="11"/>
      <c r="B1366" s="11"/>
      <c r="C1366" s="20"/>
      <c r="D1366" s="20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5"/>
    </row>
    <row r="1367">
      <c r="A1367" s="11"/>
      <c r="B1367" s="11"/>
      <c r="C1367" s="20"/>
      <c r="D1367" s="20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5"/>
    </row>
    <row r="1368">
      <c r="A1368" s="11"/>
      <c r="B1368" s="11"/>
      <c r="C1368" s="20"/>
      <c r="D1368" s="20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5"/>
    </row>
    <row r="1369">
      <c r="A1369" s="11"/>
      <c r="B1369" s="11"/>
      <c r="C1369" s="20"/>
      <c r="D1369" s="20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5"/>
    </row>
    <row r="1370">
      <c r="A1370" s="11"/>
      <c r="B1370" s="11"/>
      <c r="C1370" s="20"/>
      <c r="D1370" s="20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5"/>
    </row>
    <row r="1371">
      <c r="A1371" s="11"/>
      <c r="B1371" s="11"/>
      <c r="C1371" s="20"/>
      <c r="D1371" s="20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5"/>
    </row>
    <row r="1372">
      <c r="A1372" s="11"/>
      <c r="B1372" s="11"/>
      <c r="C1372" s="20"/>
      <c r="D1372" s="20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5"/>
    </row>
    <row r="1373">
      <c r="A1373" s="11"/>
      <c r="B1373" s="11"/>
      <c r="C1373" s="20"/>
      <c r="D1373" s="20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5"/>
    </row>
    <row r="1374">
      <c r="A1374" s="11"/>
      <c r="B1374" s="11"/>
      <c r="C1374" s="20"/>
      <c r="D1374" s="20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5"/>
    </row>
    <row r="1375">
      <c r="A1375" s="11"/>
      <c r="B1375" s="11"/>
      <c r="C1375" s="20"/>
      <c r="D1375" s="20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5"/>
    </row>
    <row r="1376">
      <c r="A1376" s="11"/>
      <c r="B1376" s="11"/>
      <c r="C1376" s="20"/>
      <c r="D1376" s="20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5"/>
    </row>
    <row r="1377">
      <c r="A1377" s="11"/>
      <c r="B1377" s="11"/>
      <c r="C1377" s="20"/>
      <c r="D1377" s="20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5"/>
    </row>
    <row r="1378">
      <c r="A1378" s="11"/>
      <c r="B1378" s="11"/>
      <c r="C1378" s="20"/>
      <c r="D1378" s="20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5"/>
    </row>
    <row r="1379">
      <c r="A1379" s="11"/>
      <c r="B1379" s="11"/>
      <c r="C1379" s="20"/>
      <c r="D1379" s="20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5"/>
    </row>
    <row r="1380">
      <c r="A1380" s="11"/>
      <c r="B1380" s="11"/>
      <c r="C1380" s="20"/>
      <c r="D1380" s="20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5"/>
    </row>
    <row r="1381">
      <c r="A1381" s="11"/>
      <c r="B1381" s="11"/>
      <c r="C1381" s="20"/>
      <c r="D1381" s="20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5"/>
    </row>
    <row r="1382">
      <c r="A1382" s="11"/>
      <c r="B1382" s="11"/>
      <c r="C1382" s="20"/>
      <c r="D1382" s="20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5"/>
    </row>
    <row r="1383">
      <c r="A1383" s="11"/>
      <c r="B1383" s="11"/>
      <c r="C1383" s="20"/>
      <c r="D1383" s="20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5"/>
    </row>
    <row r="1384">
      <c r="A1384" s="11"/>
      <c r="B1384" s="11"/>
      <c r="C1384" s="20"/>
      <c r="D1384" s="20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5"/>
    </row>
    <row r="1385">
      <c r="A1385" s="11"/>
      <c r="B1385" s="11"/>
      <c r="C1385" s="20"/>
      <c r="D1385" s="20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5"/>
    </row>
    <row r="1386">
      <c r="A1386" s="11"/>
      <c r="B1386" s="11"/>
      <c r="C1386" s="20"/>
      <c r="D1386" s="20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5"/>
    </row>
    <row r="1387">
      <c r="A1387" s="11"/>
      <c r="B1387" s="11"/>
      <c r="C1387" s="20"/>
      <c r="D1387" s="20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5"/>
    </row>
    <row r="1388">
      <c r="A1388" s="11"/>
      <c r="B1388" s="11"/>
      <c r="C1388" s="20"/>
      <c r="D1388" s="20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5"/>
    </row>
    <row r="1389">
      <c r="A1389" s="11"/>
      <c r="B1389" s="11"/>
      <c r="C1389" s="20"/>
      <c r="D1389" s="20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5"/>
    </row>
    <row r="1390">
      <c r="A1390" s="11"/>
      <c r="B1390" s="11"/>
      <c r="C1390" s="20"/>
      <c r="D1390" s="20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5"/>
    </row>
    <row r="1391">
      <c r="A1391" s="11"/>
      <c r="B1391" s="11"/>
      <c r="C1391" s="20"/>
      <c r="D1391" s="20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5"/>
    </row>
    <row r="1392">
      <c r="A1392" s="11"/>
      <c r="B1392" s="11"/>
      <c r="C1392" s="20"/>
      <c r="D1392" s="20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5"/>
    </row>
    <row r="1393">
      <c r="A1393" s="11"/>
      <c r="B1393" s="11"/>
      <c r="C1393" s="20"/>
      <c r="D1393" s="20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5"/>
    </row>
    <row r="1394">
      <c r="A1394" s="11"/>
      <c r="B1394" s="11"/>
      <c r="C1394" s="20"/>
      <c r="D1394" s="20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5"/>
    </row>
    <row r="1395">
      <c r="A1395" s="11"/>
      <c r="B1395" s="11"/>
      <c r="C1395" s="20"/>
      <c r="D1395" s="20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5"/>
    </row>
    <row r="1396">
      <c r="A1396" s="11"/>
      <c r="B1396" s="11"/>
      <c r="C1396" s="20"/>
      <c r="D1396" s="20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5"/>
    </row>
    <row r="1397">
      <c r="A1397" s="11"/>
      <c r="B1397" s="11"/>
      <c r="C1397" s="20"/>
      <c r="D1397" s="20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5"/>
    </row>
    <row r="1398">
      <c r="A1398" s="11"/>
      <c r="B1398" s="11"/>
      <c r="C1398" s="20"/>
      <c r="D1398" s="20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5"/>
    </row>
    <row r="1399">
      <c r="A1399" s="11"/>
      <c r="B1399" s="11"/>
      <c r="C1399" s="20"/>
      <c r="D1399" s="20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5"/>
    </row>
    <row r="1400">
      <c r="A1400" s="11"/>
      <c r="B1400" s="11"/>
      <c r="C1400" s="20"/>
      <c r="D1400" s="20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5"/>
    </row>
    <row r="1401">
      <c r="A1401" s="11"/>
      <c r="B1401" s="11"/>
      <c r="C1401" s="20"/>
      <c r="D1401" s="20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5"/>
    </row>
    <row r="1402">
      <c r="A1402" s="11"/>
      <c r="B1402" s="11"/>
      <c r="C1402" s="20"/>
      <c r="D1402" s="20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5"/>
    </row>
    <row r="1403">
      <c r="A1403" s="11"/>
      <c r="B1403" s="11"/>
      <c r="C1403" s="20"/>
      <c r="D1403" s="20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5"/>
    </row>
    <row r="1404">
      <c r="A1404" s="11"/>
      <c r="B1404" s="11"/>
      <c r="C1404" s="20"/>
      <c r="D1404" s="20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5"/>
    </row>
    <row r="1405">
      <c r="A1405" s="11"/>
      <c r="B1405" s="11"/>
      <c r="C1405" s="20"/>
      <c r="D1405" s="20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5"/>
    </row>
    <row r="1406">
      <c r="A1406" s="11"/>
      <c r="B1406" s="11"/>
      <c r="C1406" s="20"/>
      <c r="D1406" s="20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5"/>
    </row>
    <row r="1407">
      <c r="A1407" s="11"/>
      <c r="B1407" s="11"/>
      <c r="C1407" s="20"/>
      <c r="D1407" s="20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5"/>
    </row>
    <row r="1408">
      <c r="A1408" s="11"/>
      <c r="B1408" s="11"/>
      <c r="C1408" s="20"/>
      <c r="D1408" s="20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5"/>
    </row>
    <row r="1409">
      <c r="A1409" s="11"/>
      <c r="B1409" s="11"/>
      <c r="C1409" s="20"/>
      <c r="D1409" s="20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5"/>
    </row>
    <row r="1410">
      <c r="A1410" s="11"/>
      <c r="B1410" s="11"/>
      <c r="C1410" s="20"/>
      <c r="D1410" s="20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5"/>
    </row>
    <row r="1411">
      <c r="A1411" s="11"/>
      <c r="B1411" s="11"/>
      <c r="C1411" s="20"/>
      <c r="D1411" s="20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5"/>
    </row>
    <row r="1412">
      <c r="A1412" s="11"/>
      <c r="B1412" s="11"/>
      <c r="C1412" s="20"/>
      <c r="D1412" s="20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5"/>
    </row>
    <row r="1413">
      <c r="A1413" s="11"/>
      <c r="B1413" s="11"/>
      <c r="C1413" s="20"/>
      <c r="D1413" s="20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5"/>
    </row>
    <row r="1414">
      <c r="A1414" s="11"/>
      <c r="B1414" s="11"/>
      <c r="C1414" s="20"/>
      <c r="D1414" s="20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5"/>
    </row>
    <row r="1415">
      <c r="A1415" s="11"/>
      <c r="B1415" s="11"/>
      <c r="C1415" s="20"/>
      <c r="D1415" s="20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5"/>
    </row>
    <row r="1416">
      <c r="A1416" s="11"/>
      <c r="B1416" s="11"/>
      <c r="C1416" s="20"/>
      <c r="D1416" s="20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5"/>
    </row>
    <row r="1417">
      <c r="A1417" s="11"/>
      <c r="B1417" s="11"/>
      <c r="C1417" s="20"/>
      <c r="D1417" s="20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5"/>
    </row>
    <row r="1418">
      <c r="A1418" s="11"/>
      <c r="B1418" s="11"/>
      <c r="C1418" s="20"/>
      <c r="D1418" s="20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5"/>
    </row>
    <row r="1419">
      <c r="A1419" s="11"/>
      <c r="B1419" s="11"/>
      <c r="C1419" s="20"/>
      <c r="D1419" s="20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5"/>
    </row>
    <row r="1420">
      <c r="A1420" s="11"/>
      <c r="B1420" s="11"/>
      <c r="C1420" s="20"/>
      <c r="D1420" s="20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5"/>
    </row>
    <row r="1421">
      <c r="A1421" s="11"/>
      <c r="B1421" s="11"/>
      <c r="C1421" s="20"/>
      <c r="D1421" s="20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5"/>
    </row>
    <row r="1422">
      <c r="A1422" s="11"/>
      <c r="B1422" s="11"/>
      <c r="C1422" s="20"/>
      <c r="D1422" s="20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5"/>
    </row>
    <row r="1423">
      <c r="A1423" s="11"/>
      <c r="B1423" s="11"/>
      <c r="C1423" s="20"/>
      <c r="D1423" s="20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5"/>
    </row>
    <row r="1424">
      <c r="A1424" s="11"/>
      <c r="B1424" s="11"/>
      <c r="C1424" s="20"/>
      <c r="D1424" s="20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5"/>
    </row>
    <row r="1425">
      <c r="A1425" s="11"/>
      <c r="B1425" s="11"/>
      <c r="C1425" s="20"/>
      <c r="D1425" s="20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5"/>
    </row>
    <row r="1426">
      <c r="A1426" s="11"/>
      <c r="B1426" s="11"/>
      <c r="C1426" s="20"/>
      <c r="D1426" s="20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5"/>
    </row>
    <row r="1427">
      <c r="A1427" s="11"/>
      <c r="B1427" s="11"/>
      <c r="C1427" s="20"/>
      <c r="D1427" s="20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5"/>
    </row>
    <row r="1428">
      <c r="A1428" s="11"/>
      <c r="B1428" s="11"/>
      <c r="C1428" s="20"/>
      <c r="D1428" s="20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5"/>
    </row>
    <row r="1429">
      <c r="A1429" s="11"/>
      <c r="B1429" s="11"/>
      <c r="C1429" s="20"/>
      <c r="D1429" s="20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5"/>
    </row>
    <row r="1430">
      <c r="A1430" s="11"/>
      <c r="B1430" s="11"/>
      <c r="C1430" s="20"/>
      <c r="D1430" s="20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5"/>
    </row>
    <row r="1431">
      <c r="A1431" s="11"/>
      <c r="B1431" s="11"/>
      <c r="C1431" s="20"/>
      <c r="D1431" s="20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5"/>
    </row>
    <row r="1432">
      <c r="A1432" s="11"/>
      <c r="B1432" s="11"/>
      <c r="C1432" s="20"/>
      <c r="D1432" s="20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5"/>
    </row>
    <row r="1433">
      <c r="A1433" s="11"/>
      <c r="B1433" s="11"/>
      <c r="C1433" s="20"/>
      <c r="D1433" s="20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5"/>
    </row>
    <row r="1434">
      <c r="A1434" s="11"/>
      <c r="B1434" s="11"/>
      <c r="C1434" s="20"/>
      <c r="D1434" s="20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5"/>
    </row>
    <row r="1435">
      <c r="A1435" s="11"/>
      <c r="B1435" s="11"/>
      <c r="C1435" s="20"/>
      <c r="D1435" s="20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5"/>
    </row>
    <row r="1436">
      <c r="A1436" s="11"/>
      <c r="B1436" s="11"/>
      <c r="C1436" s="20"/>
      <c r="D1436" s="20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5"/>
    </row>
    <row r="1437">
      <c r="A1437" s="11"/>
      <c r="B1437" s="11"/>
      <c r="C1437" s="20"/>
      <c r="D1437" s="20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5"/>
    </row>
    <row r="1438">
      <c r="A1438" s="11"/>
      <c r="B1438" s="11"/>
      <c r="C1438" s="20"/>
      <c r="D1438" s="20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5"/>
    </row>
    <row r="1439">
      <c r="A1439" s="11"/>
      <c r="B1439" s="11"/>
      <c r="C1439" s="20"/>
      <c r="D1439" s="20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5"/>
    </row>
    <row r="1440">
      <c r="A1440" s="11"/>
      <c r="B1440" s="11"/>
      <c r="C1440" s="20"/>
      <c r="D1440" s="20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5"/>
    </row>
    <row r="1441">
      <c r="A1441" s="11"/>
      <c r="B1441" s="11"/>
      <c r="C1441" s="20"/>
      <c r="D1441" s="20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5"/>
    </row>
    <row r="1442">
      <c r="A1442" s="11"/>
      <c r="B1442" s="11"/>
      <c r="C1442" s="20"/>
      <c r="D1442" s="20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5"/>
    </row>
    <row r="1443">
      <c r="A1443" s="11"/>
      <c r="B1443" s="11"/>
      <c r="C1443" s="20"/>
      <c r="D1443" s="20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5"/>
    </row>
    <row r="1444">
      <c r="A1444" s="11"/>
      <c r="B1444" s="11"/>
      <c r="C1444" s="20"/>
      <c r="D1444" s="20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5"/>
    </row>
    <row r="1445">
      <c r="A1445" s="11"/>
      <c r="B1445" s="11"/>
      <c r="C1445" s="20"/>
      <c r="D1445" s="20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5"/>
    </row>
    <row r="1446">
      <c r="A1446" s="11"/>
      <c r="B1446" s="11"/>
      <c r="C1446" s="20"/>
      <c r="D1446" s="20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5"/>
    </row>
    <row r="1447">
      <c r="A1447" s="11"/>
      <c r="B1447" s="11"/>
      <c r="C1447" s="20"/>
      <c r="D1447" s="20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5"/>
    </row>
    <row r="1448">
      <c r="A1448" s="11"/>
      <c r="B1448" s="11"/>
      <c r="C1448" s="20"/>
      <c r="D1448" s="20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5"/>
    </row>
    <row r="1449">
      <c r="A1449" s="11"/>
      <c r="B1449" s="11"/>
      <c r="C1449" s="20"/>
      <c r="D1449" s="20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5"/>
    </row>
    <row r="1450">
      <c r="A1450" s="11"/>
      <c r="B1450" s="11"/>
      <c r="C1450" s="20"/>
      <c r="D1450" s="20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5"/>
    </row>
    <row r="1451">
      <c r="A1451" s="11"/>
      <c r="B1451" s="11"/>
      <c r="C1451" s="20"/>
      <c r="D1451" s="20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5"/>
    </row>
    <row r="1452">
      <c r="A1452" s="11"/>
      <c r="B1452" s="11"/>
      <c r="C1452" s="20"/>
      <c r="D1452" s="20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5"/>
    </row>
    <row r="1453">
      <c r="A1453" s="11"/>
      <c r="B1453" s="11"/>
      <c r="C1453" s="20"/>
      <c r="D1453" s="20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5"/>
    </row>
    <row r="1454">
      <c r="A1454" s="11"/>
      <c r="B1454" s="11"/>
      <c r="C1454" s="20"/>
      <c r="D1454" s="20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5"/>
    </row>
    <row r="1455">
      <c r="A1455" s="11"/>
      <c r="B1455" s="11"/>
      <c r="C1455" s="20"/>
      <c r="D1455" s="20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5"/>
    </row>
    <row r="1456">
      <c r="A1456" s="11"/>
      <c r="B1456" s="11"/>
      <c r="C1456" s="20"/>
      <c r="D1456" s="20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5"/>
    </row>
    <row r="1457">
      <c r="A1457" s="11"/>
      <c r="B1457" s="11"/>
      <c r="C1457" s="20"/>
      <c r="D1457" s="20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5"/>
    </row>
    <row r="1458">
      <c r="A1458" s="11"/>
      <c r="B1458" s="11"/>
      <c r="C1458" s="20"/>
      <c r="D1458" s="20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5"/>
    </row>
    <row r="1459">
      <c r="A1459" s="11"/>
      <c r="B1459" s="11"/>
      <c r="C1459" s="20"/>
      <c r="D1459" s="20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5"/>
    </row>
    <row r="1460">
      <c r="A1460" s="11"/>
      <c r="B1460" s="11"/>
      <c r="C1460" s="20"/>
      <c r="D1460" s="20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5"/>
    </row>
    <row r="1461">
      <c r="A1461" s="11"/>
      <c r="B1461" s="11"/>
      <c r="C1461" s="20"/>
      <c r="D1461" s="20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5"/>
    </row>
    <row r="1462">
      <c r="A1462" s="11"/>
      <c r="B1462" s="11"/>
      <c r="C1462" s="20"/>
      <c r="D1462" s="20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5"/>
    </row>
    <row r="1463">
      <c r="A1463" s="11"/>
      <c r="B1463" s="11"/>
      <c r="C1463" s="20"/>
      <c r="D1463" s="20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5"/>
    </row>
    <row r="1464">
      <c r="A1464" s="11"/>
      <c r="B1464" s="11"/>
      <c r="C1464" s="20"/>
      <c r="D1464" s="20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5"/>
    </row>
    <row r="1465">
      <c r="A1465" s="11"/>
      <c r="B1465" s="11"/>
      <c r="C1465" s="20"/>
      <c r="D1465" s="20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5"/>
    </row>
    <row r="1466">
      <c r="A1466" s="11"/>
      <c r="B1466" s="11"/>
      <c r="C1466" s="20"/>
      <c r="D1466" s="20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5"/>
    </row>
    <row r="1467">
      <c r="A1467" s="11"/>
      <c r="B1467" s="11"/>
      <c r="C1467" s="20"/>
      <c r="D1467" s="20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5"/>
    </row>
    <row r="1468">
      <c r="A1468" s="11"/>
      <c r="B1468" s="11"/>
      <c r="C1468" s="20"/>
      <c r="D1468" s="20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5"/>
    </row>
    <row r="1469">
      <c r="A1469" s="11"/>
      <c r="B1469" s="11"/>
      <c r="C1469" s="20"/>
      <c r="D1469" s="20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5"/>
    </row>
    <row r="1470">
      <c r="A1470" s="11"/>
      <c r="B1470" s="11"/>
      <c r="C1470" s="20"/>
      <c r="D1470" s="20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5"/>
    </row>
    <row r="1471">
      <c r="A1471" s="11"/>
      <c r="B1471" s="11"/>
      <c r="C1471" s="20"/>
      <c r="D1471" s="20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5"/>
    </row>
    <row r="1472">
      <c r="A1472" s="11"/>
      <c r="B1472" s="11"/>
      <c r="C1472" s="20"/>
      <c r="D1472" s="20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5"/>
    </row>
    <row r="1473">
      <c r="A1473" s="11"/>
      <c r="B1473" s="11"/>
      <c r="C1473" s="20"/>
      <c r="D1473" s="20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5"/>
    </row>
    <row r="1474">
      <c r="A1474" s="11"/>
      <c r="B1474" s="11"/>
      <c r="C1474" s="20"/>
      <c r="D1474" s="20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5"/>
    </row>
    <row r="1475">
      <c r="A1475" s="11"/>
      <c r="B1475" s="11"/>
      <c r="C1475" s="20"/>
      <c r="D1475" s="20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5"/>
    </row>
    <row r="1476">
      <c r="A1476" s="11"/>
      <c r="B1476" s="11"/>
      <c r="C1476" s="20"/>
      <c r="D1476" s="20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5"/>
    </row>
    <row r="1477">
      <c r="A1477" s="11"/>
      <c r="B1477" s="11"/>
      <c r="C1477" s="20"/>
      <c r="D1477" s="20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5"/>
    </row>
    <row r="1478">
      <c r="A1478" s="11"/>
      <c r="B1478" s="11"/>
      <c r="C1478" s="20"/>
      <c r="D1478" s="20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5"/>
    </row>
    <row r="1479">
      <c r="A1479" s="11"/>
      <c r="B1479" s="11"/>
      <c r="C1479" s="20"/>
      <c r="D1479" s="20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5"/>
    </row>
    <row r="1480">
      <c r="A1480" s="11"/>
      <c r="B1480" s="11"/>
      <c r="C1480" s="20"/>
      <c r="D1480" s="20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5"/>
    </row>
    <row r="1481">
      <c r="A1481" s="11"/>
      <c r="B1481" s="11"/>
      <c r="C1481" s="20"/>
      <c r="D1481" s="20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5"/>
    </row>
    <row r="1482">
      <c r="A1482" s="11"/>
      <c r="B1482" s="11"/>
      <c r="C1482" s="20"/>
      <c r="D1482" s="20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5"/>
    </row>
    <row r="1483">
      <c r="A1483" s="11"/>
      <c r="B1483" s="11"/>
      <c r="C1483" s="20"/>
      <c r="D1483" s="20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5"/>
    </row>
    <row r="1484">
      <c r="A1484" s="11"/>
      <c r="B1484" s="11"/>
      <c r="C1484" s="20"/>
      <c r="D1484" s="20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5"/>
    </row>
    <row r="1485">
      <c r="A1485" s="11"/>
      <c r="B1485" s="11"/>
      <c r="C1485" s="20"/>
      <c r="D1485" s="20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5"/>
    </row>
    <row r="1486">
      <c r="A1486" s="11"/>
      <c r="B1486" s="11"/>
      <c r="C1486" s="20"/>
      <c r="D1486" s="20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5"/>
    </row>
    <row r="1487">
      <c r="A1487" s="11"/>
      <c r="B1487" s="11"/>
      <c r="C1487" s="20"/>
      <c r="D1487" s="20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5"/>
    </row>
    <row r="1488">
      <c r="A1488" s="11"/>
      <c r="B1488" s="11"/>
      <c r="C1488" s="20"/>
      <c r="D1488" s="20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5"/>
    </row>
    <row r="1489">
      <c r="A1489" s="11"/>
      <c r="B1489" s="11"/>
      <c r="C1489" s="20"/>
      <c r="D1489" s="20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5"/>
    </row>
    <row r="1490">
      <c r="A1490" s="11"/>
      <c r="B1490" s="11"/>
      <c r="C1490" s="20"/>
      <c r="D1490" s="20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5"/>
    </row>
    <row r="1491">
      <c r="A1491" s="11"/>
      <c r="B1491" s="11"/>
      <c r="C1491" s="20"/>
      <c r="D1491" s="20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5"/>
    </row>
    <row r="1492">
      <c r="A1492" s="11"/>
      <c r="B1492" s="11"/>
      <c r="C1492" s="20"/>
      <c r="D1492" s="20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5"/>
    </row>
    <row r="1493">
      <c r="A1493" s="11"/>
      <c r="B1493" s="11"/>
      <c r="C1493" s="20"/>
      <c r="D1493" s="20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5"/>
    </row>
    <row r="1494">
      <c r="A1494" s="11"/>
      <c r="B1494" s="11"/>
      <c r="C1494" s="20"/>
      <c r="D1494" s="20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5"/>
    </row>
    <row r="1495">
      <c r="A1495" s="11"/>
      <c r="B1495" s="11"/>
      <c r="C1495" s="20"/>
      <c r="D1495" s="20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5"/>
    </row>
    <row r="1496">
      <c r="A1496" s="11"/>
      <c r="B1496" s="11"/>
      <c r="C1496" s="20"/>
      <c r="D1496" s="20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5"/>
    </row>
    <row r="1497">
      <c r="A1497" s="11"/>
      <c r="B1497" s="11"/>
      <c r="C1497" s="20"/>
      <c r="D1497" s="20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5"/>
    </row>
    <row r="1498">
      <c r="A1498" s="11"/>
      <c r="B1498" s="11"/>
      <c r="C1498" s="20"/>
      <c r="D1498" s="20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5"/>
    </row>
    <row r="1499">
      <c r="A1499" s="11"/>
      <c r="B1499" s="11"/>
      <c r="C1499" s="20"/>
      <c r="D1499" s="20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5"/>
    </row>
    <row r="1500">
      <c r="A1500" s="11"/>
      <c r="B1500" s="11"/>
      <c r="C1500" s="20"/>
      <c r="D1500" s="20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5"/>
    </row>
    <row r="1501">
      <c r="A1501" s="11"/>
      <c r="B1501" s="11"/>
      <c r="C1501" s="20"/>
      <c r="D1501" s="20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5"/>
    </row>
    <row r="1502">
      <c r="A1502" s="11"/>
      <c r="B1502" s="11"/>
      <c r="C1502" s="20"/>
      <c r="D1502" s="20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5"/>
    </row>
    <row r="1503">
      <c r="A1503" s="11"/>
      <c r="B1503" s="11"/>
      <c r="C1503" s="20"/>
      <c r="D1503" s="20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5"/>
    </row>
    <row r="1504">
      <c r="A1504" s="11"/>
      <c r="B1504" s="11"/>
      <c r="C1504" s="20"/>
      <c r="D1504" s="20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5"/>
    </row>
    <row r="1505">
      <c r="A1505" s="11"/>
      <c r="B1505" s="11"/>
      <c r="C1505" s="20"/>
      <c r="D1505" s="20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5"/>
    </row>
    <row r="1506">
      <c r="A1506" s="11"/>
      <c r="B1506" s="11"/>
      <c r="C1506" s="20"/>
      <c r="D1506" s="20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5"/>
    </row>
    <row r="1507">
      <c r="A1507" s="11"/>
      <c r="B1507" s="11"/>
      <c r="C1507" s="20"/>
      <c r="D1507" s="20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5"/>
    </row>
    <row r="1508">
      <c r="A1508" s="11"/>
      <c r="B1508" s="11"/>
      <c r="C1508" s="20"/>
      <c r="D1508" s="20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5"/>
    </row>
    <row r="1509">
      <c r="A1509" s="11"/>
      <c r="B1509" s="11"/>
      <c r="C1509" s="20"/>
      <c r="D1509" s="20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5"/>
    </row>
    <row r="1510">
      <c r="A1510" s="11"/>
      <c r="B1510" s="11"/>
      <c r="C1510" s="20"/>
      <c r="D1510" s="20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5"/>
    </row>
    <row r="1511">
      <c r="A1511" s="11"/>
      <c r="B1511" s="11"/>
      <c r="C1511" s="20"/>
      <c r="D1511" s="20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5"/>
    </row>
    <row r="1512">
      <c r="A1512" s="11"/>
      <c r="B1512" s="11"/>
      <c r="C1512" s="20"/>
      <c r="D1512" s="20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5"/>
    </row>
    <row r="1513">
      <c r="A1513" s="11"/>
      <c r="B1513" s="11"/>
      <c r="C1513" s="20"/>
      <c r="D1513" s="20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5"/>
    </row>
    <row r="1514">
      <c r="A1514" s="11"/>
      <c r="B1514" s="11"/>
      <c r="C1514" s="20"/>
      <c r="D1514" s="20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5"/>
    </row>
    <row r="1515">
      <c r="A1515" s="11"/>
      <c r="B1515" s="11"/>
      <c r="C1515" s="20"/>
      <c r="D1515" s="20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5"/>
    </row>
    <row r="1516">
      <c r="A1516" s="11"/>
      <c r="B1516" s="11"/>
      <c r="C1516" s="20"/>
      <c r="D1516" s="20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5"/>
    </row>
    <row r="1517">
      <c r="A1517" s="11"/>
      <c r="B1517" s="11"/>
      <c r="C1517" s="20"/>
      <c r="D1517" s="20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5"/>
    </row>
    <row r="1518">
      <c r="A1518" s="11"/>
      <c r="B1518" s="11"/>
      <c r="C1518" s="20"/>
      <c r="D1518" s="20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5"/>
    </row>
    <row r="1519">
      <c r="A1519" s="11"/>
      <c r="B1519" s="11"/>
      <c r="C1519" s="20"/>
      <c r="D1519" s="20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5"/>
    </row>
    <row r="1520">
      <c r="A1520" s="11"/>
      <c r="B1520" s="11"/>
      <c r="C1520" s="20"/>
      <c r="D1520" s="20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5"/>
    </row>
    <row r="1521">
      <c r="A1521" s="11"/>
      <c r="B1521" s="11"/>
      <c r="C1521" s="20"/>
      <c r="D1521" s="20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5"/>
    </row>
    <row r="1522">
      <c r="A1522" s="11"/>
      <c r="B1522" s="11"/>
      <c r="C1522" s="20"/>
      <c r="D1522" s="20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5"/>
    </row>
    <row r="1523">
      <c r="A1523" s="11"/>
      <c r="B1523" s="11"/>
      <c r="C1523" s="20"/>
      <c r="D1523" s="20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5"/>
    </row>
    <row r="1524">
      <c r="A1524" s="11"/>
      <c r="B1524" s="11"/>
      <c r="C1524" s="20"/>
      <c r="D1524" s="20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5"/>
    </row>
    <row r="1525">
      <c r="A1525" s="11"/>
      <c r="B1525" s="11"/>
      <c r="C1525" s="20"/>
      <c r="D1525" s="20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5"/>
    </row>
    <row r="1526">
      <c r="A1526" s="11"/>
      <c r="B1526" s="11"/>
      <c r="C1526" s="20"/>
      <c r="D1526" s="20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5"/>
    </row>
    <row r="1527">
      <c r="A1527" s="11"/>
      <c r="B1527" s="11"/>
      <c r="C1527" s="20"/>
      <c r="D1527" s="20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5"/>
    </row>
    <row r="1528">
      <c r="A1528" s="11"/>
      <c r="B1528" s="11"/>
      <c r="C1528" s="20"/>
      <c r="D1528" s="20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5"/>
    </row>
    <row r="1529">
      <c r="A1529" s="11"/>
      <c r="B1529" s="11"/>
      <c r="C1529" s="20"/>
      <c r="D1529" s="20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5"/>
    </row>
    <row r="1530">
      <c r="A1530" s="11"/>
      <c r="B1530" s="11"/>
      <c r="C1530" s="20"/>
      <c r="D1530" s="20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5"/>
    </row>
    <row r="1531">
      <c r="A1531" s="11"/>
      <c r="B1531" s="11"/>
      <c r="C1531" s="20"/>
      <c r="D1531" s="20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5"/>
    </row>
    <row r="1532">
      <c r="A1532" s="11"/>
      <c r="B1532" s="11"/>
      <c r="C1532" s="20"/>
      <c r="D1532" s="20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5"/>
    </row>
    <row r="1533">
      <c r="A1533" s="11"/>
      <c r="B1533" s="11"/>
      <c r="C1533" s="20"/>
      <c r="D1533" s="20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5"/>
    </row>
    <row r="1534">
      <c r="A1534" s="11"/>
      <c r="B1534" s="11"/>
      <c r="C1534" s="20"/>
      <c r="D1534" s="20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5"/>
    </row>
    <row r="1535">
      <c r="A1535" s="11"/>
      <c r="B1535" s="11"/>
      <c r="C1535" s="20"/>
      <c r="D1535" s="20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5"/>
    </row>
    <row r="1536">
      <c r="A1536" s="11"/>
      <c r="B1536" s="11"/>
      <c r="C1536" s="20"/>
      <c r="D1536" s="20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5"/>
    </row>
    <row r="1537">
      <c r="A1537" s="11"/>
      <c r="B1537" s="11"/>
      <c r="C1537" s="20"/>
      <c r="D1537" s="20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5"/>
    </row>
    <row r="1538">
      <c r="A1538" s="11"/>
      <c r="B1538" s="11"/>
      <c r="C1538" s="20"/>
      <c r="D1538" s="20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5"/>
    </row>
    <row r="1539">
      <c r="A1539" s="11"/>
      <c r="B1539" s="11"/>
      <c r="C1539" s="20"/>
      <c r="D1539" s="20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5"/>
    </row>
    <row r="1540">
      <c r="A1540" s="11"/>
      <c r="B1540" s="11"/>
      <c r="C1540" s="20"/>
      <c r="D1540" s="20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5"/>
    </row>
    <row r="1541">
      <c r="A1541" s="11"/>
      <c r="B1541" s="11"/>
      <c r="C1541" s="20"/>
      <c r="D1541" s="20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5"/>
    </row>
    <row r="1542">
      <c r="A1542" s="11"/>
      <c r="B1542" s="11"/>
      <c r="C1542" s="20"/>
      <c r="D1542" s="20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5"/>
    </row>
    <row r="1543">
      <c r="A1543" s="11"/>
      <c r="B1543" s="11"/>
      <c r="C1543" s="20"/>
      <c r="D1543" s="20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5"/>
    </row>
    <row r="1544">
      <c r="A1544" s="11"/>
      <c r="B1544" s="11"/>
      <c r="C1544" s="20"/>
      <c r="D1544" s="20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5"/>
    </row>
    <row r="1545">
      <c r="A1545" s="11"/>
      <c r="B1545" s="11"/>
      <c r="C1545" s="20"/>
      <c r="D1545" s="20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5"/>
    </row>
    <row r="1546">
      <c r="A1546" s="11"/>
      <c r="B1546" s="11"/>
      <c r="C1546" s="20"/>
      <c r="D1546" s="20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5"/>
    </row>
    <row r="1547">
      <c r="A1547" s="11"/>
      <c r="B1547" s="11"/>
      <c r="C1547" s="20"/>
      <c r="D1547" s="20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5"/>
    </row>
    <row r="1548">
      <c r="A1548" s="11"/>
      <c r="B1548" s="11"/>
      <c r="C1548" s="20"/>
      <c r="D1548" s="20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5"/>
    </row>
    <row r="1549">
      <c r="A1549" s="11"/>
      <c r="B1549" s="11"/>
      <c r="C1549" s="20"/>
      <c r="D1549" s="20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5"/>
    </row>
    <row r="1550">
      <c r="A1550" s="11"/>
      <c r="B1550" s="11"/>
      <c r="C1550" s="20"/>
      <c r="D1550" s="20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5"/>
    </row>
    <row r="1551">
      <c r="A1551" s="11"/>
      <c r="B1551" s="11"/>
      <c r="C1551" s="20"/>
      <c r="D1551" s="20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5"/>
    </row>
    <row r="1552">
      <c r="A1552" s="11"/>
      <c r="B1552" s="11"/>
      <c r="C1552" s="20"/>
      <c r="D1552" s="20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5"/>
    </row>
    <row r="1553">
      <c r="A1553" s="11"/>
      <c r="B1553" s="11"/>
      <c r="C1553" s="20"/>
      <c r="D1553" s="20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5"/>
    </row>
    <row r="1554">
      <c r="A1554" s="11"/>
      <c r="B1554" s="11"/>
      <c r="C1554" s="20"/>
      <c r="D1554" s="20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5"/>
    </row>
    <row r="1555">
      <c r="A1555" s="11"/>
      <c r="B1555" s="11"/>
      <c r="C1555" s="20"/>
      <c r="D1555" s="20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5"/>
    </row>
    <row r="1556">
      <c r="A1556" s="11"/>
      <c r="B1556" s="11"/>
      <c r="C1556" s="20"/>
      <c r="D1556" s="20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5"/>
    </row>
    <row r="1557">
      <c r="A1557" s="11"/>
      <c r="B1557" s="11"/>
      <c r="C1557" s="20"/>
      <c r="D1557" s="20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5"/>
    </row>
    <row r="1558">
      <c r="A1558" s="11"/>
      <c r="B1558" s="11"/>
      <c r="C1558" s="20"/>
      <c r="D1558" s="20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5"/>
    </row>
    <row r="1559">
      <c r="A1559" s="11"/>
      <c r="B1559" s="11"/>
      <c r="C1559" s="20"/>
      <c r="D1559" s="20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5"/>
    </row>
    <row r="1560">
      <c r="A1560" s="11"/>
      <c r="B1560" s="11"/>
      <c r="C1560" s="20"/>
      <c r="D1560" s="20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5"/>
    </row>
    <row r="1561">
      <c r="A1561" s="11"/>
      <c r="B1561" s="11"/>
      <c r="C1561" s="20"/>
      <c r="D1561" s="20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5"/>
    </row>
    <row r="1562">
      <c r="A1562" s="11"/>
      <c r="B1562" s="11"/>
      <c r="C1562" s="20"/>
      <c r="D1562" s="20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5"/>
    </row>
    <row r="1563">
      <c r="A1563" s="11"/>
      <c r="B1563" s="11"/>
      <c r="C1563" s="20"/>
      <c r="D1563" s="20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5"/>
    </row>
    <row r="1564">
      <c r="A1564" s="11"/>
      <c r="B1564" s="11"/>
      <c r="C1564" s="20"/>
      <c r="D1564" s="20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5"/>
    </row>
    <row r="1565">
      <c r="A1565" s="11"/>
      <c r="B1565" s="11"/>
      <c r="C1565" s="20"/>
      <c r="D1565" s="20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5"/>
    </row>
    <row r="1566">
      <c r="A1566" s="11"/>
      <c r="B1566" s="11"/>
      <c r="C1566" s="20"/>
      <c r="D1566" s="20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5"/>
    </row>
    <row r="1567">
      <c r="A1567" s="11"/>
      <c r="B1567" s="11"/>
      <c r="C1567" s="20"/>
      <c r="D1567" s="20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5"/>
    </row>
    <row r="1568">
      <c r="A1568" s="11"/>
      <c r="B1568" s="11"/>
      <c r="C1568" s="20"/>
      <c r="D1568" s="20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5"/>
    </row>
    <row r="1569">
      <c r="A1569" s="11"/>
      <c r="B1569" s="11"/>
      <c r="C1569" s="20"/>
      <c r="D1569" s="20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5"/>
    </row>
    <row r="1570">
      <c r="A1570" s="11"/>
      <c r="B1570" s="11"/>
      <c r="C1570" s="20"/>
      <c r="D1570" s="20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5"/>
    </row>
    <row r="1571">
      <c r="A1571" s="11"/>
      <c r="B1571" s="11"/>
      <c r="C1571" s="20"/>
      <c r="D1571" s="20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5"/>
    </row>
    <row r="1572">
      <c r="A1572" s="11"/>
      <c r="B1572" s="11"/>
      <c r="C1572" s="20"/>
      <c r="D1572" s="20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5"/>
    </row>
    <row r="1573">
      <c r="A1573" s="11"/>
      <c r="B1573" s="11"/>
      <c r="C1573" s="20"/>
      <c r="D1573" s="20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5"/>
    </row>
    <row r="1574">
      <c r="A1574" s="11"/>
      <c r="B1574" s="11"/>
      <c r="C1574" s="20"/>
      <c r="D1574" s="20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5"/>
    </row>
    <row r="1575">
      <c r="A1575" s="11"/>
      <c r="B1575" s="11"/>
      <c r="C1575" s="20"/>
      <c r="D1575" s="20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5"/>
    </row>
    <row r="1576">
      <c r="A1576" s="11"/>
      <c r="B1576" s="11"/>
      <c r="C1576" s="20"/>
      <c r="D1576" s="20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5"/>
    </row>
    <row r="1577">
      <c r="A1577" s="11"/>
      <c r="B1577" s="11"/>
      <c r="C1577" s="20"/>
      <c r="D1577" s="20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5"/>
    </row>
    <row r="1578">
      <c r="A1578" s="11"/>
      <c r="B1578" s="11"/>
      <c r="C1578" s="20"/>
      <c r="D1578" s="20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5"/>
    </row>
    <row r="1579">
      <c r="A1579" s="11"/>
      <c r="B1579" s="11"/>
      <c r="C1579" s="20"/>
      <c r="D1579" s="20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5"/>
    </row>
    <row r="1580">
      <c r="A1580" s="11"/>
      <c r="B1580" s="11"/>
      <c r="C1580" s="20"/>
      <c r="D1580" s="20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5"/>
    </row>
    <row r="1581">
      <c r="A1581" s="11"/>
      <c r="B1581" s="11"/>
      <c r="C1581" s="20"/>
      <c r="D1581" s="20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5"/>
    </row>
    <row r="1582">
      <c r="A1582" s="11"/>
      <c r="B1582" s="11"/>
      <c r="C1582" s="20"/>
      <c r="D1582" s="20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5"/>
    </row>
    <row r="1583">
      <c r="A1583" s="11"/>
      <c r="B1583" s="11"/>
      <c r="C1583" s="20"/>
      <c r="D1583" s="20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5"/>
    </row>
    <row r="1584">
      <c r="A1584" s="11"/>
      <c r="B1584" s="11"/>
      <c r="C1584" s="20"/>
      <c r="D1584" s="20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5"/>
    </row>
    <row r="1585">
      <c r="A1585" s="11"/>
      <c r="B1585" s="11"/>
      <c r="C1585" s="20"/>
      <c r="D1585" s="20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5"/>
    </row>
    <row r="1586">
      <c r="A1586" s="11"/>
      <c r="B1586" s="11"/>
      <c r="C1586" s="20"/>
      <c r="D1586" s="20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5"/>
    </row>
    <row r="1587">
      <c r="A1587" s="11"/>
      <c r="B1587" s="11"/>
      <c r="C1587" s="20"/>
      <c r="D1587" s="20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5"/>
    </row>
    <row r="1588">
      <c r="A1588" s="11"/>
      <c r="B1588" s="11"/>
      <c r="C1588" s="20"/>
      <c r="D1588" s="20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5"/>
    </row>
    <row r="1589">
      <c r="A1589" s="11"/>
      <c r="B1589" s="11"/>
      <c r="C1589" s="20"/>
      <c r="D1589" s="20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5"/>
    </row>
    <row r="1590">
      <c r="A1590" s="11"/>
      <c r="B1590" s="11"/>
      <c r="C1590" s="20"/>
      <c r="D1590" s="20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5"/>
    </row>
    <row r="1591">
      <c r="A1591" s="11"/>
      <c r="B1591" s="11"/>
      <c r="C1591" s="20"/>
      <c r="D1591" s="20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5"/>
    </row>
    <row r="1592">
      <c r="A1592" s="11"/>
      <c r="B1592" s="11"/>
      <c r="C1592" s="20"/>
      <c r="D1592" s="20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5"/>
    </row>
    <row r="1593">
      <c r="A1593" s="11"/>
      <c r="B1593" s="11"/>
      <c r="C1593" s="20"/>
      <c r="D1593" s="20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5"/>
    </row>
    <row r="1594">
      <c r="A1594" s="11"/>
      <c r="B1594" s="11"/>
      <c r="C1594" s="20"/>
      <c r="D1594" s="20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5"/>
    </row>
    <row r="1595">
      <c r="A1595" s="11"/>
      <c r="B1595" s="11"/>
      <c r="C1595" s="20"/>
      <c r="D1595" s="20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5"/>
    </row>
    <row r="1596">
      <c r="A1596" s="11"/>
      <c r="B1596" s="11"/>
      <c r="C1596" s="20"/>
      <c r="D1596" s="20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5"/>
    </row>
    <row r="1597">
      <c r="A1597" s="11"/>
      <c r="B1597" s="11"/>
      <c r="C1597" s="20"/>
      <c r="D1597" s="20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5"/>
    </row>
    <row r="1598">
      <c r="A1598" s="11"/>
      <c r="B1598" s="11"/>
      <c r="C1598" s="20"/>
      <c r="D1598" s="20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5"/>
    </row>
    <row r="1599">
      <c r="A1599" s="11"/>
      <c r="B1599" s="11"/>
      <c r="C1599" s="20"/>
      <c r="D1599" s="20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5"/>
    </row>
    <row r="1600">
      <c r="A1600" s="11"/>
      <c r="B1600" s="11"/>
      <c r="C1600" s="20"/>
      <c r="D1600" s="20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5"/>
    </row>
    <row r="1601">
      <c r="A1601" s="11"/>
      <c r="B1601" s="11"/>
      <c r="C1601" s="20"/>
      <c r="D1601" s="20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5"/>
    </row>
    <row r="1602">
      <c r="A1602" s="11"/>
      <c r="B1602" s="11"/>
      <c r="C1602" s="20"/>
      <c r="D1602" s="20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5"/>
    </row>
    <row r="1603">
      <c r="A1603" s="11"/>
      <c r="B1603" s="11"/>
      <c r="C1603" s="20"/>
      <c r="D1603" s="20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5"/>
    </row>
    <row r="1604">
      <c r="A1604" s="11"/>
      <c r="B1604" s="11"/>
      <c r="C1604" s="20"/>
      <c r="D1604" s="20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5"/>
    </row>
    <row r="1605">
      <c r="A1605" s="11"/>
      <c r="B1605" s="11"/>
      <c r="C1605" s="20"/>
      <c r="D1605" s="20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5"/>
    </row>
    <row r="1606">
      <c r="A1606" s="11"/>
      <c r="B1606" s="11"/>
      <c r="C1606" s="20"/>
      <c r="D1606" s="20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5"/>
    </row>
    <row r="1607">
      <c r="A1607" s="11"/>
      <c r="B1607" s="11"/>
      <c r="C1607" s="20"/>
      <c r="D1607" s="20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5"/>
    </row>
    <row r="1608">
      <c r="A1608" s="11"/>
      <c r="B1608" s="11"/>
      <c r="C1608" s="20"/>
      <c r="D1608" s="20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5"/>
    </row>
    <row r="1609">
      <c r="A1609" s="11"/>
      <c r="B1609" s="11"/>
      <c r="C1609" s="20"/>
      <c r="D1609" s="20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5"/>
    </row>
    <row r="1610">
      <c r="A1610" s="11"/>
      <c r="B1610" s="11"/>
      <c r="C1610" s="20"/>
      <c r="D1610" s="20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5"/>
    </row>
    <row r="1611">
      <c r="A1611" s="11"/>
      <c r="B1611" s="11"/>
      <c r="C1611" s="20"/>
      <c r="D1611" s="20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5"/>
    </row>
    <row r="1612">
      <c r="A1612" s="11"/>
      <c r="B1612" s="11"/>
      <c r="C1612" s="20"/>
      <c r="D1612" s="20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5"/>
    </row>
    <row r="1613">
      <c r="A1613" s="11"/>
      <c r="B1613" s="11"/>
      <c r="C1613" s="20"/>
      <c r="D1613" s="20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5"/>
    </row>
    <row r="1614">
      <c r="A1614" s="11"/>
      <c r="B1614" s="11"/>
      <c r="C1614" s="20"/>
      <c r="D1614" s="20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5"/>
    </row>
    <row r="1615">
      <c r="A1615" s="11"/>
      <c r="B1615" s="11"/>
      <c r="C1615" s="20"/>
      <c r="D1615" s="20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5"/>
    </row>
    <row r="1616">
      <c r="A1616" s="11"/>
      <c r="B1616" s="11"/>
      <c r="C1616" s="20"/>
      <c r="D1616" s="20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5"/>
    </row>
    <row r="1617">
      <c r="A1617" s="11"/>
      <c r="B1617" s="11"/>
      <c r="C1617" s="20"/>
      <c r="D1617" s="20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5"/>
    </row>
    <row r="1618">
      <c r="A1618" s="11"/>
      <c r="B1618" s="11"/>
      <c r="C1618" s="20"/>
      <c r="D1618" s="20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5"/>
    </row>
    <row r="1619">
      <c r="A1619" s="11"/>
      <c r="B1619" s="11"/>
      <c r="C1619" s="20"/>
      <c r="D1619" s="20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5"/>
    </row>
    <row r="1620">
      <c r="A1620" s="11"/>
      <c r="B1620" s="11"/>
      <c r="C1620" s="20"/>
      <c r="D1620" s="20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5"/>
    </row>
    <row r="1621">
      <c r="A1621" s="11"/>
      <c r="B1621" s="11"/>
      <c r="C1621" s="20"/>
      <c r="D1621" s="20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5"/>
    </row>
    <row r="1622">
      <c r="A1622" s="11"/>
      <c r="B1622" s="11"/>
      <c r="C1622" s="20"/>
      <c r="D1622" s="20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5"/>
    </row>
    <row r="1623">
      <c r="A1623" s="11"/>
      <c r="B1623" s="11"/>
      <c r="C1623" s="20"/>
      <c r="D1623" s="20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5"/>
    </row>
    <row r="1624">
      <c r="A1624" s="11"/>
      <c r="B1624" s="11"/>
      <c r="C1624" s="20"/>
      <c r="D1624" s="20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5"/>
    </row>
    <row r="1625">
      <c r="A1625" s="11"/>
      <c r="B1625" s="11"/>
      <c r="C1625" s="20"/>
      <c r="D1625" s="20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5"/>
    </row>
    <row r="1626">
      <c r="A1626" s="11"/>
      <c r="B1626" s="11"/>
      <c r="C1626" s="20"/>
      <c r="D1626" s="20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5"/>
    </row>
    <row r="1627">
      <c r="A1627" s="11"/>
      <c r="B1627" s="11"/>
      <c r="C1627" s="20"/>
      <c r="D1627" s="20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5"/>
    </row>
    <row r="1628">
      <c r="A1628" s="11"/>
      <c r="B1628" s="11"/>
      <c r="C1628" s="20"/>
      <c r="D1628" s="20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5"/>
    </row>
    <row r="1629">
      <c r="A1629" s="11"/>
      <c r="B1629" s="11"/>
      <c r="C1629" s="20"/>
      <c r="D1629" s="20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5"/>
    </row>
    <row r="1630">
      <c r="A1630" s="11"/>
      <c r="B1630" s="11"/>
      <c r="C1630" s="20"/>
      <c r="D1630" s="20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5"/>
    </row>
    <row r="1631">
      <c r="A1631" s="11"/>
      <c r="B1631" s="11"/>
      <c r="C1631" s="20"/>
      <c r="D1631" s="20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5"/>
    </row>
    <row r="1632">
      <c r="A1632" s="11"/>
      <c r="B1632" s="11"/>
      <c r="C1632" s="20"/>
      <c r="D1632" s="20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5"/>
    </row>
    <row r="1633">
      <c r="A1633" s="11"/>
      <c r="B1633" s="11"/>
      <c r="C1633" s="20"/>
      <c r="D1633" s="20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5"/>
    </row>
    <row r="1634">
      <c r="A1634" s="11"/>
      <c r="B1634" s="11"/>
      <c r="C1634" s="20"/>
      <c r="D1634" s="20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5"/>
    </row>
    <row r="1635">
      <c r="A1635" s="11"/>
      <c r="B1635" s="11"/>
      <c r="C1635" s="20"/>
      <c r="D1635" s="20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5"/>
    </row>
    <row r="1636">
      <c r="A1636" s="11"/>
      <c r="B1636" s="11"/>
      <c r="C1636" s="20"/>
      <c r="D1636" s="20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5"/>
    </row>
    <row r="1637">
      <c r="A1637" s="11"/>
      <c r="B1637" s="11"/>
      <c r="C1637" s="20"/>
      <c r="D1637" s="20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5"/>
    </row>
    <row r="1638">
      <c r="A1638" s="11"/>
      <c r="B1638" s="11"/>
      <c r="C1638" s="20"/>
      <c r="D1638" s="20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5"/>
    </row>
    <row r="1639">
      <c r="A1639" s="11"/>
      <c r="B1639" s="11"/>
      <c r="C1639" s="20"/>
      <c r="D1639" s="20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5"/>
    </row>
    <row r="1640">
      <c r="A1640" s="11"/>
      <c r="B1640" s="11"/>
      <c r="C1640" s="20"/>
      <c r="D1640" s="20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5"/>
    </row>
    <row r="1641">
      <c r="A1641" s="11"/>
      <c r="B1641" s="11"/>
      <c r="C1641" s="20"/>
      <c r="D1641" s="20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5"/>
    </row>
    <row r="1642">
      <c r="A1642" s="11"/>
      <c r="B1642" s="11"/>
      <c r="C1642" s="20"/>
      <c r="D1642" s="20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5"/>
    </row>
    <row r="1643">
      <c r="A1643" s="11"/>
      <c r="B1643" s="11"/>
      <c r="C1643" s="20"/>
      <c r="D1643" s="20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5"/>
    </row>
    <row r="1644">
      <c r="A1644" s="11"/>
      <c r="B1644" s="11"/>
      <c r="C1644" s="20"/>
      <c r="D1644" s="20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5"/>
    </row>
    <row r="1645">
      <c r="A1645" s="11"/>
      <c r="B1645" s="11"/>
      <c r="C1645" s="20"/>
      <c r="D1645" s="20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5"/>
    </row>
    <row r="1646">
      <c r="A1646" s="11"/>
      <c r="B1646" s="11"/>
      <c r="C1646" s="20"/>
      <c r="D1646" s="20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5"/>
    </row>
    <row r="1647">
      <c r="A1647" s="11"/>
      <c r="B1647" s="11"/>
      <c r="C1647" s="20"/>
      <c r="D1647" s="20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5"/>
    </row>
    <row r="1648">
      <c r="A1648" s="11"/>
      <c r="B1648" s="11"/>
      <c r="C1648" s="20"/>
      <c r="D1648" s="20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5"/>
    </row>
    <row r="1649">
      <c r="A1649" s="11"/>
      <c r="B1649" s="11"/>
      <c r="C1649" s="20"/>
      <c r="D1649" s="20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5"/>
    </row>
    <row r="1650">
      <c r="A1650" s="11"/>
      <c r="B1650" s="11"/>
      <c r="C1650" s="20"/>
      <c r="D1650" s="20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5"/>
    </row>
    <row r="1651">
      <c r="A1651" s="11"/>
      <c r="B1651" s="11"/>
      <c r="C1651" s="20"/>
      <c r="D1651" s="20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5"/>
    </row>
    <row r="1652">
      <c r="A1652" s="11"/>
      <c r="B1652" s="11"/>
      <c r="C1652" s="20"/>
      <c r="D1652" s="20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5"/>
    </row>
    <row r="1653">
      <c r="A1653" s="11"/>
      <c r="B1653" s="11"/>
      <c r="C1653" s="20"/>
      <c r="D1653" s="20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5"/>
    </row>
    <row r="1654">
      <c r="A1654" s="11"/>
      <c r="B1654" s="11"/>
      <c r="C1654" s="20"/>
      <c r="D1654" s="20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5"/>
    </row>
    <row r="1655">
      <c r="A1655" s="11"/>
      <c r="B1655" s="11"/>
      <c r="C1655" s="20"/>
      <c r="D1655" s="20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5"/>
    </row>
    <row r="1656">
      <c r="A1656" s="11"/>
      <c r="B1656" s="11"/>
      <c r="C1656" s="20"/>
      <c r="D1656" s="20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5"/>
    </row>
    <row r="1657">
      <c r="A1657" s="11"/>
      <c r="B1657" s="11"/>
      <c r="C1657" s="20"/>
      <c r="D1657" s="20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5"/>
    </row>
    <row r="1658">
      <c r="A1658" s="11"/>
      <c r="B1658" s="11"/>
      <c r="C1658" s="20"/>
      <c r="D1658" s="20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5"/>
    </row>
    <row r="1659">
      <c r="A1659" s="11"/>
      <c r="B1659" s="11"/>
      <c r="C1659" s="20"/>
      <c r="D1659" s="20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5"/>
    </row>
    <row r="1660">
      <c r="A1660" s="11"/>
      <c r="B1660" s="11"/>
      <c r="C1660" s="20"/>
      <c r="D1660" s="20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5"/>
    </row>
    <row r="1661">
      <c r="A1661" s="11"/>
      <c r="B1661" s="11"/>
      <c r="C1661" s="20"/>
      <c r="D1661" s="20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5"/>
    </row>
    <row r="1662">
      <c r="A1662" s="11"/>
      <c r="B1662" s="11"/>
      <c r="C1662" s="20"/>
      <c r="D1662" s="20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5"/>
    </row>
    <row r="1663">
      <c r="A1663" s="11"/>
      <c r="B1663" s="11"/>
      <c r="C1663" s="20"/>
      <c r="D1663" s="20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5"/>
    </row>
    <row r="1664">
      <c r="A1664" s="11"/>
      <c r="B1664" s="11"/>
      <c r="C1664" s="20"/>
      <c r="D1664" s="20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5"/>
    </row>
    <row r="1665">
      <c r="A1665" s="11"/>
      <c r="B1665" s="11"/>
      <c r="C1665" s="20"/>
      <c r="D1665" s="20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5"/>
    </row>
    <row r="1666">
      <c r="A1666" s="11"/>
      <c r="B1666" s="11"/>
      <c r="C1666" s="20"/>
      <c r="D1666" s="20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5"/>
    </row>
    <row r="1667">
      <c r="A1667" s="11"/>
      <c r="B1667" s="11"/>
      <c r="C1667" s="20"/>
      <c r="D1667" s="20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5"/>
    </row>
    <row r="1668">
      <c r="A1668" s="11"/>
      <c r="B1668" s="11"/>
      <c r="C1668" s="20"/>
      <c r="D1668" s="20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5"/>
    </row>
    <row r="1669">
      <c r="A1669" s="11"/>
      <c r="B1669" s="11"/>
      <c r="C1669" s="20"/>
      <c r="D1669" s="20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5"/>
    </row>
    <row r="1670">
      <c r="A1670" s="11"/>
      <c r="B1670" s="11"/>
      <c r="C1670" s="20"/>
      <c r="D1670" s="20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5"/>
    </row>
    <row r="1671">
      <c r="A1671" s="11"/>
      <c r="B1671" s="11"/>
      <c r="C1671" s="20"/>
      <c r="D1671" s="20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5"/>
    </row>
    <row r="1672">
      <c r="A1672" s="11"/>
      <c r="B1672" s="11"/>
      <c r="C1672" s="20"/>
      <c r="D1672" s="20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5"/>
    </row>
    <row r="1673">
      <c r="A1673" s="11"/>
      <c r="B1673" s="11"/>
      <c r="C1673" s="20"/>
      <c r="D1673" s="20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5"/>
    </row>
    <row r="1674">
      <c r="A1674" s="11"/>
      <c r="B1674" s="11"/>
      <c r="C1674" s="20"/>
      <c r="D1674" s="20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5"/>
    </row>
    <row r="1675">
      <c r="A1675" s="11"/>
      <c r="B1675" s="11"/>
      <c r="C1675" s="20"/>
      <c r="D1675" s="20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5"/>
    </row>
    <row r="1676">
      <c r="A1676" s="11"/>
      <c r="B1676" s="11"/>
      <c r="C1676" s="20"/>
      <c r="D1676" s="20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5"/>
    </row>
    <row r="1677">
      <c r="A1677" s="11"/>
      <c r="B1677" s="11"/>
      <c r="C1677" s="20"/>
      <c r="D1677" s="20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5"/>
    </row>
    <row r="1678">
      <c r="A1678" s="11"/>
      <c r="B1678" s="11"/>
      <c r="C1678" s="20"/>
      <c r="D1678" s="20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5"/>
    </row>
    <row r="1679">
      <c r="A1679" s="11"/>
      <c r="B1679" s="11"/>
      <c r="C1679" s="20"/>
      <c r="D1679" s="20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5"/>
    </row>
    <row r="1680">
      <c r="A1680" s="11"/>
      <c r="B1680" s="11"/>
      <c r="C1680" s="20"/>
      <c r="D1680" s="20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5"/>
    </row>
    <row r="1681">
      <c r="A1681" s="11"/>
      <c r="B1681" s="11"/>
      <c r="C1681" s="20"/>
      <c r="D1681" s="20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5"/>
    </row>
    <row r="1682">
      <c r="A1682" s="11"/>
      <c r="B1682" s="11"/>
      <c r="C1682" s="20"/>
      <c r="D1682" s="20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5"/>
    </row>
    <row r="1683">
      <c r="A1683" s="11"/>
      <c r="B1683" s="11"/>
      <c r="C1683" s="20"/>
      <c r="D1683" s="20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5"/>
    </row>
    <row r="1684">
      <c r="A1684" s="11"/>
      <c r="B1684" s="11"/>
      <c r="C1684" s="20"/>
      <c r="D1684" s="20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5"/>
    </row>
    <row r="1685">
      <c r="A1685" s="11"/>
      <c r="B1685" s="11"/>
      <c r="C1685" s="20"/>
      <c r="D1685" s="20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5"/>
    </row>
    <row r="1686">
      <c r="A1686" s="11"/>
      <c r="B1686" s="11"/>
      <c r="C1686" s="20"/>
      <c r="D1686" s="20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5"/>
    </row>
    <row r="1687">
      <c r="A1687" s="11"/>
      <c r="B1687" s="11"/>
      <c r="C1687" s="20"/>
      <c r="D1687" s="20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5"/>
    </row>
    <row r="1688">
      <c r="A1688" s="11"/>
      <c r="B1688" s="11"/>
      <c r="C1688" s="20"/>
      <c r="D1688" s="20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5"/>
    </row>
    <row r="1689">
      <c r="A1689" s="11"/>
      <c r="B1689" s="11"/>
      <c r="C1689" s="20"/>
      <c r="D1689" s="20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5"/>
    </row>
    <row r="1690">
      <c r="A1690" s="11"/>
      <c r="B1690" s="11"/>
      <c r="C1690" s="20"/>
      <c r="D1690" s="20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5"/>
    </row>
    <row r="1691">
      <c r="A1691" s="11"/>
      <c r="B1691" s="11"/>
      <c r="C1691" s="20"/>
      <c r="D1691" s="20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5"/>
    </row>
    <row r="1692">
      <c r="A1692" s="11"/>
      <c r="B1692" s="11"/>
      <c r="C1692" s="20"/>
      <c r="D1692" s="20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5"/>
    </row>
    <row r="1693">
      <c r="A1693" s="11"/>
      <c r="B1693" s="11"/>
      <c r="C1693" s="20"/>
      <c r="D1693" s="20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5"/>
    </row>
    <row r="1694">
      <c r="A1694" s="11"/>
      <c r="B1694" s="11"/>
      <c r="C1694" s="20"/>
      <c r="D1694" s="20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5"/>
    </row>
    <row r="1695">
      <c r="A1695" s="11"/>
      <c r="B1695" s="11"/>
      <c r="C1695" s="20"/>
      <c r="D1695" s="20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5"/>
    </row>
    <row r="1696">
      <c r="A1696" s="11"/>
      <c r="B1696" s="11"/>
      <c r="C1696" s="20"/>
      <c r="D1696" s="20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5"/>
    </row>
    <row r="1697">
      <c r="A1697" s="11"/>
      <c r="B1697" s="11"/>
      <c r="C1697" s="20"/>
      <c r="D1697" s="20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5"/>
    </row>
    <row r="1698">
      <c r="A1698" s="11"/>
      <c r="B1698" s="11"/>
      <c r="C1698" s="20"/>
      <c r="D1698" s="20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5"/>
    </row>
    <row r="1699">
      <c r="A1699" s="11"/>
      <c r="B1699" s="11"/>
      <c r="C1699" s="20"/>
      <c r="D1699" s="20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5"/>
    </row>
    <row r="1700">
      <c r="A1700" s="11"/>
      <c r="B1700" s="11"/>
      <c r="C1700" s="20"/>
      <c r="D1700" s="20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5"/>
    </row>
    <row r="1701">
      <c r="A1701" s="11"/>
      <c r="B1701" s="11"/>
      <c r="C1701" s="20"/>
      <c r="D1701" s="20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5"/>
    </row>
    <row r="1702">
      <c r="A1702" s="11"/>
      <c r="B1702" s="11"/>
      <c r="C1702" s="20"/>
      <c r="D1702" s="20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5"/>
    </row>
    <row r="1703">
      <c r="A1703" s="11"/>
      <c r="B1703" s="11"/>
      <c r="C1703" s="20"/>
      <c r="D1703" s="20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5"/>
    </row>
    <row r="1704">
      <c r="A1704" s="11"/>
      <c r="B1704" s="11"/>
      <c r="C1704" s="20"/>
      <c r="D1704" s="20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5"/>
    </row>
    <row r="1705">
      <c r="A1705" s="11"/>
      <c r="B1705" s="11"/>
      <c r="C1705" s="20"/>
      <c r="D1705" s="20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5"/>
    </row>
    <row r="1706">
      <c r="A1706" s="11"/>
      <c r="B1706" s="11"/>
      <c r="C1706" s="20"/>
      <c r="D1706" s="20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5"/>
    </row>
    <row r="1707">
      <c r="A1707" s="11"/>
      <c r="B1707" s="11"/>
      <c r="C1707" s="20"/>
      <c r="D1707" s="20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5"/>
    </row>
    <row r="1708">
      <c r="A1708" s="11"/>
      <c r="B1708" s="11"/>
      <c r="C1708" s="20"/>
      <c r="D1708" s="20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5"/>
    </row>
    <row r="1709">
      <c r="A1709" s="11"/>
      <c r="B1709" s="11"/>
      <c r="C1709" s="20"/>
      <c r="D1709" s="20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5"/>
    </row>
    <row r="1710">
      <c r="A1710" s="11"/>
      <c r="B1710" s="11"/>
      <c r="C1710" s="20"/>
      <c r="D1710" s="20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5"/>
    </row>
    <row r="1711">
      <c r="A1711" s="11"/>
      <c r="B1711" s="11"/>
      <c r="C1711" s="20"/>
      <c r="D1711" s="20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5"/>
    </row>
    <row r="1712">
      <c r="A1712" s="11"/>
      <c r="B1712" s="11"/>
      <c r="C1712" s="20"/>
      <c r="D1712" s="20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5"/>
    </row>
    <row r="1713">
      <c r="A1713" s="11"/>
      <c r="B1713" s="11"/>
      <c r="C1713" s="20"/>
      <c r="D1713" s="20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5"/>
    </row>
    <row r="1714">
      <c r="A1714" s="11"/>
      <c r="B1714" s="11"/>
      <c r="C1714" s="20"/>
      <c r="D1714" s="20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5"/>
    </row>
    <row r="1715">
      <c r="A1715" s="11"/>
      <c r="B1715" s="11"/>
      <c r="C1715" s="20"/>
      <c r="D1715" s="20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5"/>
    </row>
    <row r="1716">
      <c r="A1716" s="11"/>
      <c r="B1716" s="11"/>
      <c r="C1716" s="20"/>
      <c r="D1716" s="20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5"/>
    </row>
    <row r="1717">
      <c r="A1717" s="11"/>
      <c r="B1717" s="11"/>
      <c r="C1717" s="20"/>
      <c r="D1717" s="20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5"/>
    </row>
    <row r="1718">
      <c r="A1718" s="11"/>
      <c r="B1718" s="11"/>
      <c r="C1718" s="20"/>
      <c r="D1718" s="20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5"/>
    </row>
    <row r="1719">
      <c r="A1719" s="11"/>
      <c r="B1719" s="11"/>
      <c r="C1719" s="20"/>
      <c r="D1719" s="20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5"/>
    </row>
    <row r="1720">
      <c r="A1720" s="11"/>
      <c r="B1720" s="11"/>
      <c r="C1720" s="20"/>
      <c r="D1720" s="20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5"/>
    </row>
    <row r="1721">
      <c r="A1721" s="11"/>
      <c r="B1721" s="11"/>
      <c r="C1721" s="20"/>
      <c r="D1721" s="20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5"/>
    </row>
    <row r="1722">
      <c r="A1722" s="11"/>
      <c r="B1722" s="11"/>
      <c r="C1722" s="20"/>
      <c r="D1722" s="20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5"/>
    </row>
    <row r="1723">
      <c r="A1723" s="11"/>
      <c r="B1723" s="11"/>
      <c r="C1723" s="20"/>
      <c r="D1723" s="20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5"/>
    </row>
    <row r="1724">
      <c r="A1724" s="11"/>
      <c r="B1724" s="11"/>
      <c r="C1724" s="20"/>
      <c r="D1724" s="20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5"/>
    </row>
    <row r="1725">
      <c r="A1725" s="11"/>
      <c r="B1725" s="11"/>
      <c r="C1725" s="20"/>
      <c r="D1725" s="20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5"/>
    </row>
    <row r="1726">
      <c r="A1726" s="11"/>
      <c r="B1726" s="11"/>
      <c r="C1726" s="20"/>
      <c r="D1726" s="20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5"/>
    </row>
    <row r="1727">
      <c r="A1727" s="11"/>
      <c r="B1727" s="11"/>
      <c r="C1727" s="20"/>
      <c r="D1727" s="20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5"/>
    </row>
    <row r="1728">
      <c r="A1728" s="11"/>
      <c r="B1728" s="11"/>
      <c r="C1728" s="20"/>
      <c r="D1728" s="20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5"/>
    </row>
    <row r="1729">
      <c r="A1729" s="11"/>
      <c r="B1729" s="11"/>
      <c r="C1729" s="20"/>
      <c r="D1729" s="20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5"/>
    </row>
    <row r="1730">
      <c r="A1730" s="11"/>
      <c r="B1730" s="11"/>
      <c r="C1730" s="20"/>
      <c r="D1730" s="20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5"/>
    </row>
    <row r="1731">
      <c r="A1731" s="11"/>
      <c r="B1731" s="11"/>
      <c r="C1731" s="20"/>
      <c r="D1731" s="20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5"/>
    </row>
    <row r="1732">
      <c r="A1732" s="11"/>
      <c r="B1732" s="11"/>
      <c r="C1732" s="20"/>
      <c r="D1732" s="20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5"/>
    </row>
    <row r="1733">
      <c r="A1733" s="11"/>
      <c r="B1733" s="11"/>
      <c r="C1733" s="20"/>
      <c r="D1733" s="20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5"/>
    </row>
    <row r="1734">
      <c r="A1734" s="11"/>
      <c r="B1734" s="11"/>
      <c r="C1734" s="20"/>
      <c r="D1734" s="20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5"/>
    </row>
    <row r="1735">
      <c r="A1735" s="11"/>
      <c r="B1735" s="11"/>
      <c r="C1735" s="20"/>
      <c r="D1735" s="20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5"/>
    </row>
    <row r="1736">
      <c r="A1736" s="11"/>
      <c r="B1736" s="11"/>
      <c r="C1736" s="20"/>
      <c r="D1736" s="20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5"/>
    </row>
    <row r="1737">
      <c r="A1737" s="11"/>
      <c r="B1737" s="11"/>
      <c r="C1737" s="20"/>
      <c r="D1737" s="20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5"/>
    </row>
    <row r="1738">
      <c r="A1738" s="11"/>
      <c r="B1738" s="11"/>
      <c r="C1738" s="20"/>
      <c r="D1738" s="20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5"/>
    </row>
    <row r="1739">
      <c r="A1739" s="11"/>
      <c r="B1739" s="11"/>
      <c r="C1739" s="20"/>
      <c r="D1739" s="20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5"/>
    </row>
    <row r="1740">
      <c r="A1740" s="11"/>
      <c r="B1740" s="11"/>
      <c r="C1740" s="20"/>
      <c r="D1740" s="20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5"/>
    </row>
    <row r="1741">
      <c r="A1741" s="11"/>
      <c r="B1741" s="11"/>
      <c r="C1741" s="20"/>
      <c r="D1741" s="20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5"/>
    </row>
    <row r="1742">
      <c r="A1742" s="11"/>
      <c r="B1742" s="11"/>
      <c r="C1742" s="20"/>
      <c r="D1742" s="20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5"/>
    </row>
    <row r="1743">
      <c r="A1743" s="11"/>
      <c r="B1743" s="11"/>
      <c r="C1743" s="20"/>
      <c r="D1743" s="20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5"/>
    </row>
    <row r="1744">
      <c r="A1744" s="11"/>
      <c r="B1744" s="11"/>
      <c r="C1744" s="20"/>
      <c r="D1744" s="20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5"/>
    </row>
    <row r="1745">
      <c r="A1745" s="11"/>
      <c r="B1745" s="11"/>
      <c r="C1745" s="20"/>
      <c r="D1745" s="20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5"/>
    </row>
    <row r="1746">
      <c r="A1746" s="11"/>
      <c r="B1746" s="11"/>
      <c r="C1746" s="20"/>
      <c r="D1746" s="20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5"/>
    </row>
    <row r="1747">
      <c r="A1747" s="11"/>
      <c r="B1747" s="11"/>
      <c r="C1747" s="20"/>
      <c r="D1747" s="20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5"/>
    </row>
    <row r="1748">
      <c r="A1748" s="11"/>
      <c r="B1748" s="11"/>
      <c r="C1748" s="20"/>
      <c r="D1748" s="20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5"/>
    </row>
    <row r="1749">
      <c r="A1749" s="11"/>
      <c r="B1749" s="11"/>
      <c r="C1749" s="20"/>
      <c r="D1749" s="20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5"/>
    </row>
    <row r="1750">
      <c r="A1750" s="11"/>
      <c r="B1750" s="11"/>
      <c r="C1750" s="20"/>
      <c r="D1750" s="20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5"/>
    </row>
    <row r="1751">
      <c r="A1751" s="11"/>
      <c r="B1751" s="11"/>
      <c r="C1751" s="20"/>
      <c r="D1751" s="20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5"/>
    </row>
    <row r="1752">
      <c r="A1752" s="11"/>
      <c r="B1752" s="11"/>
      <c r="C1752" s="20"/>
      <c r="D1752" s="20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5"/>
    </row>
    <row r="1753">
      <c r="A1753" s="11"/>
      <c r="B1753" s="11"/>
      <c r="C1753" s="20"/>
      <c r="D1753" s="20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5"/>
    </row>
    <row r="1754">
      <c r="A1754" s="11"/>
      <c r="B1754" s="11"/>
      <c r="C1754" s="20"/>
      <c r="D1754" s="20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5"/>
    </row>
    <row r="1755">
      <c r="A1755" s="11"/>
      <c r="B1755" s="11"/>
      <c r="C1755" s="20"/>
      <c r="D1755" s="20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5"/>
    </row>
    <row r="1756">
      <c r="A1756" s="11"/>
      <c r="B1756" s="11"/>
      <c r="C1756" s="20"/>
      <c r="D1756" s="20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5"/>
    </row>
    <row r="1757">
      <c r="A1757" s="11"/>
      <c r="B1757" s="11"/>
      <c r="C1757" s="20"/>
      <c r="D1757" s="20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5"/>
    </row>
    <row r="1758">
      <c r="A1758" s="11"/>
      <c r="B1758" s="11"/>
      <c r="C1758" s="20"/>
      <c r="D1758" s="20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5"/>
    </row>
    <row r="1759">
      <c r="A1759" s="11"/>
      <c r="B1759" s="11"/>
      <c r="C1759" s="20"/>
      <c r="D1759" s="20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5"/>
    </row>
    <row r="1760">
      <c r="A1760" s="11"/>
      <c r="B1760" s="11"/>
      <c r="C1760" s="20"/>
      <c r="D1760" s="20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5"/>
    </row>
    <row r="1761">
      <c r="A1761" s="11"/>
      <c r="B1761" s="11"/>
      <c r="C1761" s="20"/>
      <c r="D1761" s="20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5"/>
    </row>
    <row r="1762">
      <c r="A1762" s="11"/>
      <c r="B1762" s="11"/>
      <c r="C1762" s="20"/>
      <c r="D1762" s="20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5"/>
    </row>
    <row r="1763">
      <c r="A1763" s="11"/>
      <c r="B1763" s="11"/>
      <c r="C1763" s="20"/>
      <c r="D1763" s="20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5"/>
    </row>
    <row r="1764">
      <c r="A1764" s="11"/>
      <c r="B1764" s="11"/>
      <c r="C1764" s="20"/>
      <c r="D1764" s="20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5"/>
    </row>
    <row r="1765">
      <c r="A1765" s="11"/>
      <c r="B1765" s="11"/>
      <c r="C1765" s="20"/>
      <c r="D1765" s="20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5"/>
    </row>
    <row r="1766">
      <c r="A1766" s="11"/>
      <c r="B1766" s="11"/>
      <c r="C1766" s="20"/>
      <c r="D1766" s="20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5"/>
    </row>
    <row r="1767">
      <c r="A1767" s="11"/>
      <c r="B1767" s="11"/>
      <c r="C1767" s="20"/>
      <c r="D1767" s="20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5"/>
    </row>
    <row r="1768">
      <c r="A1768" s="11"/>
      <c r="B1768" s="11"/>
      <c r="C1768" s="20"/>
      <c r="D1768" s="20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5"/>
    </row>
    <row r="1769">
      <c r="A1769" s="11"/>
      <c r="B1769" s="11"/>
      <c r="C1769" s="20"/>
      <c r="D1769" s="20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5"/>
    </row>
    <row r="1770">
      <c r="A1770" s="11"/>
      <c r="B1770" s="11"/>
      <c r="C1770" s="20"/>
      <c r="D1770" s="20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5"/>
    </row>
    <row r="1771">
      <c r="A1771" s="11"/>
      <c r="B1771" s="11"/>
      <c r="C1771" s="20"/>
      <c r="D1771" s="20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5"/>
    </row>
    <row r="1772">
      <c r="A1772" s="11"/>
      <c r="B1772" s="11"/>
      <c r="C1772" s="20"/>
      <c r="D1772" s="20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5"/>
    </row>
    <row r="1773">
      <c r="A1773" s="11"/>
      <c r="B1773" s="11"/>
      <c r="C1773" s="20"/>
      <c r="D1773" s="20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5"/>
    </row>
    <row r="1774">
      <c r="A1774" s="11"/>
      <c r="B1774" s="11"/>
      <c r="C1774" s="20"/>
      <c r="D1774" s="20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5"/>
    </row>
    <row r="1775">
      <c r="A1775" s="11"/>
      <c r="B1775" s="11"/>
      <c r="C1775" s="20"/>
      <c r="D1775" s="20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5"/>
    </row>
    <row r="1776">
      <c r="A1776" s="11"/>
      <c r="B1776" s="11"/>
      <c r="C1776" s="20"/>
      <c r="D1776" s="20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5"/>
    </row>
    <row r="1777">
      <c r="A1777" s="11"/>
      <c r="B1777" s="11"/>
      <c r="C1777" s="20"/>
      <c r="D1777" s="20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5"/>
    </row>
    <row r="1778">
      <c r="A1778" s="11"/>
      <c r="B1778" s="11"/>
      <c r="C1778" s="20"/>
      <c r="D1778" s="20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5"/>
    </row>
    <row r="1779">
      <c r="A1779" s="11"/>
      <c r="B1779" s="11"/>
      <c r="C1779" s="20"/>
      <c r="D1779" s="20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5"/>
    </row>
    <row r="1780">
      <c r="A1780" s="11"/>
      <c r="B1780" s="11"/>
      <c r="C1780" s="20"/>
      <c r="D1780" s="20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5"/>
    </row>
    <row r="1781">
      <c r="A1781" s="11"/>
      <c r="B1781" s="11"/>
      <c r="C1781" s="20"/>
      <c r="D1781" s="20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5"/>
    </row>
    <row r="1782">
      <c r="A1782" s="11"/>
      <c r="B1782" s="11"/>
      <c r="C1782" s="20"/>
      <c r="D1782" s="20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5"/>
    </row>
    <row r="1783">
      <c r="A1783" s="11"/>
      <c r="B1783" s="11"/>
      <c r="C1783" s="20"/>
      <c r="D1783" s="20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5"/>
    </row>
    <row r="1784">
      <c r="A1784" s="11"/>
      <c r="B1784" s="11"/>
      <c r="C1784" s="20"/>
      <c r="D1784" s="20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5"/>
    </row>
    <row r="1785">
      <c r="A1785" s="11"/>
      <c r="B1785" s="11"/>
      <c r="C1785" s="20"/>
      <c r="D1785" s="20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5"/>
    </row>
    <row r="1786">
      <c r="A1786" s="11"/>
      <c r="B1786" s="11"/>
      <c r="C1786" s="20"/>
      <c r="D1786" s="20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5"/>
    </row>
    <row r="1787">
      <c r="A1787" s="11"/>
      <c r="B1787" s="11"/>
      <c r="C1787" s="20"/>
      <c r="D1787" s="20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5"/>
    </row>
    <row r="1788">
      <c r="A1788" s="11"/>
      <c r="B1788" s="11"/>
      <c r="C1788" s="20"/>
      <c r="D1788" s="20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5"/>
    </row>
    <row r="1789">
      <c r="A1789" s="11"/>
      <c r="B1789" s="11"/>
      <c r="C1789" s="20"/>
      <c r="D1789" s="20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5"/>
    </row>
    <row r="1790">
      <c r="A1790" s="11"/>
      <c r="B1790" s="11"/>
      <c r="C1790" s="20"/>
      <c r="D1790" s="20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5"/>
    </row>
    <row r="1791">
      <c r="A1791" s="11"/>
      <c r="B1791" s="11"/>
      <c r="C1791" s="20"/>
      <c r="D1791" s="20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5"/>
    </row>
    <row r="1792">
      <c r="A1792" s="11"/>
      <c r="B1792" s="11"/>
      <c r="C1792" s="20"/>
      <c r="D1792" s="20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5"/>
    </row>
    <row r="1793">
      <c r="A1793" s="11"/>
      <c r="B1793" s="11"/>
      <c r="C1793" s="20"/>
      <c r="D1793" s="20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5"/>
    </row>
    <row r="1794">
      <c r="A1794" s="11"/>
      <c r="B1794" s="11"/>
      <c r="C1794" s="20"/>
      <c r="D1794" s="20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5"/>
    </row>
    <row r="1795">
      <c r="A1795" s="11"/>
      <c r="B1795" s="11"/>
      <c r="C1795" s="20"/>
      <c r="D1795" s="20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5"/>
    </row>
    <row r="1796">
      <c r="A1796" s="11"/>
      <c r="B1796" s="11"/>
      <c r="C1796" s="20"/>
      <c r="D1796" s="20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5"/>
    </row>
    <row r="1797">
      <c r="A1797" s="11"/>
      <c r="B1797" s="11"/>
      <c r="C1797" s="20"/>
      <c r="D1797" s="20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5"/>
    </row>
    <row r="1798">
      <c r="A1798" s="11"/>
      <c r="B1798" s="11"/>
      <c r="C1798" s="20"/>
      <c r="D1798" s="20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5"/>
    </row>
    <row r="1799">
      <c r="A1799" s="11"/>
      <c r="B1799" s="11"/>
      <c r="C1799" s="20"/>
      <c r="D1799" s="20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5"/>
    </row>
    <row r="1800">
      <c r="A1800" s="11"/>
      <c r="B1800" s="11"/>
      <c r="C1800" s="20"/>
      <c r="D1800" s="20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5"/>
    </row>
    <row r="1801">
      <c r="A1801" s="11"/>
      <c r="B1801" s="11"/>
      <c r="C1801" s="20"/>
      <c r="D1801" s="20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5"/>
    </row>
    <row r="1802">
      <c r="A1802" s="11"/>
      <c r="B1802" s="11"/>
      <c r="C1802" s="20"/>
      <c r="D1802" s="20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5"/>
    </row>
    <row r="1803">
      <c r="A1803" s="11"/>
      <c r="B1803" s="11"/>
      <c r="C1803" s="20"/>
      <c r="D1803" s="20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5"/>
    </row>
    <row r="1804">
      <c r="A1804" s="11"/>
      <c r="B1804" s="11"/>
      <c r="C1804" s="20"/>
      <c r="D1804" s="20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5"/>
    </row>
    <row r="1805">
      <c r="A1805" s="11"/>
      <c r="B1805" s="11"/>
      <c r="C1805" s="20"/>
      <c r="D1805" s="20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5"/>
    </row>
    <row r="1806">
      <c r="A1806" s="11"/>
      <c r="B1806" s="11"/>
      <c r="C1806" s="20"/>
      <c r="D1806" s="20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5"/>
    </row>
    <row r="1807">
      <c r="A1807" s="11"/>
      <c r="B1807" s="11"/>
      <c r="C1807" s="20"/>
      <c r="D1807" s="20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5"/>
    </row>
    <row r="1808">
      <c r="A1808" s="11"/>
      <c r="B1808" s="11"/>
      <c r="C1808" s="20"/>
      <c r="D1808" s="20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5"/>
    </row>
    <row r="1809">
      <c r="A1809" s="11"/>
      <c r="B1809" s="11"/>
      <c r="C1809" s="20"/>
      <c r="D1809" s="20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5"/>
    </row>
    <row r="1810">
      <c r="A1810" s="11"/>
      <c r="B1810" s="11"/>
      <c r="C1810" s="20"/>
      <c r="D1810" s="20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5"/>
    </row>
    <row r="1811">
      <c r="A1811" s="11"/>
      <c r="B1811" s="11"/>
      <c r="C1811" s="20"/>
      <c r="D1811" s="20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5"/>
    </row>
    <row r="1812">
      <c r="A1812" s="11"/>
      <c r="B1812" s="11"/>
      <c r="C1812" s="20"/>
      <c r="D1812" s="20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5"/>
    </row>
    <row r="1813">
      <c r="A1813" s="11"/>
      <c r="B1813" s="11"/>
      <c r="C1813" s="20"/>
      <c r="D1813" s="20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5"/>
    </row>
    <row r="1814">
      <c r="A1814" s="11"/>
      <c r="B1814" s="11"/>
      <c r="C1814" s="20"/>
      <c r="D1814" s="20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5"/>
    </row>
    <row r="1815">
      <c r="A1815" s="11"/>
      <c r="B1815" s="11"/>
      <c r="C1815" s="20"/>
      <c r="D1815" s="20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5"/>
    </row>
    <row r="1816">
      <c r="A1816" s="11"/>
      <c r="B1816" s="11"/>
      <c r="C1816" s="20"/>
      <c r="D1816" s="20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5"/>
    </row>
    <row r="1817">
      <c r="A1817" s="11"/>
      <c r="B1817" s="11"/>
      <c r="C1817" s="20"/>
      <c r="D1817" s="20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5"/>
    </row>
    <row r="1818">
      <c r="A1818" s="11"/>
      <c r="B1818" s="11"/>
      <c r="C1818" s="20"/>
      <c r="D1818" s="20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5"/>
    </row>
    <row r="1819">
      <c r="A1819" s="11"/>
      <c r="B1819" s="11"/>
      <c r="C1819" s="20"/>
      <c r="D1819" s="20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5"/>
    </row>
    <row r="1820">
      <c r="A1820" s="11"/>
      <c r="B1820" s="11"/>
      <c r="C1820" s="20"/>
      <c r="D1820" s="20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5"/>
    </row>
    <row r="1821">
      <c r="A1821" s="11"/>
      <c r="B1821" s="11"/>
      <c r="C1821" s="20"/>
      <c r="D1821" s="20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5"/>
    </row>
    <row r="1822">
      <c r="A1822" s="11"/>
      <c r="B1822" s="11"/>
      <c r="C1822" s="20"/>
      <c r="D1822" s="20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5"/>
    </row>
    <row r="1823">
      <c r="A1823" s="11"/>
      <c r="B1823" s="11"/>
      <c r="C1823" s="20"/>
      <c r="D1823" s="20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5"/>
    </row>
    <row r="1824">
      <c r="A1824" s="11"/>
      <c r="B1824" s="11"/>
      <c r="C1824" s="20"/>
      <c r="D1824" s="20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5"/>
    </row>
    <row r="1825">
      <c r="A1825" s="11"/>
      <c r="B1825" s="11"/>
      <c r="C1825" s="20"/>
      <c r="D1825" s="20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5"/>
    </row>
    <row r="1826">
      <c r="A1826" s="11"/>
      <c r="B1826" s="11"/>
      <c r="C1826" s="20"/>
      <c r="D1826" s="20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5"/>
    </row>
    <row r="1827">
      <c r="A1827" s="11"/>
      <c r="B1827" s="11"/>
      <c r="C1827" s="20"/>
      <c r="D1827" s="20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5"/>
    </row>
    <row r="1828">
      <c r="A1828" s="11"/>
      <c r="B1828" s="11"/>
      <c r="C1828" s="20"/>
      <c r="D1828" s="20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5"/>
    </row>
    <row r="1829">
      <c r="A1829" s="11"/>
      <c r="B1829" s="11"/>
      <c r="C1829" s="20"/>
      <c r="D1829" s="20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5"/>
    </row>
    <row r="1830">
      <c r="A1830" s="11"/>
      <c r="B1830" s="11"/>
      <c r="C1830" s="20"/>
      <c r="D1830" s="20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5"/>
    </row>
    <row r="1831">
      <c r="A1831" s="11"/>
      <c r="B1831" s="11"/>
      <c r="C1831" s="20"/>
      <c r="D1831" s="20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5"/>
    </row>
    <row r="1832">
      <c r="A1832" s="11"/>
      <c r="B1832" s="11"/>
      <c r="C1832" s="20"/>
      <c r="D1832" s="20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5"/>
    </row>
    <row r="1833">
      <c r="A1833" s="11"/>
      <c r="B1833" s="11"/>
      <c r="C1833" s="20"/>
      <c r="D1833" s="20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5"/>
    </row>
    <row r="1834">
      <c r="A1834" s="11"/>
      <c r="B1834" s="11"/>
      <c r="C1834" s="20"/>
      <c r="D1834" s="20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5"/>
    </row>
    <row r="1835">
      <c r="A1835" s="11"/>
      <c r="B1835" s="11"/>
      <c r="C1835" s="20"/>
      <c r="D1835" s="20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5"/>
    </row>
    <row r="1836">
      <c r="A1836" s="11"/>
      <c r="B1836" s="11"/>
      <c r="C1836" s="20"/>
      <c r="D1836" s="20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5"/>
    </row>
    <row r="1837">
      <c r="A1837" s="11"/>
      <c r="B1837" s="11"/>
      <c r="C1837" s="20"/>
      <c r="D1837" s="20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5"/>
    </row>
    <row r="1838">
      <c r="A1838" s="11"/>
      <c r="B1838" s="11"/>
      <c r="C1838" s="20"/>
      <c r="D1838" s="20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5"/>
    </row>
    <row r="1839">
      <c r="A1839" s="11"/>
      <c r="B1839" s="11"/>
      <c r="C1839" s="20"/>
      <c r="D1839" s="20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5"/>
    </row>
    <row r="1840">
      <c r="A1840" s="11"/>
      <c r="B1840" s="11"/>
      <c r="C1840" s="20"/>
      <c r="D1840" s="20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5"/>
    </row>
    <row r="1841">
      <c r="A1841" s="11"/>
      <c r="B1841" s="11"/>
      <c r="C1841" s="20"/>
      <c r="D1841" s="20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5"/>
    </row>
    <row r="1842">
      <c r="A1842" s="11"/>
      <c r="B1842" s="11"/>
      <c r="C1842" s="20"/>
      <c r="D1842" s="20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5"/>
    </row>
    <row r="1843">
      <c r="A1843" s="11"/>
      <c r="B1843" s="11"/>
      <c r="C1843" s="20"/>
      <c r="D1843" s="20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5"/>
    </row>
    <row r="1844">
      <c r="A1844" s="11"/>
      <c r="B1844" s="11"/>
      <c r="C1844" s="20"/>
      <c r="D1844" s="20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5"/>
    </row>
    <row r="1845">
      <c r="A1845" s="11"/>
      <c r="B1845" s="11"/>
      <c r="C1845" s="20"/>
      <c r="D1845" s="20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5"/>
    </row>
    <row r="1846">
      <c r="A1846" s="11"/>
      <c r="B1846" s="11"/>
      <c r="C1846" s="20"/>
      <c r="D1846" s="20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5"/>
    </row>
    <row r="1847">
      <c r="A1847" s="11"/>
      <c r="B1847" s="11"/>
      <c r="C1847" s="20"/>
      <c r="D1847" s="20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5"/>
    </row>
    <row r="1848">
      <c r="A1848" s="11"/>
      <c r="B1848" s="11"/>
      <c r="C1848" s="20"/>
      <c r="D1848" s="20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5"/>
    </row>
    <row r="1849">
      <c r="A1849" s="11"/>
      <c r="B1849" s="11"/>
      <c r="C1849" s="20"/>
      <c r="D1849" s="20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5"/>
    </row>
    <row r="1850">
      <c r="A1850" s="11"/>
      <c r="B1850" s="11"/>
      <c r="C1850" s="20"/>
      <c r="D1850" s="20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5"/>
    </row>
    <row r="1851">
      <c r="A1851" s="11"/>
      <c r="B1851" s="11"/>
      <c r="C1851" s="20"/>
      <c r="D1851" s="20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5"/>
    </row>
    <row r="1852">
      <c r="A1852" s="11"/>
      <c r="B1852" s="11"/>
      <c r="C1852" s="20"/>
      <c r="D1852" s="20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5"/>
    </row>
    <row r="1853">
      <c r="A1853" s="11"/>
      <c r="B1853" s="11"/>
      <c r="C1853" s="20"/>
      <c r="D1853" s="20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5"/>
    </row>
    <row r="1854">
      <c r="A1854" s="11"/>
      <c r="B1854" s="11"/>
      <c r="C1854" s="20"/>
      <c r="D1854" s="20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5"/>
    </row>
    <row r="1855">
      <c r="A1855" s="11"/>
      <c r="B1855" s="11"/>
      <c r="C1855" s="20"/>
      <c r="D1855" s="20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5"/>
    </row>
    <row r="1856">
      <c r="A1856" s="11"/>
      <c r="B1856" s="11"/>
      <c r="C1856" s="20"/>
      <c r="D1856" s="20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5"/>
    </row>
    <row r="1857">
      <c r="A1857" s="11"/>
      <c r="B1857" s="11"/>
      <c r="C1857" s="20"/>
      <c r="D1857" s="20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5"/>
    </row>
    <row r="1858">
      <c r="A1858" s="11"/>
      <c r="B1858" s="11"/>
      <c r="C1858" s="20"/>
      <c r="D1858" s="20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5"/>
    </row>
    <row r="1859">
      <c r="A1859" s="11"/>
      <c r="B1859" s="11"/>
      <c r="C1859" s="20"/>
      <c r="D1859" s="20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5"/>
    </row>
    <row r="1860">
      <c r="A1860" s="11"/>
      <c r="B1860" s="11"/>
      <c r="C1860" s="20"/>
      <c r="D1860" s="20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5"/>
    </row>
    <row r="1861">
      <c r="A1861" s="11"/>
      <c r="B1861" s="11"/>
      <c r="C1861" s="20"/>
      <c r="D1861" s="20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5"/>
    </row>
    <row r="1862">
      <c r="A1862" s="11"/>
      <c r="B1862" s="11"/>
      <c r="C1862" s="20"/>
      <c r="D1862" s="20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5"/>
    </row>
    <row r="1863">
      <c r="A1863" s="11"/>
      <c r="B1863" s="11"/>
      <c r="C1863" s="20"/>
      <c r="D1863" s="20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5"/>
    </row>
    <row r="1864">
      <c r="A1864" s="11"/>
      <c r="B1864" s="11"/>
      <c r="C1864" s="20"/>
      <c r="D1864" s="20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5"/>
    </row>
    <row r="1865">
      <c r="A1865" s="11"/>
      <c r="B1865" s="11"/>
      <c r="C1865" s="20"/>
      <c r="D1865" s="20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5"/>
    </row>
    <row r="1866">
      <c r="A1866" s="11"/>
      <c r="B1866" s="11"/>
      <c r="C1866" s="20"/>
      <c r="D1866" s="20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5"/>
    </row>
    <row r="1867">
      <c r="A1867" s="11"/>
      <c r="B1867" s="11"/>
      <c r="C1867" s="20"/>
      <c r="D1867" s="20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5"/>
    </row>
    <row r="1868">
      <c r="A1868" s="11"/>
      <c r="B1868" s="11"/>
      <c r="C1868" s="20"/>
      <c r="D1868" s="20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5"/>
    </row>
    <row r="1869">
      <c r="A1869" s="11"/>
      <c r="B1869" s="11"/>
      <c r="C1869" s="20"/>
      <c r="D1869" s="20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5"/>
    </row>
    <row r="1870">
      <c r="A1870" s="11"/>
      <c r="B1870" s="11"/>
      <c r="C1870" s="20"/>
      <c r="D1870" s="20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5"/>
    </row>
    <row r="1871">
      <c r="A1871" s="11"/>
      <c r="B1871" s="11"/>
      <c r="C1871" s="20"/>
      <c r="D1871" s="20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5"/>
    </row>
    <row r="1872">
      <c r="A1872" s="11"/>
      <c r="B1872" s="11"/>
      <c r="C1872" s="20"/>
      <c r="D1872" s="20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5"/>
    </row>
    <row r="1873">
      <c r="A1873" s="11"/>
      <c r="B1873" s="11"/>
      <c r="C1873" s="20"/>
      <c r="D1873" s="20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5"/>
    </row>
    <row r="1874">
      <c r="A1874" s="11"/>
      <c r="B1874" s="11"/>
      <c r="C1874" s="20"/>
      <c r="D1874" s="20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5"/>
    </row>
    <row r="1875">
      <c r="A1875" s="11"/>
      <c r="B1875" s="11"/>
      <c r="C1875" s="20"/>
      <c r="D1875" s="20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5"/>
    </row>
    <row r="1876">
      <c r="A1876" s="11"/>
      <c r="B1876" s="11"/>
      <c r="C1876" s="20"/>
      <c r="D1876" s="20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5"/>
    </row>
    <row r="1877">
      <c r="A1877" s="11"/>
      <c r="B1877" s="11"/>
      <c r="C1877" s="20"/>
      <c r="D1877" s="20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5"/>
    </row>
    <row r="1878">
      <c r="A1878" s="11"/>
      <c r="B1878" s="11"/>
      <c r="C1878" s="20"/>
      <c r="D1878" s="20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5"/>
    </row>
    <row r="1879">
      <c r="A1879" s="11"/>
      <c r="B1879" s="11"/>
      <c r="C1879" s="20"/>
      <c r="D1879" s="20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5"/>
    </row>
    <row r="1880">
      <c r="A1880" s="11"/>
      <c r="B1880" s="11"/>
      <c r="C1880" s="20"/>
      <c r="D1880" s="20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5"/>
    </row>
    <row r="1881">
      <c r="A1881" s="11"/>
      <c r="B1881" s="11"/>
      <c r="C1881" s="20"/>
      <c r="D1881" s="20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5"/>
    </row>
    <row r="1882">
      <c r="A1882" s="11"/>
      <c r="B1882" s="11"/>
      <c r="C1882" s="20"/>
      <c r="D1882" s="20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5"/>
    </row>
    <row r="1883">
      <c r="A1883" s="11"/>
      <c r="B1883" s="11"/>
      <c r="C1883" s="20"/>
      <c r="D1883" s="20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5"/>
    </row>
    <row r="1884">
      <c r="A1884" s="11"/>
      <c r="B1884" s="11"/>
      <c r="C1884" s="20"/>
      <c r="D1884" s="20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5"/>
    </row>
    <row r="1885">
      <c r="A1885" s="11"/>
      <c r="B1885" s="11"/>
      <c r="C1885" s="20"/>
      <c r="D1885" s="20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5"/>
    </row>
    <row r="1886">
      <c r="A1886" s="11"/>
      <c r="B1886" s="11"/>
      <c r="C1886" s="20"/>
      <c r="D1886" s="20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5"/>
    </row>
    <row r="1887">
      <c r="A1887" s="11"/>
      <c r="B1887" s="11"/>
      <c r="C1887" s="20"/>
      <c r="D1887" s="20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5"/>
    </row>
    <row r="1888">
      <c r="A1888" s="11"/>
      <c r="B1888" s="11"/>
      <c r="C1888" s="20"/>
      <c r="D1888" s="20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5"/>
    </row>
    <row r="1889">
      <c r="A1889" s="11"/>
      <c r="B1889" s="11"/>
      <c r="C1889" s="20"/>
      <c r="D1889" s="20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5"/>
    </row>
    <row r="1890">
      <c r="A1890" s="11"/>
      <c r="B1890" s="11"/>
      <c r="C1890" s="20"/>
      <c r="D1890" s="20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5"/>
    </row>
    <row r="1891">
      <c r="A1891" s="11"/>
      <c r="B1891" s="11"/>
      <c r="C1891" s="20"/>
      <c r="D1891" s="20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5"/>
    </row>
    <row r="1892">
      <c r="A1892" s="11"/>
      <c r="B1892" s="11"/>
      <c r="C1892" s="20"/>
      <c r="D1892" s="20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5"/>
    </row>
    <row r="1893">
      <c r="A1893" s="11"/>
      <c r="B1893" s="11"/>
      <c r="C1893" s="20"/>
      <c r="D1893" s="20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5"/>
    </row>
    <row r="1894">
      <c r="A1894" s="11"/>
      <c r="B1894" s="11"/>
      <c r="C1894" s="20"/>
      <c r="D1894" s="20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5"/>
    </row>
    <row r="1895">
      <c r="A1895" s="11"/>
      <c r="B1895" s="11"/>
      <c r="C1895" s="20"/>
      <c r="D1895" s="20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5"/>
    </row>
    <row r="1896">
      <c r="A1896" s="11"/>
      <c r="B1896" s="11"/>
      <c r="C1896" s="20"/>
      <c r="D1896" s="20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5"/>
    </row>
    <row r="1897">
      <c r="A1897" s="11"/>
      <c r="B1897" s="11"/>
      <c r="C1897" s="20"/>
      <c r="D1897" s="20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5"/>
    </row>
    <row r="1898">
      <c r="A1898" s="11"/>
      <c r="B1898" s="11"/>
      <c r="C1898" s="20"/>
      <c r="D1898" s="20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5"/>
    </row>
    <row r="1899">
      <c r="A1899" s="11"/>
      <c r="B1899" s="11"/>
      <c r="C1899" s="20"/>
      <c r="D1899" s="20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5"/>
    </row>
    <row r="1900">
      <c r="A1900" s="11"/>
      <c r="B1900" s="11"/>
      <c r="C1900" s="20"/>
      <c r="D1900" s="20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5"/>
    </row>
    <row r="1901">
      <c r="A1901" s="11"/>
      <c r="B1901" s="11"/>
      <c r="C1901" s="20"/>
      <c r="D1901" s="20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5"/>
    </row>
    <row r="1902">
      <c r="A1902" s="11"/>
      <c r="B1902" s="11"/>
      <c r="C1902" s="20"/>
      <c r="D1902" s="20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5"/>
    </row>
    <row r="1903">
      <c r="A1903" s="11"/>
      <c r="B1903" s="11"/>
      <c r="C1903" s="20"/>
      <c r="D1903" s="20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5"/>
    </row>
    <row r="1904">
      <c r="A1904" s="11"/>
      <c r="B1904" s="11"/>
      <c r="C1904" s="20"/>
      <c r="D1904" s="20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5"/>
    </row>
    <row r="1905">
      <c r="A1905" s="11"/>
      <c r="B1905" s="11"/>
      <c r="C1905" s="20"/>
      <c r="D1905" s="20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5"/>
    </row>
    <row r="1906">
      <c r="A1906" s="11"/>
      <c r="B1906" s="11"/>
      <c r="C1906" s="20"/>
      <c r="D1906" s="20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5"/>
    </row>
    <row r="1907">
      <c r="A1907" s="11"/>
      <c r="B1907" s="11"/>
      <c r="C1907" s="20"/>
      <c r="D1907" s="20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5"/>
    </row>
    <row r="1908">
      <c r="A1908" s="11"/>
      <c r="B1908" s="11"/>
      <c r="C1908" s="20"/>
      <c r="D1908" s="20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5"/>
    </row>
    <row r="1909">
      <c r="A1909" s="11"/>
      <c r="B1909" s="11"/>
      <c r="C1909" s="20"/>
      <c r="D1909" s="20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5"/>
    </row>
    <row r="1910">
      <c r="A1910" s="11"/>
      <c r="B1910" s="11"/>
      <c r="C1910" s="20"/>
      <c r="D1910" s="20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5"/>
    </row>
    <row r="1911">
      <c r="A1911" s="11"/>
      <c r="B1911" s="11"/>
      <c r="C1911" s="20"/>
      <c r="D1911" s="20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5"/>
    </row>
    <row r="1912">
      <c r="A1912" s="11"/>
      <c r="B1912" s="11"/>
      <c r="C1912" s="20"/>
      <c r="D1912" s="20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5"/>
    </row>
    <row r="1913">
      <c r="A1913" s="11"/>
      <c r="B1913" s="11"/>
      <c r="C1913" s="20"/>
      <c r="D1913" s="20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5"/>
    </row>
    <row r="1914">
      <c r="A1914" s="11"/>
      <c r="B1914" s="11"/>
      <c r="C1914" s="20"/>
      <c r="D1914" s="20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5"/>
    </row>
    <row r="1915">
      <c r="A1915" s="11"/>
      <c r="B1915" s="11"/>
      <c r="C1915" s="20"/>
      <c r="D1915" s="20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5"/>
    </row>
    <row r="1916">
      <c r="A1916" s="11"/>
      <c r="B1916" s="11"/>
      <c r="C1916" s="20"/>
      <c r="D1916" s="20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5"/>
    </row>
    <row r="1917">
      <c r="A1917" s="11"/>
      <c r="B1917" s="11"/>
      <c r="C1917" s="20"/>
      <c r="D1917" s="20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5"/>
    </row>
    <row r="1918">
      <c r="A1918" s="11"/>
      <c r="B1918" s="11"/>
      <c r="C1918" s="20"/>
      <c r="D1918" s="20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5"/>
    </row>
    <row r="1919">
      <c r="A1919" s="11"/>
      <c r="B1919" s="11"/>
      <c r="C1919" s="20"/>
      <c r="D1919" s="20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5"/>
    </row>
    <row r="1920">
      <c r="A1920" s="11"/>
      <c r="B1920" s="11"/>
      <c r="C1920" s="20"/>
      <c r="D1920" s="20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5"/>
    </row>
    <row r="1921">
      <c r="A1921" s="11"/>
      <c r="B1921" s="11"/>
      <c r="C1921" s="20"/>
      <c r="D1921" s="20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5"/>
    </row>
    <row r="1922">
      <c r="A1922" s="11"/>
      <c r="B1922" s="11"/>
      <c r="C1922" s="20"/>
      <c r="D1922" s="20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5"/>
    </row>
    <row r="1923">
      <c r="A1923" s="11"/>
      <c r="B1923" s="11"/>
      <c r="C1923" s="20"/>
      <c r="D1923" s="20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5"/>
    </row>
    <row r="1924">
      <c r="A1924" s="11"/>
      <c r="B1924" s="11"/>
      <c r="C1924" s="20"/>
      <c r="D1924" s="20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5"/>
    </row>
    <row r="1925">
      <c r="A1925" s="11"/>
      <c r="B1925" s="11"/>
      <c r="C1925" s="20"/>
      <c r="D1925" s="20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5"/>
    </row>
    <row r="1926">
      <c r="A1926" s="11"/>
      <c r="B1926" s="11"/>
      <c r="C1926" s="20"/>
      <c r="D1926" s="20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5"/>
    </row>
    <row r="1927">
      <c r="A1927" s="11"/>
      <c r="B1927" s="11"/>
      <c r="C1927" s="20"/>
      <c r="D1927" s="20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5"/>
    </row>
    <row r="1928">
      <c r="A1928" s="11"/>
      <c r="B1928" s="11"/>
      <c r="C1928" s="20"/>
      <c r="D1928" s="20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5"/>
    </row>
    <row r="1929">
      <c r="A1929" s="11"/>
      <c r="B1929" s="11"/>
      <c r="C1929" s="20"/>
      <c r="D1929" s="20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5"/>
    </row>
    <row r="1930">
      <c r="A1930" s="11"/>
      <c r="B1930" s="11"/>
      <c r="C1930" s="20"/>
      <c r="D1930" s="20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5"/>
    </row>
    <row r="1931">
      <c r="A1931" s="11"/>
      <c r="B1931" s="11"/>
      <c r="C1931" s="20"/>
      <c r="D1931" s="20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5"/>
    </row>
    <row r="1932">
      <c r="A1932" s="11"/>
      <c r="B1932" s="11"/>
      <c r="C1932" s="20"/>
      <c r="D1932" s="20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5"/>
    </row>
    <row r="1933">
      <c r="A1933" s="11"/>
      <c r="B1933" s="11"/>
      <c r="C1933" s="20"/>
      <c r="D1933" s="20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5"/>
    </row>
    <row r="1934">
      <c r="A1934" s="11"/>
      <c r="B1934" s="11"/>
      <c r="C1934" s="20"/>
      <c r="D1934" s="20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5"/>
    </row>
    <row r="1935">
      <c r="A1935" s="11"/>
      <c r="B1935" s="11"/>
      <c r="C1935" s="20"/>
      <c r="D1935" s="20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5"/>
    </row>
    <row r="1936">
      <c r="A1936" s="11"/>
      <c r="B1936" s="11"/>
      <c r="C1936" s="20"/>
      <c r="D1936" s="20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5"/>
    </row>
    <row r="1937">
      <c r="A1937" s="11"/>
      <c r="B1937" s="11"/>
      <c r="C1937" s="20"/>
      <c r="D1937" s="20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5"/>
    </row>
    <row r="1938">
      <c r="A1938" s="11"/>
      <c r="B1938" s="11"/>
      <c r="C1938" s="20"/>
      <c r="D1938" s="20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5"/>
    </row>
    <row r="1939">
      <c r="A1939" s="11"/>
      <c r="B1939" s="11"/>
      <c r="C1939" s="20"/>
      <c r="D1939" s="20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5"/>
    </row>
    <row r="1940">
      <c r="A1940" s="11"/>
      <c r="B1940" s="11"/>
      <c r="C1940" s="20"/>
      <c r="D1940" s="20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5"/>
    </row>
    <row r="1941">
      <c r="A1941" s="11"/>
      <c r="B1941" s="11"/>
      <c r="C1941" s="20"/>
      <c r="D1941" s="20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5"/>
    </row>
    <row r="1942">
      <c r="A1942" s="11"/>
      <c r="B1942" s="11"/>
      <c r="C1942" s="20"/>
      <c r="D1942" s="20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5"/>
    </row>
    <row r="1943">
      <c r="A1943" s="11"/>
      <c r="B1943" s="11"/>
      <c r="C1943" s="20"/>
      <c r="D1943" s="20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5"/>
    </row>
    <row r="1944">
      <c r="A1944" s="11"/>
      <c r="B1944" s="11"/>
      <c r="C1944" s="20"/>
      <c r="D1944" s="20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5"/>
    </row>
    <row r="1945">
      <c r="A1945" s="11"/>
      <c r="B1945" s="11"/>
      <c r="C1945" s="20"/>
      <c r="D1945" s="20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5"/>
    </row>
    <row r="1946">
      <c r="A1946" s="11"/>
      <c r="B1946" s="11"/>
      <c r="C1946" s="20"/>
      <c r="D1946" s="20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5"/>
    </row>
    <row r="1947">
      <c r="A1947" s="11"/>
      <c r="B1947" s="11"/>
      <c r="C1947" s="20"/>
      <c r="D1947" s="20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5"/>
    </row>
    <row r="1948">
      <c r="A1948" s="11"/>
      <c r="B1948" s="11"/>
      <c r="C1948" s="20"/>
      <c r="D1948" s="20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5"/>
    </row>
    <row r="1949">
      <c r="A1949" s="11"/>
      <c r="B1949" s="11"/>
      <c r="C1949" s="20"/>
      <c r="D1949" s="20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5"/>
    </row>
    <row r="1950">
      <c r="A1950" s="11"/>
      <c r="B1950" s="11"/>
      <c r="C1950" s="20"/>
      <c r="D1950" s="20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5"/>
    </row>
    <row r="1951">
      <c r="A1951" s="11"/>
      <c r="B1951" s="11"/>
      <c r="C1951" s="20"/>
      <c r="D1951" s="20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5"/>
    </row>
    <row r="1952">
      <c r="A1952" s="11"/>
      <c r="B1952" s="11"/>
      <c r="C1952" s="20"/>
      <c r="D1952" s="20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5"/>
    </row>
    <row r="1953">
      <c r="A1953" s="11"/>
      <c r="B1953" s="11"/>
      <c r="C1953" s="20"/>
      <c r="D1953" s="20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5"/>
    </row>
    <row r="1954">
      <c r="A1954" s="11"/>
      <c r="B1954" s="11"/>
      <c r="C1954" s="20"/>
      <c r="D1954" s="20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5"/>
    </row>
    <row r="1955">
      <c r="A1955" s="11"/>
      <c r="B1955" s="11"/>
      <c r="C1955" s="20"/>
      <c r="D1955" s="20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5"/>
    </row>
    <row r="1956">
      <c r="A1956" s="11"/>
      <c r="B1956" s="11"/>
      <c r="C1956" s="20"/>
      <c r="D1956" s="20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5"/>
    </row>
    <row r="1957">
      <c r="A1957" s="11"/>
      <c r="B1957" s="11"/>
      <c r="C1957" s="20"/>
      <c r="D1957" s="20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5"/>
    </row>
    <row r="1958">
      <c r="A1958" s="11"/>
      <c r="B1958" s="11"/>
      <c r="C1958" s="20"/>
      <c r="D1958" s="20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5"/>
    </row>
    <row r="1959">
      <c r="A1959" s="11"/>
      <c r="B1959" s="11"/>
      <c r="C1959" s="20"/>
      <c r="D1959" s="20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5"/>
    </row>
    <row r="1960">
      <c r="A1960" s="11"/>
      <c r="B1960" s="11"/>
      <c r="C1960" s="20"/>
      <c r="D1960" s="20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5"/>
    </row>
    <row r="1961">
      <c r="A1961" s="11"/>
      <c r="B1961" s="11"/>
      <c r="C1961" s="20"/>
      <c r="D1961" s="20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5"/>
    </row>
    <row r="1962">
      <c r="A1962" s="11"/>
      <c r="B1962" s="11"/>
      <c r="C1962" s="20"/>
      <c r="D1962" s="20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5"/>
    </row>
    <row r="1963">
      <c r="A1963" s="11"/>
      <c r="B1963" s="11"/>
      <c r="C1963" s="20"/>
      <c r="D1963" s="20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5"/>
    </row>
    <row r="1964">
      <c r="A1964" s="11"/>
      <c r="B1964" s="11"/>
      <c r="C1964" s="20"/>
      <c r="D1964" s="20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5"/>
    </row>
    <row r="1965">
      <c r="A1965" s="11"/>
      <c r="B1965" s="11"/>
      <c r="C1965" s="20"/>
      <c r="D1965" s="20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5"/>
    </row>
    <row r="1966">
      <c r="A1966" s="11"/>
      <c r="B1966" s="11"/>
      <c r="C1966" s="20"/>
      <c r="D1966" s="20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5"/>
    </row>
    <row r="1967">
      <c r="A1967" s="11"/>
      <c r="B1967" s="11"/>
      <c r="C1967" s="20"/>
      <c r="D1967" s="20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5"/>
    </row>
    <row r="1968">
      <c r="A1968" s="11"/>
      <c r="B1968" s="11"/>
      <c r="C1968" s="20"/>
      <c r="D1968" s="20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5"/>
    </row>
    <row r="1969">
      <c r="A1969" s="11"/>
      <c r="B1969" s="11"/>
      <c r="C1969" s="20"/>
      <c r="D1969" s="20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5"/>
    </row>
    <row r="1970">
      <c r="A1970" s="11"/>
      <c r="B1970" s="11"/>
      <c r="C1970" s="20"/>
      <c r="D1970" s="20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5"/>
    </row>
    <row r="1971">
      <c r="A1971" s="11"/>
      <c r="B1971" s="11"/>
      <c r="C1971" s="20"/>
      <c r="D1971" s="20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5"/>
    </row>
    <row r="1972">
      <c r="A1972" s="11"/>
      <c r="B1972" s="11"/>
      <c r="C1972" s="20"/>
      <c r="D1972" s="20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5"/>
    </row>
    <row r="1973">
      <c r="A1973" s="11"/>
      <c r="B1973" s="11"/>
      <c r="C1973" s="20"/>
      <c r="D1973" s="20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5"/>
    </row>
    <row r="1974">
      <c r="A1974" s="11"/>
      <c r="B1974" s="11"/>
      <c r="C1974" s="20"/>
      <c r="D1974" s="20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5"/>
    </row>
    <row r="1975">
      <c r="A1975" s="11"/>
      <c r="B1975" s="11"/>
      <c r="C1975" s="20"/>
      <c r="D1975" s="20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5"/>
    </row>
    <row r="1976">
      <c r="A1976" s="11"/>
      <c r="B1976" s="11"/>
      <c r="C1976" s="20"/>
      <c r="D1976" s="20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5"/>
    </row>
    <row r="1977">
      <c r="A1977" s="11"/>
      <c r="B1977" s="11"/>
      <c r="C1977" s="20"/>
      <c r="D1977" s="20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5"/>
    </row>
    <row r="1978">
      <c r="A1978" s="11"/>
      <c r="B1978" s="11"/>
      <c r="C1978" s="20"/>
      <c r="D1978" s="20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5"/>
    </row>
    <row r="1979">
      <c r="A1979" s="11"/>
      <c r="B1979" s="11"/>
      <c r="C1979" s="20"/>
      <c r="D1979" s="20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5"/>
    </row>
    <row r="1980">
      <c r="A1980" s="11"/>
      <c r="B1980" s="11"/>
      <c r="C1980" s="20"/>
      <c r="D1980" s="20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5"/>
    </row>
    <row r="1981">
      <c r="A1981" s="11"/>
      <c r="B1981" s="11"/>
      <c r="C1981" s="20"/>
      <c r="D1981" s="20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5"/>
    </row>
    <row r="1982">
      <c r="A1982" s="11"/>
      <c r="B1982" s="11"/>
      <c r="C1982" s="20"/>
      <c r="D1982" s="20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5"/>
    </row>
    <row r="1983">
      <c r="A1983" s="11"/>
      <c r="B1983" s="11"/>
      <c r="C1983" s="20"/>
      <c r="D1983" s="20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5"/>
    </row>
    <row r="1984">
      <c r="A1984" s="11"/>
      <c r="B1984" s="11"/>
      <c r="C1984" s="20"/>
      <c r="D1984" s="20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5"/>
    </row>
    <row r="1985">
      <c r="A1985" s="11"/>
      <c r="B1985" s="11"/>
      <c r="C1985" s="20"/>
      <c r="D1985" s="20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5"/>
    </row>
    <row r="1986">
      <c r="A1986" s="11"/>
      <c r="B1986" s="11"/>
      <c r="C1986" s="20"/>
      <c r="D1986" s="20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5"/>
    </row>
    <row r="1987">
      <c r="A1987" s="11"/>
      <c r="B1987" s="11"/>
      <c r="C1987" s="20"/>
      <c r="D1987" s="20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5"/>
    </row>
    <row r="1988">
      <c r="A1988" s="11"/>
      <c r="B1988" s="11"/>
      <c r="C1988" s="20"/>
      <c r="D1988" s="20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5"/>
    </row>
    <row r="1989">
      <c r="A1989" s="11"/>
      <c r="B1989" s="11"/>
      <c r="C1989" s="20"/>
      <c r="D1989" s="20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5"/>
    </row>
    <row r="1990">
      <c r="A1990" s="11"/>
      <c r="B1990" s="11"/>
      <c r="C1990" s="20"/>
      <c r="D1990" s="20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5"/>
    </row>
    <row r="1991">
      <c r="A1991" s="11"/>
      <c r="B1991" s="11"/>
      <c r="C1991" s="20"/>
      <c r="D1991" s="20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5"/>
    </row>
    <row r="1992">
      <c r="A1992" s="11"/>
      <c r="B1992" s="11"/>
      <c r="C1992" s="20"/>
      <c r="D1992" s="20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5"/>
    </row>
    <row r="1993">
      <c r="A1993" s="11"/>
      <c r="B1993" s="11"/>
      <c r="C1993" s="20"/>
      <c r="D1993" s="20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5"/>
    </row>
    <row r="1994">
      <c r="A1994" s="11"/>
      <c r="B1994" s="11"/>
      <c r="C1994" s="20"/>
      <c r="D1994" s="20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5"/>
    </row>
    <row r="1995">
      <c r="A1995" s="11"/>
      <c r="B1995" s="11"/>
      <c r="C1995" s="20"/>
      <c r="D1995" s="20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5"/>
    </row>
    <row r="1996">
      <c r="A1996" s="11"/>
      <c r="B1996" s="11"/>
      <c r="C1996" s="20"/>
      <c r="D1996" s="20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5"/>
    </row>
    <row r="1997">
      <c r="A1997" s="11"/>
      <c r="B1997" s="11"/>
      <c r="C1997" s="20"/>
      <c r="D1997" s="20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5"/>
    </row>
    <row r="1998">
      <c r="A1998" s="11"/>
      <c r="B1998" s="11"/>
      <c r="C1998" s="20"/>
      <c r="D1998" s="20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5"/>
    </row>
    <row r="1999">
      <c r="A1999" s="11"/>
      <c r="B1999" s="11"/>
      <c r="C1999" s="20"/>
      <c r="D1999" s="20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5"/>
    </row>
    <row r="2000">
      <c r="A2000" s="11"/>
      <c r="B2000" s="11"/>
      <c r="C2000" s="20"/>
      <c r="D2000" s="20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5"/>
    </row>
  </sheetData>
  <mergeCells count="2">
    <mergeCell ref="G2:I2"/>
    <mergeCell ref="J2:L2"/>
  </mergeCells>
  <conditionalFormatting sqref="G2:G2000">
    <cfRule type="cellIs" dxfId="3" priority="1" stopIfTrue="1" operator="lessThanOrEqual">
      <formula>2500</formula>
    </cfRule>
  </conditionalFormatting>
  <conditionalFormatting sqref="G2:G2000">
    <cfRule type="cellIs" dxfId="4" priority="2" stopIfTrue="1" operator="greaterThan">
      <formula>4000</formula>
    </cfRule>
  </conditionalFormatting>
  <conditionalFormatting sqref="G2:G2000">
    <cfRule type="cellIs" dxfId="5" priority="3" stopIfTrue="1" operator="between">
      <formula>2500</formula>
      <formula>4000</formula>
    </cfRule>
  </conditionalFormatting>
  <conditionalFormatting sqref="J2:J2000">
    <cfRule type="cellIs" dxfId="3" priority="4" stopIfTrue="1" operator="lessThanOrEqual">
      <formula>2500</formula>
    </cfRule>
  </conditionalFormatting>
  <conditionalFormatting sqref="J2:J2000">
    <cfRule type="cellIs" dxfId="4" priority="5" stopIfTrue="1" operator="greaterThan">
      <formula>4000</formula>
    </cfRule>
  </conditionalFormatting>
  <conditionalFormatting sqref="J2:J2000">
    <cfRule type="cellIs" dxfId="5" priority="6" stopIfTrue="1" operator="between">
      <formula>2500</formula>
      <formula>4000</formula>
    </cfRule>
  </conditionalFormatting>
  <conditionalFormatting sqref="H2:H2000">
    <cfRule type="cellIs" dxfId="3" priority="7" stopIfTrue="1" operator="lessThanOrEqual">
      <formula>120</formula>
    </cfRule>
  </conditionalFormatting>
  <conditionalFormatting sqref="H2:H2000">
    <cfRule type="cellIs" dxfId="4" priority="8" stopIfTrue="1" operator="greaterThan">
      <formula>500</formula>
    </cfRule>
  </conditionalFormatting>
  <conditionalFormatting sqref="H2:H2000">
    <cfRule type="cellIs" dxfId="5" priority="9" stopIfTrue="1" operator="between">
      <formula>120</formula>
      <formula>500</formula>
    </cfRule>
  </conditionalFormatting>
  <conditionalFormatting sqref="K2:K2000">
    <cfRule type="cellIs" dxfId="3" priority="10" stopIfTrue="1" operator="lessThanOrEqual">
      <formula>120</formula>
    </cfRule>
  </conditionalFormatting>
  <conditionalFormatting sqref="K2:K2000">
    <cfRule type="cellIs" dxfId="4" priority="11" stopIfTrue="1" operator="greaterThan">
      <formula>500</formula>
    </cfRule>
  </conditionalFormatting>
  <conditionalFormatting sqref="K2:K2000">
    <cfRule type="cellIs" dxfId="5" priority="12" stopIfTrue="1" operator="between">
      <formula>120</formula>
      <formula>500</formula>
    </cfRule>
  </conditionalFormatting>
  <conditionalFormatting sqref="I2:I2000">
    <cfRule type="cellIs" dxfId="3" priority="13" stopIfTrue="1" operator="lessThanOrEqual">
      <formula>0.12</formula>
    </cfRule>
  </conditionalFormatting>
  <conditionalFormatting sqref="I2:I2000">
    <cfRule type="cellIs" dxfId="4" priority="14" stopIfTrue="1" operator="greaterThan">
      <formula>0.25</formula>
    </cfRule>
  </conditionalFormatting>
  <conditionalFormatting sqref="I2:I2000">
    <cfRule type="cellIs" dxfId="5" priority="15" stopIfTrue="1" operator="between">
      <formula>0.12</formula>
      <formula>0.25</formula>
    </cfRule>
  </conditionalFormatting>
  <conditionalFormatting sqref="L2:L2000">
    <cfRule type="cellIs" dxfId="3" priority="16" stopIfTrue="1" operator="lessThanOrEqual">
      <formula>0.12</formula>
    </cfRule>
  </conditionalFormatting>
  <conditionalFormatting sqref="L2:L2000">
    <cfRule type="cellIs" dxfId="4" priority="17" stopIfTrue="1" operator="greaterThan">
      <formula>0.25</formula>
    </cfRule>
  </conditionalFormatting>
  <conditionalFormatting sqref="L2:L2000">
    <cfRule type="cellIs" dxfId="5" priority="18" stopIfTrue="1" operator="between">
      <formula>0.12</formula>
      <formula>0.25</formula>
    </cfRule>
  </conditionalFormatting>
  <conditionalFormatting sqref="F2:F2000">
    <cfRule type="cellIs" dxfId="4" priority="19" stopIfTrue="1" operator="lessThan">
      <formula>50</formula>
    </cfRule>
  </conditionalFormatting>
  <conditionalFormatting sqref="F2:F2000">
    <cfRule type="cellIs" dxfId="3" priority="20" stopIfTrue="1" operator="greaterThanOrEqual">
      <formula>90</formula>
    </cfRule>
  </conditionalFormatting>
  <conditionalFormatting sqref="F2:F2000">
    <cfRule type="cellIs" dxfId="5" priority="21" stopIfTrue="1" operator="between">
      <formula>50</formula>
      <formula>90</formula>
    </cfRule>
  </conditionalFormatting>
  <conditionalFormatting sqref="M2:M2000">
    <cfRule type="cellIs" dxfId="3" priority="22" stopIfTrue="1" operator="lessThanOrEqual">
      <formula>200</formula>
    </cfRule>
  </conditionalFormatting>
  <conditionalFormatting sqref="M2:M2000">
    <cfRule type="cellIs" dxfId="4" priority="23" stopIfTrue="1" operator="greaterThan">
      <formula>500</formula>
    </cfRule>
  </conditionalFormatting>
  <conditionalFormatting sqref="M2:M2000">
    <cfRule type="cellIs" dxfId="5" priority="24" stopIfTrue="1" operator="between">
      <formula>200</formula>
      <formula>500</formula>
    </cfRule>
  </conditionalFormatting>
  <conditionalFormatting sqref="N2:N2000">
    <cfRule type="cellIs" dxfId="3" priority="25" stopIfTrue="1" operator="lessThanOrEqual">
      <formula>1800</formula>
    </cfRule>
  </conditionalFormatting>
  <conditionalFormatting sqref="N2:N2000">
    <cfRule type="cellIs" dxfId="4" priority="26" stopIfTrue="1" operator="greaterThan">
      <formula>3000</formula>
    </cfRule>
  </conditionalFormatting>
  <conditionalFormatting sqref="N2:N2000">
    <cfRule type="cellIs" dxfId="5" priority="27" stopIfTrue="1" operator="between">
      <formula>1800</formula>
      <formula>3000</formula>
    </cfRule>
  </conditionalFormatting>
  <conditionalFormatting sqref="O2:O2000">
    <cfRule type="cellIs" dxfId="3" priority="28" stopIfTrue="1" operator="lessThanOrEqual">
      <formula>3400</formula>
    </cfRule>
  </conditionalFormatting>
  <conditionalFormatting sqref="O2:O2000">
    <cfRule type="cellIs" dxfId="4" priority="29" stopIfTrue="1" operator="greaterThan">
      <formula>5800</formula>
    </cfRule>
  </conditionalFormatting>
  <conditionalFormatting sqref="O2:O2000">
    <cfRule type="cellIs" dxfId="5" priority="30" stopIfTrue="1" operator="between">
      <formula>3400</formula>
      <formula>5800</formula>
    </cfRule>
  </conditionalFormatting>
  <conditionalFormatting sqref="P2:P2000">
    <cfRule type="cellIs" dxfId="3" priority="31" stopIfTrue="1" operator="lessThanOrEqual">
      <formula>3800</formula>
    </cfRule>
  </conditionalFormatting>
  <conditionalFormatting sqref="P2:P2000">
    <cfRule type="cellIs" dxfId="4" priority="32" stopIfTrue="1" operator="greaterThan">
      <formula>7300</formula>
    </cfRule>
  </conditionalFormatting>
  <conditionalFormatting sqref="P2:P2000">
    <cfRule type="cellIs" dxfId="5" priority="33" stopIfTrue="1" operator="between">
      <formula>3800</formula>
      <formula>7300</formula>
    </cfRule>
  </conditionalFormatting>
  <conditionalFormatting sqref="Q2:Q2000">
    <cfRule type="cellIs" dxfId="3" priority="34" stopIfTrue="1" operator="lessThanOrEqual">
      <formula>800</formula>
    </cfRule>
  </conditionalFormatting>
  <conditionalFormatting sqref="Q2:Q2000">
    <cfRule type="cellIs" dxfId="4" priority="35" stopIfTrue="1" operator="greaterThan">
      <formula>1800</formula>
    </cfRule>
  </conditionalFormatting>
  <conditionalFormatting sqref="Q2:Q2000">
    <cfRule type="cellIs" dxfId="5" priority="36" stopIfTrue="1" operator="between">
      <formula>800</formula>
      <formula>1800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0.75"/>
    <col customWidth="1" min="3" max="3" width="18.25"/>
    <col customWidth="1" min="4" max="4" width="11.38"/>
    <col customWidth="1" min="5" max="5" width="6.38"/>
    <col customWidth="1" min="6" max="6" width="7.63"/>
    <col customWidth="1" min="7" max="8" width="7.0"/>
    <col customWidth="1" min="9" max="9" width="7.63"/>
    <col customWidth="1" min="10" max="11" width="7.0"/>
    <col customWidth="1" min="12" max="13" width="7.63"/>
    <col customWidth="1" min="14" max="14" width="10.75"/>
    <col customWidth="1" min="15" max="16" width="8.88"/>
    <col customWidth="1" min="17" max="17" width="14.5"/>
    <col customWidth="1" min="18" max="18" width="18.25"/>
    <col customWidth="1" min="19" max="20" width="17.63"/>
  </cols>
  <sheetData>
    <row r="1" ht="21.0" hidden="1" customHeight="1">
      <c r="A1" s="49" t="s">
        <v>0</v>
      </c>
      <c r="B1" s="49" t="s">
        <v>146</v>
      </c>
      <c r="C1" s="1" t="s">
        <v>2</v>
      </c>
      <c r="D1" s="49" t="s">
        <v>3</v>
      </c>
      <c r="E1" s="49" t="s">
        <v>4</v>
      </c>
      <c r="F1" s="49" t="s">
        <v>139</v>
      </c>
      <c r="G1" s="49" t="s">
        <v>5</v>
      </c>
      <c r="H1" s="49" t="s">
        <v>7</v>
      </c>
      <c r="I1" s="49" t="s">
        <v>8</v>
      </c>
      <c r="J1" s="49" t="s">
        <v>147</v>
      </c>
      <c r="K1" s="49" t="s">
        <v>148</v>
      </c>
      <c r="L1" s="49" t="s">
        <v>149</v>
      </c>
      <c r="M1" s="49" t="s">
        <v>150</v>
      </c>
      <c r="N1" s="49" t="s">
        <v>6</v>
      </c>
      <c r="O1" s="49" t="s">
        <v>151</v>
      </c>
      <c r="P1" s="49" t="s">
        <v>152</v>
      </c>
      <c r="Q1" s="49" t="s">
        <v>13</v>
      </c>
      <c r="R1" s="49" t="s">
        <v>14</v>
      </c>
      <c r="S1" s="49" t="s">
        <v>15</v>
      </c>
    </row>
    <row r="2">
      <c r="A2" s="50"/>
      <c r="B2" s="50"/>
      <c r="C2" s="3" t="s">
        <v>18</v>
      </c>
      <c r="D2" s="50"/>
      <c r="E2" s="50"/>
      <c r="F2" s="51" t="s">
        <v>156</v>
      </c>
      <c r="G2" s="51" t="s">
        <v>157</v>
      </c>
      <c r="J2" s="51" t="s">
        <v>158</v>
      </c>
      <c r="M2" s="51" t="s">
        <v>159</v>
      </c>
      <c r="N2" s="51" t="s">
        <v>160</v>
      </c>
      <c r="O2" s="51" t="s">
        <v>161</v>
      </c>
      <c r="P2" s="51" t="s">
        <v>162</v>
      </c>
      <c r="Q2" s="51" t="s">
        <v>23</v>
      </c>
      <c r="R2" s="50"/>
      <c r="S2" s="50"/>
      <c r="T2" s="15"/>
    </row>
    <row r="3">
      <c r="A3" s="51" t="s">
        <v>16</v>
      </c>
      <c r="B3" s="51" t="s">
        <v>257</v>
      </c>
      <c r="C3" s="3" t="s">
        <v>26</v>
      </c>
      <c r="D3" s="51" t="s">
        <v>19</v>
      </c>
      <c r="E3" s="51" t="s">
        <v>20</v>
      </c>
      <c r="F3" s="51" t="s">
        <v>164</v>
      </c>
      <c r="G3" s="52" t="s">
        <v>5</v>
      </c>
      <c r="H3" s="52" t="s">
        <v>7</v>
      </c>
      <c r="I3" s="52" t="s">
        <v>8</v>
      </c>
      <c r="J3" s="53" t="s">
        <v>140</v>
      </c>
      <c r="K3" s="53" t="s">
        <v>141</v>
      </c>
      <c r="L3" s="53" t="s">
        <v>142</v>
      </c>
      <c r="M3" s="51" t="s">
        <v>150</v>
      </c>
      <c r="N3" s="51" t="s">
        <v>6</v>
      </c>
      <c r="O3" s="51" t="s">
        <v>165</v>
      </c>
      <c r="P3" s="51" t="s">
        <v>152</v>
      </c>
      <c r="Q3" s="51" t="s">
        <v>13</v>
      </c>
      <c r="R3" s="51" t="s">
        <v>14</v>
      </c>
      <c r="S3" s="51" t="s">
        <v>15</v>
      </c>
      <c r="T3" s="15"/>
    </row>
    <row r="4">
      <c r="A4" s="54">
        <v>46101.0</v>
      </c>
      <c r="B4" s="7" t="s">
        <v>225</v>
      </c>
      <c r="C4" s="21"/>
      <c r="D4" s="9" t="str">
        <f>HYPERLINK("https://dev.vrsmash.com/", "main")</f>
        <v>main</v>
      </c>
      <c r="E4" s="7" t="s">
        <v>34</v>
      </c>
      <c r="F4" s="10">
        <v>70.0</v>
      </c>
      <c r="G4" s="10">
        <v>2630.0</v>
      </c>
      <c r="H4" s="10">
        <v>448.0</v>
      </c>
      <c r="I4" s="10">
        <v>0.0132</v>
      </c>
      <c r="J4" s="10">
        <v>3988.0</v>
      </c>
      <c r="K4" s="10">
        <v>477.0</v>
      </c>
      <c r="L4" s="10">
        <v>0.0204</v>
      </c>
      <c r="M4" s="10">
        <v>346.0</v>
      </c>
      <c r="N4" s="10">
        <v>1764.0</v>
      </c>
      <c r="O4" s="10">
        <v>3824.0</v>
      </c>
      <c r="P4" s="10">
        <v>4715.0</v>
      </c>
      <c r="Q4" s="10">
        <v>1264.0</v>
      </c>
      <c r="R4" s="7" t="s">
        <v>132</v>
      </c>
      <c r="S4" s="7" t="s">
        <v>420</v>
      </c>
      <c r="T4" s="15"/>
    </row>
    <row r="5">
      <c r="A5" s="54">
        <v>46101.0</v>
      </c>
      <c r="B5" s="7" t="s">
        <v>225</v>
      </c>
      <c r="C5" s="21"/>
      <c r="D5" s="9" t="str">
        <f>HYPERLINK("https://dev.vrsmash.com/pornstars/?sort=latest", "models")</f>
        <v>models</v>
      </c>
      <c r="E5" s="7" t="s">
        <v>34</v>
      </c>
      <c r="F5" s="10">
        <v>74.0</v>
      </c>
      <c r="G5" s="10">
        <v>2256.0</v>
      </c>
      <c r="H5" s="10">
        <v>350.0</v>
      </c>
      <c r="I5" s="10">
        <v>2.0E-4</v>
      </c>
      <c r="J5" s="10">
        <v>2578.0</v>
      </c>
      <c r="K5" s="10">
        <v>377.0</v>
      </c>
      <c r="L5" s="10">
        <v>0.0064</v>
      </c>
      <c r="M5" s="10">
        <v>594.0</v>
      </c>
      <c r="N5" s="10">
        <v>2109.0</v>
      </c>
      <c r="O5" s="10">
        <v>3042.0</v>
      </c>
      <c r="P5" s="10">
        <v>4010.0</v>
      </c>
      <c r="Q5" s="10">
        <v>870.0</v>
      </c>
      <c r="R5" s="7" t="s">
        <v>132</v>
      </c>
      <c r="S5" s="7" t="s">
        <v>420</v>
      </c>
      <c r="T5" s="15"/>
    </row>
    <row r="6">
      <c r="A6" s="54">
        <v>46101.0</v>
      </c>
      <c r="B6" s="7" t="s">
        <v>225</v>
      </c>
      <c r="C6" s="21"/>
      <c r="D6" s="9" t="str">
        <f>HYPERLINK("https://dev.vrsmash.com/pornstars/samy-sun/", "s_model")</f>
        <v>s_model</v>
      </c>
      <c r="E6" s="7" t="s">
        <v>34</v>
      </c>
      <c r="F6" s="10">
        <v>80.0</v>
      </c>
      <c r="G6" s="10">
        <v>2026.0</v>
      </c>
      <c r="H6" s="10">
        <v>351.0</v>
      </c>
      <c r="I6" s="10">
        <v>0.007</v>
      </c>
      <c r="J6" s="10">
        <v>2100.0</v>
      </c>
      <c r="K6" s="10">
        <v>718.0</v>
      </c>
      <c r="L6" s="10">
        <v>0.007</v>
      </c>
      <c r="M6" s="10">
        <v>329.0</v>
      </c>
      <c r="N6" s="10">
        <v>1592.0</v>
      </c>
      <c r="O6" s="10">
        <v>2662.0</v>
      </c>
      <c r="P6" s="10">
        <v>3840.0</v>
      </c>
      <c r="Q6" s="10">
        <v>326.0</v>
      </c>
      <c r="R6" s="7" t="s">
        <v>132</v>
      </c>
      <c r="S6" s="7" t="s">
        <v>420</v>
      </c>
      <c r="T6" s="15"/>
    </row>
    <row r="7">
      <c r="A7" s="54">
        <v>46101.0</v>
      </c>
      <c r="B7" s="7" t="s">
        <v>225</v>
      </c>
      <c r="C7" s="21"/>
      <c r="D7" s="9" t="str">
        <f>HYPERLINK("https://dev.vrsmash.com/tag/anal/", "s_category")</f>
        <v>s_category</v>
      </c>
      <c r="E7" s="7" t="s">
        <v>34</v>
      </c>
      <c r="F7" s="10">
        <v>84.0</v>
      </c>
      <c r="G7" s="10">
        <v>3852.0</v>
      </c>
      <c r="H7" s="10">
        <v>501.0</v>
      </c>
      <c r="I7" s="10">
        <v>0.0066</v>
      </c>
      <c r="J7" s="10">
        <v>3969.0</v>
      </c>
      <c r="K7" s="10">
        <v>522.0</v>
      </c>
      <c r="L7" s="10">
        <v>0.0074</v>
      </c>
      <c r="M7" s="10">
        <v>441.0</v>
      </c>
      <c r="N7" s="10">
        <v>2424.0</v>
      </c>
      <c r="O7" s="10">
        <v>3625.0</v>
      </c>
      <c r="P7" s="10">
        <v>5772.0</v>
      </c>
      <c r="Q7" s="10">
        <v>884.0</v>
      </c>
      <c r="R7" s="7" t="s">
        <v>132</v>
      </c>
      <c r="S7" s="7" t="s">
        <v>420</v>
      </c>
      <c r="T7" s="15"/>
    </row>
    <row r="8">
      <c r="A8" s="54">
        <v>46101.0</v>
      </c>
      <c r="B8" s="7" t="s">
        <v>225</v>
      </c>
      <c r="C8" s="21"/>
      <c r="D8" s="9" t="str">
        <f>HYPERLINK("https://dev.vrsmash.com/camgirls/", "dreams")</f>
        <v>dreams</v>
      </c>
      <c r="E8" s="7" t="s">
        <v>34</v>
      </c>
      <c r="F8" s="10">
        <v>82.0</v>
      </c>
      <c r="G8" s="10">
        <v>1401.0</v>
      </c>
      <c r="H8" s="10">
        <v>262.0</v>
      </c>
      <c r="I8" s="10">
        <v>0.0069</v>
      </c>
      <c r="J8" s="10">
        <v>1521.0</v>
      </c>
      <c r="K8" s="10">
        <v>271.0</v>
      </c>
      <c r="L8" s="10">
        <v>0.0069</v>
      </c>
      <c r="M8" s="10">
        <v>312.0</v>
      </c>
      <c r="N8" s="10">
        <v>867.0</v>
      </c>
      <c r="O8" s="10">
        <v>2378.0</v>
      </c>
      <c r="P8" s="10">
        <v>4156.0</v>
      </c>
      <c r="Q8" s="10">
        <v>720.0</v>
      </c>
      <c r="R8" s="7" t="s">
        <v>132</v>
      </c>
      <c r="S8" s="7" t="s">
        <v>420</v>
      </c>
      <c r="T8" s="15"/>
    </row>
    <row r="9">
      <c r="A9" s="54">
        <v>46101.0</v>
      </c>
      <c r="B9" s="7" t="s">
        <v>225</v>
      </c>
      <c r="C9" s="21"/>
      <c r="D9" s="9" t="str">
        <f>HYPERLINK("https://dev.vrsmash.com/", "main")</f>
        <v>main</v>
      </c>
      <c r="E9" s="7" t="s">
        <v>35</v>
      </c>
      <c r="F9" s="10">
        <v>48.0</v>
      </c>
      <c r="G9" s="10">
        <v>8285.0</v>
      </c>
      <c r="H9" s="10">
        <v>1944.0</v>
      </c>
      <c r="I9" s="10">
        <v>0.0146</v>
      </c>
      <c r="J9" s="10">
        <v>16349.0</v>
      </c>
      <c r="K9" s="10">
        <v>2041.0</v>
      </c>
      <c r="L9" s="10">
        <v>0.0852</v>
      </c>
      <c r="M9" s="10">
        <v>2569.0</v>
      </c>
      <c r="N9" s="10">
        <v>4564.0</v>
      </c>
      <c r="O9" s="10">
        <v>10422.0</v>
      </c>
      <c r="P9" s="10">
        <v>20842.0</v>
      </c>
      <c r="Q9" s="10">
        <v>1227.0</v>
      </c>
      <c r="R9" s="7" t="s">
        <v>132</v>
      </c>
      <c r="S9" s="7" t="s">
        <v>420</v>
      </c>
      <c r="T9" s="15"/>
    </row>
    <row r="10">
      <c r="A10" s="54">
        <v>46101.0</v>
      </c>
      <c r="B10" s="7" t="s">
        <v>225</v>
      </c>
      <c r="C10" s="21"/>
      <c r="D10" s="9" t="str">
        <f>HYPERLINK("https://dev.vrsmash.com/pornstars/?sort=latest", "models")</f>
        <v>models</v>
      </c>
      <c r="E10" s="7" t="s">
        <v>35</v>
      </c>
      <c r="F10" s="10">
        <v>52.0</v>
      </c>
      <c r="G10" s="10">
        <v>10824.0</v>
      </c>
      <c r="H10" s="10">
        <v>1438.0</v>
      </c>
      <c r="I10" s="10">
        <v>0.0054</v>
      </c>
      <c r="J10" s="10">
        <v>17063.0</v>
      </c>
      <c r="K10" s="10">
        <v>1864.0</v>
      </c>
      <c r="L10" s="10">
        <v>0.007</v>
      </c>
      <c r="M10" s="10">
        <v>1746.0</v>
      </c>
      <c r="N10" s="10">
        <v>7266.0</v>
      </c>
      <c r="O10" s="10">
        <v>9992.0</v>
      </c>
      <c r="P10" s="10">
        <v>19946.0</v>
      </c>
      <c r="Q10" s="10">
        <v>744.0</v>
      </c>
      <c r="R10" s="7" t="s">
        <v>132</v>
      </c>
      <c r="S10" s="7" t="s">
        <v>420</v>
      </c>
      <c r="T10" s="15"/>
    </row>
    <row r="11">
      <c r="A11" s="54">
        <v>46101.0</v>
      </c>
      <c r="B11" s="7" t="s">
        <v>225</v>
      </c>
      <c r="C11" s="21"/>
      <c r="D11" s="9" t="str">
        <f>HYPERLINK("https://dev.vrsmash.com/pornstars/samy-sun/", "s_model")</f>
        <v>s_model</v>
      </c>
      <c r="E11" s="7" t="s">
        <v>35</v>
      </c>
      <c r="F11" s="10">
        <v>44.0</v>
      </c>
      <c r="G11" s="10">
        <v>9368.0</v>
      </c>
      <c r="H11" s="10">
        <v>1102.0</v>
      </c>
      <c r="I11" s="10">
        <v>0.006</v>
      </c>
      <c r="J11" s="10">
        <v>11315.0</v>
      </c>
      <c r="K11" s="10">
        <v>1749.0</v>
      </c>
      <c r="L11" s="10">
        <v>0.006</v>
      </c>
      <c r="M11" s="10">
        <v>3655.0</v>
      </c>
      <c r="N11" s="10">
        <v>2524.0</v>
      </c>
      <c r="O11" s="10">
        <v>5753.0</v>
      </c>
      <c r="P11" s="10">
        <v>14227.0</v>
      </c>
      <c r="Q11" s="10">
        <v>334.0</v>
      </c>
      <c r="R11" s="7" t="s">
        <v>132</v>
      </c>
      <c r="S11" s="7" t="s">
        <v>420</v>
      </c>
      <c r="T11" s="15"/>
    </row>
    <row r="12">
      <c r="A12" s="54">
        <v>46101.0</v>
      </c>
      <c r="B12" s="7" t="s">
        <v>225</v>
      </c>
      <c r="C12" s="21"/>
      <c r="D12" s="9" t="str">
        <f>HYPERLINK("https://dev.vrsmash.com/categories/", "categories")</f>
        <v>categories</v>
      </c>
      <c r="E12" s="7" t="s">
        <v>35</v>
      </c>
      <c r="F12" s="10">
        <v>66.0</v>
      </c>
      <c r="G12" s="10">
        <v>9822.0</v>
      </c>
      <c r="H12" s="10">
        <v>711.0</v>
      </c>
      <c r="I12" s="10">
        <v>0.0754</v>
      </c>
      <c r="J12" s="10">
        <v>10558.0</v>
      </c>
      <c r="K12" s="10">
        <v>734.0</v>
      </c>
      <c r="L12" s="10">
        <v>0.0754</v>
      </c>
      <c r="M12" s="10">
        <v>1270.0</v>
      </c>
      <c r="N12" s="10">
        <v>2121.0</v>
      </c>
      <c r="O12" s="10">
        <v>4750.0</v>
      </c>
      <c r="P12" s="10">
        <v>11172.0</v>
      </c>
      <c r="Q12" s="10">
        <v>340.0</v>
      </c>
      <c r="R12" s="7" t="s">
        <v>132</v>
      </c>
      <c r="S12" s="7" t="s">
        <v>420</v>
      </c>
      <c r="T12" s="15"/>
    </row>
    <row r="13">
      <c r="A13" s="54">
        <v>46101.0</v>
      </c>
      <c r="B13" s="7" t="s">
        <v>225</v>
      </c>
      <c r="C13" s="21"/>
      <c r="D13" s="9" t="str">
        <f>HYPERLINK("https://dev.vrsmash.com/tag/anal/", "s_category")</f>
        <v>s_category</v>
      </c>
      <c r="E13" s="7" t="s">
        <v>35</v>
      </c>
      <c r="F13" s="10">
        <v>49.0</v>
      </c>
      <c r="G13" s="10">
        <v>5906.0</v>
      </c>
      <c r="H13" s="10">
        <v>991.0</v>
      </c>
      <c r="I13" s="10">
        <v>0.0082</v>
      </c>
      <c r="J13" s="10">
        <v>6327.0</v>
      </c>
      <c r="K13" s="10">
        <v>1091.0</v>
      </c>
      <c r="L13" s="10">
        <v>0.0082</v>
      </c>
      <c r="M13" s="10">
        <v>2047.0</v>
      </c>
      <c r="N13" s="10">
        <v>2653.0</v>
      </c>
      <c r="O13" s="10">
        <v>4948.0</v>
      </c>
      <c r="P13" s="10">
        <v>11592.0</v>
      </c>
      <c r="Q13" s="10">
        <v>400.0</v>
      </c>
      <c r="R13" s="7" t="s">
        <v>132</v>
      </c>
      <c r="S13" s="7" t="s">
        <v>420</v>
      </c>
      <c r="T13" s="15"/>
    </row>
    <row r="14">
      <c r="A14" s="54">
        <v>46101.0</v>
      </c>
      <c r="B14" s="7" t="s">
        <v>225</v>
      </c>
      <c r="C14" s="21"/>
      <c r="D14" s="9" t="str">
        <f>HYPERLINK("https://dev.vrsmash.com/camgirls/", "dreams")</f>
        <v>dreams</v>
      </c>
      <c r="E14" s="7" t="s">
        <v>35</v>
      </c>
      <c r="F14" s="10">
        <v>43.0</v>
      </c>
      <c r="G14" s="10">
        <v>17100.0</v>
      </c>
      <c r="H14" s="10">
        <v>1379.0</v>
      </c>
      <c r="I14" s="10">
        <v>0.0039</v>
      </c>
      <c r="J14" s="10">
        <v>17343.0</v>
      </c>
      <c r="K14" s="10">
        <v>1418.0</v>
      </c>
      <c r="L14" s="10">
        <v>0.0049</v>
      </c>
      <c r="M14" s="10">
        <v>1511.0</v>
      </c>
      <c r="N14" s="10">
        <v>10875.0</v>
      </c>
      <c r="O14" s="10">
        <v>10892.0</v>
      </c>
      <c r="P14" s="10">
        <v>19986.0</v>
      </c>
      <c r="Q14" s="10">
        <v>1117.0</v>
      </c>
      <c r="R14" s="7" t="s">
        <v>132</v>
      </c>
      <c r="S14" s="7" t="s">
        <v>420</v>
      </c>
      <c r="T14" s="15"/>
    </row>
    <row r="15">
      <c r="A15" s="54"/>
      <c r="B15" s="11"/>
      <c r="C15" s="21"/>
      <c r="D15" s="2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5"/>
    </row>
    <row r="16">
      <c r="A16" s="54"/>
      <c r="B16" s="11"/>
      <c r="C16" s="21"/>
      <c r="D16" s="2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5"/>
    </row>
    <row r="17">
      <c r="A17" s="54"/>
      <c r="B17" s="11"/>
      <c r="C17" s="21"/>
      <c r="D17" s="2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5"/>
    </row>
    <row r="18">
      <c r="A18" s="54"/>
      <c r="B18" s="11"/>
      <c r="C18" s="21"/>
      <c r="D18" s="2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5"/>
    </row>
    <row r="19">
      <c r="A19" s="54"/>
      <c r="B19" s="11"/>
      <c r="C19" s="21"/>
      <c r="D19" s="2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5"/>
    </row>
    <row r="20">
      <c r="A20" s="54"/>
      <c r="B20" s="11"/>
      <c r="C20" s="21"/>
      <c r="D20" s="2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5"/>
    </row>
    <row r="21">
      <c r="A21" s="54"/>
      <c r="B21" s="11"/>
      <c r="C21" s="21"/>
      <c r="D21" s="2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5"/>
    </row>
    <row r="22">
      <c r="A22" s="54"/>
      <c r="B22" s="11"/>
      <c r="C22" s="21"/>
      <c r="D22" s="2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5"/>
    </row>
    <row r="23">
      <c r="A23" s="54"/>
      <c r="B23" s="11"/>
      <c r="C23" s="21"/>
      <c r="D23" s="2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5"/>
    </row>
    <row r="24">
      <c r="A24" s="54"/>
      <c r="B24" s="11"/>
      <c r="C24" s="21"/>
      <c r="D24" s="2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5"/>
    </row>
    <row r="25">
      <c r="A25" s="54"/>
      <c r="B25" s="11"/>
      <c r="C25" s="21"/>
      <c r="D25" s="2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5"/>
    </row>
    <row r="26">
      <c r="A26" s="54"/>
      <c r="B26" s="11"/>
      <c r="C26" s="21"/>
      <c r="D26" s="2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5"/>
    </row>
    <row r="27">
      <c r="A27" s="54"/>
      <c r="B27" s="11"/>
      <c r="C27" s="21"/>
      <c r="D27" s="20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5"/>
    </row>
    <row r="28">
      <c r="A28" s="54"/>
      <c r="B28" s="11"/>
      <c r="C28" s="21"/>
      <c r="D28" s="2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5"/>
    </row>
    <row r="29">
      <c r="A29" s="54"/>
      <c r="B29" s="11"/>
      <c r="C29" s="21"/>
      <c r="D29" s="2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5"/>
    </row>
    <row r="30">
      <c r="A30" s="54"/>
      <c r="B30" s="11"/>
      <c r="C30" s="21"/>
      <c r="D30" s="2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5"/>
    </row>
    <row r="31">
      <c r="A31" s="22"/>
      <c r="B31" s="11"/>
      <c r="C31" s="21"/>
      <c r="D31" s="2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5"/>
    </row>
    <row r="32">
      <c r="A32" s="22"/>
      <c r="B32" s="11"/>
      <c r="C32" s="21"/>
      <c r="D32" s="2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5"/>
    </row>
    <row r="33">
      <c r="A33" s="22"/>
      <c r="B33" s="11"/>
      <c r="C33" s="21"/>
      <c r="D33" s="2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5"/>
    </row>
    <row r="34">
      <c r="A34" s="22"/>
      <c r="B34" s="11"/>
      <c r="C34" s="21"/>
      <c r="D34" s="2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5"/>
    </row>
    <row r="35">
      <c r="A35" s="22"/>
      <c r="B35" s="11"/>
      <c r="C35" s="21"/>
      <c r="D35" s="20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5"/>
    </row>
    <row r="36">
      <c r="A36" s="22"/>
      <c r="B36" s="11"/>
      <c r="C36" s="21"/>
      <c r="D36" s="20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5"/>
    </row>
    <row r="37">
      <c r="A37" s="22"/>
      <c r="B37" s="11"/>
      <c r="C37" s="21"/>
      <c r="D37" s="20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5"/>
    </row>
    <row r="38">
      <c r="A38" s="22"/>
      <c r="B38" s="11"/>
      <c r="C38" s="21"/>
      <c r="D38" s="20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5"/>
    </row>
    <row r="39">
      <c r="A39" s="22"/>
      <c r="B39" s="11"/>
      <c r="C39" s="21"/>
      <c r="D39" s="2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5"/>
    </row>
    <row r="40">
      <c r="A40" s="22"/>
      <c r="B40" s="11"/>
      <c r="C40" s="21"/>
      <c r="D40" s="20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5"/>
    </row>
    <row r="41">
      <c r="A41" s="22"/>
      <c r="B41" s="11"/>
      <c r="C41" s="21"/>
      <c r="D41" s="20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5"/>
    </row>
    <row r="42">
      <c r="A42" s="22"/>
      <c r="B42" s="11"/>
      <c r="C42" s="21"/>
      <c r="D42" s="20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5"/>
    </row>
    <row r="43">
      <c r="A43" s="22"/>
      <c r="B43" s="11"/>
      <c r="C43" s="21"/>
      <c r="D43" s="20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5"/>
    </row>
    <row r="44">
      <c r="A44" s="22"/>
      <c r="B44" s="11"/>
      <c r="C44" s="21"/>
      <c r="D44" s="2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5"/>
    </row>
    <row r="45">
      <c r="A45" s="22"/>
      <c r="B45" s="11"/>
      <c r="C45" s="21"/>
      <c r="D45" s="2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5"/>
    </row>
    <row r="46">
      <c r="A46" s="22"/>
      <c r="B46" s="11"/>
      <c r="C46" s="21"/>
      <c r="D46" s="2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5"/>
    </row>
    <row r="47">
      <c r="A47" s="22"/>
      <c r="B47" s="11"/>
      <c r="C47" s="21"/>
      <c r="D47" s="2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5"/>
    </row>
    <row r="48">
      <c r="A48" s="22"/>
      <c r="B48" s="11"/>
      <c r="C48" s="21"/>
      <c r="D48" s="20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5"/>
    </row>
    <row r="49">
      <c r="A49" s="22"/>
      <c r="B49" s="11"/>
      <c r="C49" s="21"/>
      <c r="D49" s="20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5"/>
    </row>
    <row r="50">
      <c r="A50" s="54"/>
      <c r="B50" s="11"/>
      <c r="C50" s="21"/>
      <c r="D50" s="20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5"/>
    </row>
    <row r="51">
      <c r="A51" s="54"/>
      <c r="B51" s="11"/>
      <c r="C51" s="21"/>
      <c r="D51" s="20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5"/>
    </row>
    <row r="52">
      <c r="A52" s="54"/>
      <c r="B52" s="11"/>
      <c r="C52" s="21"/>
      <c r="D52" s="20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5"/>
    </row>
    <row r="53">
      <c r="A53" s="54"/>
      <c r="B53" s="11"/>
      <c r="C53" s="21"/>
      <c r="D53" s="20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5"/>
    </row>
    <row r="54">
      <c r="A54" s="54"/>
      <c r="B54" s="11"/>
      <c r="C54" s="21"/>
      <c r="D54" s="2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5"/>
    </row>
    <row r="55">
      <c r="A55" s="54"/>
      <c r="B55" s="11"/>
      <c r="C55" s="21"/>
      <c r="D55" s="20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5"/>
    </row>
    <row r="56">
      <c r="A56" s="54"/>
      <c r="B56" s="11"/>
      <c r="C56" s="21"/>
      <c r="D56" s="2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5"/>
    </row>
    <row r="57">
      <c r="A57" s="54"/>
      <c r="B57" s="11"/>
      <c r="C57" s="21"/>
      <c r="D57" s="2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5"/>
    </row>
    <row r="58">
      <c r="A58" s="54"/>
      <c r="B58" s="11"/>
      <c r="C58" s="21"/>
      <c r="D58" s="20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5"/>
    </row>
    <row r="59">
      <c r="A59" s="54"/>
      <c r="B59" s="11"/>
      <c r="C59" s="21"/>
      <c r="D59" s="2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5"/>
    </row>
    <row r="60">
      <c r="A60" s="54"/>
      <c r="B60" s="11"/>
      <c r="C60" s="21"/>
      <c r="D60" s="20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5"/>
    </row>
    <row r="61">
      <c r="A61" s="54"/>
      <c r="B61" s="11"/>
      <c r="C61" s="21"/>
      <c r="D61" s="20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5"/>
    </row>
    <row r="62">
      <c r="A62" s="54"/>
      <c r="B62" s="11"/>
      <c r="C62" s="21"/>
      <c r="D62" s="20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5"/>
    </row>
    <row r="63">
      <c r="A63" s="54"/>
      <c r="B63" s="11"/>
      <c r="C63" s="21"/>
      <c r="D63" s="20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5"/>
    </row>
    <row r="64">
      <c r="A64" s="54"/>
      <c r="B64" s="11"/>
      <c r="C64" s="21"/>
      <c r="D64" s="20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5"/>
    </row>
    <row r="65">
      <c r="A65" s="54"/>
      <c r="B65" s="11"/>
      <c r="C65" s="21"/>
      <c r="D65" s="20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5"/>
    </row>
    <row r="66">
      <c r="A66" s="54"/>
      <c r="B66" s="11"/>
      <c r="C66" s="21"/>
      <c r="D66" s="20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5"/>
    </row>
    <row r="67">
      <c r="A67" s="54"/>
      <c r="B67" s="11"/>
      <c r="C67" s="21"/>
      <c r="D67" s="20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5"/>
    </row>
    <row r="68">
      <c r="A68" s="22"/>
      <c r="B68" s="11"/>
      <c r="C68" s="21"/>
      <c r="D68" s="2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5"/>
    </row>
    <row r="69">
      <c r="A69" s="22"/>
      <c r="B69" s="11"/>
      <c r="C69" s="21"/>
      <c r="D69" s="2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5"/>
    </row>
    <row r="70">
      <c r="A70" s="22"/>
      <c r="B70" s="11"/>
      <c r="C70" s="21"/>
      <c r="D70" s="2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5"/>
    </row>
    <row r="71">
      <c r="A71" s="22"/>
      <c r="B71" s="11"/>
      <c r="C71" s="21"/>
      <c r="D71" s="2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5"/>
    </row>
    <row r="72">
      <c r="A72" s="22"/>
      <c r="B72" s="11"/>
      <c r="C72" s="21"/>
      <c r="D72" s="2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5"/>
    </row>
    <row r="73">
      <c r="A73" s="22"/>
      <c r="B73" s="11"/>
      <c r="C73" s="21"/>
      <c r="D73" s="2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5"/>
    </row>
    <row r="74">
      <c r="A74" s="22"/>
      <c r="B74" s="11"/>
      <c r="C74" s="21"/>
      <c r="D74" s="2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5"/>
    </row>
    <row r="75">
      <c r="A75" s="22"/>
      <c r="B75" s="11"/>
      <c r="C75" s="21"/>
      <c r="D75" s="2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5"/>
    </row>
    <row r="76">
      <c r="A76" s="22"/>
      <c r="B76" s="11"/>
      <c r="C76" s="21"/>
      <c r="D76" s="2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5"/>
    </row>
    <row r="77">
      <c r="A77" s="22"/>
      <c r="B77" s="11"/>
      <c r="C77" s="21"/>
      <c r="D77" s="2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5"/>
    </row>
    <row r="78">
      <c r="A78" s="22"/>
      <c r="B78" s="11"/>
      <c r="C78" s="21"/>
      <c r="D78" s="2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5"/>
    </row>
    <row r="79">
      <c r="A79" s="22"/>
      <c r="B79" s="11"/>
      <c r="C79" s="21"/>
      <c r="D79" s="2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5"/>
    </row>
    <row r="80">
      <c r="A80" s="22"/>
      <c r="B80" s="11"/>
      <c r="C80" s="21"/>
      <c r="D80" s="2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5"/>
    </row>
    <row r="81">
      <c r="A81" s="22"/>
      <c r="B81" s="11"/>
      <c r="C81" s="21"/>
      <c r="D81" s="2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5"/>
    </row>
    <row r="82">
      <c r="A82" s="22"/>
      <c r="B82" s="11"/>
      <c r="C82" s="21"/>
      <c r="D82" s="2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5"/>
    </row>
    <row r="83">
      <c r="A83" s="22"/>
      <c r="B83" s="11"/>
      <c r="C83" s="21"/>
      <c r="D83" s="2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5"/>
    </row>
    <row r="84">
      <c r="A84" s="22"/>
      <c r="B84" s="11"/>
      <c r="C84" s="21"/>
      <c r="D84" s="2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5"/>
    </row>
    <row r="85">
      <c r="A85" s="22"/>
      <c r="B85" s="11"/>
      <c r="C85" s="21"/>
      <c r="D85" s="2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5"/>
    </row>
    <row r="86">
      <c r="A86" s="22"/>
      <c r="B86" s="11"/>
      <c r="C86" s="21"/>
      <c r="D86" s="2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5"/>
    </row>
    <row r="87">
      <c r="A87" s="54"/>
      <c r="B87" s="11"/>
      <c r="C87" s="21"/>
      <c r="D87" s="20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5"/>
    </row>
    <row r="88">
      <c r="A88" s="54"/>
      <c r="B88" s="11"/>
      <c r="C88" s="21"/>
      <c r="D88" s="2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5"/>
    </row>
    <row r="89">
      <c r="A89" s="54"/>
      <c r="B89" s="11"/>
      <c r="C89" s="21"/>
      <c r="D89" s="2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5"/>
    </row>
    <row r="90">
      <c r="A90" s="54"/>
      <c r="B90" s="11"/>
      <c r="C90" s="21"/>
      <c r="D90" s="2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5"/>
    </row>
    <row r="91">
      <c r="A91" s="54"/>
      <c r="B91" s="11"/>
      <c r="C91" s="21"/>
      <c r="D91" s="2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5"/>
    </row>
    <row r="92">
      <c r="A92" s="54"/>
      <c r="B92" s="11"/>
      <c r="C92" s="21"/>
      <c r="D92" s="2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5"/>
    </row>
    <row r="93">
      <c r="A93" s="54"/>
      <c r="B93" s="11"/>
      <c r="C93" s="21"/>
      <c r="D93" s="2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5"/>
    </row>
    <row r="94">
      <c r="A94" s="54"/>
      <c r="B94" s="11"/>
      <c r="C94" s="21"/>
      <c r="D94" s="2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5"/>
    </row>
    <row r="95">
      <c r="A95" s="54"/>
      <c r="B95" s="11"/>
      <c r="C95" s="21"/>
      <c r="D95" s="2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5"/>
    </row>
    <row r="96">
      <c r="A96" s="54"/>
      <c r="B96" s="11"/>
      <c r="C96" s="21"/>
      <c r="D96" s="2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5"/>
    </row>
    <row r="97">
      <c r="A97" s="54"/>
      <c r="B97" s="11"/>
      <c r="C97" s="21"/>
      <c r="D97" s="2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5"/>
    </row>
    <row r="98">
      <c r="A98" s="54"/>
      <c r="B98" s="11"/>
      <c r="C98" s="21"/>
      <c r="D98" s="2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5"/>
    </row>
    <row r="99">
      <c r="A99" s="54"/>
      <c r="B99" s="11"/>
      <c r="C99" s="21"/>
      <c r="D99" s="2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5"/>
    </row>
    <row r="100">
      <c r="A100" s="54"/>
      <c r="B100" s="11"/>
      <c r="C100" s="21"/>
      <c r="D100" s="2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5"/>
    </row>
    <row r="101">
      <c r="A101" s="54"/>
      <c r="B101" s="11"/>
      <c r="C101" s="21"/>
      <c r="D101" s="2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5"/>
    </row>
    <row r="102">
      <c r="A102" s="54"/>
      <c r="B102" s="11"/>
      <c r="C102" s="21"/>
      <c r="D102" s="2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5"/>
    </row>
    <row r="103">
      <c r="A103" s="54"/>
      <c r="B103" s="11"/>
      <c r="C103" s="21"/>
      <c r="D103" s="2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5"/>
    </row>
    <row r="104">
      <c r="A104" s="54"/>
      <c r="B104" s="11"/>
      <c r="C104" s="21"/>
      <c r="D104" s="2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5"/>
    </row>
    <row r="105">
      <c r="A105" s="54"/>
      <c r="B105" s="11"/>
      <c r="C105" s="21"/>
      <c r="D105" s="2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5"/>
    </row>
    <row r="106">
      <c r="A106" s="54"/>
      <c r="B106" s="11"/>
      <c r="C106" s="21"/>
      <c r="D106" s="2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5"/>
    </row>
    <row r="107">
      <c r="A107" s="54"/>
      <c r="B107" s="11"/>
      <c r="C107" s="21"/>
      <c r="D107" s="2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5"/>
    </row>
    <row r="108">
      <c r="A108" s="54"/>
      <c r="B108" s="11"/>
      <c r="C108" s="21"/>
      <c r="D108" s="2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5"/>
    </row>
    <row r="109">
      <c r="A109" s="54"/>
      <c r="B109" s="11"/>
      <c r="C109" s="21"/>
      <c r="D109" s="2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5"/>
    </row>
    <row r="110">
      <c r="A110" s="54"/>
      <c r="B110" s="11"/>
      <c r="C110" s="21"/>
      <c r="D110" s="2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5"/>
    </row>
    <row r="111">
      <c r="A111" s="54"/>
      <c r="B111" s="11"/>
      <c r="C111" s="21"/>
      <c r="D111" s="2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5"/>
    </row>
    <row r="112">
      <c r="A112" s="54"/>
      <c r="B112" s="11"/>
      <c r="C112" s="21"/>
      <c r="D112" s="2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5"/>
    </row>
    <row r="113">
      <c r="A113" s="54"/>
      <c r="B113" s="11"/>
      <c r="C113" s="21"/>
      <c r="D113" s="2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5"/>
    </row>
    <row r="114">
      <c r="A114" s="22"/>
      <c r="B114" s="11"/>
      <c r="C114" s="21"/>
      <c r="D114" s="2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5"/>
    </row>
    <row r="115">
      <c r="A115" s="22"/>
      <c r="B115" s="11"/>
      <c r="C115" s="21"/>
      <c r="D115" s="2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5"/>
    </row>
    <row r="116">
      <c r="A116" s="22"/>
      <c r="B116" s="11"/>
      <c r="C116" s="21"/>
      <c r="D116" s="2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5"/>
    </row>
    <row r="117">
      <c r="A117" s="22"/>
      <c r="B117" s="11"/>
      <c r="C117" s="21"/>
      <c r="D117" s="2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5"/>
    </row>
    <row r="118">
      <c r="A118" s="22"/>
      <c r="B118" s="11"/>
      <c r="C118" s="21"/>
      <c r="D118" s="2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5"/>
    </row>
    <row r="119">
      <c r="A119" s="22"/>
      <c r="B119" s="11"/>
      <c r="C119" s="21"/>
      <c r="D119" s="2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5"/>
    </row>
    <row r="120">
      <c r="A120" s="22"/>
      <c r="B120" s="11"/>
      <c r="C120" s="21"/>
      <c r="D120" s="2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5"/>
    </row>
    <row r="121">
      <c r="A121" s="22"/>
      <c r="B121" s="11"/>
      <c r="C121" s="20"/>
      <c r="D121" s="2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5"/>
    </row>
    <row r="122">
      <c r="A122" s="22"/>
      <c r="B122" s="11"/>
      <c r="C122" s="20"/>
      <c r="D122" s="2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5"/>
    </row>
    <row r="123">
      <c r="A123" s="22"/>
      <c r="B123" s="11"/>
      <c r="C123" s="20"/>
      <c r="D123" s="2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5"/>
    </row>
    <row r="124">
      <c r="A124" s="22"/>
      <c r="B124" s="11"/>
      <c r="C124" s="20"/>
      <c r="D124" s="2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5"/>
    </row>
    <row r="125">
      <c r="A125" s="22"/>
      <c r="B125" s="11"/>
      <c r="C125" s="20"/>
      <c r="D125" s="2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5"/>
    </row>
    <row r="126">
      <c r="A126" s="22"/>
      <c r="B126" s="11"/>
      <c r="C126" s="20"/>
      <c r="D126" s="2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5"/>
    </row>
    <row r="127">
      <c r="A127" s="22"/>
      <c r="B127" s="11"/>
      <c r="C127" s="20"/>
      <c r="D127" s="2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5"/>
    </row>
    <row r="128">
      <c r="A128" s="22"/>
      <c r="B128" s="11"/>
      <c r="C128" s="20"/>
      <c r="D128" s="2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5"/>
    </row>
    <row r="129">
      <c r="A129" s="22"/>
      <c r="B129" s="11"/>
      <c r="C129" s="20"/>
      <c r="D129" s="2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5"/>
    </row>
    <row r="130">
      <c r="A130" s="22"/>
      <c r="B130" s="11"/>
      <c r="C130" s="20"/>
      <c r="D130" s="2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5"/>
    </row>
    <row r="131">
      <c r="A131" s="22"/>
      <c r="B131" s="11"/>
      <c r="C131" s="20"/>
      <c r="D131" s="2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5"/>
    </row>
    <row r="132">
      <c r="A132" s="22"/>
      <c r="B132" s="11"/>
      <c r="C132" s="20"/>
      <c r="D132" s="2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5"/>
    </row>
    <row r="133">
      <c r="A133" s="54"/>
      <c r="B133" s="11"/>
      <c r="C133" s="20"/>
      <c r="D133" s="2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5"/>
    </row>
    <row r="134">
      <c r="A134" s="54"/>
      <c r="B134" s="11"/>
      <c r="C134" s="20"/>
      <c r="D134" s="2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5"/>
    </row>
    <row r="135">
      <c r="A135" s="54"/>
      <c r="B135" s="11"/>
      <c r="C135" s="20"/>
      <c r="D135" s="2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5"/>
    </row>
    <row r="136">
      <c r="A136" s="54"/>
      <c r="B136" s="11"/>
      <c r="C136" s="20"/>
      <c r="D136" s="2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5"/>
    </row>
    <row r="137">
      <c r="A137" s="54"/>
      <c r="B137" s="11"/>
      <c r="C137" s="20"/>
      <c r="D137" s="2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5"/>
    </row>
    <row r="138">
      <c r="A138" s="54"/>
      <c r="B138" s="11"/>
      <c r="C138" s="20"/>
      <c r="D138" s="2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5"/>
    </row>
    <row r="139">
      <c r="A139" s="54"/>
      <c r="B139" s="11"/>
      <c r="C139" s="20"/>
      <c r="D139" s="2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5"/>
    </row>
    <row r="140">
      <c r="A140" s="54"/>
      <c r="B140" s="11"/>
      <c r="C140" s="20"/>
      <c r="D140" s="2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5"/>
    </row>
    <row r="141">
      <c r="A141" s="54"/>
      <c r="B141" s="11"/>
      <c r="C141" s="20"/>
      <c r="D141" s="2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5"/>
    </row>
    <row r="142">
      <c r="A142" s="54"/>
      <c r="B142" s="11"/>
      <c r="C142" s="20"/>
      <c r="D142" s="2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5"/>
    </row>
    <row r="143">
      <c r="A143" s="54"/>
      <c r="B143" s="11"/>
      <c r="C143" s="20"/>
      <c r="D143" s="2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5"/>
    </row>
    <row r="144">
      <c r="A144" s="54"/>
      <c r="B144" s="11"/>
      <c r="C144" s="20"/>
      <c r="D144" s="2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5"/>
    </row>
    <row r="145">
      <c r="A145" s="54"/>
      <c r="B145" s="11"/>
      <c r="C145" s="20"/>
      <c r="D145" s="2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5"/>
    </row>
    <row r="146">
      <c r="A146" s="54"/>
      <c r="B146" s="11"/>
      <c r="C146" s="20"/>
      <c r="D146" s="2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5"/>
    </row>
    <row r="147">
      <c r="A147" s="54"/>
      <c r="B147" s="11"/>
      <c r="C147" s="20"/>
      <c r="D147" s="2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5"/>
    </row>
    <row r="148">
      <c r="A148" s="54"/>
      <c r="B148" s="11"/>
      <c r="C148" s="20"/>
      <c r="D148" s="2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5"/>
    </row>
    <row r="149">
      <c r="A149" s="54"/>
      <c r="B149" s="11"/>
      <c r="C149" s="20"/>
      <c r="D149" s="2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5"/>
    </row>
    <row r="150">
      <c r="A150" s="54"/>
      <c r="B150" s="11"/>
      <c r="C150" s="20"/>
      <c r="D150" s="2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5"/>
    </row>
    <row r="151">
      <c r="A151" s="22"/>
      <c r="B151" s="11"/>
      <c r="C151" s="20"/>
      <c r="D151" s="2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5"/>
    </row>
    <row r="152">
      <c r="A152" s="22"/>
      <c r="B152" s="11"/>
      <c r="C152" s="20"/>
      <c r="D152" s="2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5"/>
    </row>
    <row r="153">
      <c r="A153" s="22"/>
      <c r="B153" s="11"/>
      <c r="C153" s="20"/>
      <c r="D153" s="2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5"/>
    </row>
    <row r="154">
      <c r="A154" s="22"/>
      <c r="B154" s="11"/>
      <c r="C154" s="20"/>
      <c r="D154" s="2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5"/>
    </row>
    <row r="155">
      <c r="A155" s="22"/>
      <c r="B155" s="11"/>
      <c r="C155" s="20"/>
      <c r="D155" s="2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5"/>
    </row>
    <row r="156">
      <c r="A156" s="22"/>
      <c r="B156" s="11"/>
      <c r="C156" s="20"/>
      <c r="D156" s="2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5"/>
    </row>
    <row r="157">
      <c r="A157" s="22"/>
      <c r="B157" s="11"/>
      <c r="C157" s="20"/>
      <c r="D157" s="2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5"/>
    </row>
    <row r="158">
      <c r="A158" s="22"/>
      <c r="B158" s="11"/>
      <c r="C158" s="20"/>
      <c r="D158" s="2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5"/>
    </row>
    <row r="159">
      <c r="A159" s="22"/>
      <c r="B159" s="11"/>
      <c r="C159" s="20"/>
      <c r="D159" s="2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5"/>
    </row>
    <row r="160">
      <c r="A160" s="22"/>
      <c r="B160" s="11"/>
      <c r="C160" s="20"/>
      <c r="D160" s="2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5"/>
    </row>
    <row r="161">
      <c r="A161" s="22"/>
      <c r="B161" s="11"/>
      <c r="C161" s="20"/>
      <c r="D161" s="2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5"/>
    </row>
    <row r="162">
      <c r="A162" s="22"/>
      <c r="B162" s="11"/>
      <c r="C162" s="20"/>
      <c r="D162" s="2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5"/>
    </row>
    <row r="163">
      <c r="A163" s="22"/>
      <c r="B163" s="11"/>
      <c r="C163" s="20"/>
      <c r="D163" s="2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5"/>
    </row>
    <row r="164">
      <c r="A164" s="22"/>
      <c r="B164" s="11"/>
      <c r="C164" s="20"/>
      <c r="D164" s="2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5"/>
    </row>
    <row r="165">
      <c r="A165" s="22"/>
      <c r="B165" s="11"/>
      <c r="C165" s="20"/>
      <c r="D165" s="2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5"/>
    </row>
    <row r="166">
      <c r="A166" s="22"/>
      <c r="B166" s="11"/>
      <c r="C166" s="20"/>
      <c r="D166" s="2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5"/>
    </row>
    <row r="167">
      <c r="A167" s="22"/>
      <c r="B167" s="11"/>
      <c r="C167" s="20"/>
      <c r="D167" s="2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5"/>
    </row>
    <row r="168">
      <c r="A168" s="22"/>
      <c r="B168" s="11"/>
      <c r="C168" s="20"/>
      <c r="D168" s="2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5"/>
    </row>
    <row r="169">
      <c r="A169" s="22"/>
      <c r="B169" s="11"/>
      <c r="C169" s="20"/>
      <c r="D169" s="2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5"/>
    </row>
    <row r="170">
      <c r="A170" s="54"/>
      <c r="B170" s="11"/>
      <c r="C170" s="20"/>
      <c r="D170" s="2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5"/>
    </row>
    <row r="171">
      <c r="A171" s="54"/>
      <c r="B171" s="11"/>
      <c r="C171" s="20"/>
      <c r="D171" s="2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5"/>
    </row>
    <row r="172">
      <c r="A172" s="54"/>
      <c r="B172" s="11"/>
      <c r="C172" s="20"/>
      <c r="D172" s="2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5"/>
    </row>
    <row r="173">
      <c r="A173" s="54"/>
      <c r="B173" s="11"/>
      <c r="C173" s="20"/>
      <c r="D173" s="2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5"/>
    </row>
    <row r="174">
      <c r="A174" s="54"/>
      <c r="B174" s="11"/>
      <c r="C174" s="20"/>
      <c r="D174" s="2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5"/>
    </row>
    <row r="175">
      <c r="A175" s="54"/>
      <c r="B175" s="11"/>
      <c r="C175" s="20"/>
      <c r="D175" s="2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5"/>
    </row>
    <row r="176">
      <c r="A176" s="54"/>
      <c r="B176" s="11"/>
      <c r="C176" s="20"/>
      <c r="D176" s="2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5"/>
    </row>
    <row r="177">
      <c r="A177" s="54"/>
      <c r="B177" s="11"/>
      <c r="C177" s="20"/>
      <c r="D177" s="2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5"/>
    </row>
    <row r="178">
      <c r="A178" s="54"/>
      <c r="B178" s="11"/>
      <c r="C178" s="20"/>
      <c r="D178" s="2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5"/>
    </row>
    <row r="179">
      <c r="A179" s="54"/>
      <c r="B179" s="11"/>
      <c r="C179" s="20"/>
      <c r="D179" s="2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5"/>
    </row>
    <row r="180">
      <c r="A180" s="54"/>
      <c r="B180" s="11"/>
      <c r="C180" s="20"/>
      <c r="D180" s="2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5"/>
    </row>
    <row r="181">
      <c r="A181" s="54"/>
      <c r="B181" s="11"/>
      <c r="C181" s="20"/>
      <c r="D181" s="2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5"/>
    </row>
    <row r="182">
      <c r="A182" s="54"/>
      <c r="B182" s="11"/>
      <c r="C182" s="20"/>
      <c r="D182" s="2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5"/>
    </row>
    <row r="183">
      <c r="A183" s="54"/>
      <c r="B183" s="11"/>
      <c r="C183" s="20"/>
      <c r="D183" s="2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5"/>
    </row>
    <row r="184">
      <c r="A184" s="54"/>
      <c r="B184" s="11"/>
      <c r="C184" s="20"/>
      <c r="D184" s="2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5"/>
    </row>
    <row r="185">
      <c r="A185" s="54"/>
      <c r="B185" s="11"/>
      <c r="C185" s="20"/>
      <c r="D185" s="2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5"/>
    </row>
    <row r="186">
      <c r="A186" s="54"/>
      <c r="B186" s="11"/>
      <c r="C186" s="20"/>
      <c r="D186" s="2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5"/>
    </row>
    <row r="187">
      <c r="A187" s="54"/>
      <c r="B187" s="11"/>
      <c r="C187" s="20"/>
      <c r="D187" s="2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5"/>
    </row>
    <row r="188">
      <c r="A188" s="54"/>
      <c r="B188" s="11"/>
      <c r="C188" s="20"/>
      <c r="D188" s="2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5"/>
    </row>
    <row r="189">
      <c r="A189" s="54"/>
      <c r="B189" s="11"/>
      <c r="C189" s="20"/>
      <c r="D189" s="2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5"/>
    </row>
    <row r="190">
      <c r="A190" s="54"/>
      <c r="B190" s="11"/>
      <c r="C190" s="20"/>
      <c r="D190" s="2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5"/>
    </row>
    <row r="191">
      <c r="A191" s="54"/>
      <c r="B191" s="11"/>
      <c r="C191" s="20"/>
      <c r="D191" s="2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5"/>
    </row>
    <row r="192">
      <c r="A192" s="54"/>
      <c r="B192" s="11"/>
      <c r="C192" s="20"/>
      <c r="D192" s="2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5"/>
    </row>
    <row r="193">
      <c r="A193" s="54"/>
      <c r="B193" s="11"/>
      <c r="C193" s="20"/>
      <c r="D193" s="2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5"/>
    </row>
    <row r="194">
      <c r="A194" s="54"/>
      <c r="B194" s="11"/>
      <c r="C194" s="20"/>
      <c r="D194" s="2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5"/>
    </row>
    <row r="195">
      <c r="A195" s="54"/>
      <c r="B195" s="11"/>
      <c r="C195" s="20"/>
      <c r="D195" s="2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5"/>
    </row>
    <row r="196">
      <c r="A196" s="54"/>
      <c r="B196" s="11"/>
      <c r="C196" s="20"/>
      <c r="D196" s="2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5"/>
    </row>
    <row r="197">
      <c r="A197" s="22"/>
      <c r="B197" s="11"/>
      <c r="C197" s="20"/>
      <c r="D197" s="2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5"/>
    </row>
    <row r="198">
      <c r="A198" s="22"/>
      <c r="B198" s="11"/>
      <c r="C198" s="20"/>
      <c r="D198" s="2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5"/>
    </row>
    <row r="199">
      <c r="A199" s="22"/>
      <c r="B199" s="11"/>
      <c r="C199" s="20"/>
      <c r="D199" s="2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5"/>
    </row>
    <row r="200">
      <c r="A200" s="22"/>
      <c r="B200" s="11"/>
      <c r="C200" s="20"/>
      <c r="D200" s="2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5"/>
    </row>
    <row r="201">
      <c r="A201" s="22"/>
      <c r="B201" s="11"/>
      <c r="C201" s="20"/>
      <c r="D201" s="2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5"/>
    </row>
    <row r="202">
      <c r="A202" s="22"/>
      <c r="B202" s="11"/>
      <c r="C202" s="20"/>
      <c r="D202" s="2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5"/>
    </row>
    <row r="203">
      <c r="A203" s="22"/>
      <c r="B203" s="11"/>
      <c r="C203" s="20"/>
      <c r="D203" s="2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5"/>
    </row>
    <row r="204">
      <c r="A204" s="22"/>
      <c r="B204" s="11"/>
      <c r="C204" s="20"/>
      <c r="D204" s="2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5"/>
    </row>
    <row r="205">
      <c r="A205" s="22"/>
      <c r="B205" s="11"/>
      <c r="C205" s="20"/>
      <c r="D205" s="2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5"/>
    </row>
    <row r="206">
      <c r="A206" s="22"/>
      <c r="B206" s="11"/>
      <c r="C206" s="20"/>
      <c r="D206" s="2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5"/>
    </row>
    <row r="207">
      <c r="A207" s="22"/>
      <c r="B207" s="11"/>
      <c r="C207" s="20"/>
      <c r="D207" s="2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5"/>
    </row>
    <row r="208">
      <c r="A208" s="22"/>
      <c r="B208" s="11"/>
      <c r="C208" s="20"/>
      <c r="D208" s="2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5"/>
    </row>
    <row r="209">
      <c r="A209" s="22"/>
      <c r="B209" s="11"/>
      <c r="C209" s="20"/>
      <c r="D209" s="2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5"/>
    </row>
    <row r="210">
      <c r="A210" s="22"/>
      <c r="B210" s="11"/>
      <c r="C210" s="20"/>
      <c r="D210" s="2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5"/>
    </row>
    <row r="211">
      <c r="A211" s="22"/>
      <c r="B211" s="11"/>
      <c r="C211" s="20"/>
      <c r="D211" s="2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5"/>
    </row>
    <row r="212">
      <c r="A212" s="22"/>
      <c r="B212" s="11"/>
      <c r="C212" s="20"/>
      <c r="D212" s="2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5"/>
    </row>
    <row r="213">
      <c r="A213" s="22"/>
      <c r="B213" s="11"/>
      <c r="C213" s="20"/>
      <c r="D213" s="2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5"/>
    </row>
    <row r="214">
      <c r="A214" s="22"/>
      <c r="B214" s="11"/>
      <c r="C214" s="20"/>
      <c r="D214" s="2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5"/>
    </row>
    <row r="215">
      <c r="A215" s="22"/>
      <c r="B215" s="11"/>
      <c r="C215" s="20"/>
      <c r="D215" s="2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5"/>
    </row>
    <row r="216">
      <c r="A216" s="54"/>
      <c r="B216" s="11"/>
      <c r="C216" s="20"/>
      <c r="D216" s="2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5"/>
    </row>
    <row r="217">
      <c r="A217" s="54"/>
      <c r="B217" s="11"/>
      <c r="C217" s="20"/>
      <c r="D217" s="2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5"/>
    </row>
    <row r="218">
      <c r="A218" s="54"/>
      <c r="B218" s="11"/>
      <c r="C218" s="20"/>
      <c r="D218" s="2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5"/>
    </row>
    <row r="219">
      <c r="A219" s="54"/>
      <c r="B219" s="11"/>
      <c r="C219" s="20"/>
      <c r="D219" s="2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5"/>
    </row>
    <row r="220">
      <c r="A220" s="54"/>
      <c r="B220" s="11"/>
      <c r="C220" s="20"/>
      <c r="D220" s="2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5"/>
    </row>
    <row r="221">
      <c r="A221" s="54"/>
      <c r="B221" s="11"/>
      <c r="C221" s="20"/>
      <c r="D221" s="2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5"/>
    </row>
    <row r="222">
      <c r="A222" s="54"/>
      <c r="B222" s="11"/>
      <c r="C222" s="20"/>
      <c r="D222" s="2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5"/>
    </row>
    <row r="223">
      <c r="A223" s="54"/>
      <c r="B223" s="11"/>
      <c r="C223" s="20"/>
      <c r="D223" s="2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5"/>
    </row>
    <row r="224">
      <c r="A224" s="54"/>
      <c r="B224" s="11"/>
      <c r="C224" s="20"/>
      <c r="D224" s="2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5"/>
    </row>
    <row r="225">
      <c r="A225" s="54"/>
      <c r="B225" s="11"/>
      <c r="C225" s="20"/>
      <c r="D225" s="2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5"/>
    </row>
    <row r="226">
      <c r="A226" s="54"/>
      <c r="B226" s="11"/>
      <c r="C226" s="20"/>
      <c r="D226" s="2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5"/>
    </row>
    <row r="227">
      <c r="A227" s="54"/>
      <c r="B227" s="11"/>
      <c r="C227" s="20"/>
      <c r="D227" s="2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5"/>
    </row>
    <row r="228">
      <c r="A228" s="54"/>
      <c r="B228" s="11"/>
      <c r="C228" s="20"/>
      <c r="D228" s="2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5"/>
    </row>
    <row r="229">
      <c r="A229" s="54"/>
      <c r="B229" s="11"/>
      <c r="C229" s="20"/>
      <c r="D229" s="2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5"/>
    </row>
    <row r="230">
      <c r="A230" s="54"/>
      <c r="B230" s="11"/>
      <c r="C230" s="20"/>
      <c r="D230" s="2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5"/>
    </row>
    <row r="231">
      <c r="A231" s="54"/>
      <c r="B231" s="11"/>
      <c r="C231" s="20"/>
      <c r="D231" s="2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5"/>
    </row>
    <row r="232">
      <c r="A232" s="54"/>
      <c r="B232" s="11"/>
      <c r="C232" s="20"/>
      <c r="D232" s="2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5"/>
    </row>
    <row r="233">
      <c r="A233" s="54"/>
      <c r="B233" s="11"/>
      <c r="C233" s="20"/>
      <c r="D233" s="2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5"/>
    </row>
    <row r="234">
      <c r="A234" s="22"/>
      <c r="B234" s="11"/>
      <c r="C234" s="20"/>
      <c r="D234" s="2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5"/>
    </row>
    <row r="235">
      <c r="A235" s="22"/>
      <c r="B235" s="11"/>
      <c r="C235" s="20"/>
      <c r="D235" s="2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5"/>
    </row>
    <row r="236">
      <c r="A236" s="22"/>
      <c r="B236" s="11"/>
      <c r="C236" s="20"/>
      <c r="D236" s="2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5"/>
    </row>
    <row r="237">
      <c r="A237" s="22"/>
      <c r="B237" s="11"/>
      <c r="C237" s="20"/>
      <c r="D237" s="2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5"/>
    </row>
    <row r="238">
      <c r="A238" s="22"/>
      <c r="B238" s="11"/>
      <c r="C238" s="20"/>
      <c r="D238" s="2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5"/>
    </row>
    <row r="239">
      <c r="A239" s="22"/>
      <c r="B239" s="11"/>
      <c r="C239" s="20"/>
      <c r="D239" s="2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5"/>
    </row>
    <row r="240">
      <c r="A240" s="22"/>
      <c r="B240" s="11"/>
      <c r="C240" s="20"/>
      <c r="D240" s="2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5"/>
    </row>
    <row r="241">
      <c r="A241" s="22"/>
      <c r="B241" s="11"/>
      <c r="C241" s="20"/>
      <c r="D241" s="2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5"/>
    </row>
    <row r="242">
      <c r="A242" s="22"/>
      <c r="B242" s="11"/>
      <c r="C242" s="20"/>
      <c r="D242" s="2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5"/>
    </row>
    <row r="243">
      <c r="A243" s="22"/>
      <c r="B243" s="11"/>
      <c r="C243" s="20"/>
      <c r="D243" s="2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5"/>
    </row>
    <row r="244">
      <c r="A244" s="22"/>
      <c r="B244" s="11"/>
      <c r="C244" s="20"/>
      <c r="D244" s="2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5"/>
    </row>
    <row r="245">
      <c r="A245" s="22"/>
      <c r="B245" s="11"/>
      <c r="C245" s="20"/>
      <c r="D245" s="2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5"/>
    </row>
    <row r="246">
      <c r="A246" s="22"/>
      <c r="B246" s="11"/>
      <c r="C246" s="20"/>
      <c r="D246" s="2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5"/>
    </row>
    <row r="247">
      <c r="A247" s="22"/>
      <c r="B247" s="11"/>
      <c r="C247" s="20"/>
      <c r="D247" s="2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5"/>
    </row>
    <row r="248">
      <c r="A248" s="22"/>
      <c r="B248" s="11"/>
      <c r="C248" s="20"/>
      <c r="D248" s="2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5"/>
    </row>
    <row r="249">
      <c r="A249" s="22"/>
      <c r="B249" s="11"/>
      <c r="C249" s="20"/>
      <c r="D249" s="2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5"/>
    </row>
    <row r="250">
      <c r="A250" s="22"/>
      <c r="B250" s="11"/>
      <c r="C250" s="20"/>
      <c r="D250" s="2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5"/>
    </row>
    <row r="251">
      <c r="A251" s="22"/>
      <c r="B251" s="11"/>
      <c r="C251" s="20"/>
      <c r="D251" s="2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5"/>
    </row>
    <row r="252">
      <c r="A252" s="22"/>
      <c r="B252" s="11"/>
      <c r="C252" s="20"/>
      <c r="D252" s="2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5"/>
    </row>
    <row r="253">
      <c r="A253" s="54"/>
      <c r="B253" s="11"/>
      <c r="C253" s="20"/>
      <c r="D253" s="2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5"/>
    </row>
    <row r="254">
      <c r="A254" s="54"/>
      <c r="B254" s="11"/>
      <c r="C254" s="20"/>
      <c r="D254" s="2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5"/>
    </row>
    <row r="255">
      <c r="A255" s="54"/>
      <c r="B255" s="11"/>
      <c r="C255" s="20"/>
      <c r="D255" s="2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5"/>
    </row>
    <row r="256">
      <c r="A256" s="54"/>
      <c r="B256" s="11"/>
      <c r="C256" s="20"/>
      <c r="D256" s="2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5"/>
    </row>
    <row r="257">
      <c r="A257" s="54"/>
      <c r="B257" s="11"/>
      <c r="C257" s="20"/>
      <c r="D257" s="2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5"/>
    </row>
    <row r="258">
      <c r="A258" s="54"/>
      <c r="B258" s="11"/>
      <c r="C258" s="20"/>
      <c r="D258" s="2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5"/>
    </row>
    <row r="259">
      <c r="A259" s="54"/>
      <c r="B259" s="11"/>
      <c r="C259" s="20"/>
      <c r="D259" s="2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5"/>
    </row>
    <row r="260">
      <c r="A260" s="54"/>
      <c r="B260" s="11"/>
      <c r="C260" s="20"/>
      <c r="D260" s="2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5"/>
    </row>
    <row r="261">
      <c r="A261" s="54"/>
      <c r="B261" s="11"/>
      <c r="C261" s="20"/>
      <c r="D261" s="2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5"/>
    </row>
    <row r="262">
      <c r="A262" s="54"/>
      <c r="B262" s="11"/>
      <c r="C262" s="20"/>
      <c r="D262" s="2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5"/>
    </row>
    <row r="263">
      <c r="A263" s="54"/>
      <c r="B263" s="11"/>
      <c r="C263" s="20"/>
      <c r="D263" s="2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5"/>
    </row>
    <row r="264">
      <c r="A264" s="54"/>
      <c r="B264" s="11"/>
      <c r="C264" s="20"/>
      <c r="D264" s="20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5"/>
    </row>
    <row r="265">
      <c r="A265" s="54"/>
      <c r="B265" s="11"/>
      <c r="C265" s="20"/>
      <c r="D265" s="20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5"/>
    </row>
    <row r="266">
      <c r="A266" s="54"/>
      <c r="B266" s="11"/>
      <c r="C266" s="20"/>
      <c r="D266" s="20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5"/>
    </row>
    <row r="267">
      <c r="A267" s="54"/>
      <c r="B267" s="11"/>
      <c r="C267" s="20"/>
      <c r="D267" s="20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5"/>
    </row>
    <row r="268">
      <c r="A268" s="54"/>
      <c r="B268" s="11"/>
      <c r="C268" s="20"/>
      <c r="D268" s="20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5"/>
    </row>
    <row r="269">
      <c r="A269" s="54"/>
      <c r="B269" s="11"/>
      <c r="C269" s="20"/>
      <c r="D269" s="20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5"/>
    </row>
    <row r="270">
      <c r="A270" s="54"/>
      <c r="B270" s="11"/>
      <c r="C270" s="20"/>
      <c r="D270" s="20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5"/>
    </row>
    <row r="271">
      <c r="A271" s="54"/>
      <c r="B271" s="11"/>
      <c r="C271" s="20"/>
      <c r="D271" s="20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5"/>
    </row>
    <row r="272">
      <c r="A272" s="54"/>
      <c r="B272" s="11"/>
      <c r="C272" s="20"/>
      <c r="D272" s="20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5"/>
    </row>
    <row r="273">
      <c r="A273" s="54"/>
      <c r="B273" s="11"/>
      <c r="C273" s="20"/>
      <c r="D273" s="20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5"/>
    </row>
    <row r="274">
      <c r="A274" s="54"/>
      <c r="B274" s="11"/>
      <c r="C274" s="20"/>
      <c r="D274" s="2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5"/>
    </row>
    <row r="275">
      <c r="A275" s="54"/>
      <c r="B275" s="11"/>
      <c r="C275" s="20"/>
      <c r="D275" s="20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5"/>
    </row>
    <row r="276">
      <c r="A276" s="54"/>
      <c r="B276" s="11"/>
      <c r="C276" s="20"/>
      <c r="D276" s="20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5"/>
    </row>
    <row r="277">
      <c r="A277" s="54"/>
      <c r="B277" s="11"/>
      <c r="C277" s="20"/>
      <c r="D277" s="20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5"/>
    </row>
    <row r="278">
      <c r="A278" s="54"/>
      <c r="B278" s="11"/>
      <c r="C278" s="20"/>
      <c r="D278" s="20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5"/>
    </row>
    <row r="279">
      <c r="A279" s="54"/>
      <c r="B279" s="11"/>
      <c r="C279" s="20"/>
      <c r="D279" s="20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5"/>
    </row>
    <row r="280">
      <c r="A280" s="22"/>
      <c r="B280" s="11"/>
      <c r="C280" s="20"/>
      <c r="D280" s="20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5"/>
    </row>
    <row r="281">
      <c r="A281" s="22"/>
      <c r="B281" s="11"/>
      <c r="C281" s="20"/>
      <c r="D281" s="20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5"/>
    </row>
    <row r="282">
      <c r="A282" s="22"/>
      <c r="B282" s="11"/>
      <c r="C282" s="20"/>
      <c r="D282" s="20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5"/>
    </row>
    <row r="283">
      <c r="A283" s="22"/>
      <c r="B283" s="11"/>
      <c r="C283" s="20"/>
      <c r="D283" s="20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5"/>
    </row>
    <row r="284">
      <c r="A284" s="22"/>
      <c r="B284" s="11"/>
      <c r="C284" s="20"/>
      <c r="D284" s="20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5"/>
    </row>
    <row r="285">
      <c r="A285" s="22"/>
      <c r="B285" s="11"/>
      <c r="C285" s="20"/>
      <c r="D285" s="20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5"/>
    </row>
    <row r="286">
      <c r="A286" s="22"/>
      <c r="B286" s="11"/>
      <c r="C286" s="20"/>
      <c r="D286" s="20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5"/>
    </row>
    <row r="287">
      <c r="A287" s="22"/>
      <c r="B287" s="11"/>
      <c r="C287" s="20"/>
      <c r="D287" s="20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5"/>
    </row>
    <row r="288">
      <c r="A288" s="22"/>
      <c r="B288" s="11"/>
      <c r="C288" s="20"/>
      <c r="D288" s="20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5"/>
    </row>
    <row r="289">
      <c r="A289" s="22"/>
      <c r="B289" s="11"/>
      <c r="C289" s="20"/>
      <c r="D289" s="20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5"/>
    </row>
    <row r="290">
      <c r="A290" s="22"/>
      <c r="B290" s="11"/>
      <c r="C290" s="20"/>
      <c r="D290" s="20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5"/>
    </row>
    <row r="291">
      <c r="A291" s="22"/>
      <c r="B291" s="11"/>
      <c r="C291" s="20"/>
      <c r="D291" s="20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5"/>
    </row>
    <row r="292">
      <c r="A292" s="22"/>
      <c r="B292" s="11"/>
      <c r="C292" s="20"/>
      <c r="D292" s="20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5"/>
    </row>
    <row r="293">
      <c r="A293" s="22"/>
      <c r="B293" s="11"/>
      <c r="C293" s="20"/>
      <c r="D293" s="20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5"/>
    </row>
    <row r="294">
      <c r="A294" s="22"/>
      <c r="B294" s="11"/>
      <c r="C294" s="20"/>
      <c r="D294" s="20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5"/>
    </row>
    <row r="295">
      <c r="A295" s="22"/>
      <c r="B295" s="11"/>
      <c r="C295" s="20"/>
      <c r="D295" s="20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5"/>
    </row>
    <row r="296">
      <c r="A296" s="22"/>
      <c r="B296" s="11"/>
      <c r="C296" s="20"/>
      <c r="D296" s="20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5"/>
    </row>
    <row r="297">
      <c r="A297" s="22"/>
      <c r="B297" s="11"/>
      <c r="C297" s="20"/>
      <c r="D297" s="20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5"/>
    </row>
    <row r="298">
      <c r="A298" s="22"/>
      <c r="B298" s="11"/>
      <c r="C298" s="20"/>
      <c r="D298" s="20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5"/>
    </row>
    <row r="299">
      <c r="A299" s="54"/>
      <c r="B299" s="11"/>
      <c r="C299" s="20"/>
      <c r="D299" s="20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5"/>
    </row>
    <row r="300">
      <c r="A300" s="54"/>
      <c r="B300" s="11"/>
      <c r="C300" s="20"/>
      <c r="D300" s="20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5"/>
    </row>
    <row r="301">
      <c r="A301" s="54"/>
      <c r="B301" s="11"/>
      <c r="C301" s="20"/>
      <c r="D301" s="20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5"/>
    </row>
    <row r="302">
      <c r="A302" s="54"/>
      <c r="B302" s="11"/>
      <c r="C302" s="20"/>
      <c r="D302" s="20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5"/>
    </row>
    <row r="303">
      <c r="A303" s="54"/>
      <c r="B303" s="11"/>
      <c r="C303" s="20"/>
      <c r="D303" s="20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5"/>
    </row>
    <row r="304">
      <c r="A304" s="54"/>
      <c r="B304" s="11"/>
      <c r="C304" s="20"/>
      <c r="D304" s="20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5"/>
    </row>
    <row r="305">
      <c r="A305" s="54"/>
      <c r="B305" s="11"/>
      <c r="C305" s="20"/>
      <c r="D305" s="20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5"/>
    </row>
    <row r="306">
      <c r="A306" s="54"/>
      <c r="B306" s="11"/>
      <c r="C306" s="20"/>
      <c r="D306" s="20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5"/>
    </row>
    <row r="307">
      <c r="A307" s="54"/>
      <c r="B307" s="11"/>
      <c r="C307" s="20"/>
      <c r="D307" s="20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5"/>
    </row>
    <row r="308">
      <c r="A308" s="54"/>
      <c r="B308" s="11"/>
      <c r="C308" s="20"/>
      <c r="D308" s="20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5"/>
    </row>
    <row r="309">
      <c r="A309" s="54"/>
      <c r="B309" s="11"/>
      <c r="C309" s="20"/>
      <c r="D309" s="20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5"/>
    </row>
    <row r="310">
      <c r="A310" s="54"/>
      <c r="B310" s="11"/>
      <c r="C310" s="20"/>
      <c r="D310" s="20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5"/>
    </row>
    <row r="311">
      <c r="A311" s="54"/>
      <c r="B311" s="11"/>
      <c r="C311" s="20"/>
      <c r="D311" s="20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5"/>
    </row>
    <row r="312">
      <c r="A312" s="54"/>
      <c r="B312" s="11"/>
      <c r="C312" s="20"/>
      <c r="D312" s="20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5"/>
    </row>
    <row r="313">
      <c r="A313" s="54"/>
      <c r="B313" s="11"/>
      <c r="C313" s="20"/>
      <c r="D313" s="20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5"/>
    </row>
    <row r="314">
      <c r="A314" s="54"/>
      <c r="B314" s="11"/>
      <c r="C314" s="20"/>
      <c r="D314" s="20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5"/>
    </row>
    <row r="315">
      <c r="A315" s="54"/>
      <c r="B315" s="11"/>
      <c r="C315" s="20"/>
      <c r="D315" s="20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5"/>
    </row>
    <row r="316">
      <c r="A316" s="54"/>
      <c r="B316" s="11"/>
      <c r="C316" s="20"/>
      <c r="D316" s="20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5"/>
    </row>
    <row r="317">
      <c r="A317" s="22"/>
      <c r="B317" s="11"/>
      <c r="C317" s="20"/>
      <c r="D317" s="20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5"/>
    </row>
    <row r="318">
      <c r="A318" s="22"/>
      <c r="B318" s="11"/>
      <c r="C318" s="20"/>
      <c r="D318" s="20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5"/>
    </row>
    <row r="319">
      <c r="A319" s="22"/>
      <c r="B319" s="11"/>
      <c r="C319" s="20"/>
      <c r="D319" s="20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5"/>
    </row>
    <row r="320">
      <c r="A320" s="22"/>
      <c r="B320" s="11"/>
      <c r="C320" s="20"/>
      <c r="D320" s="20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5"/>
    </row>
    <row r="321">
      <c r="A321" s="22"/>
      <c r="B321" s="11"/>
      <c r="C321" s="20"/>
      <c r="D321" s="20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5"/>
    </row>
    <row r="322">
      <c r="A322" s="22"/>
      <c r="B322" s="11"/>
      <c r="C322" s="20"/>
      <c r="D322" s="2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5"/>
    </row>
    <row r="323">
      <c r="A323" s="22"/>
      <c r="B323" s="11"/>
      <c r="C323" s="20"/>
      <c r="D323" s="20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5"/>
    </row>
    <row r="324">
      <c r="A324" s="22"/>
      <c r="B324" s="11"/>
      <c r="C324" s="20"/>
      <c r="D324" s="20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5"/>
    </row>
    <row r="325">
      <c r="A325" s="22"/>
      <c r="B325" s="11"/>
      <c r="C325" s="20"/>
      <c r="D325" s="20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5"/>
    </row>
    <row r="326">
      <c r="A326" s="22"/>
      <c r="B326" s="11"/>
      <c r="C326" s="20"/>
      <c r="D326" s="20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5"/>
    </row>
    <row r="327">
      <c r="A327" s="22"/>
      <c r="B327" s="11"/>
      <c r="C327" s="20"/>
      <c r="D327" s="20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5"/>
    </row>
    <row r="328">
      <c r="A328" s="22"/>
      <c r="B328" s="11"/>
      <c r="C328" s="20"/>
      <c r="D328" s="2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5"/>
    </row>
    <row r="329">
      <c r="A329" s="22"/>
      <c r="B329" s="11"/>
      <c r="C329" s="20"/>
      <c r="D329" s="20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5"/>
    </row>
    <row r="330">
      <c r="A330" s="22"/>
      <c r="B330" s="11"/>
      <c r="C330" s="20"/>
      <c r="D330" s="2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5"/>
    </row>
    <row r="331">
      <c r="A331" s="22"/>
      <c r="B331" s="11"/>
      <c r="C331" s="20"/>
      <c r="D331" s="20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5"/>
    </row>
    <row r="332">
      <c r="A332" s="22"/>
      <c r="B332" s="11"/>
      <c r="C332" s="20"/>
      <c r="D332" s="20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5"/>
    </row>
    <row r="333">
      <c r="A333" s="22"/>
      <c r="B333" s="11"/>
      <c r="C333" s="20"/>
      <c r="D333" s="20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5"/>
    </row>
    <row r="334">
      <c r="A334" s="22"/>
      <c r="B334" s="11"/>
      <c r="C334" s="20"/>
      <c r="D334" s="20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5"/>
    </row>
    <row r="335">
      <c r="A335" s="22"/>
      <c r="B335" s="11"/>
      <c r="C335" s="20"/>
      <c r="D335" s="20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5"/>
    </row>
    <row r="336">
      <c r="A336" s="54"/>
      <c r="B336" s="11"/>
      <c r="C336" s="20"/>
      <c r="D336" s="20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5"/>
    </row>
    <row r="337">
      <c r="A337" s="54"/>
      <c r="B337" s="11"/>
      <c r="C337" s="20"/>
      <c r="D337" s="20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5"/>
    </row>
    <row r="338">
      <c r="A338" s="54"/>
      <c r="B338" s="11"/>
      <c r="C338" s="20"/>
      <c r="D338" s="20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5"/>
    </row>
    <row r="339">
      <c r="A339" s="54"/>
      <c r="B339" s="11"/>
      <c r="C339" s="20"/>
      <c r="D339" s="20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5"/>
    </row>
    <row r="340">
      <c r="A340" s="54"/>
      <c r="B340" s="11"/>
      <c r="C340" s="20"/>
      <c r="D340" s="20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5"/>
    </row>
    <row r="341">
      <c r="A341" s="54"/>
      <c r="B341" s="11"/>
      <c r="C341" s="20"/>
      <c r="D341" s="20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5"/>
    </row>
    <row r="342">
      <c r="A342" s="54"/>
      <c r="B342" s="11"/>
      <c r="C342" s="20"/>
      <c r="D342" s="20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5"/>
    </row>
    <row r="343">
      <c r="A343" s="54"/>
      <c r="B343" s="11"/>
      <c r="C343" s="20"/>
      <c r="D343" s="20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5"/>
    </row>
    <row r="344">
      <c r="A344" s="54"/>
      <c r="B344" s="11"/>
      <c r="C344" s="20"/>
      <c r="D344" s="20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5"/>
    </row>
    <row r="345">
      <c r="A345" s="54"/>
      <c r="B345" s="11"/>
      <c r="C345" s="20"/>
      <c r="D345" s="20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5"/>
    </row>
    <row r="346">
      <c r="A346" s="54"/>
      <c r="B346" s="11"/>
      <c r="C346" s="20"/>
      <c r="D346" s="20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5"/>
    </row>
    <row r="347">
      <c r="A347" s="54"/>
      <c r="B347" s="11"/>
      <c r="C347" s="20"/>
      <c r="D347" s="20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5"/>
    </row>
    <row r="348">
      <c r="A348" s="54"/>
      <c r="B348" s="11"/>
      <c r="C348" s="20"/>
      <c r="D348" s="20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5"/>
    </row>
    <row r="349">
      <c r="A349" s="54"/>
      <c r="B349" s="11"/>
      <c r="C349" s="20"/>
      <c r="D349" s="20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5"/>
    </row>
    <row r="350">
      <c r="A350" s="54"/>
      <c r="B350" s="11"/>
      <c r="C350" s="20"/>
      <c r="D350" s="20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5"/>
    </row>
    <row r="351">
      <c r="A351" s="54"/>
      <c r="B351" s="11"/>
      <c r="C351" s="20"/>
      <c r="D351" s="20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5"/>
    </row>
    <row r="352">
      <c r="A352" s="54"/>
      <c r="B352" s="11"/>
      <c r="C352" s="20"/>
      <c r="D352" s="20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5"/>
    </row>
    <row r="353">
      <c r="A353" s="54"/>
      <c r="B353" s="11"/>
      <c r="C353" s="20"/>
      <c r="D353" s="20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5"/>
    </row>
    <row r="354">
      <c r="A354" s="54"/>
      <c r="B354" s="11"/>
      <c r="C354" s="20"/>
      <c r="D354" s="20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5"/>
    </row>
    <row r="355">
      <c r="A355" s="54"/>
      <c r="B355" s="11"/>
      <c r="C355" s="20"/>
      <c r="D355" s="20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5"/>
    </row>
    <row r="356">
      <c r="A356" s="54"/>
      <c r="B356" s="11"/>
      <c r="C356" s="20"/>
      <c r="D356" s="20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5"/>
    </row>
    <row r="357">
      <c r="A357" s="54"/>
      <c r="B357" s="11"/>
      <c r="C357" s="20"/>
      <c r="D357" s="20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5"/>
    </row>
    <row r="358">
      <c r="A358" s="54"/>
      <c r="B358" s="11"/>
      <c r="C358" s="20"/>
      <c r="D358" s="20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5"/>
    </row>
    <row r="359">
      <c r="A359" s="54"/>
      <c r="B359" s="11"/>
      <c r="C359" s="20"/>
      <c r="D359" s="20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5"/>
    </row>
    <row r="360">
      <c r="A360" s="54"/>
      <c r="B360" s="11"/>
      <c r="C360" s="20"/>
      <c r="D360" s="20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5"/>
    </row>
    <row r="361">
      <c r="A361" s="54"/>
      <c r="B361" s="11"/>
      <c r="C361" s="20"/>
      <c r="D361" s="20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5"/>
    </row>
    <row r="362">
      <c r="A362" s="54"/>
      <c r="B362" s="11"/>
      <c r="C362" s="20"/>
      <c r="D362" s="20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5"/>
    </row>
    <row r="363">
      <c r="A363" s="22"/>
      <c r="B363" s="11"/>
      <c r="C363" s="20"/>
      <c r="D363" s="20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5"/>
    </row>
    <row r="364">
      <c r="A364" s="22"/>
      <c r="B364" s="11"/>
      <c r="C364" s="20"/>
      <c r="D364" s="20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5"/>
    </row>
    <row r="365">
      <c r="A365" s="22"/>
      <c r="B365" s="11"/>
      <c r="C365" s="20"/>
      <c r="D365" s="20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5"/>
    </row>
    <row r="366">
      <c r="A366" s="22"/>
      <c r="B366" s="11"/>
      <c r="C366" s="20"/>
      <c r="D366" s="20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5"/>
    </row>
    <row r="367">
      <c r="A367" s="22"/>
      <c r="B367" s="11"/>
      <c r="C367" s="20"/>
      <c r="D367" s="20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5"/>
    </row>
    <row r="368">
      <c r="A368" s="22"/>
      <c r="B368" s="11"/>
      <c r="C368" s="20"/>
      <c r="D368" s="20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5"/>
    </row>
    <row r="369">
      <c r="A369" s="22"/>
      <c r="B369" s="11"/>
      <c r="C369" s="20"/>
      <c r="D369" s="20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5"/>
    </row>
    <row r="370">
      <c r="A370" s="22"/>
      <c r="B370" s="11"/>
      <c r="C370" s="20"/>
      <c r="D370" s="20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5"/>
    </row>
    <row r="371">
      <c r="A371" s="22"/>
      <c r="B371" s="11"/>
      <c r="C371" s="20"/>
      <c r="D371" s="20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5"/>
    </row>
    <row r="372">
      <c r="A372" s="22"/>
      <c r="B372" s="11"/>
      <c r="C372" s="20"/>
      <c r="D372" s="20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5"/>
    </row>
    <row r="373">
      <c r="A373" s="22"/>
      <c r="B373" s="11"/>
      <c r="C373" s="20"/>
      <c r="D373" s="20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5"/>
    </row>
    <row r="374">
      <c r="A374" s="22"/>
      <c r="B374" s="11"/>
      <c r="C374" s="20"/>
      <c r="D374" s="20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5"/>
    </row>
    <row r="375">
      <c r="A375" s="22"/>
      <c r="B375" s="11"/>
      <c r="C375" s="20"/>
      <c r="D375" s="20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5"/>
    </row>
    <row r="376">
      <c r="A376" s="22"/>
      <c r="B376" s="11"/>
      <c r="C376" s="20"/>
      <c r="D376" s="20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5"/>
    </row>
    <row r="377">
      <c r="A377" s="22"/>
      <c r="B377" s="11"/>
      <c r="C377" s="20"/>
      <c r="D377" s="20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5"/>
    </row>
    <row r="378">
      <c r="A378" s="22"/>
      <c r="B378" s="11"/>
      <c r="C378" s="20"/>
      <c r="D378" s="20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5"/>
    </row>
    <row r="379">
      <c r="A379" s="22"/>
      <c r="B379" s="11"/>
      <c r="C379" s="20"/>
      <c r="D379" s="20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5"/>
    </row>
    <row r="380">
      <c r="A380" s="22"/>
      <c r="B380" s="11"/>
      <c r="C380" s="20"/>
      <c r="D380" s="20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5"/>
    </row>
    <row r="381">
      <c r="A381" s="22"/>
      <c r="B381" s="11"/>
      <c r="C381" s="20"/>
      <c r="D381" s="20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5"/>
    </row>
    <row r="382">
      <c r="A382" s="54"/>
      <c r="B382" s="11"/>
      <c r="C382" s="20"/>
      <c r="D382" s="20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5"/>
    </row>
    <row r="383">
      <c r="A383" s="54"/>
      <c r="B383" s="11"/>
      <c r="C383" s="20"/>
      <c r="D383" s="20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5"/>
    </row>
    <row r="384">
      <c r="A384" s="54"/>
      <c r="B384" s="11"/>
      <c r="C384" s="20"/>
      <c r="D384" s="20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5"/>
    </row>
    <row r="385">
      <c r="A385" s="54"/>
      <c r="B385" s="11"/>
      <c r="C385" s="20"/>
      <c r="D385" s="20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5"/>
    </row>
    <row r="386">
      <c r="A386" s="54"/>
      <c r="B386" s="11"/>
      <c r="C386" s="20"/>
      <c r="D386" s="20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5"/>
    </row>
    <row r="387">
      <c r="A387" s="54"/>
      <c r="B387" s="11"/>
      <c r="C387" s="20"/>
      <c r="D387" s="20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5"/>
    </row>
    <row r="388">
      <c r="A388" s="54"/>
      <c r="B388" s="11"/>
      <c r="C388" s="20"/>
      <c r="D388" s="20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5"/>
    </row>
    <row r="389">
      <c r="A389" s="54"/>
      <c r="B389" s="11"/>
      <c r="C389" s="20"/>
      <c r="D389" s="20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5"/>
    </row>
    <row r="390">
      <c r="A390" s="54"/>
      <c r="B390" s="11"/>
      <c r="C390" s="20"/>
      <c r="D390" s="20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5"/>
    </row>
    <row r="391">
      <c r="A391" s="54"/>
      <c r="B391" s="11"/>
      <c r="C391" s="20"/>
      <c r="D391" s="20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5"/>
    </row>
    <row r="392">
      <c r="A392" s="54"/>
      <c r="B392" s="11"/>
      <c r="C392" s="20"/>
      <c r="D392" s="20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5"/>
    </row>
    <row r="393">
      <c r="A393" s="54"/>
      <c r="B393" s="11"/>
      <c r="C393" s="20"/>
      <c r="D393" s="20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5"/>
    </row>
    <row r="394">
      <c r="A394" s="54"/>
      <c r="B394" s="11"/>
      <c r="C394" s="20"/>
      <c r="D394" s="20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5"/>
    </row>
    <row r="395">
      <c r="A395" s="54"/>
      <c r="B395" s="11"/>
      <c r="C395" s="20"/>
      <c r="D395" s="20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5"/>
    </row>
    <row r="396">
      <c r="A396" s="54"/>
      <c r="B396" s="11"/>
      <c r="C396" s="20"/>
      <c r="D396" s="2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5"/>
    </row>
    <row r="397">
      <c r="A397" s="54"/>
      <c r="B397" s="11"/>
      <c r="C397" s="20"/>
      <c r="D397" s="20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5"/>
    </row>
    <row r="398">
      <c r="A398" s="54"/>
      <c r="B398" s="11"/>
      <c r="C398" s="20"/>
      <c r="D398" s="2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5"/>
    </row>
    <row r="399">
      <c r="A399" s="54"/>
      <c r="B399" s="11"/>
      <c r="C399" s="20"/>
      <c r="D399" s="20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5"/>
    </row>
    <row r="400">
      <c r="A400" s="22"/>
      <c r="B400" s="11"/>
      <c r="C400" s="20"/>
      <c r="D400" s="20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5"/>
    </row>
    <row r="401">
      <c r="A401" s="22"/>
      <c r="B401" s="11"/>
      <c r="C401" s="20"/>
      <c r="D401" s="20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5"/>
    </row>
    <row r="402">
      <c r="A402" s="22"/>
      <c r="B402" s="11"/>
      <c r="C402" s="20"/>
      <c r="D402" s="20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5"/>
    </row>
    <row r="403">
      <c r="A403" s="22"/>
      <c r="B403" s="11"/>
      <c r="C403" s="20"/>
      <c r="D403" s="20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5"/>
    </row>
    <row r="404">
      <c r="A404" s="22"/>
      <c r="B404" s="11"/>
      <c r="C404" s="20"/>
      <c r="D404" s="20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5"/>
    </row>
    <row r="405">
      <c r="A405" s="22"/>
      <c r="B405" s="11"/>
      <c r="C405" s="20"/>
      <c r="D405" s="20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5"/>
    </row>
    <row r="406">
      <c r="A406" s="22"/>
      <c r="B406" s="11"/>
      <c r="C406" s="20"/>
      <c r="D406" s="20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5"/>
    </row>
    <row r="407">
      <c r="A407" s="22"/>
      <c r="B407" s="11"/>
      <c r="C407" s="20"/>
      <c r="D407" s="20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5"/>
    </row>
    <row r="408">
      <c r="A408" s="22"/>
      <c r="B408" s="11"/>
      <c r="C408" s="20"/>
      <c r="D408" s="20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5"/>
    </row>
    <row r="409">
      <c r="A409" s="22"/>
      <c r="B409" s="11"/>
      <c r="C409" s="20"/>
      <c r="D409" s="20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5"/>
    </row>
    <row r="410">
      <c r="A410" s="22"/>
      <c r="B410" s="11"/>
      <c r="C410" s="20"/>
      <c r="D410" s="20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5"/>
    </row>
    <row r="411">
      <c r="A411" s="22"/>
      <c r="B411" s="11"/>
      <c r="C411" s="20"/>
      <c r="D411" s="20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5"/>
    </row>
    <row r="412">
      <c r="A412" s="22"/>
      <c r="B412" s="11"/>
      <c r="C412" s="20"/>
      <c r="D412" s="20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5"/>
    </row>
    <row r="413">
      <c r="A413" s="22"/>
      <c r="B413" s="11"/>
      <c r="C413" s="20"/>
      <c r="D413" s="20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5"/>
    </row>
    <row r="414">
      <c r="A414" s="22"/>
      <c r="B414" s="11"/>
      <c r="C414" s="20"/>
      <c r="D414" s="20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5"/>
    </row>
    <row r="415">
      <c r="A415" s="22"/>
      <c r="B415" s="11"/>
      <c r="C415" s="20"/>
      <c r="D415" s="20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5"/>
    </row>
    <row r="416">
      <c r="A416" s="22"/>
      <c r="B416" s="11"/>
      <c r="C416" s="20"/>
      <c r="D416" s="20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5"/>
    </row>
    <row r="417">
      <c r="A417" s="22"/>
      <c r="B417" s="11"/>
      <c r="C417" s="20"/>
      <c r="D417" s="20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5"/>
    </row>
    <row r="418">
      <c r="A418" s="22"/>
      <c r="B418" s="11"/>
      <c r="C418" s="20"/>
      <c r="D418" s="20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5"/>
    </row>
    <row r="419">
      <c r="A419" s="54"/>
      <c r="B419" s="11"/>
      <c r="C419" s="20"/>
      <c r="D419" s="20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5"/>
    </row>
    <row r="420">
      <c r="A420" s="54"/>
      <c r="B420" s="11"/>
      <c r="C420" s="20"/>
      <c r="D420" s="20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5"/>
    </row>
    <row r="421">
      <c r="A421" s="54"/>
      <c r="B421" s="11"/>
      <c r="C421" s="20"/>
      <c r="D421" s="20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5"/>
    </row>
    <row r="422">
      <c r="A422" s="54"/>
      <c r="B422" s="11"/>
      <c r="C422" s="20"/>
      <c r="D422" s="2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5"/>
    </row>
    <row r="423">
      <c r="A423" s="54"/>
      <c r="B423" s="11"/>
      <c r="C423" s="20"/>
      <c r="D423" s="20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5"/>
    </row>
    <row r="424">
      <c r="A424" s="54"/>
      <c r="B424" s="11"/>
      <c r="C424" s="20"/>
      <c r="D424" s="20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5"/>
    </row>
    <row r="425">
      <c r="A425" s="54"/>
      <c r="B425" s="11"/>
      <c r="C425" s="20"/>
      <c r="D425" s="20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5"/>
    </row>
    <row r="426">
      <c r="A426" s="54"/>
      <c r="B426" s="11"/>
      <c r="C426" s="20"/>
      <c r="D426" s="20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5"/>
    </row>
    <row r="427">
      <c r="A427" s="54"/>
      <c r="B427" s="11"/>
      <c r="C427" s="20"/>
      <c r="D427" s="20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5"/>
    </row>
    <row r="428">
      <c r="A428" s="54"/>
      <c r="B428" s="11"/>
      <c r="C428" s="20"/>
      <c r="D428" s="20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5"/>
    </row>
    <row r="429">
      <c r="A429" s="54"/>
      <c r="B429" s="11"/>
      <c r="C429" s="20"/>
      <c r="D429" s="20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5"/>
    </row>
    <row r="430">
      <c r="A430" s="54"/>
      <c r="B430" s="11"/>
      <c r="C430" s="20"/>
      <c r="D430" s="20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5"/>
    </row>
    <row r="431">
      <c r="A431" s="54"/>
      <c r="B431" s="11"/>
      <c r="C431" s="20"/>
      <c r="D431" s="20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5"/>
    </row>
    <row r="432">
      <c r="A432" s="54"/>
      <c r="B432" s="11"/>
      <c r="C432" s="20"/>
      <c r="D432" s="20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5"/>
    </row>
    <row r="433">
      <c r="A433" s="54"/>
      <c r="B433" s="11"/>
      <c r="C433" s="20"/>
      <c r="D433" s="20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5"/>
    </row>
    <row r="434">
      <c r="A434" s="54"/>
      <c r="B434" s="11"/>
      <c r="C434" s="20"/>
      <c r="D434" s="20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5"/>
    </row>
    <row r="435">
      <c r="A435" s="54"/>
      <c r="B435" s="11"/>
      <c r="C435" s="20"/>
      <c r="D435" s="20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5"/>
    </row>
    <row r="436">
      <c r="A436" s="54"/>
      <c r="B436" s="11"/>
      <c r="C436" s="20"/>
      <c r="D436" s="20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5"/>
    </row>
    <row r="437">
      <c r="A437" s="54"/>
      <c r="B437" s="11"/>
      <c r="C437" s="20"/>
      <c r="D437" s="20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5"/>
    </row>
    <row r="438">
      <c r="A438" s="54"/>
      <c r="B438" s="11"/>
      <c r="C438" s="20"/>
      <c r="D438" s="20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5"/>
    </row>
    <row r="439">
      <c r="A439" s="54"/>
      <c r="B439" s="11"/>
      <c r="C439" s="20"/>
      <c r="D439" s="20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5"/>
    </row>
    <row r="440">
      <c r="A440" s="54"/>
      <c r="B440" s="11"/>
      <c r="C440" s="20"/>
      <c r="D440" s="20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5"/>
    </row>
    <row r="441">
      <c r="A441" s="54"/>
      <c r="B441" s="11"/>
      <c r="C441" s="20"/>
      <c r="D441" s="20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5"/>
    </row>
    <row r="442">
      <c r="A442" s="54"/>
      <c r="B442" s="11"/>
      <c r="C442" s="20"/>
      <c r="D442" s="20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5"/>
    </row>
    <row r="443">
      <c r="A443" s="54"/>
      <c r="B443" s="11"/>
      <c r="C443" s="20"/>
      <c r="D443" s="20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5"/>
    </row>
    <row r="444">
      <c r="A444" s="54"/>
      <c r="B444" s="11"/>
      <c r="C444" s="20"/>
      <c r="D444" s="20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5"/>
    </row>
    <row r="445">
      <c r="A445" s="54"/>
      <c r="B445" s="11"/>
      <c r="C445" s="20"/>
      <c r="D445" s="20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5"/>
    </row>
    <row r="446">
      <c r="A446" s="22"/>
      <c r="B446" s="11"/>
      <c r="C446" s="20"/>
      <c r="D446" s="20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5"/>
    </row>
    <row r="447">
      <c r="A447" s="22"/>
      <c r="B447" s="11"/>
      <c r="C447" s="20"/>
      <c r="D447" s="20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5"/>
    </row>
    <row r="448">
      <c r="A448" s="22"/>
      <c r="B448" s="11"/>
      <c r="C448" s="20"/>
      <c r="D448" s="20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5"/>
    </row>
    <row r="449">
      <c r="A449" s="22"/>
      <c r="B449" s="11"/>
      <c r="C449" s="20"/>
      <c r="D449" s="20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5"/>
    </row>
    <row r="450">
      <c r="A450" s="22"/>
      <c r="B450" s="11"/>
      <c r="C450" s="20"/>
      <c r="D450" s="20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5"/>
    </row>
    <row r="451">
      <c r="A451" s="22"/>
      <c r="B451" s="11"/>
      <c r="C451" s="20"/>
      <c r="D451" s="20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5"/>
    </row>
    <row r="452">
      <c r="A452" s="22"/>
      <c r="B452" s="11"/>
      <c r="C452" s="20"/>
      <c r="D452" s="20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5"/>
    </row>
    <row r="453">
      <c r="A453" s="22"/>
      <c r="B453" s="11"/>
      <c r="C453" s="20"/>
      <c r="D453" s="20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5"/>
    </row>
    <row r="454">
      <c r="A454" s="22"/>
      <c r="B454" s="11"/>
      <c r="C454" s="20"/>
      <c r="D454" s="20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5"/>
    </row>
    <row r="455">
      <c r="A455" s="22"/>
      <c r="B455" s="11"/>
      <c r="C455" s="20"/>
      <c r="D455" s="20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5"/>
    </row>
    <row r="456">
      <c r="A456" s="22"/>
      <c r="B456" s="11"/>
      <c r="C456" s="20"/>
      <c r="D456" s="20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5"/>
    </row>
    <row r="457">
      <c r="A457" s="22"/>
      <c r="B457" s="11"/>
      <c r="C457" s="20"/>
      <c r="D457" s="20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5"/>
    </row>
    <row r="458">
      <c r="A458" s="22"/>
      <c r="B458" s="11"/>
      <c r="C458" s="20"/>
      <c r="D458" s="20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5"/>
    </row>
    <row r="459">
      <c r="A459" s="22"/>
      <c r="B459" s="11"/>
      <c r="C459" s="20"/>
      <c r="D459" s="20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5"/>
    </row>
    <row r="460">
      <c r="A460" s="22"/>
      <c r="B460" s="11"/>
      <c r="C460" s="20"/>
      <c r="D460" s="20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5"/>
    </row>
    <row r="461">
      <c r="A461" s="22"/>
      <c r="B461" s="11"/>
      <c r="C461" s="20"/>
      <c r="D461" s="20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5"/>
    </row>
    <row r="462">
      <c r="A462" s="22"/>
      <c r="B462" s="11"/>
      <c r="C462" s="20"/>
      <c r="D462" s="20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5"/>
    </row>
    <row r="463">
      <c r="A463" s="22"/>
      <c r="B463" s="11"/>
      <c r="C463" s="20"/>
      <c r="D463" s="20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5"/>
    </row>
    <row r="464">
      <c r="A464" s="22"/>
      <c r="B464" s="11"/>
      <c r="C464" s="20"/>
      <c r="D464" s="20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5"/>
    </row>
    <row r="465">
      <c r="A465" s="54"/>
      <c r="B465" s="11"/>
      <c r="C465" s="20"/>
      <c r="D465" s="20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5"/>
    </row>
    <row r="466">
      <c r="A466" s="54"/>
      <c r="B466" s="11"/>
      <c r="C466" s="20"/>
      <c r="D466" s="20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5"/>
    </row>
    <row r="467">
      <c r="A467" s="54"/>
      <c r="B467" s="11"/>
      <c r="C467" s="20"/>
      <c r="D467" s="20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5"/>
    </row>
    <row r="468">
      <c r="A468" s="54"/>
      <c r="B468" s="11"/>
      <c r="C468" s="20"/>
      <c r="D468" s="20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5"/>
    </row>
    <row r="469">
      <c r="A469" s="54"/>
      <c r="B469" s="11"/>
      <c r="C469" s="20"/>
      <c r="D469" s="20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5"/>
    </row>
    <row r="470">
      <c r="A470" s="54"/>
      <c r="B470" s="11"/>
      <c r="C470" s="20"/>
      <c r="D470" s="20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5"/>
    </row>
    <row r="471">
      <c r="A471" s="54"/>
      <c r="B471" s="11"/>
      <c r="C471" s="20"/>
      <c r="D471" s="20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5"/>
    </row>
    <row r="472">
      <c r="A472" s="54"/>
      <c r="B472" s="11"/>
      <c r="C472" s="20"/>
      <c r="D472" s="20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5"/>
    </row>
    <row r="473">
      <c r="A473" s="54"/>
      <c r="B473" s="11"/>
      <c r="C473" s="20"/>
      <c r="D473" s="20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5"/>
    </row>
    <row r="474">
      <c r="A474" s="54"/>
      <c r="B474" s="11"/>
      <c r="C474" s="20"/>
      <c r="D474" s="20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5"/>
    </row>
    <row r="475">
      <c r="A475" s="54"/>
      <c r="B475" s="11"/>
      <c r="C475" s="20"/>
      <c r="D475" s="20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5"/>
    </row>
    <row r="476">
      <c r="A476" s="54"/>
      <c r="B476" s="11"/>
      <c r="C476" s="20"/>
      <c r="D476" s="20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5"/>
    </row>
    <row r="477">
      <c r="A477" s="54"/>
      <c r="B477" s="11"/>
      <c r="C477" s="20"/>
      <c r="D477" s="20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5"/>
    </row>
    <row r="478">
      <c r="A478" s="54"/>
      <c r="B478" s="11"/>
      <c r="C478" s="20"/>
      <c r="D478" s="20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5"/>
    </row>
    <row r="479">
      <c r="A479" s="54"/>
      <c r="B479" s="11"/>
      <c r="C479" s="20"/>
      <c r="D479" s="20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5"/>
    </row>
    <row r="480">
      <c r="A480" s="54"/>
      <c r="B480" s="11"/>
      <c r="C480" s="20"/>
      <c r="D480" s="20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5"/>
    </row>
    <row r="481">
      <c r="A481" s="54"/>
      <c r="B481" s="11"/>
      <c r="C481" s="20"/>
      <c r="D481" s="20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5"/>
    </row>
    <row r="482">
      <c r="A482" s="54"/>
      <c r="B482" s="11"/>
      <c r="C482" s="20"/>
      <c r="D482" s="20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5"/>
    </row>
    <row r="483">
      <c r="A483" s="22"/>
      <c r="B483" s="11"/>
      <c r="C483" s="20"/>
      <c r="D483" s="20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5"/>
    </row>
    <row r="484">
      <c r="A484" s="22"/>
      <c r="B484" s="11"/>
      <c r="C484" s="20"/>
      <c r="D484" s="20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5"/>
    </row>
    <row r="485">
      <c r="A485" s="22"/>
      <c r="B485" s="11"/>
      <c r="C485" s="20"/>
      <c r="D485" s="20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5"/>
    </row>
    <row r="486">
      <c r="A486" s="22"/>
      <c r="B486" s="11"/>
      <c r="C486" s="20"/>
      <c r="D486" s="20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5"/>
    </row>
    <row r="487">
      <c r="A487" s="22"/>
      <c r="B487" s="11"/>
      <c r="C487" s="20"/>
      <c r="D487" s="20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5"/>
    </row>
    <row r="488">
      <c r="A488" s="22"/>
      <c r="B488" s="11"/>
      <c r="C488" s="20"/>
      <c r="D488" s="20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5"/>
    </row>
    <row r="489">
      <c r="A489" s="22"/>
      <c r="B489" s="11"/>
      <c r="C489" s="20"/>
      <c r="D489" s="20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5"/>
    </row>
    <row r="490">
      <c r="A490" s="22"/>
      <c r="B490" s="11"/>
      <c r="C490" s="20"/>
      <c r="D490" s="20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5"/>
    </row>
    <row r="491">
      <c r="A491" s="22"/>
      <c r="B491" s="11"/>
      <c r="C491" s="20"/>
      <c r="D491" s="20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5"/>
    </row>
    <row r="492">
      <c r="A492" s="22"/>
      <c r="B492" s="11"/>
      <c r="C492" s="20"/>
      <c r="D492" s="20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5"/>
    </row>
    <row r="493">
      <c r="A493" s="22"/>
      <c r="B493" s="11"/>
      <c r="C493" s="20"/>
      <c r="D493" s="20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5"/>
    </row>
    <row r="494">
      <c r="A494" s="22"/>
      <c r="B494" s="11"/>
      <c r="C494" s="20"/>
      <c r="D494" s="20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5"/>
    </row>
    <row r="495">
      <c r="A495" s="22"/>
      <c r="B495" s="11"/>
      <c r="C495" s="20"/>
      <c r="D495" s="20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5"/>
    </row>
    <row r="496">
      <c r="A496" s="22"/>
      <c r="B496" s="11"/>
      <c r="C496" s="20"/>
      <c r="D496" s="20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5"/>
    </row>
    <row r="497">
      <c r="A497" s="22"/>
      <c r="B497" s="11"/>
      <c r="C497" s="20"/>
      <c r="D497" s="20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5"/>
    </row>
    <row r="498">
      <c r="A498" s="22"/>
      <c r="B498" s="11"/>
      <c r="C498" s="20"/>
      <c r="D498" s="20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5"/>
    </row>
    <row r="499">
      <c r="A499" s="22"/>
      <c r="B499" s="11"/>
      <c r="C499" s="20"/>
      <c r="D499" s="20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5"/>
    </row>
    <row r="500">
      <c r="A500" s="22"/>
      <c r="B500" s="11"/>
      <c r="C500" s="20"/>
      <c r="D500" s="20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5"/>
    </row>
    <row r="501">
      <c r="A501" s="22"/>
      <c r="B501" s="11"/>
      <c r="C501" s="20"/>
      <c r="D501" s="20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5"/>
    </row>
    <row r="502">
      <c r="A502" s="54"/>
      <c r="B502" s="11"/>
      <c r="C502" s="20"/>
      <c r="D502" s="20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5"/>
    </row>
    <row r="503">
      <c r="A503" s="54"/>
      <c r="B503" s="11"/>
      <c r="C503" s="20"/>
      <c r="D503" s="20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5"/>
    </row>
    <row r="504">
      <c r="A504" s="54"/>
      <c r="B504" s="11"/>
      <c r="C504" s="20"/>
      <c r="D504" s="20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5"/>
    </row>
    <row r="505">
      <c r="A505" s="54"/>
      <c r="B505" s="11"/>
      <c r="C505" s="20"/>
      <c r="D505" s="20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5"/>
    </row>
    <row r="506">
      <c r="A506" s="54"/>
      <c r="B506" s="11"/>
      <c r="C506" s="20"/>
      <c r="D506" s="20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5"/>
    </row>
    <row r="507">
      <c r="A507" s="54"/>
      <c r="B507" s="11"/>
      <c r="C507" s="20"/>
      <c r="D507" s="20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5"/>
    </row>
    <row r="508">
      <c r="A508" s="54"/>
      <c r="B508" s="11"/>
      <c r="C508" s="20"/>
      <c r="D508" s="20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5"/>
    </row>
    <row r="509">
      <c r="A509" s="54"/>
      <c r="B509" s="11"/>
      <c r="C509" s="20"/>
      <c r="D509" s="20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5"/>
    </row>
    <row r="510">
      <c r="A510" s="54"/>
      <c r="B510" s="11"/>
      <c r="C510" s="20"/>
      <c r="D510" s="20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5"/>
    </row>
    <row r="511">
      <c r="A511" s="54"/>
      <c r="B511" s="11"/>
      <c r="C511" s="20"/>
      <c r="D511" s="20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5"/>
    </row>
    <row r="512">
      <c r="A512" s="54"/>
      <c r="B512" s="11"/>
      <c r="C512" s="20"/>
      <c r="D512" s="20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5"/>
    </row>
    <row r="513">
      <c r="A513" s="54"/>
      <c r="B513" s="11"/>
      <c r="C513" s="20"/>
      <c r="D513" s="20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5"/>
    </row>
    <row r="514">
      <c r="A514" s="54"/>
      <c r="B514" s="11"/>
      <c r="C514" s="20"/>
      <c r="D514" s="20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5"/>
    </row>
    <row r="515">
      <c r="A515" s="54"/>
      <c r="B515" s="11"/>
      <c r="C515" s="20"/>
      <c r="D515" s="20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5"/>
    </row>
    <row r="516">
      <c r="A516" s="54"/>
      <c r="B516" s="11"/>
      <c r="C516" s="20"/>
      <c r="D516" s="20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5"/>
    </row>
    <row r="517">
      <c r="A517" s="54"/>
      <c r="B517" s="11"/>
      <c r="C517" s="20"/>
      <c r="D517" s="20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5"/>
    </row>
    <row r="518">
      <c r="A518" s="54"/>
      <c r="B518" s="11"/>
      <c r="C518" s="20"/>
      <c r="D518" s="20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5"/>
    </row>
    <row r="519">
      <c r="A519" s="54"/>
      <c r="B519" s="11"/>
      <c r="C519" s="20"/>
      <c r="D519" s="20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5"/>
    </row>
    <row r="520">
      <c r="A520" s="54"/>
      <c r="B520" s="11"/>
      <c r="C520" s="20"/>
      <c r="D520" s="20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5"/>
    </row>
    <row r="521">
      <c r="A521" s="54"/>
      <c r="B521" s="11"/>
      <c r="C521" s="20"/>
      <c r="D521" s="20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5"/>
    </row>
    <row r="522">
      <c r="A522" s="54"/>
      <c r="B522" s="11"/>
      <c r="C522" s="20"/>
      <c r="D522" s="20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5"/>
    </row>
    <row r="523">
      <c r="A523" s="54"/>
      <c r="B523" s="11"/>
      <c r="C523" s="20"/>
      <c r="D523" s="20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5"/>
    </row>
    <row r="524">
      <c r="A524" s="54"/>
      <c r="B524" s="11"/>
      <c r="C524" s="20"/>
      <c r="D524" s="20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5"/>
    </row>
    <row r="525">
      <c r="A525" s="54"/>
      <c r="B525" s="11"/>
      <c r="C525" s="20"/>
      <c r="D525" s="20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5"/>
    </row>
    <row r="526">
      <c r="A526" s="54"/>
      <c r="B526" s="11"/>
      <c r="C526" s="20"/>
      <c r="D526" s="20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5"/>
    </row>
    <row r="527">
      <c r="A527" s="54"/>
      <c r="B527" s="11"/>
      <c r="C527" s="20"/>
      <c r="D527" s="20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5"/>
    </row>
    <row r="528">
      <c r="A528" s="54"/>
      <c r="B528" s="11"/>
      <c r="C528" s="20"/>
      <c r="D528" s="20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5"/>
    </row>
    <row r="529">
      <c r="A529" s="22"/>
      <c r="B529" s="11"/>
      <c r="C529" s="20"/>
      <c r="D529" s="20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5"/>
    </row>
    <row r="530">
      <c r="A530" s="22"/>
      <c r="B530" s="11"/>
      <c r="C530" s="20"/>
      <c r="D530" s="20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5"/>
    </row>
    <row r="531">
      <c r="A531" s="22"/>
      <c r="B531" s="11"/>
      <c r="C531" s="20"/>
      <c r="D531" s="20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5"/>
    </row>
    <row r="532">
      <c r="A532" s="22"/>
      <c r="B532" s="11"/>
      <c r="C532" s="20"/>
      <c r="D532" s="20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5"/>
    </row>
    <row r="533">
      <c r="A533" s="22"/>
      <c r="B533" s="11"/>
      <c r="C533" s="20"/>
      <c r="D533" s="20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5"/>
    </row>
    <row r="534">
      <c r="A534" s="22"/>
      <c r="B534" s="11"/>
      <c r="C534" s="20"/>
      <c r="D534" s="20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5"/>
    </row>
    <row r="535">
      <c r="A535" s="22"/>
      <c r="B535" s="11"/>
      <c r="C535" s="20"/>
      <c r="D535" s="20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5"/>
    </row>
    <row r="536">
      <c r="A536" s="22"/>
      <c r="B536" s="11"/>
      <c r="C536" s="20"/>
      <c r="D536" s="20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5"/>
    </row>
    <row r="537">
      <c r="A537" s="22"/>
      <c r="B537" s="11"/>
      <c r="C537" s="20"/>
      <c r="D537" s="20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5"/>
    </row>
    <row r="538">
      <c r="A538" s="22"/>
      <c r="B538" s="11"/>
      <c r="C538" s="20"/>
      <c r="D538" s="20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5"/>
    </row>
    <row r="539">
      <c r="A539" s="22"/>
      <c r="B539" s="11"/>
      <c r="C539" s="20"/>
      <c r="D539" s="20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5"/>
    </row>
    <row r="540">
      <c r="A540" s="22"/>
      <c r="B540" s="11"/>
      <c r="C540" s="20"/>
      <c r="D540" s="20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5"/>
    </row>
    <row r="541">
      <c r="A541" s="22"/>
      <c r="B541" s="11"/>
      <c r="C541" s="20"/>
      <c r="D541" s="20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5"/>
    </row>
    <row r="542">
      <c r="A542" s="22"/>
      <c r="B542" s="11"/>
      <c r="C542" s="20"/>
      <c r="D542" s="20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5"/>
    </row>
    <row r="543">
      <c r="A543" s="22"/>
      <c r="B543" s="11"/>
      <c r="C543" s="20"/>
      <c r="D543" s="20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5"/>
    </row>
    <row r="544">
      <c r="A544" s="22"/>
      <c r="B544" s="11"/>
      <c r="C544" s="20"/>
      <c r="D544" s="20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5"/>
    </row>
    <row r="545">
      <c r="A545" s="22"/>
      <c r="B545" s="11"/>
      <c r="C545" s="20"/>
      <c r="D545" s="20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5"/>
    </row>
    <row r="546">
      <c r="A546" s="22"/>
      <c r="B546" s="11"/>
      <c r="C546" s="20"/>
      <c r="D546" s="20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5"/>
    </row>
    <row r="547">
      <c r="A547" s="22"/>
      <c r="B547" s="11"/>
      <c r="C547" s="20"/>
      <c r="D547" s="20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5"/>
    </row>
    <row r="548">
      <c r="A548" s="54"/>
      <c r="B548" s="11"/>
      <c r="C548" s="20"/>
      <c r="D548" s="20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5"/>
    </row>
    <row r="549">
      <c r="A549" s="54"/>
      <c r="B549" s="11"/>
      <c r="C549" s="20"/>
      <c r="D549" s="20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5"/>
    </row>
    <row r="550">
      <c r="A550" s="54"/>
      <c r="B550" s="11"/>
      <c r="C550" s="20"/>
      <c r="D550" s="20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5"/>
    </row>
    <row r="551">
      <c r="A551" s="54"/>
      <c r="B551" s="11"/>
      <c r="C551" s="20"/>
      <c r="D551" s="20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5"/>
    </row>
    <row r="552">
      <c r="A552" s="54"/>
      <c r="B552" s="11"/>
      <c r="C552" s="20"/>
      <c r="D552" s="20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5"/>
    </row>
    <row r="553">
      <c r="A553" s="54"/>
      <c r="B553" s="11"/>
      <c r="C553" s="20"/>
      <c r="D553" s="20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5"/>
    </row>
    <row r="554">
      <c r="A554" s="54"/>
      <c r="B554" s="11"/>
      <c r="C554" s="20"/>
      <c r="D554" s="20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5"/>
    </row>
    <row r="555">
      <c r="A555" s="54"/>
      <c r="B555" s="11"/>
      <c r="C555" s="20"/>
      <c r="D555" s="20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5"/>
    </row>
    <row r="556">
      <c r="A556" s="54"/>
      <c r="B556" s="11"/>
      <c r="C556" s="20"/>
      <c r="D556" s="20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5"/>
    </row>
    <row r="557">
      <c r="A557" s="54"/>
      <c r="B557" s="11"/>
      <c r="C557" s="20"/>
      <c r="D557" s="20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5"/>
    </row>
    <row r="558">
      <c r="A558" s="54"/>
      <c r="B558" s="11"/>
      <c r="C558" s="20"/>
      <c r="D558" s="20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5"/>
    </row>
    <row r="559">
      <c r="A559" s="54"/>
      <c r="B559" s="11"/>
      <c r="C559" s="20"/>
      <c r="D559" s="20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5"/>
    </row>
    <row r="560">
      <c r="A560" s="54"/>
      <c r="B560" s="11"/>
      <c r="C560" s="20"/>
      <c r="D560" s="20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5"/>
    </row>
    <row r="561">
      <c r="A561" s="54"/>
      <c r="B561" s="11"/>
      <c r="C561" s="20"/>
      <c r="D561" s="20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5"/>
    </row>
    <row r="562">
      <c r="A562" s="54"/>
      <c r="B562" s="11"/>
      <c r="C562" s="20"/>
      <c r="D562" s="20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5"/>
    </row>
    <row r="563">
      <c r="A563" s="54"/>
      <c r="B563" s="11"/>
      <c r="C563" s="20"/>
      <c r="D563" s="20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5"/>
    </row>
    <row r="564">
      <c r="A564" s="54"/>
      <c r="B564" s="11"/>
      <c r="C564" s="20"/>
      <c r="D564" s="20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5"/>
    </row>
    <row r="565">
      <c r="A565" s="54"/>
      <c r="B565" s="11"/>
      <c r="C565" s="20"/>
      <c r="D565" s="20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5"/>
    </row>
    <row r="566">
      <c r="A566" s="22"/>
      <c r="B566" s="11"/>
      <c r="C566" s="20"/>
      <c r="D566" s="20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5"/>
    </row>
    <row r="567">
      <c r="A567" s="22"/>
      <c r="B567" s="11"/>
      <c r="C567" s="20"/>
      <c r="D567" s="20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5"/>
    </row>
    <row r="568">
      <c r="A568" s="22"/>
      <c r="B568" s="11"/>
      <c r="C568" s="20"/>
      <c r="D568" s="20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5"/>
    </row>
    <row r="569">
      <c r="A569" s="22"/>
      <c r="B569" s="11"/>
      <c r="C569" s="20"/>
      <c r="D569" s="20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5"/>
    </row>
    <row r="570">
      <c r="A570" s="22"/>
      <c r="B570" s="11"/>
      <c r="C570" s="20"/>
      <c r="D570" s="20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5"/>
    </row>
    <row r="571">
      <c r="A571" s="22"/>
      <c r="B571" s="11"/>
      <c r="C571" s="20"/>
      <c r="D571" s="20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5"/>
    </row>
    <row r="572">
      <c r="A572" s="22"/>
      <c r="B572" s="11"/>
      <c r="C572" s="20"/>
      <c r="D572" s="20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5"/>
    </row>
    <row r="573">
      <c r="A573" s="22"/>
      <c r="B573" s="11"/>
      <c r="C573" s="20"/>
      <c r="D573" s="20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5"/>
    </row>
    <row r="574">
      <c r="A574" s="22"/>
      <c r="B574" s="11"/>
      <c r="C574" s="20"/>
      <c r="D574" s="20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5"/>
    </row>
    <row r="575">
      <c r="A575" s="22"/>
      <c r="B575" s="11"/>
      <c r="C575" s="20"/>
      <c r="D575" s="20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5"/>
    </row>
    <row r="576">
      <c r="A576" s="22"/>
      <c r="B576" s="11"/>
      <c r="C576" s="20"/>
      <c r="D576" s="20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5"/>
    </row>
    <row r="577">
      <c r="A577" s="22"/>
      <c r="B577" s="11"/>
      <c r="C577" s="20"/>
      <c r="D577" s="20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5"/>
    </row>
    <row r="578">
      <c r="A578" s="22"/>
      <c r="B578" s="11"/>
      <c r="C578" s="20"/>
      <c r="D578" s="20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5"/>
    </row>
    <row r="579">
      <c r="A579" s="22"/>
      <c r="B579" s="11"/>
      <c r="C579" s="20"/>
      <c r="D579" s="20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5"/>
    </row>
    <row r="580">
      <c r="A580" s="22"/>
      <c r="B580" s="11"/>
      <c r="C580" s="20"/>
      <c r="D580" s="20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5"/>
    </row>
    <row r="581">
      <c r="A581" s="22"/>
      <c r="B581" s="11"/>
      <c r="C581" s="20"/>
      <c r="D581" s="20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5"/>
    </row>
    <row r="582">
      <c r="A582" s="22"/>
      <c r="B582" s="11"/>
      <c r="C582" s="20"/>
      <c r="D582" s="20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5"/>
    </row>
    <row r="583">
      <c r="A583" s="22"/>
      <c r="B583" s="11"/>
      <c r="C583" s="20"/>
      <c r="D583" s="20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5"/>
    </row>
    <row r="584">
      <c r="A584" s="22"/>
      <c r="B584" s="11"/>
      <c r="C584" s="20"/>
      <c r="D584" s="20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5"/>
    </row>
    <row r="585">
      <c r="A585" s="54"/>
      <c r="B585" s="11"/>
      <c r="C585" s="20"/>
      <c r="D585" s="20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5"/>
    </row>
    <row r="586">
      <c r="A586" s="54"/>
      <c r="B586" s="11"/>
      <c r="C586" s="20"/>
      <c r="D586" s="20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5"/>
    </row>
    <row r="587">
      <c r="A587" s="54"/>
      <c r="B587" s="11"/>
      <c r="C587" s="20"/>
      <c r="D587" s="20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5"/>
    </row>
    <row r="588">
      <c r="A588" s="54"/>
      <c r="B588" s="11"/>
      <c r="C588" s="20"/>
      <c r="D588" s="20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5"/>
    </row>
    <row r="589">
      <c r="A589" s="54"/>
      <c r="B589" s="11"/>
      <c r="C589" s="20"/>
      <c r="D589" s="20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5"/>
    </row>
    <row r="590">
      <c r="A590" s="54"/>
      <c r="B590" s="11"/>
      <c r="C590" s="20"/>
      <c r="D590" s="20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5"/>
    </row>
    <row r="591">
      <c r="A591" s="54"/>
      <c r="B591" s="11"/>
      <c r="C591" s="20"/>
      <c r="D591" s="20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5"/>
    </row>
    <row r="592">
      <c r="A592" s="54"/>
      <c r="B592" s="11"/>
      <c r="C592" s="20"/>
      <c r="D592" s="20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5"/>
    </row>
    <row r="593">
      <c r="A593" s="54"/>
      <c r="B593" s="11"/>
      <c r="C593" s="20"/>
      <c r="D593" s="20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5"/>
    </row>
    <row r="594">
      <c r="A594" s="54"/>
      <c r="B594" s="11"/>
      <c r="C594" s="20"/>
      <c r="D594" s="20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5"/>
    </row>
    <row r="595">
      <c r="A595" s="54"/>
      <c r="B595" s="11"/>
      <c r="C595" s="20"/>
      <c r="D595" s="20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5"/>
    </row>
    <row r="596">
      <c r="A596" s="54"/>
      <c r="B596" s="11"/>
      <c r="C596" s="20"/>
      <c r="D596" s="20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5"/>
    </row>
    <row r="597">
      <c r="A597" s="54"/>
      <c r="B597" s="11"/>
      <c r="C597" s="20"/>
      <c r="D597" s="20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5"/>
    </row>
    <row r="598">
      <c r="A598" s="54"/>
      <c r="B598" s="11"/>
      <c r="C598" s="20"/>
      <c r="D598" s="20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5"/>
    </row>
    <row r="599">
      <c r="A599" s="54"/>
      <c r="B599" s="11"/>
      <c r="C599" s="20"/>
      <c r="D599" s="20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5"/>
    </row>
    <row r="600">
      <c r="A600" s="54"/>
      <c r="B600" s="11"/>
      <c r="C600" s="20"/>
      <c r="D600" s="20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5"/>
    </row>
    <row r="601">
      <c r="A601" s="54"/>
      <c r="B601" s="11"/>
      <c r="C601" s="20"/>
      <c r="D601" s="20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5"/>
    </row>
    <row r="602">
      <c r="A602" s="54"/>
      <c r="B602" s="11"/>
      <c r="C602" s="20"/>
      <c r="D602" s="20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5"/>
    </row>
    <row r="603">
      <c r="A603" s="54"/>
      <c r="B603" s="11"/>
      <c r="C603" s="20"/>
      <c r="D603" s="20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5"/>
    </row>
    <row r="604">
      <c r="A604" s="54"/>
      <c r="B604" s="11"/>
      <c r="C604" s="20"/>
      <c r="D604" s="20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5"/>
    </row>
    <row r="605">
      <c r="A605" s="54"/>
      <c r="B605" s="11"/>
      <c r="C605" s="20"/>
      <c r="D605" s="20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5"/>
    </row>
    <row r="606">
      <c r="A606" s="54"/>
      <c r="B606" s="11"/>
      <c r="C606" s="20"/>
      <c r="D606" s="20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5"/>
    </row>
    <row r="607">
      <c r="A607" s="54"/>
      <c r="B607" s="11"/>
      <c r="C607" s="20"/>
      <c r="D607" s="20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5"/>
    </row>
    <row r="608">
      <c r="A608" s="54"/>
      <c r="B608" s="11"/>
      <c r="C608" s="20"/>
      <c r="D608" s="20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5"/>
    </row>
    <row r="609">
      <c r="A609" s="54"/>
      <c r="B609" s="11"/>
      <c r="C609" s="20"/>
      <c r="D609" s="20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5"/>
    </row>
    <row r="610">
      <c r="A610" s="54"/>
      <c r="B610" s="11"/>
      <c r="C610" s="20"/>
      <c r="D610" s="20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5"/>
    </row>
    <row r="611">
      <c r="A611" s="54"/>
      <c r="B611" s="11"/>
      <c r="C611" s="20"/>
      <c r="D611" s="20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5"/>
    </row>
    <row r="612">
      <c r="A612" s="22"/>
      <c r="B612" s="11"/>
      <c r="C612" s="20"/>
      <c r="D612" s="20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5"/>
    </row>
    <row r="613">
      <c r="A613" s="22"/>
      <c r="B613" s="11"/>
      <c r="C613" s="20"/>
      <c r="D613" s="20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5"/>
    </row>
    <row r="614">
      <c r="A614" s="22"/>
      <c r="B614" s="11"/>
      <c r="C614" s="20"/>
      <c r="D614" s="20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5"/>
    </row>
    <row r="615">
      <c r="A615" s="22"/>
      <c r="B615" s="11"/>
      <c r="C615" s="20"/>
      <c r="D615" s="20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5"/>
    </row>
    <row r="616">
      <c r="A616" s="22"/>
      <c r="B616" s="11"/>
      <c r="C616" s="20"/>
      <c r="D616" s="20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5"/>
    </row>
    <row r="617">
      <c r="A617" s="22"/>
      <c r="B617" s="11"/>
      <c r="C617" s="20"/>
      <c r="D617" s="20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5"/>
    </row>
    <row r="618">
      <c r="A618" s="22"/>
      <c r="B618" s="11"/>
      <c r="C618" s="20"/>
      <c r="D618" s="20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5"/>
    </row>
    <row r="619">
      <c r="A619" s="22"/>
      <c r="B619" s="11"/>
      <c r="C619" s="20"/>
      <c r="D619" s="20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5"/>
    </row>
    <row r="620">
      <c r="A620" s="22"/>
      <c r="B620" s="11"/>
      <c r="C620" s="20"/>
      <c r="D620" s="20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5"/>
    </row>
    <row r="621">
      <c r="A621" s="22"/>
      <c r="B621" s="11"/>
      <c r="C621" s="20"/>
      <c r="D621" s="20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5"/>
    </row>
    <row r="622">
      <c r="A622" s="22"/>
      <c r="B622" s="11"/>
      <c r="C622" s="20"/>
      <c r="D622" s="20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5"/>
    </row>
    <row r="623">
      <c r="A623" s="22"/>
      <c r="B623" s="11"/>
      <c r="C623" s="20"/>
      <c r="D623" s="20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5"/>
    </row>
    <row r="624">
      <c r="A624" s="22"/>
      <c r="B624" s="11"/>
      <c r="C624" s="20"/>
      <c r="D624" s="20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5"/>
    </row>
    <row r="625">
      <c r="A625" s="22"/>
      <c r="B625" s="11"/>
      <c r="C625" s="20"/>
      <c r="D625" s="20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5"/>
    </row>
    <row r="626">
      <c r="A626" s="22"/>
      <c r="B626" s="11"/>
      <c r="C626" s="20"/>
      <c r="D626" s="20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5"/>
    </row>
    <row r="627">
      <c r="A627" s="22"/>
      <c r="B627" s="11"/>
      <c r="C627" s="20"/>
      <c r="D627" s="20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5"/>
    </row>
    <row r="628">
      <c r="A628" s="22"/>
      <c r="B628" s="11"/>
      <c r="C628" s="20"/>
      <c r="D628" s="20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5"/>
    </row>
    <row r="629">
      <c r="A629" s="22"/>
      <c r="B629" s="11"/>
      <c r="C629" s="20"/>
      <c r="D629" s="20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5"/>
    </row>
    <row r="630">
      <c r="A630" s="22"/>
      <c r="B630" s="11"/>
      <c r="C630" s="20"/>
      <c r="D630" s="20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5"/>
    </row>
    <row r="631">
      <c r="A631" s="54"/>
      <c r="B631" s="11"/>
      <c r="C631" s="20"/>
      <c r="D631" s="20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5"/>
    </row>
    <row r="632">
      <c r="A632" s="54"/>
      <c r="B632" s="11"/>
      <c r="C632" s="20"/>
      <c r="D632" s="20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5"/>
    </row>
    <row r="633">
      <c r="A633" s="54"/>
      <c r="B633" s="11"/>
      <c r="C633" s="20"/>
      <c r="D633" s="20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5"/>
    </row>
    <row r="634">
      <c r="A634" s="54"/>
      <c r="B634" s="11"/>
      <c r="C634" s="20"/>
      <c r="D634" s="20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5"/>
    </row>
    <row r="635">
      <c r="A635" s="54"/>
      <c r="B635" s="11"/>
      <c r="C635" s="20"/>
      <c r="D635" s="20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5"/>
    </row>
    <row r="636">
      <c r="A636" s="54"/>
      <c r="B636" s="11"/>
      <c r="C636" s="20"/>
      <c r="D636" s="20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5"/>
    </row>
    <row r="637">
      <c r="A637" s="54"/>
      <c r="B637" s="11"/>
      <c r="C637" s="20"/>
      <c r="D637" s="20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5"/>
    </row>
    <row r="638">
      <c r="A638" s="54"/>
      <c r="B638" s="11"/>
      <c r="C638" s="20"/>
      <c r="D638" s="20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5"/>
    </row>
    <row r="639">
      <c r="A639" s="54"/>
      <c r="B639" s="11"/>
      <c r="C639" s="20"/>
      <c r="D639" s="20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5"/>
    </row>
    <row r="640">
      <c r="A640" s="54"/>
      <c r="B640" s="11"/>
      <c r="C640" s="20"/>
      <c r="D640" s="20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5"/>
    </row>
    <row r="641">
      <c r="A641" s="54"/>
      <c r="B641" s="11"/>
      <c r="C641" s="20"/>
      <c r="D641" s="20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5"/>
    </row>
    <row r="642">
      <c r="A642" s="54"/>
      <c r="B642" s="11"/>
      <c r="C642" s="20"/>
      <c r="D642" s="20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5"/>
    </row>
    <row r="643">
      <c r="A643" s="54"/>
      <c r="B643" s="11"/>
      <c r="C643" s="20"/>
      <c r="D643" s="20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5"/>
    </row>
    <row r="644">
      <c r="A644" s="54"/>
      <c r="B644" s="11"/>
      <c r="C644" s="20"/>
      <c r="D644" s="20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5"/>
    </row>
    <row r="645">
      <c r="A645" s="54"/>
      <c r="B645" s="11"/>
      <c r="C645" s="20"/>
      <c r="D645" s="20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5"/>
    </row>
    <row r="646">
      <c r="A646" s="54"/>
      <c r="B646" s="11"/>
      <c r="C646" s="20"/>
      <c r="D646" s="20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5"/>
    </row>
    <row r="647">
      <c r="A647" s="54"/>
      <c r="B647" s="11"/>
      <c r="C647" s="20"/>
      <c r="D647" s="20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5"/>
    </row>
    <row r="648">
      <c r="A648" s="54"/>
      <c r="B648" s="11"/>
      <c r="C648" s="20"/>
      <c r="D648" s="20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5"/>
    </row>
    <row r="649">
      <c r="A649" s="22"/>
      <c r="B649" s="11"/>
      <c r="C649" s="20"/>
      <c r="D649" s="20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5"/>
    </row>
    <row r="650">
      <c r="A650" s="22"/>
      <c r="B650" s="11"/>
      <c r="C650" s="20"/>
      <c r="D650" s="20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5"/>
    </row>
    <row r="651">
      <c r="A651" s="22"/>
      <c r="B651" s="11"/>
      <c r="C651" s="20"/>
      <c r="D651" s="20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5"/>
    </row>
    <row r="652">
      <c r="A652" s="22"/>
      <c r="B652" s="11"/>
      <c r="C652" s="20"/>
      <c r="D652" s="20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5"/>
    </row>
    <row r="653">
      <c r="A653" s="22"/>
      <c r="B653" s="11"/>
      <c r="C653" s="20"/>
      <c r="D653" s="20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5"/>
    </row>
    <row r="654">
      <c r="A654" s="22"/>
      <c r="B654" s="11"/>
      <c r="C654" s="20"/>
      <c r="D654" s="20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5"/>
    </row>
    <row r="655">
      <c r="A655" s="22"/>
      <c r="B655" s="11"/>
      <c r="C655" s="20"/>
      <c r="D655" s="20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5"/>
    </row>
    <row r="656">
      <c r="A656" s="22"/>
      <c r="B656" s="11"/>
      <c r="C656" s="20"/>
      <c r="D656" s="20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5"/>
    </row>
    <row r="657">
      <c r="A657" s="22"/>
      <c r="B657" s="11"/>
      <c r="C657" s="20"/>
      <c r="D657" s="20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5"/>
    </row>
    <row r="658">
      <c r="A658" s="22"/>
      <c r="B658" s="11"/>
      <c r="C658" s="20"/>
      <c r="D658" s="20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5"/>
    </row>
    <row r="659">
      <c r="A659" s="22"/>
      <c r="B659" s="11"/>
      <c r="C659" s="20"/>
      <c r="D659" s="20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5"/>
    </row>
    <row r="660">
      <c r="A660" s="22"/>
      <c r="B660" s="11"/>
      <c r="C660" s="20"/>
      <c r="D660" s="20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5"/>
    </row>
    <row r="661">
      <c r="A661" s="22"/>
      <c r="B661" s="11"/>
      <c r="C661" s="20"/>
      <c r="D661" s="20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5"/>
    </row>
    <row r="662">
      <c r="A662" s="22"/>
      <c r="B662" s="11"/>
      <c r="C662" s="20"/>
      <c r="D662" s="20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5"/>
    </row>
    <row r="663">
      <c r="A663" s="22"/>
      <c r="B663" s="11"/>
      <c r="C663" s="20"/>
      <c r="D663" s="20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5"/>
    </row>
    <row r="664">
      <c r="A664" s="22"/>
      <c r="B664" s="11"/>
      <c r="C664" s="20"/>
      <c r="D664" s="20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5"/>
    </row>
    <row r="665">
      <c r="A665" s="22"/>
      <c r="B665" s="11"/>
      <c r="C665" s="20"/>
      <c r="D665" s="20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5"/>
    </row>
    <row r="666">
      <c r="A666" s="22"/>
      <c r="B666" s="11"/>
      <c r="C666" s="20"/>
      <c r="D666" s="20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5"/>
    </row>
    <row r="667">
      <c r="A667" s="22"/>
      <c r="B667" s="11"/>
      <c r="C667" s="20"/>
      <c r="D667" s="20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5"/>
    </row>
    <row r="668">
      <c r="A668" s="54"/>
      <c r="B668" s="11"/>
      <c r="C668" s="20"/>
      <c r="D668" s="20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5"/>
    </row>
    <row r="669">
      <c r="A669" s="54"/>
      <c r="B669" s="11"/>
      <c r="C669" s="20"/>
      <c r="D669" s="20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5"/>
    </row>
    <row r="670">
      <c r="A670" s="54"/>
      <c r="B670" s="11"/>
      <c r="C670" s="20"/>
      <c r="D670" s="20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5"/>
    </row>
    <row r="671">
      <c r="A671" s="54"/>
      <c r="B671" s="11"/>
      <c r="C671" s="20"/>
      <c r="D671" s="20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5"/>
    </row>
    <row r="672">
      <c r="A672" s="54"/>
      <c r="B672" s="11"/>
      <c r="C672" s="20"/>
      <c r="D672" s="20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5"/>
    </row>
    <row r="673">
      <c r="A673" s="54"/>
      <c r="B673" s="11"/>
      <c r="C673" s="20"/>
      <c r="D673" s="20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5"/>
    </row>
    <row r="674">
      <c r="A674" s="54"/>
      <c r="B674" s="11"/>
      <c r="C674" s="20"/>
      <c r="D674" s="20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5"/>
    </row>
    <row r="675">
      <c r="A675" s="54"/>
      <c r="B675" s="11"/>
      <c r="C675" s="20"/>
      <c r="D675" s="20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5"/>
    </row>
    <row r="676">
      <c r="A676" s="54"/>
      <c r="B676" s="11"/>
      <c r="C676" s="20"/>
      <c r="D676" s="20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5"/>
    </row>
    <row r="677">
      <c r="A677" s="54"/>
      <c r="B677" s="11"/>
      <c r="C677" s="20"/>
      <c r="D677" s="20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5"/>
    </row>
    <row r="678">
      <c r="A678" s="54"/>
      <c r="B678" s="11"/>
      <c r="C678" s="20"/>
      <c r="D678" s="20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5"/>
    </row>
    <row r="679">
      <c r="A679" s="54"/>
      <c r="B679" s="11"/>
      <c r="C679" s="20"/>
      <c r="D679" s="20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5"/>
    </row>
    <row r="680">
      <c r="A680" s="54"/>
      <c r="B680" s="11"/>
      <c r="C680" s="20"/>
      <c r="D680" s="20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5"/>
    </row>
    <row r="681">
      <c r="A681" s="54"/>
      <c r="B681" s="11"/>
      <c r="C681" s="20"/>
      <c r="D681" s="20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5"/>
    </row>
    <row r="682">
      <c r="A682" s="54"/>
      <c r="B682" s="11"/>
      <c r="C682" s="20"/>
      <c r="D682" s="20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5"/>
    </row>
    <row r="683">
      <c r="A683" s="54"/>
      <c r="B683" s="11"/>
      <c r="C683" s="20"/>
      <c r="D683" s="20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5"/>
    </row>
    <row r="684">
      <c r="A684" s="54"/>
      <c r="B684" s="11"/>
      <c r="C684" s="20"/>
      <c r="D684" s="20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5"/>
    </row>
    <row r="685">
      <c r="A685" s="54"/>
      <c r="B685" s="11"/>
      <c r="C685" s="20"/>
      <c r="D685" s="20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5"/>
    </row>
    <row r="686">
      <c r="A686" s="54"/>
      <c r="B686" s="11"/>
      <c r="C686" s="20"/>
      <c r="D686" s="20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5"/>
    </row>
    <row r="687">
      <c r="A687" s="54"/>
      <c r="B687" s="11"/>
      <c r="C687" s="20"/>
      <c r="D687" s="20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5"/>
    </row>
    <row r="688">
      <c r="A688" s="54"/>
      <c r="B688" s="11"/>
      <c r="C688" s="20"/>
      <c r="D688" s="20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5"/>
    </row>
    <row r="689">
      <c r="A689" s="54"/>
      <c r="B689" s="11"/>
      <c r="C689" s="20"/>
      <c r="D689" s="20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5"/>
    </row>
    <row r="690">
      <c r="A690" s="54"/>
      <c r="B690" s="11"/>
      <c r="C690" s="20"/>
      <c r="D690" s="20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5"/>
    </row>
    <row r="691">
      <c r="A691" s="54"/>
      <c r="B691" s="11"/>
      <c r="C691" s="20"/>
      <c r="D691" s="20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5"/>
    </row>
    <row r="692">
      <c r="A692" s="54"/>
      <c r="B692" s="11"/>
      <c r="C692" s="20"/>
      <c r="D692" s="20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5"/>
    </row>
    <row r="693">
      <c r="A693" s="54"/>
      <c r="B693" s="11"/>
      <c r="C693" s="20"/>
      <c r="D693" s="20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5"/>
    </row>
    <row r="694">
      <c r="A694" s="54"/>
      <c r="B694" s="11"/>
      <c r="C694" s="20"/>
      <c r="D694" s="20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5"/>
    </row>
    <row r="695">
      <c r="A695" s="22"/>
      <c r="B695" s="11"/>
      <c r="C695" s="20"/>
      <c r="D695" s="20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5"/>
    </row>
    <row r="696">
      <c r="A696" s="22"/>
      <c r="B696" s="11"/>
      <c r="C696" s="20"/>
      <c r="D696" s="20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5"/>
    </row>
    <row r="697">
      <c r="A697" s="22"/>
      <c r="B697" s="11"/>
      <c r="C697" s="20"/>
      <c r="D697" s="20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5"/>
    </row>
    <row r="698">
      <c r="A698" s="22"/>
      <c r="B698" s="11"/>
      <c r="C698" s="20"/>
      <c r="D698" s="20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5"/>
    </row>
    <row r="699">
      <c r="A699" s="22"/>
      <c r="B699" s="11"/>
      <c r="C699" s="20"/>
      <c r="D699" s="20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5"/>
    </row>
    <row r="700">
      <c r="A700" s="22"/>
      <c r="B700" s="11"/>
      <c r="C700" s="20"/>
      <c r="D700" s="20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5"/>
    </row>
    <row r="701">
      <c r="A701" s="22"/>
      <c r="B701" s="11"/>
      <c r="C701" s="20"/>
      <c r="D701" s="20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5"/>
    </row>
    <row r="702">
      <c r="A702" s="22"/>
      <c r="B702" s="11"/>
      <c r="C702" s="20"/>
      <c r="D702" s="20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5"/>
    </row>
    <row r="703">
      <c r="A703" s="22"/>
      <c r="B703" s="11"/>
      <c r="C703" s="20"/>
      <c r="D703" s="20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5"/>
    </row>
    <row r="704">
      <c r="A704" s="22"/>
      <c r="B704" s="11"/>
      <c r="C704" s="20"/>
      <c r="D704" s="20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5"/>
    </row>
    <row r="705">
      <c r="A705" s="22"/>
      <c r="B705" s="11"/>
      <c r="C705" s="20"/>
      <c r="D705" s="20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5"/>
    </row>
    <row r="706">
      <c r="A706" s="22"/>
      <c r="B706" s="11"/>
      <c r="C706" s="20"/>
      <c r="D706" s="20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5"/>
    </row>
    <row r="707">
      <c r="A707" s="22"/>
      <c r="B707" s="11"/>
      <c r="C707" s="20"/>
      <c r="D707" s="20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5"/>
    </row>
    <row r="708">
      <c r="A708" s="22"/>
      <c r="B708" s="11"/>
      <c r="C708" s="20"/>
      <c r="D708" s="20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5"/>
    </row>
    <row r="709">
      <c r="A709" s="22"/>
      <c r="B709" s="11"/>
      <c r="C709" s="20"/>
      <c r="D709" s="20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5"/>
    </row>
    <row r="710">
      <c r="A710" s="22"/>
      <c r="B710" s="11"/>
      <c r="C710" s="20"/>
      <c r="D710" s="20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5"/>
    </row>
    <row r="711">
      <c r="A711" s="22"/>
      <c r="B711" s="11"/>
      <c r="C711" s="20"/>
      <c r="D711" s="20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5"/>
    </row>
    <row r="712">
      <c r="A712" s="22"/>
      <c r="B712" s="11"/>
      <c r="C712" s="20"/>
      <c r="D712" s="20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5"/>
    </row>
    <row r="713">
      <c r="A713" s="22"/>
      <c r="B713" s="11"/>
      <c r="C713" s="20"/>
      <c r="D713" s="20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5"/>
    </row>
    <row r="714">
      <c r="A714" s="54"/>
      <c r="B714" s="11"/>
      <c r="C714" s="20"/>
      <c r="D714" s="20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5"/>
    </row>
    <row r="715">
      <c r="A715" s="54"/>
      <c r="B715" s="11"/>
      <c r="C715" s="20"/>
      <c r="D715" s="20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5"/>
    </row>
    <row r="716">
      <c r="A716" s="54"/>
      <c r="B716" s="11"/>
      <c r="C716" s="20"/>
      <c r="D716" s="20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5"/>
    </row>
    <row r="717">
      <c r="A717" s="54"/>
      <c r="B717" s="11"/>
      <c r="C717" s="20"/>
      <c r="D717" s="20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5"/>
    </row>
    <row r="718">
      <c r="A718" s="54"/>
      <c r="B718" s="11"/>
      <c r="C718" s="20"/>
      <c r="D718" s="20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5"/>
    </row>
    <row r="719">
      <c r="A719" s="54"/>
      <c r="B719" s="11"/>
      <c r="C719" s="20"/>
      <c r="D719" s="20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5"/>
    </row>
    <row r="720">
      <c r="A720" s="54"/>
      <c r="B720" s="11"/>
      <c r="C720" s="20"/>
      <c r="D720" s="20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5"/>
    </row>
    <row r="721">
      <c r="A721" s="54"/>
      <c r="B721" s="11"/>
      <c r="C721" s="20"/>
      <c r="D721" s="20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5"/>
    </row>
    <row r="722">
      <c r="A722" s="54"/>
      <c r="B722" s="11"/>
      <c r="C722" s="20"/>
      <c r="D722" s="20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5"/>
    </row>
    <row r="723">
      <c r="A723" s="54"/>
      <c r="B723" s="11"/>
      <c r="C723" s="20"/>
      <c r="D723" s="20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5"/>
    </row>
    <row r="724">
      <c r="A724" s="54"/>
      <c r="B724" s="11"/>
      <c r="C724" s="20"/>
      <c r="D724" s="20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5"/>
    </row>
    <row r="725">
      <c r="A725" s="54"/>
      <c r="B725" s="11"/>
      <c r="C725" s="20"/>
      <c r="D725" s="20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5"/>
    </row>
    <row r="726">
      <c r="A726" s="54"/>
      <c r="B726" s="11"/>
      <c r="C726" s="20"/>
      <c r="D726" s="20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5"/>
    </row>
    <row r="727">
      <c r="A727" s="54"/>
      <c r="B727" s="11"/>
      <c r="C727" s="20"/>
      <c r="D727" s="20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5"/>
    </row>
    <row r="728">
      <c r="A728" s="54"/>
      <c r="B728" s="11"/>
      <c r="C728" s="20"/>
      <c r="D728" s="20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5"/>
    </row>
    <row r="729">
      <c r="A729" s="54"/>
      <c r="B729" s="11"/>
      <c r="C729" s="20"/>
      <c r="D729" s="20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5"/>
    </row>
    <row r="730">
      <c r="A730" s="54"/>
      <c r="B730" s="11"/>
      <c r="C730" s="20"/>
      <c r="D730" s="20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5"/>
    </row>
    <row r="731">
      <c r="A731" s="54"/>
      <c r="B731" s="11"/>
      <c r="C731" s="20"/>
      <c r="D731" s="20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5"/>
    </row>
    <row r="732">
      <c r="A732" s="22"/>
      <c r="B732" s="11"/>
      <c r="C732" s="20"/>
      <c r="D732" s="20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5"/>
    </row>
    <row r="733">
      <c r="A733" s="22"/>
      <c r="B733" s="11"/>
      <c r="C733" s="20"/>
      <c r="D733" s="20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5"/>
    </row>
    <row r="734">
      <c r="A734" s="22"/>
      <c r="B734" s="11"/>
      <c r="C734" s="20"/>
      <c r="D734" s="20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5"/>
    </row>
    <row r="735">
      <c r="A735" s="22"/>
      <c r="B735" s="11"/>
      <c r="C735" s="20"/>
      <c r="D735" s="20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5"/>
    </row>
    <row r="736">
      <c r="A736" s="22"/>
      <c r="B736" s="11"/>
      <c r="C736" s="20"/>
      <c r="D736" s="20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5"/>
    </row>
    <row r="737">
      <c r="A737" s="22"/>
      <c r="B737" s="11"/>
      <c r="C737" s="20"/>
      <c r="D737" s="20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5"/>
    </row>
    <row r="738">
      <c r="A738" s="22"/>
      <c r="B738" s="11"/>
      <c r="C738" s="20"/>
      <c r="D738" s="20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5"/>
    </row>
    <row r="739">
      <c r="A739" s="22"/>
      <c r="B739" s="11"/>
      <c r="C739" s="20"/>
      <c r="D739" s="20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5"/>
    </row>
    <row r="740">
      <c r="A740" s="22"/>
      <c r="B740" s="11"/>
      <c r="C740" s="20"/>
      <c r="D740" s="20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5"/>
    </row>
    <row r="741">
      <c r="A741" s="22"/>
      <c r="B741" s="11"/>
      <c r="C741" s="20"/>
      <c r="D741" s="20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5"/>
    </row>
    <row r="742">
      <c r="A742" s="22"/>
      <c r="B742" s="11"/>
      <c r="C742" s="20"/>
      <c r="D742" s="20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5"/>
    </row>
    <row r="743">
      <c r="A743" s="22"/>
      <c r="B743" s="11"/>
      <c r="C743" s="20"/>
      <c r="D743" s="20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5"/>
    </row>
    <row r="744">
      <c r="A744" s="22"/>
      <c r="B744" s="11"/>
      <c r="C744" s="20"/>
      <c r="D744" s="20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5"/>
    </row>
    <row r="745">
      <c r="A745" s="22"/>
      <c r="B745" s="11"/>
      <c r="C745" s="20"/>
      <c r="D745" s="20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5"/>
    </row>
    <row r="746">
      <c r="A746" s="22"/>
      <c r="B746" s="11"/>
      <c r="C746" s="20"/>
      <c r="D746" s="20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5"/>
    </row>
    <row r="747">
      <c r="A747" s="22"/>
      <c r="B747" s="11"/>
      <c r="C747" s="20"/>
      <c r="D747" s="20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5"/>
    </row>
    <row r="748">
      <c r="A748" s="22"/>
      <c r="B748" s="11"/>
      <c r="C748" s="20"/>
      <c r="D748" s="20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5"/>
    </row>
    <row r="749">
      <c r="A749" s="22"/>
      <c r="B749" s="11"/>
      <c r="C749" s="20"/>
      <c r="D749" s="20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5"/>
    </row>
    <row r="750">
      <c r="A750" s="22"/>
      <c r="B750" s="11"/>
      <c r="C750" s="20"/>
      <c r="D750" s="20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5"/>
    </row>
    <row r="751">
      <c r="A751" s="54"/>
      <c r="B751" s="11"/>
      <c r="C751" s="20"/>
      <c r="D751" s="20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5"/>
    </row>
    <row r="752">
      <c r="A752" s="54"/>
      <c r="B752" s="11"/>
      <c r="C752" s="20"/>
      <c r="D752" s="20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5"/>
    </row>
    <row r="753">
      <c r="A753" s="54"/>
      <c r="B753" s="11"/>
      <c r="C753" s="20"/>
      <c r="D753" s="20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5"/>
    </row>
    <row r="754">
      <c r="A754" s="54"/>
      <c r="B754" s="11"/>
      <c r="C754" s="20"/>
      <c r="D754" s="20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5"/>
    </row>
    <row r="755">
      <c r="A755" s="54"/>
      <c r="B755" s="11"/>
      <c r="C755" s="20"/>
      <c r="D755" s="20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5"/>
    </row>
    <row r="756">
      <c r="A756" s="54"/>
      <c r="B756" s="11"/>
      <c r="C756" s="20"/>
      <c r="D756" s="20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5"/>
    </row>
    <row r="757">
      <c r="A757" s="54"/>
      <c r="B757" s="11"/>
      <c r="C757" s="20"/>
      <c r="D757" s="20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5"/>
    </row>
    <row r="758">
      <c r="A758" s="54"/>
      <c r="B758" s="11"/>
      <c r="C758" s="20"/>
      <c r="D758" s="20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5"/>
    </row>
    <row r="759">
      <c r="A759" s="54"/>
      <c r="B759" s="11"/>
      <c r="C759" s="20"/>
      <c r="D759" s="20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5"/>
    </row>
    <row r="760">
      <c r="A760" s="54"/>
      <c r="B760" s="11"/>
      <c r="C760" s="20"/>
      <c r="D760" s="20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5"/>
    </row>
    <row r="761">
      <c r="A761" s="54"/>
      <c r="B761" s="11"/>
      <c r="C761" s="20"/>
      <c r="D761" s="20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5"/>
    </row>
    <row r="762">
      <c r="A762" s="54"/>
      <c r="B762" s="11"/>
      <c r="C762" s="20"/>
      <c r="D762" s="20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5"/>
    </row>
    <row r="763">
      <c r="A763" s="54"/>
      <c r="B763" s="11"/>
      <c r="C763" s="20"/>
      <c r="D763" s="20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5"/>
    </row>
    <row r="764">
      <c r="A764" s="54"/>
      <c r="B764" s="11"/>
      <c r="C764" s="20"/>
      <c r="D764" s="20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5"/>
    </row>
    <row r="765">
      <c r="A765" s="54"/>
      <c r="B765" s="11"/>
      <c r="C765" s="20"/>
      <c r="D765" s="20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5"/>
    </row>
    <row r="766">
      <c r="A766" s="54"/>
      <c r="B766" s="11"/>
      <c r="C766" s="20"/>
      <c r="D766" s="20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5"/>
    </row>
    <row r="767">
      <c r="A767" s="54"/>
      <c r="B767" s="11"/>
      <c r="C767" s="20"/>
      <c r="D767" s="20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5"/>
    </row>
    <row r="768">
      <c r="A768" s="54"/>
      <c r="B768" s="11"/>
      <c r="C768" s="20"/>
      <c r="D768" s="20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5"/>
    </row>
    <row r="769">
      <c r="A769" s="54"/>
      <c r="B769" s="11"/>
      <c r="C769" s="20"/>
      <c r="D769" s="20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5"/>
    </row>
    <row r="770">
      <c r="A770" s="54"/>
      <c r="B770" s="11"/>
      <c r="C770" s="20"/>
      <c r="D770" s="20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5"/>
    </row>
    <row r="771">
      <c r="A771" s="54"/>
      <c r="B771" s="11"/>
      <c r="C771" s="20"/>
      <c r="D771" s="20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5"/>
    </row>
    <row r="772">
      <c r="A772" s="54"/>
      <c r="B772" s="11"/>
      <c r="C772" s="20"/>
      <c r="D772" s="20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5"/>
    </row>
    <row r="773">
      <c r="A773" s="54"/>
      <c r="B773" s="11"/>
      <c r="C773" s="20"/>
      <c r="D773" s="20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5"/>
    </row>
    <row r="774">
      <c r="A774" s="54"/>
      <c r="B774" s="11"/>
      <c r="C774" s="20"/>
      <c r="D774" s="20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5"/>
    </row>
    <row r="775">
      <c r="A775" s="54"/>
      <c r="B775" s="11"/>
      <c r="C775" s="20"/>
      <c r="D775" s="20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5"/>
    </row>
    <row r="776">
      <c r="A776" s="54"/>
      <c r="B776" s="11"/>
      <c r="C776" s="20"/>
      <c r="D776" s="20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5"/>
    </row>
    <row r="777">
      <c r="A777" s="54"/>
      <c r="B777" s="11"/>
      <c r="C777" s="20"/>
      <c r="D777" s="20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5"/>
    </row>
    <row r="778">
      <c r="A778" s="22"/>
      <c r="B778" s="11"/>
      <c r="C778" s="20"/>
      <c r="D778" s="20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5"/>
    </row>
    <row r="779">
      <c r="A779" s="22"/>
      <c r="B779" s="11"/>
      <c r="C779" s="20"/>
      <c r="D779" s="20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5"/>
    </row>
    <row r="780">
      <c r="A780" s="22"/>
      <c r="B780" s="11"/>
      <c r="C780" s="20"/>
      <c r="D780" s="20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5"/>
    </row>
    <row r="781">
      <c r="A781" s="22"/>
      <c r="B781" s="11"/>
      <c r="C781" s="20"/>
      <c r="D781" s="20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5"/>
    </row>
    <row r="782">
      <c r="A782" s="22"/>
      <c r="B782" s="11"/>
      <c r="C782" s="20"/>
      <c r="D782" s="20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5"/>
    </row>
    <row r="783">
      <c r="A783" s="22"/>
      <c r="B783" s="11"/>
      <c r="C783" s="20"/>
      <c r="D783" s="20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5"/>
    </row>
    <row r="784">
      <c r="A784" s="22"/>
      <c r="B784" s="11"/>
      <c r="C784" s="20"/>
      <c r="D784" s="20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5"/>
    </row>
    <row r="785">
      <c r="A785" s="22"/>
      <c r="B785" s="11"/>
      <c r="C785" s="20"/>
      <c r="D785" s="20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5"/>
    </row>
    <row r="786">
      <c r="A786" s="22"/>
      <c r="B786" s="11"/>
      <c r="C786" s="20"/>
      <c r="D786" s="20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5"/>
    </row>
    <row r="787">
      <c r="A787" s="22"/>
      <c r="B787" s="11"/>
      <c r="C787" s="20"/>
      <c r="D787" s="20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5"/>
    </row>
    <row r="788">
      <c r="A788" s="22"/>
      <c r="B788" s="11"/>
      <c r="C788" s="20"/>
      <c r="D788" s="20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5"/>
    </row>
    <row r="789">
      <c r="A789" s="22"/>
      <c r="B789" s="11"/>
      <c r="C789" s="20"/>
      <c r="D789" s="20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5"/>
    </row>
    <row r="790">
      <c r="A790" s="22"/>
      <c r="B790" s="11"/>
      <c r="C790" s="20"/>
      <c r="D790" s="20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5"/>
    </row>
    <row r="791">
      <c r="A791" s="22"/>
      <c r="B791" s="11"/>
      <c r="C791" s="20"/>
      <c r="D791" s="20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5"/>
    </row>
    <row r="792">
      <c r="A792" s="22"/>
      <c r="B792" s="11"/>
      <c r="C792" s="20"/>
      <c r="D792" s="20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5"/>
    </row>
    <row r="793">
      <c r="A793" s="22"/>
      <c r="B793" s="11"/>
      <c r="C793" s="20"/>
      <c r="D793" s="20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5"/>
    </row>
    <row r="794">
      <c r="A794" s="22"/>
      <c r="B794" s="11"/>
      <c r="C794" s="20"/>
      <c r="D794" s="20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5"/>
    </row>
    <row r="795">
      <c r="A795" s="22"/>
      <c r="B795" s="11"/>
      <c r="C795" s="20"/>
      <c r="D795" s="20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5"/>
    </row>
    <row r="796">
      <c r="A796" s="22"/>
      <c r="B796" s="11"/>
      <c r="C796" s="20"/>
      <c r="D796" s="20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5"/>
    </row>
    <row r="797">
      <c r="A797" s="54"/>
      <c r="B797" s="11"/>
      <c r="C797" s="20"/>
      <c r="D797" s="20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5"/>
    </row>
    <row r="798">
      <c r="A798" s="54"/>
      <c r="B798" s="11"/>
      <c r="C798" s="20"/>
      <c r="D798" s="20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5"/>
    </row>
    <row r="799">
      <c r="A799" s="54"/>
      <c r="B799" s="11"/>
      <c r="C799" s="20"/>
      <c r="D799" s="20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5"/>
    </row>
    <row r="800">
      <c r="A800" s="54"/>
      <c r="B800" s="11"/>
      <c r="C800" s="20"/>
      <c r="D800" s="20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5"/>
    </row>
    <row r="801">
      <c r="A801" s="54"/>
      <c r="B801" s="11"/>
      <c r="C801" s="20"/>
      <c r="D801" s="20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5"/>
    </row>
    <row r="802">
      <c r="A802" s="54"/>
      <c r="B802" s="11"/>
      <c r="C802" s="20"/>
      <c r="D802" s="20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5"/>
    </row>
    <row r="803">
      <c r="A803" s="54"/>
      <c r="B803" s="11"/>
      <c r="C803" s="20"/>
      <c r="D803" s="20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5"/>
    </row>
    <row r="804">
      <c r="A804" s="54"/>
      <c r="B804" s="11"/>
      <c r="C804" s="20"/>
      <c r="D804" s="20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5"/>
    </row>
    <row r="805">
      <c r="A805" s="54"/>
      <c r="B805" s="11"/>
      <c r="C805" s="20"/>
      <c r="D805" s="20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5"/>
    </row>
    <row r="806">
      <c r="A806" s="54"/>
      <c r="B806" s="11"/>
      <c r="C806" s="20"/>
      <c r="D806" s="20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5"/>
    </row>
    <row r="807">
      <c r="A807" s="54"/>
      <c r="B807" s="11"/>
      <c r="C807" s="20"/>
      <c r="D807" s="20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5"/>
    </row>
    <row r="808">
      <c r="A808" s="54"/>
      <c r="B808" s="11"/>
      <c r="C808" s="20"/>
      <c r="D808" s="20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5"/>
    </row>
    <row r="809">
      <c r="A809" s="54"/>
      <c r="B809" s="11"/>
      <c r="C809" s="20"/>
      <c r="D809" s="20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5"/>
    </row>
    <row r="810">
      <c r="A810" s="54"/>
      <c r="B810" s="11"/>
      <c r="C810" s="20"/>
      <c r="D810" s="20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5"/>
    </row>
    <row r="811">
      <c r="A811" s="54"/>
      <c r="B811" s="11"/>
      <c r="C811" s="20"/>
      <c r="D811" s="20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5"/>
    </row>
    <row r="812">
      <c r="A812" s="54"/>
      <c r="B812" s="11"/>
      <c r="C812" s="20"/>
      <c r="D812" s="20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5"/>
    </row>
    <row r="813">
      <c r="A813" s="54"/>
      <c r="B813" s="11"/>
      <c r="C813" s="20"/>
      <c r="D813" s="20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5"/>
    </row>
    <row r="814">
      <c r="A814" s="54"/>
      <c r="B814" s="11"/>
      <c r="C814" s="20"/>
      <c r="D814" s="20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5"/>
    </row>
    <row r="815">
      <c r="A815" s="22"/>
      <c r="B815" s="11"/>
      <c r="C815" s="20"/>
      <c r="D815" s="20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5"/>
    </row>
    <row r="816">
      <c r="A816" s="22"/>
      <c r="B816" s="11"/>
      <c r="C816" s="20"/>
      <c r="D816" s="20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5"/>
    </row>
    <row r="817">
      <c r="A817" s="22"/>
      <c r="B817" s="11"/>
      <c r="C817" s="20"/>
      <c r="D817" s="20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5"/>
    </row>
    <row r="818">
      <c r="A818" s="22"/>
      <c r="B818" s="11"/>
      <c r="C818" s="20"/>
      <c r="D818" s="20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5"/>
    </row>
    <row r="819">
      <c r="A819" s="22"/>
      <c r="B819" s="11"/>
      <c r="C819" s="20"/>
      <c r="D819" s="20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5"/>
    </row>
    <row r="820">
      <c r="A820" s="22"/>
      <c r="B820" s="11"/>
      <c r="C820" s="20"/>
      <c r="D820" s="20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5"/>
    </row>
    <row r="821">
      <c r="A821" s="22"/>
      <c r="B821" s="11"/>
      <c r="C821" s="20"/>
      <c r="D821" s="20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5"/>
    </row>
    <row r="822">
      <c r="A822" s="22"/>
      <c r="B822" s="11"/>
      <c r="C822" s="20"/>
      <c r="D822" s="20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5"/>
    </row>
    <row r="823">
      <c r="A823" s="22"/>
      <c r="B823" s="11"/>
      <c r="C823" s="20"/>
      <c r="D823" s="20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5"/>
    </row>
    <row r="824">
      <c r="A824" s="22"/>
      <c r="B824" s="11"/>
      <c r="C824" s="20"/>
      <c r="D824" s="20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5"/>
    </row>
    <row r="825">
      <c r="A825" s="22"/>
      <c r="B825" s="11"/>
      <c r="C825" s="20"/>
      <c r="D825" s="20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5"/>
    </row>
    <row r="826">
      <c r="A826" s="22"/>
      <c r="B826" s="11"/>
      <c r="C826" s="20"/>
      <c r="D826" s="20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5"/>
    </row>
    <row r="827">
      <c r="A827" s="22"/>
      <c r="B827" s="11"/>
      <c r="C827" s="20"/>
      <c r="D827" s="20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5"/>
    </row>
    <row r="828">
      <c r="A828" s="22"/>
      <c r="B828" s="11"/>
      <c r="C828" s="20"/>
      <c r="D828" s="20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5"/>
    </row>
    <row r="829">
      <c r="A829" s="22"/>
      <c r="B829" s="11"/>
      <c r="C829" s="20"/>
      <c r="D829" s="20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5"/>
    </row>
    <row r="830">
      <c r="A830" s="22"/>
      <c r="B830" s="11"/>
      <c r="C830" s="20"/>
      <c r="D830" s="20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5"/>
    </row>
    <row r="831">
      <c r="A831" s="22"/>
      <c r="B831" s="11"/>
      <c r="C831" s="20"/>
      <c r="D831" s="20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5"/>
    </row>
    <row r="832">
      <c r="A832" s="22"/>
      <c r="B832" s="11"/>
      <c r="C832" s="20"/>
      <c r="D832" s="20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5"/>
    </row>
    <row r="833">
      <c r="A833" s="22"/>
      <c r="B833" s="11"/>
      <c r="C833" s="20"/>
      <c r="D833" s="20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5"/>
    </row>
    <row r="834">
      <c r="A834" s="54"/>
      <c r="B834" s="11"/>
      <c r="C834" s="20"/>
      <c r="D834" s="20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5"/>
    </row>
    <row r="835">
      <c r="A835" s="54"/>
      <c r="B835" s="11"/>
      <c r="C835" s="20"/>
      <c r="D835" s="20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5"/>
    </row>
    <row r="836">
      <c r="A836" s="54"/>
      <c r="B836" s="11"/>
      <c r="C836" s="20"/>
      <c r="D836" s="20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5"/>
    </row>
    <row r="837">
      <c r="A837" s="54"/>
      <c r="B837" s="11"/>
      <c r="C837" s="20"/>
      <c r="D837" s="20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5"/>
    </row>
    <row r="838">
      <c r="A838" s="54"/>
      <c r="B838" s="11"/>
      <c r="C838" s="20"/>
      <c r="D838" s="20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5"/>
    </row>
    <row r="839">
      <c r="A839" s="54"/>
      <c r="B839" s="11"/>
      <c r="C839" s="20"/>
      <c r="D839" s="20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5"/>
    </row>
    <row r="840">
      <c r="A840" s="54"/>
      <c r="B840" s="11"/>
      <c r="C840" s="20"/>
      <c r="D840" s="20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5"/>
    </row>
    <row r="841">
      <c r="A841" s="54"/>
      <c r="B841" s="11"/>
      <c r="C841" s="20"/>
      <c r="D841" s="20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5"/>
    </row>
    <row r="842">
      <c r="A842" s="54"/>
      <c r="B842" s="11"/>
      <c r="C842" s="20"/>
      <c r="D842" s="20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5"/>
    </row>
    <row r="843">
      <c r="A843" s="54"/>
      <c r="B843" s="11"/>
      <c r="C843" s="20"/>
      <c r="D843" s="20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5"/>
    </row>
    <row r="844">
      <c r="A844" s="54"/>
      <c r="B844" s="11"/>
      <c r="C844" s="20"/>
      <c r="D844" s="20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5"/>
    </row>
    <row r="845">
      <c r="A845" s="54"/>
      <c r="B845" s="11"/>
      <c r="C845" s="20"/>
      <c r="D845" s="20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5"/>
    </row>
    <row r="846">
      <c r="A846" s="54"/>
      <c r="B846" s="11"/>
      <c r="C846" s="20"/>
      <c r="D846" s="20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5"/>
    </row>
    <row r="847">
      <c r="A847" s="54"/>
      <c r="B847" s="11"/>
      <c r="C847" s="20"/>
      <c r="D847" s="20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5"/>
    </row>
    <row r="848">
      <c r="A848" s="54"/>
      <c r="B848" s="11"/>
      <c r="C848" s="20"/>
      <c r="D848" s="20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5"/>
    </row>
    <row r="849">
      <c r="A849" s="54"/>
      <c r="B849" s="11"/>
      <c r="C849" s="20"/>
      <c r="D849" s="20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5"/>
    </row>
    <row r="850">
      <c r="A850" s="54"/>
      <c r="B850" s="11"/>
      <c r="C850" s="20"/>
      <c r="D850" s="20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5"/>
    </row>
    <row r="851">
      <c r="A851" s="54"/>
      <c r="B851" s="11"/>
      <c r="C851" s="20"/>
      <c r="D851" s="20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5"/>
    </row>
    <row r="852">
      <c r="A852" s="54"/>
      <c r="B852" s="11"/>
      <c r="C852" s="20"/>
      <c r="D852" s="20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5"/>
    </row>
    <row r="853">
      <c r="A853" s="54"/>
      <c r="B853" s="11"/>
      <c r="C853" s="20"/>
      <c r="D853" s="20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5"/>
    </row>
    <row r="854">
      <c r="A854" s="54"/>
      <c r="B854" s="11"/>
      <c r="C854" s="20"/>
      <c r="D854" s="20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5"/>
    </row>
    <row r="855">
      <c r="A855" s="54"/>
      <c r="B855" s="11"/>
      <c r="C855" s="20"/>
      <c r="D855" s="20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5"/>
    </row>
    <row r="856">
      <c r="A856" s="54"/>
      <c r="B856" s="11"/>
      <c r="C856" s="20"/>
      <c r="D856" s="20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5"/>
    </row>
    <row r="857">
      <c r="A857" s="54"/>
      <c r="B857" s="11"/>
      <c r="C857" s="20"/>
      <c r="D857" s="20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5"/>
    </row>
    <row r="858">
      <c r="A858" s="54"/>
      <c r="B858" s="11"/>
      <c r="C858" s="20"/>
      <c r="D858" s="20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5"/>
    </row>
    <row r="859">
      <c r="A859" s="54"/>
      <c r="B859" s="11"/>
      <c r="C859" s="20"/>
      <c r="D859" s="20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5"/>
    </row>
    <row r="860">
      <c r="A860" s="54"/>
      <c r="B860" s="11"/>
      <c r="C860" s="20"/>
      <c r="D860" s="20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5"/>
    </row>
    <row r="861">
      <c r="A861" s="22"/>
      <c r="B861" s="11"/>
      <c r="C861" s="20"/>
      <c r="D861" s="20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5"/>
    </row>
    <row r="862">
      <c r="A862" s="22"/>
      <c r="B862" s="11"/>
      <c r="C862" s="20"/>
      <c r="D862" s="20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5"/>
    </row>
    <row r="863">
      <c r="A863" s="22"/>
      <c r="B863" s="11"/>
      <c r="C863" s="20"/>
      <c r="D863" s="20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5"/>
    </row>
    <row r="864">
      <c r="A864" s="22"/>
      <c r="B864" s="11"/>
      <c r="C864" s="20"/>
      <c r="D864" s="20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5"/>
    </row>
    <row r="865">
      <c r="A865" s="22"/>
      <c r="B865" s="11"/>
      <c r="C865" s="20"/>
      <c r="D865" s="20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5"/>
    </row>
    <row r="866">
      <c r="A866" s="22"/>
      <c r="B866" s="11"/>
      <c r="C866" s="20"/>
      <c r="D866" s="20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5"/>
    </row>
    <row r="867">
      <c r="A867" s="22"/>
      <c r="B867" s="11"/>
      <c r="C867" s="20"/>
      <c r="D867" s="20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5"/>
    </row>
    <row r="868">
      <c r="A868" s="22"/>
      <c r="B868" s="11"/>
      <c r="C868" s="20"/>
      <c r="D868" s="20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5"/>
    </row>
    <row r="869">
      <c r="A869" s="22"/>
      <c r="B869" s="11"/>
      <c r="C869" s="20"/>
      <c r="D869" s="20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5"/>
    </row>
    <row r="870">
      <c r="A870" s="22"/>
      <c r="B870" s="11"/>
      <c r="C870" s="20"/>
      <c r="D870" s="20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5"/>
    </row>
    <row r="871">
      <c r="A871" s="22"/>
      <c r="B871" s="11"/>
      <c r="C871" s="20"/>
      <c r="D871" s="20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5"/>
    </row>
    <row r="872">
      <c r="A872" s="22"/>
      <c r="B872" s="11"/>
      <c r="C872" s="20"/>
      <c r="D872" s="20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5"/>
    </row>
    <row r="873">
      <c r="A873" s="22"/>
      <c r="B873" s="11"/>
      <c r="C873" s="20"/>
      <c r="D873" s="20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5"/>
    </row>
    <row r="874">
      <c r="A874" s="22"/>
      <c r="B874" s="11"/>
      <c r="C874" s="20"/>
      <c r="D874" s="20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5"/>
    </row>
    <row r="875">
      <c r="A875" s="22"/>
      <c r="B875" s="11"/>
      <c r="C875" s="20"/>
      <c r="D875" s="20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5"/>
    </row>
    <row r="876">
      <c r="A876" s="22"/>
      <c r="B876" s="11"/>
      <c r="C876" s="20"/>
      <c r="D876" s="20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5"/>
    </row>
    <row r="877">
      <c r="A877" s="22"/>
      <c r="B877" s="11"/>
      <c r="C877" s="20"/>
      <c r="D877" s="20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5"/>
    </row>
    <row r="878">
      <c r="A878" s="22"/>
      <c r="B878" s="11"/>
      <c r="C878" s="20"/>
      <c r="D878" s="20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5"/>
    </row>
    <row r="879">
      <c r="A879" s="22"/>
      <c r="B879" s="11"/>
      <c r="C879" s="20"/>
      <c r="D879" s="20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5"/>
    </row>
    <row r="880">
      <c r="A880" s="54"/>
      <c r="B880" s="11"/>
      <c r="C880" s="20"/>
      <c r="D880" s="20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5"/>
    </row>
    <row r="881">
      <c r="A881" s="54"/>
      <c r="B881" s="11"/>
      <c r="C881" s="20"/>
      <c r="D881" s="20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5"/>
    </row>
    <row r="882">
      <c r="A882" s="54"/>
      <c r="B882" s="11"/>
      <c r="C882" s="20"/>
      <c r="D882" s="20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5"/>
    </row>
    <row r="883">
      <c r="A883" s="54"/>
      <c r="B883" s="11"/>
      <c r="C883" s="20"/>
      <c r="D883" s="20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5"/>
    </row>
    <row r="884">
      <c r="A884" s="54"/>
      <c r="B884" s="11"/>
      <c r="C884" s="20"/>
      <c r="D884" s="20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5"/>
    </row>
    <row r="885">
      <c r="A885" s="54"/>
      <c r="B885" s="11"/>
      <c r="C885" s="20"/>
      <c r="D885" s="20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5"/>
    </row>
    <row r="886">
      <c r="A886" s="54"/>
      <c r="B886" s="11"/>
      <c r="C886" s="20"/>
      <c r="D886" s="20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5"/>
    </row>
    <row r="887">
      <c r="A887" s="54"/>
      <c r="B887" s="11"/>
      <c r="C887" s="20"/>
      <c r="D887" s="20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5"/>
    </row>
    <row r="888">
      <c r="A888" s="54"/>
      <c r="B888" s="11"/>
      <c r="C888" s="20"/>
      <c r="D888" s="20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5"/>
    </row>
    <row r="889">
      <c r="A889" s="54"/>
      <c r="B889" s="11"/>
      <c r="C889" s="20"/>
      <c r="D889" s="20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5"/>
    </row>
    <row r="890">
      <c r="A890" s="54"/>
      <c r="B890" s="11"/>
      <c r="C890" s="20"/>
      <c r="D890" s="20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5"/>
    </row>
    <row r="891">
      <c r="A891" s="54"/>
      <c r="B891" s="11"/>
      <c r="C891" s="20"/>
      <c r="D891" s="20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5"/>
    </row>
    <row r="892">
      <c r="A892" s="54"/>
      <c r="B892" s="11"/>
      <c r="C892" s="20"/>
      <c r="D892" s="20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5"/>
    </row>
    <row r="893">
      <c r="A893" s="54"/>
      <c r="B893" s="11"/>
      <c r="C893" s="20"/>
      <c r="D893" s="20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5"/>
    </row>
    <row r="894">
      <c r="A894" s="54"/>
      <c r="B894" s="11"/>
      <c r="C894" s="20"/>
      <c r="D894" s="20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5"/>
    </row>
    <row r="895">
      <c r="A895" s="54"/>
      <c r="B895" s="11"/>
      <c r="C895" s="20"/>
      <c r="D895" s="20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5"/>
    </row>
    <row r="896">
      <c r="A896" s="54"/>
      <c r="B896" s="11"/>
      <c r="C896" s="20"/>
      <c r="D896" s="20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5"/>
    </row>
    <row r="897">
      <c r="A897" s="54"/>
      <c r="B897" s="11"/>
      <c r="C897" s="20"/>
      <c r="D897" s="20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5"/>
    </row>
    <row r="898">
      <c r="A898" s="22"/>
      <c r="B898" s="11"/>
      <c r="C898" s="20"/>
      <c r="D898" s="20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5"/>
    </row>
    <row r="899">
      <c r="A899" s="22"/>
      <c r="B899" s="11"/>
      <c r="C899" s="20"/>
      <c r="D899" s="20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5"/>
    </row>
    <row r="900">
      <c r="A900" s="22"/>
      <c r="B900" s="11"/>
      <c r="C900" s="20"/>
      <c r="D900" s="20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5"/>
    </row>
    <row r="901">
      <c r="A901" s="22"/>
      <c r="B901" s="11"/>
      <c r="C901" s="20"/>
      <c r="D901" s="20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5"/>
    </row>
    <row r="902">
      <c r="A902" s="22"/>
      <c r="B902" s="11"/>
      <c r="C902" s="20"/>
      <c r="D902" s="20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5"/>
    </row>
    <row r="903">
      <c r="A903" s="22"/>
      <c r="B903" s="11"/>
      <c r="C903" s="20"/>
      <c r="D903" s="20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5"/>
    </row>
    <row r="904">
      <c r="A904" s="22"/>
      <c r="B904" s="11"/>
      <c r="C904" s="20"/>
      <c r="D904" s="20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5"/>
    </row>
    <row r="905">
      <c r="A905" s="22"/>
      <c r="B905" s="11"/>
      <c r="C905" s="20"/>
      <c r="D905" s="20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5"/>
    </row>
    <row r="906">
      <c r="A906" s="22"/>
      <c r="B906" s="11"/>
      <c r="C906" s="20"/>
      <c r="D906" s="20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5"/>
    </row>
    <row r="907">
      <c r="A907" s="22"/>
      <c r="B907" s="11"/>
      <c r="C907" s="20"/>
      <c r="D907" s="20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5"/>
    </row>
    <row r="908">
      <c r="A908" s="22"/>
      <c r="B908" s="11"/>
      <c r="C908" s="20"/>
      <c r="D908" s="20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5"/>
    </row>
    <row r="909">
      <c r="A909" s="22"/>
      <c r="B909" s="11"/>
      <c r="C909" s="20"/>
      <c r="D909" s="20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5"/>
    </row>
    <row r="910">
      <c r="A910" s="22"/>
      <c r="B910" s="11"/>
      <c r="C910" s="20"/>
      <c r="D910" s="20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5"/>
    </row>
    <row r="911">
      <c r="A911" s="22"/>
      <c r="B911" s="11"/>
      <c r="C911" s="20"/>
      <c r="D911" s="20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5"/>
    </row>
    <row r="912">
      <c r="A912" s="22"/>
      <c r="B912" s="11"/>
      <c r="C912" s="20"/>
      <c r="D912" s="20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5"/>
    </row>
    <row r="913">
      <c r="A913" s="22"/>
      <c r="B913" s="11"/>
      <c r="C913" s="20"/>
      <c r="D913" s="20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5"/>
    </row>
    <row r="914">
      <c r="A914" s="22"/>
      <c r="B914" s="11"/>
      <c r="C914" s="20"/>
      <c r="D914" s="20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5"/>
    </row>
    <row r="915">
      <c r="A915" s="22"/>
      <c r="B915" s="11"/>
      <c r="C915" s="20"/>
      <c r="D915" s="20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5"/>
    </row>
    <row r="916">
      <c r="A916" s="22"/>
      <c r="B916" s="11"/>
      <c r="C916" s="20"/>
      <c r="D916" s="20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5"/>
    </row>
    <row r="917">
      <c r="A917" s="54"/>
      <c r="B917" s="11"/>
      <c r="C917" s="20"/>
      <c r="D917" s="20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5"/>
    </row>
    <row r="918">
      <c r="A918" s="54"/>
      <c r="B918" s="11"/>
      <c r="C918" s="20"/>
      <c r="D918" s="20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5"/>
    </row>
    <row r="919">
      <c r="A919" s="54"/>
      <c r="B919" s="11"/>
      <c r="C919" s="20"/>
      <c r="D919" s="20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5"/>
    </row>
    <row r="920">
      <c r="A920" s="54"/>
      <c r="B920" s="11"/>
      <c r="C920" s="20"/>
      <c r="D920" s="20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5"/>
    </row>
    <row r="921">
      <c r="A921" s="54"/>
      <c r="B921" s="11"/>
      <c r="C921" s="20"/>
      <c r="D921" s="20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5"/>
    </row>
    <row r="922">
      <c r="A922" s="54"/>
      <c r="B922" s="11"/>
      <c r="C922" s="20"/>
      <c r="D922" s="20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5"/>
    </row>
    <row r="923">
      <c r="A923" s="54"/>
      <c r="B923" s="11"/>
      <c r="C923" s="20"/>
      <c r="D923" s="20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5"/>
    </row>
    <row r="924">
      <c r="A924" s="54"/>
      <c r="B924" s="11"/>
      <c r="C924" s="20"/>
      <c r="D924" s="20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5"/>
    </row>
    <row r="925">
      <c r="A925" s="54"/>
      <c r="B925" s="11"/>
      <c r="C925" s="20"/>
      <c r="D925" s="20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5"/>
    </row>
    <row r="926">
      <c r="A926" s="54"/>
      <c r="B926" s="11"/>
      <c r="C926" s="20"/>
      <c r="D926" s="20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5"/>
    </row>
    <row r="927">
      <c r="A927" s="54"/>
      <c r="B927" s="11"/>
      <c r="C927" s="20"/>
      <c r="D927" s="20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5"/>
    </row>
    <row r="928">
      <c r="A928" s="54"/>
      <c r="B928" s="11"/>
      <c r="C928" s="20"/>
      <c r="D928" s="20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5"/>
    </row>
    <row r="929">
      <c r="A929" s="54"/>
      <c r="B929" s="11"/>
      <c r="C929" s="20"/>
      <c r="D929" s="20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5"/>
    </row>
    <row r="930">
      <c r="A930" s="54"/>
      <c r="B930" s="11"/>
      <c r="C930" s="20"/>
      <c r="D930" s="20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5"/>
    </row>
    <row r="931">
      <c r="A931" s="54"/>
      <c r="B931" s="11"/>
      <c r="C931" s="20"/>
      <c r="D931" s="20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5"/>
    </row>
    <row r="932">
      <c r="A932" s="54"/>
      <c r="B932" s="11"/>
      <c r="C932" s="20"/>
      <c r="D932" s="20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5"/>
    </row>
    <row r="933">
      <c r="A933" s="54"/>
      <c r="B933" s="11"/>
      <c r="C933" s="20"/>
      <c r="D933" s="20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5"/>
    </row>
    <row r="934">
      <c r="A934" s="54"/>
      <c r="B934" s="11"/>
      <c r="C934" s="20"/>
      <c r="D934" s="20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5"/>
    </row>
    <row r="935">
      <c r="A935" s="54"/>
      <c r="B935" s="11"/>
      <c r="C935" s="20"/>
      <c r="D935" s="20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5"/>
    </row>
    <row r="936">
      <c r="A936" s="54"/>
      <c r="B936" s="11"/>
      <c r="C936" s="20"/>
      <c r="D936" s="20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5"/>
    </row>
    <row r="937">
      <c r="A937" s="54"/>
      <c r="B937" s="11"/>
      <c r="C937" s="20"/>
      <c r="D937" s="20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5"/>
    </row>
    <row r="938">
      <c r="A938" s="54"/>
      <c r="B938" s="11"/>
      <c r="C938" s="20"/>
      <c r="D938" s="20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5"/>
    </row>
    <row r="939">
      <c r="A939" s="54"/>
      <c r="B939" s="11"/>
      <c r="C939" s="20"/>
      <c r="D939" s="20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5"/>
    </row>
    <row r="940">
      <c r="A940" s="54"/>
      <c r="B940" s="11"/>
      <c r="C940" s="20"/>
      <c r="D940" s="20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5"/>
    </row>
    <row r="941">
      <c r="A941" s="54"/>
      <c r="B941" s="11"/>
      <c r="C941" s="20"/>
      <c r="D941" s="20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5"/>
    </row>
    <row r="942">
      <c r="A942" s="54"/>
      <c r="B942" s="11"/>
      <c r="C942" s="20"/>
      <c r="D942" s="20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5"/>
    </row>
    <row r="943">
      <c r="A943" s="54"/>
      <c r="B943" s="11"/>
      <c r="C943" s="20"/>
      <c r="D943" s="20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5"/>
    </row>
    <row r="944">
      <c r="A944" s="22"/>
      <c r="B944" s="11"/>
      <c r="C944" s="20"/>
      <c r="D944" s="20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5"/>
    </row>
    <row r="945">
      <c r="A945" s="22"/>
      <c r="B945" s="11"/>
      <c r="C945" s="20"/>
      <c r="D945" s="20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5"/>
    </row>
    <row r="946">
      <c r="A946" s="22"/>
      <c r="B946" s="11"/>
      <c r="C946" s="20"/>
      <c r="D946" s="20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5"/>
    </row>
    <row r="947">
      <c r="A947" s="22"/>
      <c r="B947" s="11"/>
      <c r="C947" s="20"/>
      <c r="D947" s="20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5"/>
    </row>
    <row r="948">
      <c r="A948" s="22"/>
      <c r="B948" s="11"/>
      <c r="C948" s="20"/>
      <c r="D948" s="20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5"/>
    </row>
    <row r="949">
      <c r="A949" s="22"/>
      <c r="B949" s="11"/>
      <c r="C949" s="20"/>
      <c r="D949" s="20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5"/>
    </row>
    <row r="950">
      <c r="A950" s="22"/>
      <c r="B950" s="11"/>
      <c r="C950" s="20"/>
      <c r="D950" s="20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5"/>
    </row>
    <row r="951">
      <c r="A951" s="22"/>
      <c r="B951" s="11"/>
      <c r="C951" s="20"/>
      <c r="D951" s="20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5"/>
    </row>
    <row r="952">
      <c r="A952" s="22"/>
      <c r="B952" s="11"/>
      <c r="C952" s="20"/>
      <c r="D952" s="20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5"/>
    </row>
    <row r="953">
      <c r="A953" s="22"/>
      <c r="B953" s="11"/>
      <c r="C953" s="20"/>
      <c r="D953" s="20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5"/>
    </row>
    <row r="954">
      <c r="A954" s="22"/>
      <c r="B954" s="11"/>
      <c r="C954" s="20"/>
      <c r="D954" s="20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5"/>
    </row>
    <row r="955">
      <c r="A955" s="22"/>
      <c r="B955" s="11"/>
      <c r="C955" s="20"/>
      <c r="D955" s="20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5"/>
    </row>
    <row r="956">
      <c r="A956" s="22"/>
      <c r="B956" s="11"/>
      <c r="C956" s="20"/>
      <c r="D956" s="20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5"/>
    </row>
    <row r="957">
      <c r="A957" s="22"/>
      <c r="B957" s="11"/>
      <c r="C957" s="20"/>
      <c r="D957" s="20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5"/>
    </row>
    <row r="958">
      <c r="A958" s="22"/>
      <c r="B958" s="11"/>
      <c r="C958" s="20"/>
      <c r="D958" s="20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5"/>
    </row>
    <row r="959">
      <c r="A959" s="22"/>
      <c r="B959" s="11"/>
      <c r="C959" s="20"/>
      <c r="D959" s="20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5"/>
    </row>
    <row r="960">
      <c r="A960" s="22"/>
      <c r="B960" s="11"/>
      <c r="C960" s="20"/>
      <c r="D960" s="20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5"/>
    </row>
    <row r="961">
      <c r="A961" s="22"/>
      <c r="B961" s="11"/>
      <c r="C961" s="20"/>
      <c r="D961" s="20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5"/>
    </row>
    <row r="962">
      <c r="A962" s="22"/>
      <c r="B962" s="11"/>
      <c r="C962" s="20"/>
      <c r="D962" s="20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5"/>
    </row>
    <row r="963">
      <c r="A963" s="54"/>
      <c r="B963" s="11"/>
      <c r="C963" s="20"/>
      <c r="D963" s="20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5"/>
    </row>
    <row r="964">
      <c r="A964" s="54"/>
      <c r="B964" s="11"/>
      <c r="C964" s="20"/>
      <c r="D964" s="20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5"/>
    </row>
    <row r="965">
      <c r="A965" s="54"/>
      <c r="B965" s="11"/>
      <c r="C965" s="20"/>
      <c r="D965" s="20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5"/>
    </row>
    <row r="966">
      <c r="A966" s="54"/>
      <c r="B966" s="11"/>
      <c r="C966" s="20"/>
      <c r="D966" s="20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5"/>
    </row>
    <row r="967">
      <c r="A967" s="54"/>
      <c r="B967" s="11"/>
      <c r="C967" s="20"/>
      <c r="D967" s="20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5"/>
    </row>
    <row r="968">
      <c r="A968" s="54"/>
      <c r="B968" s="11"/>
      <c r="C968" s="20"/>
      <c r="D968" s="20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5"/>
    </row>
    <row r="969">
      <c r="A969" s="54"/>
      <c r="B969" s="11"/>
      <c r="C969" s="20"/>
      <c r="D969" s="20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5"/>
    </row>
    <row r="970">
      <c r="A970" s="54"/>
      <c r="B970" s="11"/>
      <c r="C970" s="20"/>
      <c r="D970" s="20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5"/>
    </row>
    <row r="971">
      <c r="A971" s="54"/>
      <c r="B971" s="11"/>
      <c r="C971" s="20"/>
      <c r="D971" s="20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5"/>
    </row>
    <row r="972">
      <c r="A972" s="54"/>
      <c r="B972" s="11"/>
      <c r="C972" s="20"/>
      <c r="D972" s="20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5"/>
    </row>
    <row r="973">
      <c r="A973" s="54"/>
      <c r="B973" s="11"/>
      <c r="C973" s="20"/>
      <c r="D973" s="20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5"/>
    </row>
    <row r="974">
      <c r="A974" s="54"/>
      <c r="B974" s="11"/>
      <c r="C974" s="20"/>
      <c r="D974" s="20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5"/>
    </row>
    <row r="975">
      <c r="A975" s="54"/>
      <c r="B975" s="11"/>
      <c r="C975" s="20"/>
      <c r="D975" s="20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5"/>
    </row>
    <row r="976">
      <c r="A976" s="54"/>
      <c r="B976" s="11"/>
      <c r="C976" s="20"/>
      <c r="D976" s="20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5"/>
    </row>
    <row r="977">
      <c r="A977" s="54"/>
      <c r="B977" s="11"/>
      <c r="C977" s="20"/>
      <c r="D977" s="20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5"/>
    </row>
    <row r="978">
      <c r="A978" s="54"/>
      <c r="B978" s="11"/>
      <c r="C978" s="20"/>
      <c r="D978" s="20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5"/>
    </row>
    <row r="979">
      <c r="A979" s="54"/>
      <c r="B979" s="11"/>
      <c r="C979" s="20"/>
      <c r="D979" s="20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5"/>
    </row>
    <row r="980">
      <c r="A980" s="54"/>
      <c r="B980" s="11"/>
      <c r="C980" s="20"/>
      <c r="D980" s="20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5"/>
    </row>
    <row r="981">
      <c r="A981" s="22"/>
      <c r="B981" s="11"/>
      <c r="C981" s="20"/>
      <c r="D981" s="20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5"/>
    </row>
    <row r="982">
      <c r="A982" s="22"/>
      <c r="B982" s="11"/>
      <c r="C982" s="20"/>
      <c r="D982" s="20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5"/>
    </row>
    <row r="983">
      <c r="A983" s="22"/>
      <c r="B983" s="11"/>
      <c r="C983" s="20"/>
      <c r="D983" s="20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5"/>
    </row>
    <row r="984">
      <c r="A984" s="22"/>
      <c r="B984" s="11"/>
      <c r="C984" s="20"/>
      <c r="D984" s="20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5"/>
    </row>
    <row r="985">
      <c r="A985" s="22"/>
      <c r="B985" s="11"/>
      <c r="C985" s="20"/>
      <c r="D985" s="20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5"/>
    </row>
    <row r="986">
      <c r="A986" s="22"/>
      <c r="B986" s="11"/>
      <c r="C986" s="20"/>
      <c r="D986" s="20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5"/>
    </row>
    <row r="987">
      <c r="A987" s="22"/>
      <c r="B987" s="11"/>
      <c r="C987" s="20"/>
      <c r="D987" s="20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5"/>
    </row>
    <row r="988">
      <c r="A988" s="22"/>
      <c r="B988" s="11"/>
      <c r="C988" s="20"/>
      <c r="D988" s="20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5"/>
    </row>
    <row r="989">
      <c r="A989" s="22"/>
      <c r="B989" s="11"/>
      <c r="C989" s="20"/>
      <c r="D989" s="20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5"/>
    </row>
    <row r="990">
      <c r="A990" s="22"/>
      <c r="B990" s="11"/>
      <c r="C990" s="20"/>
      <c r="D990" s="20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5"/>
    </row>
    <row r="991">
      <c r="A991" s="22"/>
      <c r="B991" s="11"/>
      <c r="C991" s="20"/>
      <c r="D991" s="20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5"/>
    </row>
    <row r="992">
      <c r="A992" s="22"/>
      <c r="B992" s="11"/>
      <c r="C992" s="20"/>
      <c r="D992" s="20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5"/>
    </row>
    <row r="993">
      <c r="A993" s="22"/>
      <c r="B993" s="11"/>
      <c r="C993" s="20"/>
      <c r="D993" s="20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5"/>
    </row>
    <row r="994">
      <c r="A994" s="22"/>
      <c r="B994" s="11"/>
      <c r="C994" s="20"/>
      <c r="D994" s="20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5"/>
    </row>
    <row r="995">
      <c r="A995" s="22"/>
      <c r="B995" s="11"/>
      <c r="C995" s="20"/>
      <c r="D995" s="20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5"/>
    </row>
    <row r="996">
      <c r="A996" s="22"/>
      <c r="B996" s="11"/>
      <c r="C996" s="20"/>
      <c r="D996" s="20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5"/>
    </row>
    <row r="997">
      <c r="A997" s="22"/>
      <c r="B997" s="11"/>
      <c r="C997" s="20"/>
      <c r="D997" s="20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5"/>
    </row>
    <row r="998">
      <c r="A998" s="22"/>
      <c r="B998" s="11"/>
      <c r="C998" s="20"/>
      <c r="D998" s="20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5"/>
    </row>
    <row r="999">
      <c r="A999" s="22"/>
      <c r="B999" s="11"/>
      <c r="C999" s="20"/>
      <c r="D999" s="20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5"/>
    </row>
    <row r="1000">
      <c r="A1000" s="11"/>
      <c r="B1000" s="11"/>
      <c r="C1000" s="20"/>
      <c r="D1000" s="20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5"/>
    </row>
    <row r="1001">
      <c r="A1001" s="11"/>
      <c r="B1001" s="11"/>
      <c r="C1001" s="20"/>
      <c r="D1001" s="20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5"/>
    </row>
    <row r="1002">
      <c r="A1002" s="11"/>
      <c r="B1002" s="11"/>
      <c r="C1002" s="20"/>
      <c r="D1002" s="20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5"/>
    </row>
    <row r="1003">
      <c r="A1003" s="11"/>
      <c r="B1003" s="11"/>
      <c r="C1003" s="20"/>
      <c r="D1003" s="20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5"/>
    </row>
    <row r="1004">
      <c r="A1004" s="11"/>
      <c r="B1004" s="11"/>
      <c r="C1004" s="20"/>
      <c r="D1004" s="20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5"/>
    </row>
    <row r="1005">
      <c r="A1005" s="11"/>
      <c r="B1005" s="11"/>
      <c r="C1005" s="20"/>
      <c r="D1005" s="20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5"/>
    </row>
    <row r="1006">
      <c r="A1006" s="11"/>
      <c r="B1006" s="11"/>
      <c r="C1006" s="20"/>
      <c r="D1006" s="20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5"/>
    </row>
    <row r="1007">
      <c r="A1007" s="11"/>
      <c r="B1007" s="11"/>
      <c r="C1007" s="20"/>
      <c r="D1007" s="20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5"/>
    </row>
    <row r="1008">
      <c r="A1008" s="11"/>
      <c r="B1008" s="11"/>
      <c r="C1008" s="20"/>
      <c r="D1008" s="20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5"/>
    </row>
    <row r="1009">
      <c r="A1009" s="11"/>
      <c r="B1009" s="11"/>
      <c r="C1009" s="20"/>
      <c r="D1009" s="20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5"/>
    </row>
    <row r="1010">
      <c r="A1010" s="11"/>
      <c r="B1010" s="11"/>
      <c r="C1010" s="20"/>
      <c r="D1010" s="20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5"/>
    </row>
    <row r="1011">
      <c r="A1011" s="11"/>
      <c r="B1011" s="11"/>
      <c r="C1011" s="20"/>
      <c r="D1011" s="20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5"/>
    </row>
    <row r="1012">
      <c r="A1012" s="11"/>
      <c r="B1012" s="11"/>
      <c r="C1012" s="20"/>
      <c r="D1012" s="20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5"/>
    </row>
    <row r="1013">
      <c r="A1013" s="11"/>
      <c r="B1013" s="11"/>
      <c r="C1013" s="20"/>
      <c r="D1013" s="20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5"/>
    </row>
    <row r="1014">
      <c r="A1014" s="11"/>
      <c r="B1014" s="11"/>
      <c r="C1014" s="20"/>
      <c r="D1014" s="20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5"/>
    </row>
    <row r="1015">
      <c r="A1015" s="11"/>
      <c r="B1015" s="11"/>
      <c r="C1015" s="20"/>
      <c r="D1015" s="20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5"/>
    </row>
    <row r="1016">
      <c r="A1016" s="11"/>
      <c r="B1016" s="11"/>
      <c r="C1016" s="20"/>
      <c r="D1016" s="20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5"/>
    </row>
    <row r="1017">
      <c r="A1017" s="11"/>
      <c r="B1017" s="11"/>
      <c r="C1017" s="20"/>
      <c r="D1017" s="20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5"/>
    </row>
    <row r="1018">
      <c r="A1018" s="11"/>
      <c r="B1018" s="11"/>
      <c r="C1018" s="20"/>
      <c r="D1018" s="20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5"/>
    </row>
    <row r="1019">
      <c r="A1019" s="11"/>
      <c r="B1019" s="11"/>
      <c r="C1019" s="20"/>
      <c r="D1019" s="20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5"/>
    </row>
    <row r="1020">
      <c r="A1020" s="11"/>
      <c r="B1020" s="11"/>
      <c r="C1020" s="20"/>
      <c r="D1020" s="20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5"/>
    </row>
    <row r="1021">
      <c r="A1021" s="11"/>
      <c r="B1021" s="11"/>
      <c r="C1021" s="20"/>
      <c r="D1021" s="20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5"/>
    </row>
    <row r="1022">
      <c r="A1022" s="11"/>
      <c r="B1022" s="11"/>
      <c r="C1022" s="20"/>
      <c r="D1022" s="20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5"/>
    </row>
    <row r="1023">
      <c r="A1023" s="11"/>
      <c r="B1023" s="11"/>
      <c r="C1023" s="20"/>
      <c r="D1023" s="20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5"/>
    </row>
    <row r="1024">
      <c r="A1024" s="11"/>
      <c r="B1024" s="11"/>
      <c r="C1024" s="20"/>
      <c r="D1024" s="20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5"/>
    </row>
    <row r="1025">
      <c r="A1025" s="11"/>
      <c r="B1025" s="11"/>
      <c r="C1025" s="20"/>
      <c r="D1025" s="20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5"/>
    </row>
    <row r="1026">
      <c r="A1026" s="11"/>
      <c r="B1026" s="11"/>
      <c r="C1026" s="20"/>
      <c r="D1026" s="20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5"/>
    </row>
    <row r="1027">
      <c r="A1027" s="11"/>
      <c r="B1027" s="11"/>
      <c r="C1027" s="20"/>
      <c r="D1027" s="20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5"/>
    </row>
    <row r="1028">
      <c r="A1028" s="11"/>
      <c r="B1028" s="11"/>
      <c r="C1028" s="20"/>
      <c r="D1028" s="20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5"/>
    </row>
    <row r="1029">
      <c r="A1029" s="11"/>
      <c r="B1029" s="11"/>
      <c r="C1029" s="20"/>
      <c r="D1029" s="20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5"/>
    </row>
    <row r="1030">
      <c r="A1030" s="11"/>
      <c r="B1030" s="11"/>
      <c r="C1030" s="20"/>
      <c r="D1030" s="20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5"/>
    </row>
    <row r="1031">
      <c r="A1031" s="11"/>
      <c r="B1031" s="11"/>
      <c r="C1031" s="20"/>
      <c r="D1031" s="20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5"/>
    </row>
    <row r="1032">
      <c r="A1032" s="11"/>
      <c r="B1032" s="11"/>
      <c r="C1032" s="20"/>
      <c r="D1032" s="20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5"/>
    </row>
    <row r="1033">
      <c r="A1033" s="11"/>
      <c r="B1033" s="11"/>
      <c r="C1033" s="20"/>
      <c r="D1033" s="20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5"/>
    </row>
    <row r="1034">
      <c r="A1034" s="11"/>
      <c r="B1034" s="11"/>
      <c r="C1034" s="20"/>
      <c r="D1034" s="20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5"/>
    </row>
    <row r="1035">
      <c r="A1035" s="11"/>
      <c r="B1035" s="11"/>
      <c r="C1035" s="20"/>
      <c r="D1035" s="20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5"/>
    </row>
    <row r="1036">
      <c r="A1036" s="11"/>
      <c r="B1036" s="11"/>
      <c r="C1036" s="20"/>
      <c r="D1036" s="20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5"/>
    </row>
    <row r="1037">
      <c r="A1037" s="11"/>
      <c r="B1037" s="11"/>
      <c r="C1037" s="20"/>
      <c r="D1037" s="20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5"/>
    </row>
    <row r="1038">
      <c r="A1038" s="11"/>
      <c r="B1038" s="11"/>
      <c r="C1038" s="20"/>
      <c r="D1038" s="20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5"/>
    </row>
    <row r="1039">
      <c r="A1039" s="11"/>
      <c r="B1039" s="11"/>
      <c r="C1039" s="20"/>
      <c r="D1039" s="20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5"/>
    </row>
    <row r="1040">
      <c r="A1040" s="11"/>
      <c r="B1040" s="11"/>
      <c r="C1040" s="20"/>
      <c r="D1040" s="20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5"/>
    </row>
    <row r="1041">
      <c r="A1041" s="11"/>
      <c r="B1041" s="11"/>
      <c r="C1041" s="20"/>
      <c r="D1041" s="20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5"/>
    </row>
    <row r="1042">
      <c r="A1042" s="11"/>
      <c r="B1042" s="11"/>
      <c r="C1042" s="20"/>
      <c r="D1042" s="20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5"/>
    </row>
    <row r="1043">
      <c r="A1043" s="11"/>
      <c r="B1043" s="11"/>
      <c r="C1043" s="20"/>
      <c r="D1043" s="20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5"/>
    </row>
    <row r="1044">
      <c r="A1044" s="11"/>
      <c r="B1044" s="11"/>
      <c r="C1044" s="20"/>
      <c r="D1044" s="20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5"/>
    </row>
    <row r="1045">
      <c r="A1045" s="11"/>
      <c r="B1045" s="11"/>
      <c r="C1045" s="20"/>
      <c r="D1045" s="20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5"/>
    </row>
    <row r="1046">
      <c r="A1046" s="11"/>
      <c r="B1046" s="11"/>
      <c r="C1046" s="20"/>
      <c r="D1046" s="20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5"/>
    </row>
    <row r="1047">
      <c r="A1047" s="11"/>
      <c r="B1047" s="11"/>
      <c r="C1047" s="20"/>
      <c r="D1047" s="20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5"/>
    </row>
    <row r="1048">
      <c r="A1048" s="11"/>
      <c r="B1048" s="11"/>
      <c r="C1048" s="20"/>
      <c r="D1048" s="20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5"/>
    </row>
    <row r="1049">
      <c r="A1049" s="11"/>
      <c r="B1049" s="11"/>
      <c r="C1049" s="20"/>
      <c r="D1049" s="20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5"/>
    </row>
    <row r="1050">
      <c r="A1050" s="11"/>
      <c r="B1050" s="11"/>
      <c r="C1050" s="20"/>
      <c r="D1050" s="20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5"/>
    </row>
    <row r="1051">
      <c r="A1051" s="11"/>
      <c r="B1051" s="11"/>
      <c r="C1051" s="20"/>
      <c r="D1051" s="20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5"/>
    </row>
    <row r="1052">
      <c r="A1052" s="11"/>
      <c r="B1052" s="11"/>
      <c r="C1052" s="20"/>
      <c r="D1052" s="20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5"/>
    </row>
    <row r="1053">
      <c r="A1053" s="11"/>
      <c r="B1053" s="11"/>
      <c r="C1053" s="20"/>
      <c r="D1053" s="20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5"/>
    </row>
    <row r="1054">
      <c r="A1054" s="11"/>
      <c r="B1054" s="11"/>
      <c r="C1054" s="20"/>
      <c r="D1054" s="20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5"/>
    </row>
    <row r="1055">
      <c r="A1055" s="11"/>
      <c r="B1055" s="11"/>
      <c r="C1055" s="20"/>
      <c r="D1055" s="20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5"/>
    </row>
    <row r="1056">
      <c r="A1056" s="11"/>
      <c r="B1056" s="11"/>
      <c r="C1056" s="20"/>
      <c r="D1056" s="20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5"/>
    </row>
    <row r="1057">
      <c r="A1057" s="11"/>
      <c r="B1057" s="11"/>
      <c r="C1057" s="20"/>
      <c r="D1057" s="20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5"/>
    </row>
    <row r="1058">
      <c r="A1058" s="11"/>
      <c r="B1058" s="11"/>
      <c r="C1058" s="20"/>
      <c r="D1058" s="20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5"/>
    </row>
    <row r="1059">
      <c r="A1059" s="11"/>
      <c r="B1059" s="11"/>
      <c r="C1059" s="20"/>
      <c r="D1059" s="20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5"/>
    </row>
    <row r="1060">
      <c r="A1060" s="11"/>
      <c r="B1060" s="11"/>
      <c r="C1060" s="20"/>
      <c r="D1060" s="20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5"/>
    </row>
    <row r="1061">
      <c r="A1061" s="11"/>
      <c r="B1061" s="11"/>
      <c r="C1061" s="20"/>
      <c r="D1061" s="20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5"/>
    </row>
    <row r="1062">
      <c r="A1062" s="11"/>
      <c r="B1062" s="11"/>
      <c r="C1062" s="20"/>
      <c r="D1062" s="20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5"/>
    </row>
    <row r="1063">
      <c r="A1063" s="11"/>
      <c r="B1063" s="11"/>
      <c r="C1063" s="20"/>
      <c r="D1063" s="20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5"/>
    </row>
    <row r="1064">
      <c r="A1064" s="11"/>
      <c r="B1064" s="11"/>
      <c r="C1064" s="20"/>
      <c r="D1064" s="20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5"/>
    </row>
    <row r="1065">
      <c r="A1065" s="11"/>
      <c r="B1065" s="11"/>
      <c r="C1065" s="20"/>
      <c r="D1065" s="20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5"/>
    </row>
    <row r="1066">
      <c r="A1066" s="11"/>
      <c r="B1066" s="11"/>
      <c r="C1066" s="20"/>
      <c r="D1066" s="20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5"/>
    </row>
    <row r="1067">
      <c r="A1067" s="11"/>
      <c r="B1067" s="11"/>
      <c r="C1067" s="20"/>
      <c r="D1067" s="20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5"/>
    </row>
    <row r="1068">
      <c r="A1068" s="11"/>
      <c r="B1068" s="11"/>
      <c r="C1068" s="20"/>
      <c r="D1068" s="20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5"/>
    </row>
    <row r="1069">
      <c r="A1069" s="11"/>
      <c r="B1069" s="11"/>
      <c r="C1069" s="20"/>
      <c r="D1069" s="20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5"/>
    </row>
    <row r="1070">
      <c r="A1070" s="11"/>
      <c r="B1070" s="11"/>
      <c r="C1070" s="20"/>
      <c r="D1070" s="20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5"/>
    </row>
    <row r="1071">
      <c r="A1071" s="11"/>
      <c r="B1071" s="11"/>
      <c r="C1071" s="20"/>
      <c r="D1071" s="20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5"/>
    </row>
    <row r="1072">
      <c r="A1072" s="11"/>
      <c r="B1072" s="11"/>
      <c r="C1072" s="20"/>
      <c r="D1072" s="20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5"/>
    </row>
    <row r="1073">
      <c r="A1073" s="11"/>
      <c r="B1073" s="11"/>
      <c r="C1073" s="20"/>
      <c r="D1073" s="20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5"/>
    </row>
    <row r="1074">
      <c r="A1074" s="11"/>
      <c r="B1074" s="11"/>
      <c r="C1074" s="20"/>
      <c r="D1074" s="20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5"/>
    </row>
    <row r="1075">
      <c r="A1075" s="11"/>
      <c r="B1075" s="11"/>
      <c r="C1075" s="20"/>
      <c r="D1075" s="20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5"/>
    </row>
    <row r="1076">
      <c r="A1076" s="11"/>
      <c r="B1076" s="11"/>
      <c r="C1076" s="20"/>
      <c r="D1076" s="20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5"/>
    </row>
    <row r="1077">
      <c r="A1077" s="11"/>
      <c r="B1077" s="11"/>
      <c r="C1077" s="20"/>
      <c r="D1077" s="20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5"/>
    </row>
    <row r="1078">
      <c r="A1078" s="11"/>
      <c r="B1078" s="11"/>
      <c r="C1078" s="20"/>
      <c r="D1078" s="20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5"/>
    </row>
    <row r="1079">
      <c r="A1079" s="11"/>
      <c r="B1079" s="11"/>
      <c r="C1079" s="20"/>
      <c r="D1079" s="20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5"/>
    </row>
    <row r="1080">
      <c r="A1080" s="11"/>
      <c r="B1080" s="11"/>
      <c r="C1080" s="20"/>
      <c r="D1080" s="20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5"/>
    </row>
    <row r="1081">
      <c r="A1081" s="11"/>
      <c r="B1081" s="11"/>
      <c r="C1081" s="20"/>
      <c r="D1081" s="20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5"/>
    </row>
    <row r="1082">
      <c r="A1082" s="11"/>
      <c r="B1082" s="11"/>
      <c r="C1082" s="20"/>
      <c r="D1082" s="20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5"/>
    </row>
    <row r="1083">
      <c r="A1083" s="11"/>
      <c r="B1083" s="11"/>
      <c r="C1083" s="20"/>
      <c r="D1083" s="20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5"/>
    </row>
    <row r="1084">
      <c r="A1084" s="11"/>
      <c r="B1084" s="11"/>
      <c r="C1084" s="20"/>
      <c r="D1084" s="20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5"/>
    </row>
    <row r="1085">
      <c r="A1085" s="11"/>
      <c r="B1085" s="11"/>
      <c r="C1085" s="20"/>
      <c r="D1085" s="20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5"/>
    </row>
    <row r="1086">
      <c r="A1086" s="11"/>
      <c r="B1086" s="11"/>
      <c r="C1086" s="20"/>
      <c r="D1086" s="20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5"/>
    </row>
    <row r="1087">
      <c r="A1087" s="11"/>
      <c r="B1087" s="11"/>
      <c r="C1087" s="20"/>
      <c r="D1087" s="20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5"/>
    </row>
    <row r="1088">
      <c r="A1088" s="11"/>
      <c r="B1088" s="11"/>
      <c r="C1088" s="20"/>
      <c r="D1088" s="20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5"/>
    </row>
    <row r="1089">
      <c r="A1089" s="11"/>
      <c r="B1089" s="11"/>
      <c r="C1089" s="20"/>
      <c r="D1089" s="20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5"/>
    </row>
    <row r="1090">
      <c r="A1090" s="11"/>
      <c r="B1090" s="11"/>
      <c r="C1090" s="20"/>
      <c r="D1090" s="20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5"/>
    </row>
    <row r="1091">
      <c r="A1091" s="11"/>
      <c r="B1091" s="11"/>
      <c r="C1091" s="20"/>
      <c r="D1091" s="20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5"/>
    </row>
    <row r="1092">
      <c r="A1092" s="11"/>
      <c r="B1092" s="11"/>
      <c r="C1092" s="20"/>
      <c r="D1092" s="20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5"/>
    </row>
    <row r="1093">
      <c r="A1093" s="11"/>
      <c r="B1093" s="11"/>
      <c r="C1093" s="20"/>
      <c r="D1093" s="20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5"/>
    </row>
    <row r="1094">
      <c r="A1094" s="11"/>
      <c r="B1094" s="11"/>
      <c r="C1094" s="20"/>
      <c r="D1094" s="20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5"/>
    </row>
    <row r="1095">
      <c r="A1095" s="11"/>
      <c r="B1095" s="11"/>
      <c r="C1095" s="20"/>
      <c r="D1095" s="20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5"/>
    </row>
    <row r="1096">
      <c r="A1096" s="11"/>
      <c r="B1096" s="11"/>
      <c r="C1096" s="20"/>
      <c r="D1096" s="20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5"/>
    </row>
    <row r="1097">
      <c r="A1097" s="11"/>
      <c r="B1097" s="11"/>
      <c r="C1097" s="20"/>
      <c r="D1097" s="20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5"/>
    </row>
    <row r="1098">
      <c r="A1098" s="11"/>
      <c r="B1098" s="11"/>
      <c r="C1098" s="20"/>
      <c r="D1098" s="20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5"/>
    </row>
    <row r="1099">
      <c r="A1099" s="11"/>
      <c r="B1099" s="11"/>
      <c r="C1099" s="20"/>
      <c r="D1099" s="20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5"/>
    </row>
    <row r="1100">
      <c r="A1100" s="11"/>
      <c r="B1100" s="11"/>
      <c r="C1100" s="20"/>
      <c r="D1100" s="20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5"/>
    </row>
    <row r="1101">
      <c r="A1101" s="11"/>
      <c r="B1101" s="11"/>
      <c r="C1101" s="20"/>
      <c r="D1101" s="20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5"/>
    </row>
    <row r="1102">
      <c r="A1102" s="11"/>
      <c r="B1102" s="11"/>
      <c r="C1102" s="20"/>
      <c r="D1102" s="20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5"/>
    </row>
    <row r="1103">
      <c r="A1103" s="11"/>
      <c r="B1103" s="11"/>
      <c r="C1103" s="20"/>
      <c r="D1103" s="20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5"/>
    </row>
    <row r="1104">
      <c r="A1104" s="11"/>
      <c r="B1104" s="11"/>
      <c r="C1104" s="20"/>
      <c r="D1104" s="20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5"/>
    </row>
    <row r="1105">
      <c r="A1105" s="11"/>
      <c r="B1105" s="11"/>
      <c r="C1105" s="20"/>
      <c r="D1105" s="20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5"/>
    </row>
    <row r="1106">
      <c r="A1106" s="11"/>
      <c r="B1106" s="11"/>
      <c r="C1106" s="20"/>
      <c r="D1106" s="20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5"/>
    </row>
    <row r="1107">
      <c r="A1107" s="11"/>
      <c r="B1107" s="11"/>
      <c r="C1107" s="20"/>
      <c r="D1107" s="20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5"/>
    </row>
    <row r="1108">
      <c r="A1108" s="11"/>
      <c r="B1108" s="11"/>
      <c r="C1108" s="20"/>
      <c r="D1108" s="20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5"/>
    </row>
    <row r="1109">
      <c r="A1109" s="11"/>
      <c r="B1109" s="11"/>
      <c r="C1109" s="20"/>
      <c r="D1109" s="20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5"/>
    </row>
    <row r="1110">
      <c r="A1110" s="11"/>
      <c r="B1110" s="11"/>
      <c r="C1110" s="20"/>
      <c r="D1110" s="20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5"/>
    </row>
    <row r="1111">
      <c r="A1111" s="11"/>
      <c r="B1111" s="11"/>
      <c r="C1111" s="20"/>
      <c r="D1111" s="20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5"/>
    </row>
    <row r="1112">
      <c r="A1112" s="11"/>
      <c r="B1112" s="11"/>
      <c r="C1112" s="20"/>
      <c r="D1112" s="20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5"/>
    </row>
    <row r="1113">
      <c r="A1113" s="11"/>
      <c r="B1113" s="11"/>
      <c r="C1113" s="20"/>
      <c r="D1113" s="20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5"/>
    </row>
    <row r="1114">
      <c r="A1114" s="11"/>
      <c r="B1114" s="11"/>
      <c r="C1114" s="20"/>
      <c r="D1114" s="20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5"/>
    </row>
    <row r="1115">
      <c r="A1115" s="11"/>
      <c r="B1115" s="11"/>
      <c r="C1115" s="20"/>
      <c r="D1115" s="20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5"/>
    </row>
    <row r="1116">
      <c r="A1116" s="11"/>
      <c r="B1116" s="11"/>
      <c r="C1116" s="20"/>
      <c r="D1116" s="20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5"/>
    </row>
    <row r="1117">
      <c r="A1117" s="11"/>
      <c r="B1117" s="11"/>
      <c r="C1117" s="20"/>
      <c r="D1117" s="20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5"/>
    </row>
    <row r="1118">
      <c r="A1118" s="11"/>
      <c r="B1118" s="11"/>
      <c r="C1118" s="20"/>
      <c r="D1118" s="20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5"/>
    </row>
    <row r="1119">
      <c r="A1119" s="11"/>
      <c r="B1119" s="11"/>
      <c r="C1119" s="20"/>
      <c r="D1119" s="20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5"/>
    </row>
    <row r="1120">
      <c r="A1120" s="11"/>
      <c r="B1120" s="11"/>
      <c r="C1120" s="20"/>
      <c r="D1120" s="20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5"/>
    </row>
    <row r="1121">
      <c r="A1121" s="11"/>
      <c r="B1121" s="11"/>
      <c r="C1121" s="20"/>
      <c r="D1121" s="20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5"/>
    </row>
    <row r="1122">
      <c r="A1122" s="11"/>
      <c r="B1122" s="11"/>
      <c r="C1122" s="20"/>
      <c r="D1122" s="20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5"/>
    </row>
    <row r="1123">
      <c r="A1123" s="11"/>
      <c r="B1123" s="11"/>
      <c r="C1123" s="20"/>
      <c r="D1123" s="20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5"/>
    </row>
    <row r="1124">
      <c r="A1124" s="11"/>
      <c r="B1124" s="11"/>
      <c r="C1124" s="20"/>
      <c r="D1124" s="20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5"/>
    </row>
    <row r="1125">
      <c r="A1125" s="11"/>
      <c r="B1125" s="11"/>
      <c r="C1125" s="20"/>
      <c r="D1125" s="20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5"/>
    </row>
    <row r="1126">
      <c r="A1126" s="11"/>
      <c r="B1126" s="11"/>
      <c r="C1126" s="20"/>
      <c r="D1126" s="20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5"/>
    </row>
    <row r="1127">
      <c r="A1127" s="11"/>
      <c r="B1127" s="11"/>
      <c r="C1127" s="20"/>
      <c r="D1127" s="20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5"/>
    </row>
    <row r="1128">
      <c r="A1128" s="11"/>
      <c r="B1128" s="11"/>
      <c r="C1128" s="20"/>
      <c r="D1128" s="20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5"/>
    </row>
    <row r="1129">
      <c r="A1129" s="11"/>
      <c r="B1129" s="11"/>
      <c r="C1129" s="20"/>
      <c r="D1129" s="20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5"/>
    </row>
    <row r="1130">
      <c r="A1130" s="11"/>
      <c r="B1130" s="11"/>
      <c r="C1130" s="20"/>
      <c r="D1130" s="20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5"/>
    </row>
    <row r="1131">
      <c r="A1131" s="11"/>
      <c r="B1131" s="11"/>
      <c r="C1131" s="20"/>
      <c r="D1131" s="20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5"/>
    </row>
    <row r="1132">
      <c r="A1132" s="11"/>
      <c r="B1132" s="11"/>
      <c r="C1132" s="20"/>
      <c r="D1132" s="20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5"/>
    </row>
    <row r="1133">
      <c r="A1133" s="11"/>
      <c r="B1133" s="11"/>
      <c r="C1133" s="20"/>
      <c r="D1133" s="20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5"/>
    </row>
    <row r="1134">
      <c r="A1134" s="11"/>
      <c r="B1134" s="11"/>
      <c r="C1134" s="20"/>
      <c r="D1134" s="20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5"/>
    </row>
    <row r="1135">
      <c r="A1135" s="11"/>
      <c r="B1135" s="11"/>
      <c r="C1135" s="20"/>
      <c r="D1135" s="20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5"/>
    </row>
    <row r="1136">
      <c r="A1136" s="11"/>
      <c r="B1136" s="11"/>
      <c r="C1136" s="20"/>
      <c r="D1136" s="20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5"/>
    </row>
    <row r="1137">
      <c r="A1137" s="11"/>
      <c r="B1137" s="11"/>
      <c r="C1137" s="20"/>
      <c r="D1137" s="20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5"/>
    </row>
    <row r="1138">
      <c r="A1138" s="11"/>
      <c r="B1138" s="11"/>
      <c r="C1138" s="20"/>
      <c r="D1138" s="20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5"/>
    </row>
    <row r="1139">
      <c r="A1139" s="11"/>
      <c r="B1139" s="11"/>
      <c r="C1139" s="20"/>
      <c r="D1139" s="20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5"/>
    </row>
    <row r="1140">
      <c r="A1140" s="11"/>
      <c r="B1140" s="11"/>
      <c r="C1140" s="20"/>
      <c r="D1140" s="20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5"/>
    </row>
    <row r="1141">
      <c r="A1141" s="11"/>
      <c r="B1141" s="11"/>
      <c r="C1141" s="20"/>
      <c r="D1141" s="20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5"/>
    </row>
    <row r="1142">
      <c r="A1142" s="11"/>
      <c r="B1142" s="11"/>
      <c r="C1142" s="20"/>
      <c r="D1142" s="20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5"/>
    </row>
    <row r="1143">
      <c r="A1143" s="11"/>
      <c r="B1143" s="11"/>
      <c r="C1143" s="20"/>
      <c r="D1143" s="20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5"/>
    </row>
    <row r="1144">
      <c r="A1144" s="11"/>
      <c r="B1144" s="11"/>
      <c r="C1144" s="20"/>
      <c r="D1144" s="20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5"/>
    </row>
    <row r="1145">
      <c r="A1145" s="11"/>
      <c r="B1145" s="11"/>
      <c r="C1145" s="20"/>
      <c r="D1145" s="20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5"/>
    </row>
    <row r="1146">
      <c r="A1146" s="11"/>
      <c r="B1146" s="11"/>
      <c r="C1146" s="20"/>
      <c r="D1146" s="20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5"/>
    </row>
    <row r="1147">
      <c r="A1147" s="11"/>
      <c r="B1147" s="11"/>
      <c r="C1147" s="20"/>
      <c r="D1147" s="20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5"/>
    </row>
    <row r="1148">
      <c r="A1148" s="11"/>
      <c r="B1148" s="11"/>
      <c r="C1148" s="20"/>
      <c r="D1148" s="20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5"/>
    </row>
    <row r="1149">
      <c r="A1149" s="11"/>
      <c r="B1149" s="11"/>
      <c r="C1149" s="20"/>
      <c r="D1149" s="20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5"/>
    </row>
    <row r="1150">
      <c r="A1150" s="11"/>
      <c r="B1150" s="11"/>
      <c r="C1150" s="20"/>
      <c r="D1150" s="20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5"/>
    </row>
    <row r="1151">
      <c r="A1151" s="11"/>
      <c r="B1151" s="11"/>
      <c r="C1151" s="20"/>
      <c r="D1151" s="20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5"/>
    </row>
    <row r="1152">
      <c r="A1152" s="11"/>
      <c r="B1152" s="11"/>
      <c r="C1152" s="20"/>
      <c r="D1152" s="20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5"/>
    </row>
    <row r="1153">
      <c r="A1153" s="11"/>
      <c r="B1153" s="11"/>
      <c r="C1153" s="20"/>
      <c r="D1153" s="20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5"/>
    </row>
    <row r="1154">
      <c r="A1154" s="11"/>
      <c r="B1154" s="11"/>
      <c r="C1154" s="20"/>
      <c r="D1154" s="20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5"/>
    </row>
    <row r="1155">
      <c r="A1155" s="11"/>
      <c r="B1155" s="11"/>
      <c r="C1155" s="20"/>
      <c r="D1155" s="20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5"/>
    </row>
    <row r="1156">
      <c r="A1156" s="11"/>
      <c r="B1156" s="11"/>
      <c r="C1156" s="20"/>
      <c r="D1156" s="20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5"/>
    </row>
    <row r="1157">
      <c r="A1157" s="11"/>
      <c r="B1157" s="11"/>
      <c r="C1157" s="20"/>
      <c r="D1157" s="20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5"/>
    </row>
    <row r="1158">
      <c r="A1158" s="11"/>
      <c r="B1158" s="11"/>
      <c r="C1158" s="20"/>
      <c r="D1158" s="20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5"/>
    </row>
    <row r="1159">
      <c r="A1159" s="11"/>
      <c r="B1159" s="11"/>
      <c r="C1159" s="20"/>
      <c r="D1159" s="20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5"/>
    </row>
    <row r="1160">
      <c r="A1160" s="11"/>
      <c r="B1160" s="11"/>
      <c r="C1160" s="20"/>
      <c r="D1160" s="20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5"/>
    </row>
    <row r="1161">
      <c r="A1161" s="11"/>
      <c r="B1161" s="11"/>
      <c r="C1161" s="20"/>
      <c r="D1161" s="20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5"/>
    </row>
    <row r="1162">
      <c r="A1162" s="11"/>
      <c r="B1162" s="11"/>
      <c r="C1162" s="20"/>
      <c r="D1162" s="20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5"/>
    </row>
    <row r="1163">
      <c r="A1163" s="11"/>
      <c r="B1163" s="11"/>
      <c r="C1163" s="20"/>
      <c r="D1163" s="20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5"/>
    </row>
    <row r="1164">
      <c r="A1164" s="11"/>
      <c r="B1164" s="11"/>
      <c r="C1164" s="20"/>
      <c r="D1164" s="20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5"/>
    </row>
    <row r="1165">
      <c r="A1165" s="11"/>
      <c r="B1165" s="11"/>
      <c r="C1165" s="20"/>
      <c r="D1165" s="20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5"/>
    </row>
    <row r="1166">
      <c r="A1166" s="11"/>
      <c r="B1166" s="11"/>
      <c r="C1166" s="20"/>
      <c r="D1166" s="20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5"/>
    </row>
    <row r="1167">
      <c r="A1167" s="11"/>
      <c r="B1167" s="11"/>
      <c r="C1167" s="20"/>
      <c r="D1167" s="20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5"/>
    </row>
    <row r="1168">
      <c r="A1168" s="11"/>
      <c r="B1168" s="11"/>
      <c r="C1168" s="20"/>
      <c r="D1168" s="20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5"/>
    </row>
    <row r="1169">
      <c r="A1169" s="11"/>
      <c r="B1169" s="11"/>
      <c r="C1169" s="20"/>
      <c r="D1169" s="20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5"/>
    </row>
    <row r="1170">
      <c r="A1170" s="11"/>
      <c r="B1170" s="11"/>
      <c r="C1170" s="20"/>
      <c r="D1170" s="20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5"/>
    </row>
    <row r="1171">
      <c r="A1171" s="11"/>
      <c r="B1171" s="11"/>
      <c r="C1171" s="20"/>
      <c r="D1171" s="20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5"/>
    </row>
    <row r="1172">
      <c r="A1172" s="11"/>
      <c r="B1172" s="11"/>
      <c r="C1172" s="20"/>
      <c r="D1172" s="20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5"/>
    </row>
    <row r="1173">
      <c r="A1173" s="11"/>
      <c r="B1173" s="11"/>
      <c r="C1173" s="20"/>
      <c r="D1173" s="20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5"/>
    </row>
    <row r="1174">
      <c r="A1174" s="11"/>
      <c r="B1174" s="11"/>
      <c r="C1174" s="20"/>
      <c r="D1174" s="20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5"/>
    </row>
    <row r="1175">
      <c r="A1175" s="11"/>
      <c r="B1175" s="11"/>
      <c r="C1175" s="20"/>
      <c r="D1175" s="20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5"/>
    </row>
    <row r="1176">
      <c r="A1176" s="11"/>
      <c r="B1176" s="11"/>
      <c r="C1176" s="20"/>
      <c r="D1176" s="20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5"/>
    </row>
    <row r="1177">
      <c r="A1177" s="11"/>
      <c r="B1177" s="11"/>
      <c r="C1177" s="20"/>
      <c r="D1177" s="20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5"/>
    </row>
    <row r="1178">
      <c r="A1178" s="11"/>
      <c r="B1178" s="11"/>
      <c r="C1178" s="20"/>
      <c r="D1178" s="20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5"/>
    </row>
    <row r="1179">
      <c r="A1179" s="11"/>
      <c r="B1179" s="11"/>
      <c r="C1179" s="20"/>
      <c r="D1179" s="20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5"/>
    </row>
    <row r="1180">
      <c r="A1180" s="11"/>
      <c r="B1180" s="11"/>
      <c r="C1180" s="20"/>
      <c r="D1180" s="20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5"/>
    </row>
    <row r="1181">
      <c r="A1181" s="11"/>
      <c r="B1181" s="11"/>
      <c r="C1181" s="20"/>
      <c r="D1181" s="20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5"/>
    </row>
    <row r="1182">
      <c r="A1182" s="11"/>
      <c r="B1182" s="11"/>
      <c r="C1182" s="20"/>
      <c r="D1182" s="20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5"/>
    </row>
    <row r="1183">
      <c r="A1183" s="11"/>
      <c r="B1183" s="11"/>
      <c r="C1183" s="20"/>
      <c r="D1183" s="20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5"/>
    </row>
    <row r="1184">
      <c r="A1184" s="11"/>
      <c r="B1184" s="11"/>
      <c r="C1184" s="20"/>
      <c r="D1184" s="20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5"/>
    </row>
    <row r="1185">
      <c r="A1185" s="11"/>
      <c r="B1185" s="11"/>
      <c r="C1185" s="20"/>
      <c r="D1185" s="20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5"/>
    </row>
    <row r="1186">
      <c r="A1186" s="11"/>
      <c r="B1186" s="11"/>
      <c r="C1186" s="20"/>
      <c r="D1186" s="20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5"/>
    </row>
    <row r="1187">
      <c r="A1187" s="11"/>
      <c r="B1187" s="11"/>
      <c r="C1187" s="20"/>
      <c r="D1187" s="20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5"/>
    </row>
    <row r="1188">
      <c r="A1188" s="11"/>
      <c r="B1188" s="11"/>
      <c r="C1188" s="20"/>
      <c r="D1188" s="20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5"/>
    </row>
    <row r="1189">
      <c r="A1189" s="11"/>
      <c r="B1189" s="11"/>
      <c r="C1189" s="20"/>
      <c r="D1189" s="20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5"/>
    </row>
    <row r="1190">
      <c r="A1190" s="11"/>
      <c r="B1190" s="11"/>
      <c r="C1190" s="20"/>
      <c r="D1190" s="20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5"/>
    </row>
    <row r="1191">
      <c r="A1191" s="11"/>
      <c r="B1191" s="11"/>
      <c r="C1191" s="20"/>
      <c r="D1191" s="20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5"/>
    </row>
    <row r="1192">
      <c r="A1192" s="11"/>
      <c r="B1192" s="11"/>
      <c r="C1192" s="20"/>
      <c r="D1192" s="20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5"/>
    </row>
    <row r="1193">
      <c r="A1193" s="11"/>
      <c r="B1193" s="11"/>
      <c r="C1193" s="20"/>
      <c r="D1193" s="20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5"/>
    </row>
    <row r="1194">
      <c r="A1194" s="11"/>
      <c r="B1194" s="11"/>
      <c r="C1194" s="20"/>
      <c r="D1194" s="20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5"/>
    </row>
    <row r="1195">
      <c r="A1195" s="11"/>
      <c r="B1195" s="11"/>
      <c r="C1195" s="20"/>
      <c r="D1195" s="20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5"/>
    </row>
    <row r="1196">
      <c r="A1196" s="11"/>
      <c r="B1196" s="11"/>
      <c r="C1196" s="20"/>
      <c r="D1196" s="20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5"/>
    </row>
    <row r="1197">
      <c r="A1197" s="11"/>
      <c r="B1197" s="11"/>
      <c r="C1197" s="20"/>
      <c r="D1197" s="20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5"/>
    </row>
    <row r="1198">
      <c r="A1198" s="11"/>
      <c r="B1198" s="11"/>
      <c r="C1198" s="20"/>
      <c r="D1198" s="20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5"/>
    </row>
    <row r="1199">
      <c r="A1199" s="11"/>
      <c r="B1199" s="11"/>
      <c r="C1199" s="20"/>
      <c r="D1199" s="20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5"/>
    </row>
    <row r="1200">
      <c r="A1200" s="11"/>
      <c r="B1200" s="11"/>
      <c r="C1200" s="20"/>
      <c r="D1200" s="20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5"/>
    </row>
    <row r="1201">
      <c r="A1201" s="11"/>
      <c r="B1201" s="11"/>
      <c r="C1201" s="20"/>
      <c r="D1201" s="20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5"/>
    </row>
    <row r="1202">
      <c r="A1202" s="11"/>
      <c r="B1202" s="11"/>
      <c r="C1202" s="20"/>
      <c r="D1202" s="20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5"/>
    </row>
    <row r="1203">
      <c r="A1203" s="11"/>
      <c r="B1203" s="11"/>
      <c r="C1203" s="20"/>
      <c r="D1203" s="20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5"/>
    </row>
    <row r="1204">
      <c r="A1204" s="11"/>
      <c r="B1204" s="11"/>
      <c r="C1204" s="20"/>
      <c r="D1204" s="20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5"/>
    </row>
    <row r="1205">
      <c r="A1205" s="11"/>
      <c r="B1205" s="11"/>
      <c r="C1205" s="20"/>
      <c r="D1205" s="20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5"/>
    </row>
    <row r="1206">
      <c r="A1206" s="11"/>
      <c r="B1206" s="11"/>
      <c r="C1206" s="20"/>
      <c r="D1206" s="20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5"/>
    </row>
    <row r="1207">
      <c r="A1207" s="11"/>
      <c r="B1207" s="11"/>
      <c r="C1207" s="20"/>
      <c r="D1207" s="20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5"/>
    </row>
    <row r="1208">
      <c r="A1208" s="11"/>
      <c r="B1208" s="11"/>
      <c r="C1208" s="20"/>
      <c r="D1208" s="20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5"/>
    </row>
    <row r="1209">
      <c r="A1209" s="11"/>
      <c r="B1209" s="11"/>
      <c r="C1209" s="20"/>
      <c r="D1209" s="20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5"/>
    </row>
    <row r="1210">
      <c r="A1210" s="11"/>
      <c r="B1210" s="11"/>
      <c r="C1210" s="20"/>
      <c r="D1210" s="20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5"/>
    </row>
    <row r="1211">
      <c r="A1211" s="11"/>
      <c r="B1211" s="11"/>
      <c r="C1211" s="20"/>
      <c r="D1211" s="20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5"/>
    </row>
    <row r="1212">
      <c r="A1212" s="11"/>
      <c r="B1212" s="11"/>
      <c r="C1212" s="20"/>
      <c r="D1212" s="20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5"/>
    </row>
    <row r="1213">
      <c r="A1213" s="11"/>
      <c r="B1213" s="11"/>
      <c r="C1213" s="20"/>
      <c r="D1213" s="20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5"/>
    </row>
    <row r="1214">
      <c r="A1214" s="11"/>
      <c r="B1214" s="11"/>
      <c r="C1214" s="20"/>
      <c r="D1214" s="20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5"/>
    </row>
    <row r="1215">
      <c r="A1215" s="11"/>
      <c r="B1215" s="11"/>
      <c r="C1215" s="20"/>
      <c r="D1215" s="20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5"/>
    </row>
    <row r="1216">
      <c r="A1216" s="11"/>
      <c r="B1216" s="11"/>
      <c r="C1216" s="20"/>
      <c r="D1216" s="20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5"/>
    </row>
    <row r="1217">
      <c r="A1217" s="11"/>
      <c r="B1217" s="11"/>
      <c r="C1217" s="20"/>
      <c r="D1217" s="20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5"/>
    </row>
    <row r="1218">
      <c r="A1218" s="11"/>
      <c r="B1218" s="11"/>
      <c r="C1218" s="20"/>
      <c r="D1218" s="20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5"/>
    </row>
    <row r="1219">
      <c r="A1219" s="11"/>
      <c r="B1219" s="11"/>
      <c r="C1219" s="20"/>
      <c r="D1219" s="20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5"/>
    </row>
    <row r="1220">
      <c r="A1220" s="11"/>
      <c r="B1220" s="11"/>
      <c r="C1220" s="20"/>
      <c r="D1220" s="20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5"/>
    </row>
    <row r="1221">
      <c r="A1221" s="11"/>
      <c r="B1221" s="11"/>
      <c r="C1221" s="20"/>
      <c r="D1221" s="20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5"/>
    </row>
    <row r="1222">
      <c r="A1222" s="11"/>
      <c r="B1222" s="11"/>
      <c r="C1222" s="20"/>
      <c r="D1222" s="20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5"/>
    </row>
    <row r="1223">
      <c r="A1223" s="11"/>
      <c r="B1223" s="11"/>
      <c r="C1223" s="20"/>
      <c r="D1223" s="20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5"/>
    </row>
    <row r="1224">
      <c r="A1224" s="11"/>
      <c r="B1224" s="11"/>
      <c r="C1224" s="20"/>
      <c r="D1224" s="20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5"/>
    </row>
    <row r="1225">
      <c r="A1225" s="11"/>
      <c r="B1225" s="11"/>
      <c r="C1225" s="20"/>
      <c r="D1225" s="20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5"/>
    </row>
    <row r="1226">
      <c r="A1226" s="11"/>
      <c r="B1226" s="11"/>
      <c r="C1226" s="20"/>
      <c r="D1226" s="20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5"/>
    </row>
    <row r="1227">
      <c r="A1227" s="11"/>
      <c r="B1227" s="11"/>
      <c r="C1227" s="20"/>
      <c r="D1227" s="20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5"/>
    </row>
    <row r="1228">
      <c r="A1228" s="11"/>
      <c r="B1228" s="11"/>
      <c r="C1228" s="20"/>
      <c r="D1228" s="20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5"/>
    </row>
    <row r="1229">
      <c r="A1229" s="11"/>
      <c r="B1229" s="11"/>
      <c r="C1229" s="20"/>
      <c r="D1229" s="20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5"/>
    </row>
    <row r="1230">
      <c r="A1230" s="11"/>
      <c r="B1230" s="11"/>
      <c r="C1230" s="20"/>
      <c r="D1230" s="20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5"/>
    </row>
    <row r="1231">
      <c r="A1231" s="11"/>
      <c r="B1231" s="11"/>
      <c r="C1231" s="20"/>
      <c r="D1231" s="20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5"/>
    </row>
    <row r="1232">
      <c r="A1232" s="11"/>
      <c r="B1232" s="11"/>
      <c r="C1232" s="20"/>
      <c r="D1232" s="20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5"/>
    </row>
    <row r="1233">
      <c r="A1233" s="11"/>
      <c r="B1233" s="11"/>
      <c r="C1233" s="20"/>
      <c r="D1233" s="20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5"/>
    </row>
    <row r="1234">
      <c r="A1234" s="11"/>
      <c r="B1234" s="11"/>
      <c r="C1234" s="20"/>
      <c r="D1234" s="20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5"/>
    </row>
    <row r="1235">
      <c r="A1235" s="11"/>
      <c r="B1235" s="11"/>
      <c r="C1235" s="20"/>
      <c r="D1235" s="20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5"/>
    </row>
    <row r="1236">
      <c r="A1236" s="11"/>
      <c r="B1236" s="11"/>
      <c r="C1236" s="20"/>
      <c r="D1236" s="20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5"/>
    </row>
    <row r="1237">
      <c r="A1237" s="11"/>
      <c r="B1237" s="11"/>
      <c r="C1237" s="20"/>
      <c r="D1237" s="20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5"/>
    </row>
    <row r="1238">
      <c r="A1238" s="11"/>
      <c r="B1238" s="11"/>
      <c r="C1238" s="20"/>
      <c r="D1238" s="20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5"/>
    </row>
    <row r="1239">
      <c r="A1239" s="11"/>
      <c r="B1239" s="11"/>
      <c r="C1239" s="20"/>
      <c r="D1239" s="20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5"/>
    </row>
    <row r="1240">
      <c r="A1240" s="11"/>
      <c r="B1240" s="11"/>
      <c r="C1240" s="20"/>
      <c r="D1240" s="20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5"/>
    </row>
    <row r="1241">
      <c r="A1241" s="11"/>
      <c r="B1241" s="11"/>
      <c r="C1241" s="20"/>
      <c r="D1241" s="20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5"/>
    </row>
    <row r="1242">
      <c r="A1242" s="11"/>
      <c r="B1242" s="11"/>
      <c r="C1242" s="20"/>
      <c r="D1242" s="20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5"/>
    </row>
    <row r="1243">
      <c r="A1243" s="11"/>
      <c r="B1243" s="11"/>
      <c r="C1243" s="20"/>
      <c r="D1243" s="20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5"/>
    </row>
    <row r="1244">
      <c r="A1244" s="11"/>
      <c r="B1244" s="11"/>
      <c r="C1244" s="20"/>
      <c r="D1244" s="20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5"/>
    </row>
    <row r="1245">
      <c r="A1245" s="11"/>
      <c r="B1245" s="11"/>
      <c r="C1245" s="20"/>
      <c r="D1245" s="20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5"/>
    </row>
    <row r="1246">
      <c r="A1246" s="11"/>
      <c r="B1246" s="11"/>
      <c r="C1246" s="20"/>
      <c r="D1246" s="20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5"/>
    </row>
    <row r="1247">
      <c r="A1247" s="11"/>
      <c r="B1247" s="11"/>
      <c r="C1247" s="20"/>
      <c r="D1247" s="20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5"/>
    </row>
    <row r="1248">
      <c r="A1248" s="11"/>
      <c r="B1248" s="11"/>
      <c r="C1248" s="20"/>
      <c r="D1248" s="20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5"/>
    </row>
    <row r="1249">
      <c r="A1249" s="11"/>
      <c r="B1249" s="11"/>
      <c r="C1249" s="20"/>
      <c r="D1249" s="20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5"/>
    </row>
    <row r="1250">
      <c r="A1250" s="11"/>
      <c r="B1250" s="11"/>
      <c r="C1250" s="20"/>
      <c r="D1250" s="20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5"/>
    </row>
    <row r="1251">
      <c r="A1251" s="11"/>
      <c r="B1251" s="11"/>
      <c r="C1251" s="20"/>
      <c r="D1251" s="20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5"/>
    </row>
    <row r="1252">
      <c r="A1252" s="11"/>
      <c r="B1252" s="11"/>
      <c r="C1252" s="20"/>
      <c r="D1252" s="20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5"/>
    </row>
    <row r="1253">
      <c r="A1253" s="11"/>
      <c r="B1253" s="11"/>
      <c r="C1253" s="20"/>
      <c r="D1253" s="20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5"/>
    </row>
    <row r="1254">
      <c r="A1254" s="11"/>
      <c r="B1254" s="11"/>
      <c r="C1254" s="20"/>
      <c r="D1254" s="20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5"/>
    </row>
    <row r="1255">
      <c r="A1255" s="11"/>
      <c r="B1255" s="11"/>
      <c r="C1255" s="20"/>
      <c r="D1255" s="20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5"/>
    </row>
    <row r="1256">
      <c r="A1256" s="11"/>
      <c r="B1256" s="11"/>
      <c r="C1256" s="20"/>
      <c r="D1256" s="20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5"/>
    </row>
    <row r="1257">
      <c r="A1257" s="11"/>
      <c r="B1257" s="11"/>
      <c r="C1257" s="20"/>
      <c r="D1257" s="20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5"/>
    </row>
    <row r="1258">
      <c r="A1258" s="11"/>
      <c r="B1258" s="11"/>
      <c r="C1258" s="20"/>
      <c r="D1258" s="20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5"/>
    </row>
    <row r="1259">
      <c r="A1259" s="11"/>
      <c r="B1259" s="11"/>
      <c r="C1259" s="20"/>
      <c r="D1259" s="20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5"/>
    </row>
    <row r="1260">
      <c r="A1260" s="11"/>
      <c r="B1260" s="11"/>
      <c r="C1260" s="20"/>
      <c r="D1260" s="20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5"/>
    </row>
    <row r="1261">
      <c r="A1261" s="11"/>
      <c r="B1261" s="11"/>
      <c r="C1261" s="20"/>
      <c r="D1261" s="20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5"/>
    </row>
    <row r="1262">
      <c r="A1262" s="11"/>
      <c r="B1262" s="11"/>
      <c r="C1262" s="20"/>
      <c r="D1262" s="20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5"/>
    </row>
    <row r="1263">
      <c r="A1263" s="11"/>
      <c r="B1263" s="11"/>
      <c r="C1263" s="20"/>
      <c r="D1263" s="20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5"/>
    </row>
    <row r="1264">
      <c r="A1264" s="11"/>
      <c r="B1264" s="11"/>
      <c r="C1264" s="20"/>
      <c r="D1264" s="20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5"/>
    </row>
    <row r="1265">
      <c r="A1265" s="11"/>
      <c r="B1265" s="11"/>
      <c r="C1265" s="20"/>
      <c r="D1265" s="20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5"/>
    </row>
    <row r="1266">
      <c r="A1266" s="11"/>
      <c r="B1266" s="11"/>
      <c r="C1266" s="20"/>
      <c r="D1266" s="20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5"/>
    </row>
    <row r="1267">
      <c r="A1267" s="11"/>
      <c r="B1267" s="11"/>
      <c r="C1267" s="20"/>
      <c r="D1267" s="20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5"/>
    </row>
    <row r="1268">
      <c r="A1268" s="11"/>
      <c r="B1268" s="11"/>
      <c r="C1268" s="20"/>
      <c r="D1268" s="20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5"/>
    </row>
    <row r="1269">
      <c r="A1269" s="11"/>
      <c r="B1269" s="11"/>
      <c r="C1269" s="20"/>
      <c r="D1269" s="20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5"/>
    </row>
    <row r="1270">
      <c r="A1270" s="11"/>
      <c r="B1270" s="11"/>
      <c r="C1270" s="20"/>
      <c r="D1270" s="20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5"/>
    </row>
    <row r="1271">
      <c r="A1271" s="11"/>
      <c r="B1271" s="11"/>
      <c r="C1271" s="20"/>
      <c r="D1271" s="20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5"/>
    </row>
    <row r="1272">
      <c r="A1272" s="11"/>
      <c r="B1272" s="11"/>
      <c r="C1272" s="20"/>
      <c r="D1272" s="20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5"/>
    </row>
    <row r="1273">
      <c r="A1273" s="11"/>
      <c r="B1273" s="11"/>
      <c r="C1273" s="20"/>
      <c r="D1273" s="20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5"/>
    </row>
    <row r="1274">
      <c r="A1274" s="11"/>
      <c r="B1274" s="11"/>
      <c r="C1274" s="20"/>
      <c r="D1274" s="20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5"/>
    </row>
    <row r="1275">
      <c r="A1275" s="11"/>
      <c r="B1275" s="11"/>
      <c r="C1275" s="20"/>
      <c r="D1275" s="20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5"/>
    </row>
    <row r="1276">
      <c r="A1276" s="11"/>
      <c r="B1276" s="11"/>
      <c r="C1276" s="20"/>
      <c r="D1276" s="20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5"/>
    </row>
    <row r="1277">
      <c r="A1277" s="11"/>
      <c r="B1277" s="11"/>
      <c r="C1277" s="20"/>
      <c r="D1277" s="20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5"/>
    </row>
    <row r="1278">
      <c r="A1278" s="11"/>
      <c r="B1278" s="11"/>
      <c r="C1278" s="20"/>
      <c r="D1278" s="20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5"/>
    </row>
    <row r="1279">
      <c r="A1279" s="11"/>
      <c r="B1279" s="11"/>
      <c r="C1279" s="20"/>
      <c r="D1279" s="20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5"/>
    </row>
    <row r="1280">
      <c r="A1280" s="11"/>
      <c r="B1280" s="11"/>
      <c r="C1280" s="20"/>
      <c r="D1280" s="20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5"/>
    </row>
    <row r="1281">
      <c r="A1281" s="11"/>
      <c r="B1281" s="11"/>
      <c r="C1281" s="20"/>
      <c r="D1281" s="20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5"/>
    </row>
    <row r="1282">
      <c r="A1282" s="11"/>
      <c r="B1282" s="11"/>
      <c r="C1282" s="20"/>
      <c r="D1282" s="20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5"/>
    </row>
    <row r="1283">
      <c r="A1283" s="11"/>
      <c r="B1283" s="11"/>
      <c r="C1283" s="20"/>
      <c r="D1283" s="20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5"/>
    </row>
    <row r="1284">
      <c r="A1284" s="11"/>
      <c r="B1284" s="11"/>
      <c r="C1284" s="20"/>
      <c r="D1284" s="20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5"/>
    </row>
    <row r="1285">
      <c r="A1285" s="11"/>
      <c r="B1285" s="11"/>
      <c r="C1285" s="20"/>
      <c r="D1285" s="20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5"/>
    </row>
    <row r="1286">
      <c r="A1286" s="11"/>
      <c r="B1286" s="11"/>
      <c r="C1286" s="20"/>
      <c r="D1286" s="20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5"/>
    </row>
    <row r="1287">
      <c r="A1287" s="11"/>
      <c r="B1287" s="11"/>
      <c r="C1287" s="20"/>
      <c r="D1287" s="20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5"/>
    </row>
    <row r="1288">
      <c r="A1288" s="11"/>
      <c r="B1288" s="11"/>
      <c r="C1288" s="20"/>
      <c r="D1288" s="20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5"/>
    </row>
    <row r="1289">
      <c r="A1289" s="11"/>
      <c r="B1289" s="11"/>
      <c r="C1289" s="20"/>
      <c r="D1289" s="20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5"/>
    </row>
    <row r="1290">
      <c r="A1290" s="11"/>
      <c r="B1290" s="11"/>
      <c r="C1290" s="20"/>
      <c r="D1290" s="20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5"/>
    </row>
    <row r="1291">
      <c r="A1291" s="11"/>
      <c r="B1291" s="11"/>
      <c r="C1291" s="20"/>
      <c r="D1291" s="20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5"/>
    </row>
    <row r="1292">
      <c r="A1292" s="11"/>
      <c r="B1292" s="11"/>
      <c r="C1292" s="20"/>
      <c r="D1292" s="20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5"/>
    </row>
    <row r="1293">
      <c r="A1293" s="11"/>
      <c r="B1293" s="11"/>
      <c r="C1293" s="20"/>
      <c r="D1293" s="20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5"/>
    </row>
    <row r="1294">
      <c r="A1294" s="11"/>
      <c r="B1294" s="11"/>
      <c r="C1294" s="20"/>
      <c r="D1294" s="20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5"/>
    </row>
    <row r="1295">
      <c r="A1295" s="11"/>
      <c r="B1295" s="11"/>
      <c r="C1295" s="20"/>
      <c r="D1295" s="20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5"/>
    </row>
    <row r="1296">
      <c r="A1296" s="11"/>
      <c r="B1296" s="11"/>
      <c r="C1296" s="20"/>
      <c r="D1296" s="20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5"/>
    </row>
    <row r="1297">
      <c r="A1297" s="11"/>
      <c r="B1297" s="11"/>
      <c r="C1297" s="20"/>
      <c r="D1297" s="20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5"/>
    </row>
    <row r="1298">
      <c r="A1298" s="11"/>
      <c r="B1298" s="11"/>
      <c r="C1298" s="20"/>
      <c r="D1298" s="20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5"/>
    </row>
    <row r="1299">
      <c r="A1299" s="11"/>
      <c r="B1299" s="11"/>
      <c r="C1299" s="20"/>
      <c r="D1299" s="20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5"/>
    </row>
    <row r="1300">
      <c r="A1300" s="11"/>
      <c r="B1300" s="11"/>
      <c r="C1300" s="20"/>
      <c r="D1300" s="20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5"/>
    </row>
    <row r="1301">
      <c r="A1301" s="11"/>
      <c r="B1301" s="11"/>
      <c r="C1301" s="20"/>
      <c r="D1301" s="20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5"/>
    </row>
    <row r="1302">
      <c r="A1302" s="11"/>
      <c r="B1302" s="11"/>
      <c r="C1302" s="20"/>
      <c r="D1302" s="20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5"/>
    </row>
    <row r="1303">
      <c r="A1303" s="11"/>
      <c r="B1303" s="11"/>
      <c r="C1303" s="20"/>
      <c r="D1303" s="20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5"/>
    </row>
    <row r="1304">
      <c r="A1304" s="11"/>
      <c r="B1304" s="11"/>
      <c r="C1304" s="20"/>
      <c r="D1304" s="20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5"/>
    </row>
    <row r="1305">
      <c r="A1305" s="11"/>
      <c r="B1305" s="11"/>
      <c r="C1305" s="20"/>
      <c r="D1305" s="20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5"/>
    </row>
    <row r="1306">
      <c r="A1306" s="11"/>
      <c r="B1306" s="11"/>
      <c r="C1306" s="20"/>
      <c r="D1306" s="20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5"/>
    </row>
    <row r="1307">
      <c r="A1307" s="11"/>
      <c r="B1307" s="11"/>
      <c r="C1307" s="20"/>
      <c r="D1307" s="20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5"/>
    </row>
    <row r="1308">
      <c r="A1308" s="11"/>
      <c r="B1308" s="11"/>
      <c r="C1308" s="20"/>
      <c r="D1308" s="20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5"/>
    </row>
    <row r="1309">
      <c r="A1309" s="11"/>
      <c r="B1309" s="11"/>
      <c r="C1309" s="20"/>
      <c r="D1309" s="20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5"/>
    </row>
    <row r="1310">
      <c r="A1310" s="11"/>
      <c r="B1310" s="11"/>
      <c r="C1310" s="20"/>
      <c r="D1310" s="20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5"/>
    </row>
    <row r="1311">
      <c r="A1311" s="11"/>
      <c r="B1311" s="11"/>
      <c r="C1311" s="20"/>
      <c r="D1311" s="20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5"/>
    </row>
    <row r="1312">
      <c r="A1312" s="11"/>
      <c r="B1312" s="11"/>
      <c r="C1312" s="20"/>
      <c r="D1312" s="20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5"/>
    </row>
    <row r="1313">
      <c r="A1313" s="11"/>
      <c r="B1313" s="11"/>
      <c r="C1313" s="20"/>
      <c r="D1313" s="20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5"/>
    </row>
    <row r="1314">
      <c r="A1314" s="11"/>
      <c r="B1314" s="11"/>
      <c r="C1314" s="20"/>
      <c r="D1314" s="20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5"/>
    </row>
    <row r="1315">
      <c r="A1315" s="11"/>
      <c r="B1315" s="11"/>
      <c r="C1315" s="20"/>
      <c r="D1315" s="20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5"/>
    </row>
    <row r="1316">
      <c r="A1316" s="11"/>
      <c r="B1316" s="11"/>
      <c r="C1316" s="20"/>
      <c r="D1316" s="20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5"/>
    </row>
    <row r="1317">
      <c r="A1317" s="11"/>
      <c r="B1317" s="11"/>
      <c r="C1317" s="20"/>
      <c r="D1317" s="20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5"/>
    </row>
    <row r="1318">
      <c r="A1318" s="11"/>
      <c r="B1318" s="11"/>
      <c r="C1318" s="20"/>
      <c r="D1318" s="20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5"/>
    </row>
    <row r="1319">
      <c r="A1319" s="11"/>
      <c r="B1319" s="11"/>
      <c r="C1319" s="20"/>
      <c r="D1319" s="20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5"/>
    </row>
    <row r="1320">
      <c r="A1320" s="11"/>
      <c r="B1320" s="11"/>
      <c r="C1320" s="20"/>
      <c r="D1320" s="20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5"/>
    </row>
    <row r="1321">
      <c r="A1321" s="11"/>
      <c r="B1321" s="11"/>
      <c r="C1321" s="20"/>
      <c r="D1321" s="20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5"/>
    </row>
    <row r="1322">
      <c r="A1322" s="11"/>
      <c r="B1322" s="11"/>
      <c r="C1322" s="20"/>
      <c r="D1322" s="20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5"/>
    </row>
    <row r="1323">
      <c r="A1323" s="11"/>
      <c r="B1323" s="11"/>
      <c r="C1323" s="20"/>
      <c r="D1323" s="20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5"/>
    </row>
    <row r="1324">
      <c r="A1324" s="11"/>
      <c r="B1324" s="11"/>
      <c r="C1324" s="20"/>
      <c r="D1324" s="20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5"/>
    </row>
    <row r="1325">
      <c r="A1325" s="11"/>
      <c r="B1325" s="11"/>
      <c r="C1325" s="20"/>
      <c r="D1325" s="20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5"/>
    </row>
    <row r="1326">
      <c r="A1326" s="11"/>
      <c r="B1326" s="11"/>
      <c r="C1326" s="20"/>
      <c r="D1326" s="20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5"/>
    </row>
    <row r="1327">
      <c r="A1327" s="11"/>
      <c r="B1327" s="11"/>
      <c r="C1327" s="20"/>
      <c r="D1327" s="20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5"/>
    </row>
    <row r="1328">
      <c r="A1328" s="11"/>
      <c r="B1328" s="11"/>
      <c r="C1328" s="20"/>
      <c r="D1328" s="20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5"/>
    </row>
    <row r="1329">
      <c r="A1329" s="11"/>
      <c r="B1329" s="11"/>
      <c r="C1329" s="20"/>
      <c r="D1329" s="20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5"/>
    </row>
    <row r="1330">
      <c r="A1330" s="11"/>
      <c r="B1330" s="11"/>
      <c r="C1330" s="20"/>
      <c r="D1330" s="20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5"/>
    </row>
    <row r="1331">
      <c r="A1331" s="11"/>
      <c r="B1331" s="11"/>
      <c r="C1331" s="20"/>
      <c r="D1331" s="20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5"/>
    </row>
    <row r="1332">
      <c r="A1332" s="11"/>
      <c r="B1332" s="11"/>
      <c r="C1332" s="20"/>
      <c r="D1332" s="20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5"/>
    </row>
    <row r="1333">
      <c r="A1333" s="11"/>
      <c r="B1333" s="11"/>
      <c r="C1333" s="20"/>
      <c r="D1333" s="20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5"/>
    </row>
    <row r="1334">
      <c r="A1334" s="11"/>
      <c r="B1334" s="11"/>
      <c r="C1334" s="20"/>
      <c r="D1334" s="20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5"/>
    </row>
    <row r="1335">
      <c r="A1335" s="11"/>
      <c r="B1335" s="11"/>
      <c r="C1335" s="20"/>
      <c r="D1335" s="20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5"/>
    </row>
    <row r="1336">
      <c r="A1336" s="11"/>
      <c r="B1336" s="11"/>
      <c r="C1336" s="20"/>
      <c r="D1336" s="20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5"/>
    </row>
    <row r="1337">
      <c r="A1337" s="11"/>
      <c r="B1337" s="11"/>
      <c r="C1337" s="20"/>
      <c r="D1337" s="20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5"/>
    </row>
    <row r="1338">
      <c r="A1338" s="11"/>
      <c r="B1338" s="11"/>
      <c r="C1338" s="20"/>
      <c r="D1338" s="20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5"/>
    </row>
    <row r="1339">
      <c r="A1339" s="11"/>
      <c r="B1339" s="11"/>
      <c r="C1339" s="20"/>
      <c r="D1339" s="20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5"/>
    </row>
    <row r="1340">
      <c r="A1340" s="11"/>
      <c r="B1340" s="11"/>
      <c r="C1340" s="20"/>
      <c r="D1340" s="20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5"/>
    </row>
    <row r="1341">
      <c r="A1341" s="11"/>
      <c r="B1341" s="11"/>
      <c r="C1341" s="20"/>
      <c r="D1341" s="20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5"/>
    </row>
    <row r="1342">
      <c r="A1342" s="11"/>
      <c r="B1342" s="11"/>
      <c r="C1342" s="20"/>
      <c r="D1342" s="20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5"/>
    </row>
    <row r="1343">
      <c r="A1343" s="11"/>
      <c r="B1343" s="11"/>
      <c r="C1343" s="20"/>
      <c r="D1343" s="20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5"/>
    </row>
    <row r="1344">
      <c r="A1344" s="11"/>
      <c r="B1344" s="11"/>
      <c r="C1344" s="20"/>
      <c r="D1344" s="20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5"/>
    </row>
    <row r="1345">
      <c r="A1345" s="11"/>
      <c r="B1345" s="11"/>
      <c r="C1345" s="20"/>
      <c r="D1345" s="20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5"/>
    </row>
    <row r="1346">
      <c r="A1346" s="11"/>
      <c r="B1346" s="11"/>
      <c r="C1346" s="20"/>
      <c r="D1346" s="20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5"/>
    </row>
    <row r="1347">
      <c r="A1347" s="11"/>
      <c r="B1347" s="11"/>
      <c r="C1347" s="20"/>
      <c r="D1347" s="20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5"/>
    </row>
    <row r="1348">
      <c r="A1348" s="11"/>
      <c r="B1348" s="11"/>
      <c r="C1348" s="20"/>
      <c r="D1348" s="20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5"/>
    </row>
    <row r="1349">
      <c r="A1349" s="11"/>
      <c r="B1349" s="11"/>
      <c r="C1349" s="20"/>
      <c r="D1349" s="20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5"/>
    </row>
    <row r="1350">
      <c r="A1350" s="11"/>
      <c r="B1350" s="11"/>
      <c r="C1350" s="20"/>
      <c r="D1350" s="20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5"/>
    </row>
    <row r="1351">
      <c r="A1351" s="11"/>
      <c r="B1351" s="11"/>
      <c r="C1351" s="20"/>
      <c r="D1351" s="20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5"/>
    </row>
    <row r="1352">
      <c r="A1352" s="11"/>
      <c r="B1352" s="11"/>
      <c r="C1352" s="20"/>
      <c r="D1352" s="20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5"/>
    </row>
    <row r="1353">
      <c r="A1353" s="11"/>
      <c r="B1353" s="11"/>
      <c r="C1353" s="20"/>
      <c r="D1353" s="20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5"/>
    </row>
    <row r="1354">
      <c r="A1354" s="11"/>
      <c r="B1354" s="11"/>
      <c r="C1354" s="20"/>
      <c r="D1354" s="20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5"/>
    </row>
    <row r="1355">
      <c r="A1355" s="11"/>
      <c r="B1355" s="11"/>
      <c r="C1355" s="20"/>
      <c r="D1355" s="20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5"/>
    </row>
    <row r="1356">
      <c r="A1356" s="11"/>
      <c r="B1356" s="11"/>
      <c r="C1356" s="20"/>
      <c r="D1356" s="20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5"/>
    </row>
    <row r="1357">
      <c r="A1357" s="11"/>
      <c r="B1357" s="11"/>
      <c r="C1357" s="20"/>
      <c r="D1357" s="20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5"/>
    </row>
    <row r="1358">
      <c r="A1358" s="11"/>
      <c r="B1358" s="11"/>
      <c r="C1358" s="20"/>
      <c r="D1358" s="20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5"/>
    </row>
    <row r="1359">
      <c r="A1359" s="11"/>
      <c r="B1359" s="11"/>
      <c r="C1359" s="20"/>
      <c r="D1359" s="20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5"/>
    </row>
    <row r="1360">
      <c r="A1360" s="11"/>
      <c r="B1360" s="11"/>
      <c r="C1360" s="20"/>
      <c r="D1360" s="20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5"/>
    </row>
    <row r="1361">
      <c r="A1361" s="11"/>
      <c r="B1361" s="11"/>
      <c r="C1361" s="20"/>
      <c r="D1361" s="20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5"/>
    </row>
    <row r="1362">
      <c r="A1362" s="11"/>
      <c r="B1362" s="11"/>
      <c r="C1362" s="20"/>
      <c r="D1362" s="20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5"/>
    </row>
    <row r="1363">
      <c r="A1363" s="11"/>
      <c r="B1363" s="11"/>
      <c r="C1363" s="20"/>
      <c r="D1363" s="20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5"/>
    </row>
    <row r="1364">
      <c r="A1364" s="11"/>
      <c r="B1364" s="11"/>
      <c r="C1364" s="20"/>
      <c r="D1364" s="20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5"/>
    </row>
    <row r="1365">
      <c r="A1365" s="11"/>
      <c r="B1365" s="11"/>
      <c r="C1365" s="20"/>
      <c r="D1365" s="20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5"/>
    </row>
    <row r="1366">
      <c r="A1366" s="11"/>
      <c r="B1366" s="11"/>
      <c r="C1366" s="20"/>
      <c r="D1366" s="20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5"/>
    </row>
    <row r="1367">
      <c r="A1367" s="11"/>
      <c r="B1367" s="11"/>
      <c r="C1367" s="20"/>
      <c r="D1367" s="20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5"/>
    </row>
    <row r="1368">
      <c r="A1368" s="11"/>
      <c r="B1368" s="11"/>
      <c r="C1368" s="20"/>
      <c r="D1368" s="20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5"/>
    </row>
    <row r="1369">
      <c r="A1369" s="11"/>
      <c r="B1369" s="11"/>
      <c r="C1369" s="20"/>
      <c r="D1369" s="20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5"/>
    </row>
    <row r="1370">
      <c r="A1370" s="11"/>
      <c r="B1370" s="11"/>
      <c r="C1370" s="20"/>
      <c r="D1370" s="20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5"/>
    </row>
    <row r="1371">
      <c r="A1371" s="11"/>
      <c r="B1371" s="11"/>
      <c r="C1371" s="20"/>
      <c r="D1371" s="20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5"/>
    </row>
    <row r="1372">
      <c r="A1372" s="11"/>
      <c r="B1372" s="11"/>
      <c r="C1372" s="20"/>
      <c r="D1372" s="20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5"/>
    </row>
    <row r="1373">
      <c r="A1373" s="11"/>
      <c r="B1373" s="11"/>
      <c r="C1373" s="20"/>
      <c r="D1373" s="20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5"/>
    </row>
    <row r="1374">
      <c r="A1374" s="11"/>
      <c r="B1374" s="11"/>
      <c r="C1374" s="20"/>
      <c r="D1374" s="20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5"/>
    </row>
    <row r="1375">
      <c r="A1375" s="11"/>
      <c r="B1375" s="11"/>
      <c r="C1375" s="20"/>
      <c r="D1375" s="20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5"/>
    </row>
    <row r="1376">
      <c r="A1376" s="11"/>
      <c r="B1376" s="11"/>
      <c r="C1376" s="20"/>
      <c r="D1376" s="20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5"/>
    </row>
    <row r="1377">
      <c r="A1377" s="11"/>
      <c r="B1377" s="11"/>
      <c r="C1377" s="20"/>
      <c r="D1377" s="20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5"/>
    </row>
    <row r="1378">
      <c r="A1378" s="11"/>
      <c r="B1378" s="11"/>
      <c r="C1378" s="20"/>
      <c r="D1378" s="20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5"/>
    </row>
    <row r="1379">
      <c r="A1379" s="11"/>
      <c r="B1379" s="11"/>
      <c r="C1379" s="20"/>
      <c r="D1379" s="20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5"/>
    </row>
    <row r="1380">
      <c r="A1380" s="11"/>
      <c r="B1380" s="11"/>
      <c r="C1380" s="20"/>
      <c r="D1380" s="20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5"/>
    </row>
    <row r="1381">
      <c r="A1381" s="11"/>
      <c r="B1381" s="11"/>
      <c r="C1381" s="20"/>
      <c r="D1381" s="20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5"/>
    </row>
    <row r="1382">
      <c r="A1382" s="11"/>
      <c r="B1382" s="11"/>
      <c r="C1382" s="20"/>
      <c r="D1382" s="20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5"/>
    </row>
    <row r="1383">
      <c r="A1383" s="11"/>
      <c r="B1383" s="11"/>
      <c r="C1383" s="20"/>
      <c r="D1383" s="20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5"/>
    </row>
    <row r="1384">
      <c r="A1384" s="11"/>
      <c r="B1384" s="11"/>
      <c r="C1384" s="20"/>
      <c r="D1384" s="20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5"/>
    </row>
    <row r="1385">
      <c r="A1385" s="11"/>
      <c r="B1385" s="11"/>
      <c r="C1385" s="20"/>
      <c r="D1385" s="20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5"/>
    </row>
    <row r="1386">
      <c r="A1386" s="11"/>
      <c r="B1386" s="11"/>
      <c r="C1386" s="20"/>
      <c r="D1386" s="20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5"/>
    </row>
    <row r="1387">
      <c r="A1387" s="11"/>
      <c r="B1387" s="11"/>
      <c r="C1387" s="20"/>
      <c r="D1387" s="20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5"/>
    </row>
    <row r="1388">
      <c r="A1388" s="11"/>
      <c r="B1388" s="11"/>
      <c r="C1388" s="20"/>
      <c r="D1388" s="20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5"/>
    </row>
    <row r="1389">
      <c r="A1389" s="11"/>
      <c r="B1389" s="11"/>
      <c r="C1389" s="20"/>
      <c r="D1389" s="20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5"/>
    </row>
    <row r="1390">
      <c r="A1390" s="11"/>
      <c r="B1390" s="11"/>
      <c r="C1390" s="20"/>
      <c r="D1390" s="20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5"/>
    </row>
    <row r="1391">
      <c r="A1391" s="11"/>
      <c r="B1391" s="11"/>
      <c r="C1391" s="20"/>
      <c r="D1391" s="20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5"/>
    </row>
    <row r="1392">
      <c r="A1392" s="11"/>
      <c r="B1392" s="11"/>
      <c r="C1392" s="20"/>
      <c r="D1392" s="20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5"/>
    </row>
    <row r="1393">
      <c r="A1393" s="11"/>
      <c r="B1393" s="11"/>
      <c r="C1393" s="20"/>
      <c r="D1393" s="20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5"/>
    </row>
    <row r="1394">
      <c r="A1394" s="11"/>
      <c r="B1394" s="11"/>
      <c r="C1394" s="20"/>
      <c r="D1394" s="20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5"/>
    </row>
    <row r="1395">
      <c r="A1395" s="11"/>
      <c r="B1395" s="11"/>
      <c r="C1395" s="20"/>
      <c r="D1395" s="20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5"/>
    </row>
    <row r="1396">
      <c r="A1396" s="11"/>
      <c r="B1396" s="11"/>
      <c r="C1396" s="20"/>
      <c r="D1396" s="20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5"/>
    </row>
    <row r="1397">
      <c r="A1397" s="11"/>
      <c r="B1397" s="11"/>
      <c r="C1397" s="20"/>
      <c r="D1397" s="20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5"/>
    </row>
    <row r="1398">
      <c r="A1398" s="11"/>
      <c r="B1398" s="11"/>
      <c r="C1398" s="20"/>
      <c r="D1398" s="20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5"/>
    </row>
    <row r="1399">
      <c r="A1399" s="11"/>
      <c r="B1399" s="11"/>
      <c r="C1399" s="20"/>
      <c r="D1399" s="20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5"/>
    </row>
    <row r="1400">
      <c r="A1400" s="11"/>
      <c r="B1400" s="11"/>
      <c r="C1400" s="20"/>
      <c r="D1400" s="20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5"/>
    </row>
    <row r="1401">
      <c r="A1401" s="11"/>
      <c r="B1401" s="11"/>
      <c r="C1401" s="20"/>
      <c r="D1401" s="20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5"/>
    </row>
    <row r="1402">
      <c r="A1402" s="11"/>
      <c r="B1402" s="11"/>
      <c r="C1402" s="20"/>
      <c r="D1402" s="20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5"/>
    </row>
    <row r="1403">
      <c r="A1403" s="11"/>
      <c r="B1403" s="11"/>
      <c r="C1403" s="20"/>
      <c r="D1403" s="20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5"/>
    </row>
    <row r="1404">
      <c r="A1404" s="11"/>
      <c r="B1404" s="11"/>
      <c r="C1404" s="20"/>
      <c r="D1404" s="20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5"/>
    </row>
    <row r="1405">
      <c r="A1405" s="11"/>
      <c r="B1405" s="11"/>
      <c r="C1405" s="20"/>
      <c r="D1405" s="20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5"/>
    </row>
    <row r="1406">
      <c r="A1406" s="11"/>
      <c r="B1406" s="11"/>
      <c r="C1406" s="20"/>
      <c r="D1406" s="20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5"/>
    </row>
    <row r="1407">
      <c r="A1407" s="11"/>
      <c r="B1407" s="11"/>
      <c r="C1407" s="20"/>
      <c r="D1407" s="20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5"/>
    </row>
    <row r="1408">
      <c r="A1408" s="11"/>
      <c r="B1408" s="11"/>
      <c r="C1408" s="20"/>
      <c r="D1408" s="20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5"/>
    </row>
    <row r="1409">
      <c r="A1409" s="11"/>
      <c r="B1409" s="11"/>
      <c r="C1409" s="20"/>
      <c r="D1409" s="20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5"/>
    </row>
    <row r="1410">
      <c r="A1410" s="11"/>
      <c r="B1410" s="11"/>
      <c r="C1410" s="20"/>
      <c r="D1410" s="20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5"/>
    </row>
    <row r="1411">
      <c r="A1411" s="11"/>
      <c r="B1411" s="11"/>
      <c r="C1411" s="20"/>
      <c r="D1411" s="20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5"/>
    </row>
    <row r="1412">
      <c r="A1412" s="11"/>
      <c r="B1412" s="11"/>
      <c r="C1412" s="20"/>
      <c r="D1412" s="20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5"/>
    </row>
    <row r="1413">
      <c r="A1413" s="11"/>
      <c r="B1413" s="11"/>
      <c r="C1413" s="20"/>
      <c r="D1413" s="20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5"/>
    </row>
    <row r="1414">
      <c r="A1414" s="11"/>
      <c r="B1414" s="11"/>
      <c r="C1414" s="20"/>
      <c r="D1414" s="20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5"/>
    </row>
    <row r="1415">
      <c r="A1415" s="11"/>
      <c r="B1415" s="11"/>
      <c r="C1415" s="20"/>
      <c r="D1415" s="20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5"/>
    </row>
    <row r="1416">
      <c r="A1416" s="11"/>
      <c r="B1416" s="11"/>
      <c r="C1416" s="20"/>
      <c r="D1416" s="20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5"/>
    </row>
    <row r="1417">
      <c r="A1417" s="11"/>
      <c r="B1417" s="11"/>
      <c r="C1417" s="20"/>
      <c r="D1417" s="20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5"/>
    </row>
    <row r="1418">
      <c r="A1418" s="11"/>
      <c r="B1418" s="11"/>
      <c r="C1418" s="20"/>
      <c r="D1418" s="20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5"/>
    </row>
    <row r="1419">
      <c r="A1419" s="11"/>
      <c r="B1419" s="11"/>
      <c r="C1419" s="20"/>
      <c r="D1419" s="20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5"/>
    </row>
    <row r="1420">
      <c r="A1420" s="11"/>
      <c r="B1420" s="11"/>
      <c r="C1420" s="20"/>
      <c r="D1420" s="20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5"/>
    </row>
    <row r="1421">
      <c r="A1421" s="11"/>
      <c r="B1421" s="11"/>
      <c r="C1421" s="20"/>
      <c r="D1421" s="20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5"/>
    </row>
    <row r="1422">
      <c r="A1422" s="11"/>
      <c r="B1422" s="11"/>
      <c r="C1422" s="20"/>
      <c r="D1422" s="20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5"/>
    </row>
    <row r="1423">
      <c r="A1423" s="11"/>
      <c r="B1423" s="11"/>
      <c r="C1423" s="20"/>
      <c r="D1423" s="20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5"/>
    </row>
    <row r="1424">
      <c r="A1424" s="11"/>
      <c r="B1424" s="11"/>
      <c r="C1424" s="20"/>
      <c r="D1424" s="20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5"/>
    </row>
    <row r="1425">
      <c r="A1425" s="11"/>
      <c r="B1425" s="11"/>
      <c r="C1425" s="20"/>
      <c r="D1425" s="20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5"/>
    </row>
    <row r="1426">
      <c r="A1426" s="11"/>
      <c r="B1426" s="11"/>
      <c r="C1426" s="20"/>
      <c r="D1426" s="20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5"/>
    </row>
    <row r="1427">
      <c r="A1427" s="11"/>
      <c r="B1427" s="11"/>
      <c r="C1427" s="20"/>
      <c r="D1427" s="20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5"/>
    </row>
    <row r="1428">
      <c r="A1428" s="11"/>
      <c r="B1428" s="11"/>
      <c r="C1428" s="20"/>
      <c r="D1428" s="20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5"/>
    </row>
    <row r="1429">
      <c r="A1429" s="11"/>
      <c r="B1429" s="11"/>
      <c r="C1429" s="20"/>
      <c r="D1429" s="20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5"/>
    </row>
    <row r="1430">
      <c r="A1430" s="11"/>
      <c r="B1430" s="11"/>
      <c r="C1430" s="20"/>
      <c r="D1430" s="20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5"/>
    </row>
    <row r="1431">
      <c r="A1431" s="11"/>
      <c r="B1431" s="11"/>
      <c r="C1431" s="20"/>
      <c r="D1431" s="20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5"/>
    </row>
    <row r="1432">
      <c r="A1432" s="11"/>
      <c r="B1432" s="11"/>
      <c r="C1432" s="20"/>
      <c r="D1432" s="20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5"/>
    </row>
    <row r="1433">
      <c r="A1433" s="11"/>
      <c r="B1433" s="11"/>
      <c r="C1433" s="20"/>
      <c r="D1433" s="20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5"/>
    </row>
    <row r="1434">
      <c r="A1434" s="11"/>
      <c r="B1434" s="11"/>
      <c r="C1434" s="20"/>
      <c r="D1434" s="20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5"/>
    </row>
    <row r="1435">
      <c r="A1435" s="11"/>
      <c r="B1435" s="11"/>
      <c r="C1435" s="20"/>
      <c r="D1435" s="20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5"/>
    </row>
    <row r="1436">
      <c r="A1436" s="11"/>
      <c r="B1436" s="11"/>
      <c r="C1436" s="20"/>
      <c r="D1436" s="20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5"/>
    </row>
    <row r="1437">
      <c r="A1437" s="11"/>
      <c r="B1437" s="11"/>
      <c r="C1437" s="20"/>
      <c r="D1437" s="20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5"/>
    </row>
    <row r="1438">
      <c r="A1438" s="11"/>
      <c r="B1438" s="11"/>
      <c r="C1438" s="20"/>
      <c r="D1438" s="20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5"/>
    </row>
    <row r="1439">
      <c r="A1439" s="11"/>
      <c r="B1439" s="11"/>
      <c r="C1439" s="20"/>
      <c r="D1439" s="20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5"/>
    </row>
    <row r="1440">
      <c r="A1440" s="11"/>
      <c r="B1440" s="11"/>
      <c r="C1440" s="20"/>
      <c r="D1440" s="20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5"/>
    </row>
    <row r="1441">
      <c r="A1441" s="11"/>
      <c r="B1441" s="11"/>
      <c r="C1441" s="20"/>
      <c r="D1441" s="20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5"/>
    </row>
    <row r="1442">
      <c r="A1442" s="11"/>
      <c r="B1442" s="11"/>
      <c r="C1442" s="20"/>
      <c r="D1442" s="20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5"/>
    </row>
    <row r="1443">
      <c r="A1443" s="11"/>
      <c r="B1443" s="11"/>
      <c r="C1443" s="20"/>
      <c r="D1443" s="20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5"/>
    </row>
    <row r="1444">
      <c r="A1444" s="11"/>
      <c r="B1444" s="11"/>
      <c r="C1444" s="20"/>
      <c r="D1444" s="20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5"/>
    </row>
    <row r="1445">
      <c r="A1445" s="11"/>
      <c r="B1445" s="11"/>
      <c r="C1445" s="20"/>
      <c r="D1445" s="20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5"/>
    </row>
    <row r="1446">
      <c r="A1446" s="11"/>
      <c r="B1446" s="11"/>
      <c r="C1446" s="20"/>
      <c r="D1446" s="20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5"/>
    </row>
    <row r="1447">
      <c r="A1447" s="11"/>
      <c r="B1447" s="11"/>
      <c r="C1447" s="20"/>
      <c r="D1447" s="20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5"/>
    </row>
    <row r="1448">
      <c r="A1448" s="11"/>
      <c r="B1448" s="11"/>
      <c r="C1448" s="20"/>
      <c r="D1448" s="20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5"/>
    </row>
    <row r="1449">
      <c r="A1449" s="11"/>
      <c r="B1449" s="11"/>
      <c r="C1449" s="20"/>
      <c r="D1449" s="20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5"/>
    </row>
    <row r="1450">
      <c r="A1450" s="11"/>
      <c r="B1450" s="11"/>
      <c r="C1450" s="20"/>
      <c r="D1450" s="20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5"/>
    </row>
    <row r="1451">
      <c r="A1451" s="11"/>
      <c r="B1451" s="11"/>
      <c r="C1451" s="20"/>
      <c r="D1451" s="20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5"/>
    </row>
    <row r="1452">
      <c r="A1452" s="11"/>
      <c r="B1452" s="11"/>
      <c r="C1452" s="20"/>
      <c r="D1452" s="20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5"/>
    </row>
    <row r="1453">
      <c r="A1453" s="11"/>
      <c r="B1453" s="11"/>
      <c r="C1453" s="20"/>
      <c r="D1453" s="20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5"/>
    </row>
    <row r="1454">
      <c r="A1454" s="11"/>
      <c r="B1454" s="11"/>
      <c r="C1454" s="20"/>
      <c r="D1454" s="20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5"/>
    </row>
    <row r="1455">
      <c r="A1455" s="11"/>
      <c r="B1455" s="11"/>
      <c r="C1455" s="20"/>
      <c r="D1455" s="20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5"/>
    </row>
    <row r="1456">
      <c r="A1456" s="11"/>
      <c r="B1456" s="11"/>
      <c r="C1456" s="20"/>
      <c r="D1456" s="20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5"/>
    </row>
    <row r="1457">
      <c r="A1457" s="11"/>
      <c r="B1457" s="11"/>
      <c r="C1457" s="20"/>
      <c r="D1457" s="20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5"/>
    </row>
    <row r="1458">
      <c r="A1458" s="11"/>
      <c r="B1458" s="11"/>
      <c r="C1458" s="20"/>
      <c r="D1458" s="20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5"/>
    </row>
    <row r="1459">
      <c r="A1459" s="11"/>
      <c r="B1459" s="11"/>
      <c r="C1459" s="20"/>
      <c r="D1459" s="20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5"/>
    </row>
    <row r="1460">
      <c r="A1460" s="11"/>
      <c r="B1460" s="11"/>
      <c r="C1460" s="20"/>
      <c r="D1460" s="20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5"/>
    </row>
    <row r="1461">
      <c r="A1461" s="11"/>
      <c r="B1461" s="11"/>
      <c r="C1461" s="20"/>
      <c r="D1461" s="20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5"/>
    </row>
    <row r="1462">
      <c r="A1462" s="11"/>
      <c r="B1462" s="11"/>
      <c r="C1462" s="20"/>
      <c r="D1462" s="20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5"/>
    </row>
    <row r="1463">
      <c r="A1463" s="11"/>
      <c r="B1463" s="11"/>
      <c r="C1463" s="20"/>
      <c r="D1463" s="20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5"/>
    </row>
    <row r="1464">
      <c r="A1464" s="11"/>
      <c r="B1464" s="11"/>
      <c r="C1464" s="20"/>
      <c r="D1464" s="20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5"/>
    </row>
    <row r="1465">
      <c r="A1465" s="11"/>
      <c r="B1465" s="11"/>
      <c r="C1465" s="20"/>
      <c r="D1465" s="20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5"/>
    </row>
    <row r="1466">
      <c r="A1466" s="11"/>
      <c r="B1466" s="11"/>
      <c r="C1466" s="20"/>
      <c r="D1466" s="20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5"/>
    </row>
    <row r="1467">
      <c r="A1467" s="11"/>
      <c r="B1467" s="11"/>
      <c r="C1467" s="20"/>
      <c r="D1467" s="20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5"/>
    </row>
    <row r="1468">
      <c r="A1468" s="11"/>
      <c r="B1468" s="11"/>
      <c r="C1468" s="20"/>
      <c r="D1468" s="20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5"/>
    </row>
    <row r="1469">
      <c r="A1469" s="11"/>
      <c r="B1469" s="11"/>
      <c r="C1469" s="20"/>
      <c r="D1469" s="20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5"/>
    </row>
    <row r="1470">
      <c r="A1470" s="11"/>
      <c r="B1470" s="11"/>
      <c r="C1470" s="20"/>
      <c r="D1470" s="20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5"/>
    </row>
    <row r="1471">
      <c r="A1471" s="11"/>
      <c r="B1471" s="11"/>
      <c r="C1471" s="20"/>
      <c r="D1471" s="20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5"/>
    </row>
    <row r="1472">
      <c r="A1472" s="11"/>
      <c r="B1472" s="11"/>
      <c r="C1472" s="20"/>
      <c r="D1472" s="20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5"/>
    </row>
    <row r="1473">
      <c r="A1473" s="11"/>
      <c r="B1473" s="11"/>
      <c r="C1473" s="20"/>
      <c r="D1473" s="20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5"/>
    </row>
    <row r="1474">
      <c r="A1474" s="11"/>
      <c r="B1474" s="11"/>
      <c r="C1474" s="20"/>
      <c r="D1474" s="20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5"/>
    </row>
    <row r="1475">
      <c r="A1475" s="11"/>
      <c r="B1475" s="11"/>
      <c r="C1475" s="20"/>
      <c r="D1475" s="20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5"/>
    </row>
    <row r="1476">
      <c r="A1476" s="11"/>
      <c r="B1476" s="11"/>
      <c r="C1476" s="20"/>
      <c r="D1476" s="20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5"/>
    </row>
    <row r="1477">
      <c r="A1477" s="11"/>
      <c r="B1477" s="11"/>
      <c r="C1477" s="20"/>
      <c r="D1477" s="20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5"/>
    </row>
    <row r="1478">
      <c r="A1478" s="11"/>
      <c r="B1478" s="11"/>
      <c r="C1478" s="20"/>
      <c r="D1478" s="20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5"/>
    </row>
    <row r="1479">
      <c r="A1479" s="11"/>
      <c r="B1479" s="11"/>
      <c r="C1479" s="20"/>
      <c r="D1479" s="20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5"/>
    </row>
    <row r="1480">
      <c r="A1480" s="11"/>
      <c r="B1480" s="11"/>
      <c r="C1480" s="20"/>
      <c r="D1480" s="20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5"/>
    </row>
    <row r="1481">
      <c r="A1481" s="11"/>
      <c r="B1481" s="11"/>
      <c r="C1481" s="20"/>
      <c r="D1481" s="20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5"/>
    </row>
    <row r="1482">
      <c r="A1482" s="11"/>
      <c r="B1482" s="11"/>
      <c r="C1482" s="20"/>
      <c r="D1482" s="20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5"/>
    </row>
    <row r="1483">
      <c r="A1483" s="11"/>
      <c r="B1483" s="11"/>
      <c r="C1483" s="20"/>
      <c r="D1483" s="20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5"/>
    </row>
    <row r="1484">
      <c r="A1484" s="11"/>
      <c r="B1484" s="11"/>
      <c r="C1484" s="20"/>
      <c r="D1484" s="20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5"/>
    </row>
    <row r="1485">
      <c r="A1485" s="11"/>
      <c r="B1485" s="11"/>
      <c r="C1485" s="20"/>
      <c r="D1485" s="20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5"/>
    </row>
    <row r="1486">
      <c r="A1486" s="11"/>
      <c r="B1486" s="11"/>
      <c r="C1486" s="20"/>
      <c r="D1486" s="20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5"/>
    </row>
    <row r="1487">
      <c r="A1487" s="11"/>
      <c r="B1487" s="11"/>
      <c r="C1487" s="20"/>
      <c r="D1487" s="20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5"/>
    </row>
    <row r="1488">
      <c r="A1488" s="11"/>
      <c r="B1488" s="11"/>
      <c r="C1488" s="20"/>
      <c r="D1488" s="20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5"/>
    </row>
    <row r="1489">
      <c r="A1489" s="11"/>
      <c r="B1489" s="11"/>
      <c r="C1489" s="20"/>
      <c r="D1489" s="20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5"/>
    </row>
    <row r="1490">
      <c r="A1490" s="11"/>
      <c r="B1490" s="11"/>
      <c r="C1490" s="20"/>
      <c r="D1490" s="20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5"/>
    </row>
    <row r="1491">
      <c r="A1491" s="11"/>
      <c r="B1491" s="11"/>
      <c r="C1491" s="20"/>
      <c r="D1491" s="20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5"/>
    </row>
    <row r="1492">
      <c r="A1492" s="11"/>
      <c r="B1492" s="11"/>
      <c r="C1492" s="20"/>
      <c r="D1492" s="20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5"/>
    </row>
    <row r="1493">
      <c r="A1493" s="11"/>
      <c r="B1493" s="11"/>
      <c r="C1493" s="20"/>
      <c r="D1493" s="20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5"/>
    </row>
    <row r="1494">
      <c r="A1494" s="11"/>
      <c r="B1494" s="11"/>
      <c r="C1494" s="20"/>
      <c r="D1494" s="20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5"/>
    </row>
    <row r="1495">
      <c r="A1495" s="11"/>
      <c r="B1495" s="11"/>
      <c r="C1495" s="20"/>
      <c r="D1495" s="20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5"/>
    </row>
    <row r="1496">
      <c r="A1496" s="11"/>
      <c r="B1496" s="11"/>
      <c r="C1496" s="20"/>
      <c r="D1496" s="20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5"/>
    </row>
    <row r="1497">
      <c r="A1497" s="11"/>
      <c r="B1497" s="11"/>
      <c r="C1497" s="20"/>
      <c r="D1497" s="20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5"/>
    </row>
    <row r="1498">
      <c r="A1498" s="11"/>
      <c r="B1498" s="11"/>
      <c r="C1498" s="20"/>
      <c r="D1498" s="20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5"/>
    </row>
    <row r="1499">
      <c r="A1499" s="11"/>
      <c r="B1499" s="11"/>
      <c r="C1499" s="20"/>
      <c r="D1499" s="20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5"/>
    </row>
    <row r="1500">
      <c r="A1500" s="11"/>
      <c r="B1500" s="11"/>
      <c r="C1500" s="20"/>
      <c r="D1500" s="20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5"/>
    </row>
    <row r="1501">
      <c r="A1501" s="11"/>
      <c r="B1501" s="11"/>
      <c r="C1501" s="20"/>
      <c r="D1501" s="20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5"/>
    </row>
    <row r="1502">
      <c r="A1502" s="11"/>
      <c r="B1502" s="11"/>
      <c r="C1502" s="20"/>
      <c r="D1502" s="20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5"/>
    </row>
    <row r="1503">
      <c r="A1503" s="11"/>
      <c r="B1503" s="11"/>
      <c r="C1503" s="20"/>
      <c r="D1503" s="20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5"/>
    </row>
    <row r="1504">
      <c r="A1504" s="11"/>
      <c r="B1504" s="11"/>
      <c r="C1504" s="20"/>
      <c r="D1504" s="20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5"/>
    </row>
    <row r="1505">
      <c r="A1505" s="11"/>
      <c r="B1505" s="11"/>
      <c r="C1505" s="20"/>
      <c r="D1505" s="20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5"/>
    </row>
    <row r="1506">
      <c r="A1506" s="11"/>
      <c r="B1506" s="11"/>
      <c r="C1506" s="20"/>
      <c r="D1506" s="20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5"/>
    </row>
    <row r="1507">
      <c r="A1507" s="11"/>
      <c r="B1507" s="11"/>
      <c r="C1507" s="20"/>
      <c r="D1507" s="20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5"/>
    </row>
    <row r="1508">
      <c r="A1508" s="11"/>
      <c r="B1508" s="11"/>
      <c r="C1508" s="20"/>
      <c r="D1508" s="20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5"/>
    </row>
    <row r="1509">
      <c r="A1509" s="11"/>
      <c r="B1509" s="11"/>
      <c r="C1509" s="20"/>
      <c r="D1509" s="20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5"/>
    </row>
    <row r="1510">
      <c r="A1510" s="11"/>
      <c r="B1510" s="11"/>
      <c r="C1510" s="20"/>
      <c r="D1510" s="20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5"/>
    </row>
    <row r="1511">
      <c r="A1511" s="11"/>
      <c r="B1511" s="11"/>
      <c r="C1511" s="20"/>
      <c r="D1511" s="20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5"/>
    </row>
    <row r="1512">
      <c r="A1512" s="11"/>
      <c r="B1512" s="11"/>
      <c r="C1512" s="20"/>
      <c r="D1512" s="20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5"/>
    </row>
    <row r="1513">
      <c r="A1513" s="11"/>
      <c r="B1513" s="11"/>
      <c r="C1513" s="20"/>
      <c r="D1513" s="20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5"/>
    </row>
    <row r="1514">
      <c r="A1514" s="11"/>
      <c r="B1514" s="11"/>
      <c r="C1514" s="20"/>
      <c r="D1514" s="20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5"/>
    </row>
    <row r="1515">
      <c r="A1515" s="11"/>
      <c r="B1515" s="11"/>
      <c r="C1515" s="20"/>
      <c r="D1515" s="20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5"/>
    </row>
    <row r="1516">
      <c r="A1516" s="11"/>
      <c r="B1516" s="11"/>
      <c r="C1516" s="20"/>
      <c r="D1516" s="20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5"/>
    </row>
    <row r="1517">
      <c r="A1517" s="11"/>
      <c r="B1517" s="11"/>
      <c r="C1517" s="20"/>
      <c r="D1517" s="20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5"/>
    </row>
    <row r="1518">
      <c r="A1518" s="11"/>
      <c r="B1518" s="11"/>
      <c r="C1518" s="20"/>
      <c r="D1518" s="20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5"/>
    </row>
    <row r="1519">
      <c r="A1519" s="11"/>
      <c r="B1519" s="11"/>
      <c r="C1519" s="20"/>
      <c r="D1519" s="20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5"/>
    </row>
    <row r="1520">
      <c r="A1520" s="11"/>
      <c r="B1520" s="11"/>
      <c r="C1520" s="20"/>
      <c r="D1520" s="20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5"/>
    </row>
    <row r="1521">
      <c r="A1521" s="11"/>
      <c r="B1521" s="11"/>
      <c r="C1521" s="20"/>
      <c r="D1521" s="20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5"/>
    </row>
    <row r="1522">
      <c r="A1522" s="11"/>
      <c r="B1522" s="11"/>
      <c r="C1522" s="20"/>
      <c r="D1522" s="20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5"/>
    </row>
    <row r="1523">
      <c r="A1523" s="11"/>
      <c r="B1523" s="11"/>
      <c r="C1523" s="20"/>
      <c r="D1523" s="20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5"/>
    </row>
    <row r="1524">
      <c r="A1524" s="11"/>
      <c r="B1524" s="11"/>
      <c r="C1524" s="20"/>
      <c r="D1524" s="20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5"/>
    </row>
    <row r="1525">
      <c r="A1525" s="11"/>
      <c r="B1525" s="11"/>
      <c r="C1525" s="20"/>
      <c r="D1525" s="20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5"/>
    </row>
    <row r="1526">
      <c r="A1526" s="11"/>
      <c r="B1526" s="11"/>
      <c r="C1526" s="20"/>
      <c r="D1526" s="20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5"/>
    </row>
    <row r="1527">
      <c r="A1527" s="11"/>
      <c r="B1527" s="11"/>
      <c r="C1527" s="20"/>
      <c r="D1527" s="20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5"/>
    </row>
    <row r="1528">
      <c r="A1528" s="11"/>
      <c r="B1528" s="11"/>
      <c r="C1528" s="20"/>
      <c r="D1528" s="20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5"/>
    </row>
    <row r="1529">
      <c r="A1529" s="11"/>
      <c r="B1529" s="11"/>
      <c r="C1529" s="20"/>
      <c r="D1529" s="20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5"/>
    </row>
    <row r="1530">
      <c r="A1530" s="11"/>
      <c r="B1530" s="11"/>
      <c r="C1530" s="20"/>
      <c r="D1530" s="20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5"/>
    </row>
    <row r="1531">
      <c r="A1531" s="11"/>
      <c r="B1531" s="11"/>
      <c r="C1531" s="20"/>
      <c r="D1531" s="20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5"/>
    </row>
    <row r="1532">
      <c r="A1532" s="11"/>
      <c r="B1532" s="11"/>
      <c r="C1532" s="20"/>
      <c r="D1532" s="20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5"/>
    </row>
    <row r="1533">
      <c r="A1533" s="11"/>
      <c r="B1533" s="11"/>
      <c r="C1533" s="20"/>
      <c r="D1533" s="20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5"/>
    </row>
    <row r="1534">
      <c r="A1534" s="11"/>
      <c r="B1534" s="11"/>
      <c r="C1534" s="20"/>
      <c r="D1534" s="20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5"/>
    </row>
    <row r="1535">
      <c r="A1535" s="11"/>
      <c r="B1535" s="11"/>
      <c r="C1535" s="20"/>
      <c r="D1535" s="20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5"/>
    </row>
    <row r="1536">
      <c r="A1536" s="11"/>
      <c r="B1536" s="11"/>
      <c r="C1536" s="20"/>
      <c r="D1536" s="20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5"/>
    </row>
    <row r="1537">
      <c r="A1537" s="11"/>
      <c r="B1537" s="11"/>
      <c r="C1537" s="20"/>
      <c r="D1537" s="20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5"/>
    </row>
    <row r="1538">
      <c r="A1538" s="11"/>
      <c r="B1538" s="11"/>
      <c r="C1538" s="20"/>
      <c r="D1538" s="20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5"/>
    </row>
    <row r="1539">
      <c r="A1539" s="11"/>
      <c r="B1539" s="11"/>
      <c r="C1539" s="20"/>
      <c r="D1539" s="20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5"/>
    </row>
    <row r="1540">
      <c r="A1540" s="11"/>
      <c r="B1540" s="11"/>
      <c r="C1540" s="20"/>
      <c r="D1540" s="20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5"/>
    </row>
    <row r="1541">
      <c r="A1541" s="11"/>
      <c r="B1541" s="11"/>
      <c r="C1541" s="20"/>
      <c r="D1541" s="20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5"/>
    </row>
    <row r="1542">
      <c r="A1542" s="11"/>
      <c r="B1542" s="11"/>
      <c r="C1542" s="20"/>
      <c r="D1542" s="20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5"/>
    </row>
    <row r="1543">
      <c r="A1543" s="11"/>
      <c r="B1543" s="11"/>
      <c r="C1543" s="20"/>
      <c r="D1543" s="20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5"/>
    </row>
    <row r="1544">
      <c r="A1544" s="11"/>
      <c r="B1544" s="11"/>
      <c r="C1544" s="20"/>
      <c r="D1544" s="20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5"/>
    </row>
    <row r="1545">
      <c r="A1545" s="11"/>
      <c r="B1545" s="11"/>
      <c r="C1545" s="20"/>
      <c r="D1545" s="20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5"/>
    </row>
    <row r="1546">
      <c r="A1546" s="11"/>
      <c r="B1546" s="11"/>
      <c r="C1546" s="20"/>
      <c r="D1546" s="20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5"/>
    </row>
    <row r="1547">
      <c r="A1547" s="11"/>
      <c r="B1547" s="11"/>
      <c r="C1547" s="20"/>
      <c r="D1547" s="20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5"/>
    </row>
    <row r="1548">
      <c r="A1548" s="11"/>
      <c r="B1548" s="11"/>
      <c r="C1548" s="20"/>
      <c r="D1548" s="20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5"/>
    </row>
    <row r="1549">
      <c r="A1549" s="11"/>
      <c r="B1549" s="11"/>
      <c r="C1549" s="20"/>
      <c r="D1549" s="20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5"/>
    </row>
    <row r="1550">
      <c r="A1550" s="11"/>
      <c r="B1550" s="11"/>
      <c r="C1550" s="20"/>
      <c r="D1550" s="20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5"/>
    </row>
    <row r="1551">
      <c r="A1551" s="11"/>
      <c r="B1551" s="11"/>
      <c r="C1551" s="20"/>
      <c r="D1551" s="20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5"/>
    </row>
    <row r="1552">
      <c r="A1552" s="11"/>
      <c r="B1552" s="11"/>
      <c r="C1552" s="20"/>
      <c r="D1552" s="20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5"/>
    </row>
    <row r="1553">
      <c r="A1553" s="11"/>
      <c r="B1553" s="11"/>
      <c r="C1553" s="20"/>
      <c r="D1553" s="20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5"/>
    </row>
    <row r="1554">
      <c r="A1554" s="11"/>
      <c r="B1554" s="11"/>
      <c r="C1554" s="20"/>
      <c r="D1554" s="20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5"/>
    </row>
    <row r="1555">
      <c r="A1555" s="11"/>
      <c r="B1555" s="11"/>
      <c r="C1555" s="20"/>
      <c r="D1555" s="20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5"/>
    </row>
    <row r="1556">
      <c r="A1556" s="11"/>
      <c r="B1556" s="11"/>
      <c r="C1556" s="20"/>
      <c r="D1556" s="20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5"/>
    </row>
    <row r="1557">
      <c r="A1557" s="11"/>
      <c r="B1557" s="11"/>
      <c r="C1557" s="20"/>
      <c r="D1557" s="20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5"/>
    </row>
    <row r="1558">
      <c r="A1558" s="11"/>
      <c r="B1558" s="11"/>
      <c r="C1558" s="20"/>
      <c r="D1558" s="20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5"/>
    </row>
    <row r="1559">
      <c r="A1559" s="11"/>
      <c r="B1559" s="11"/>
      <c r="C1559" s="20"/>
      <c r="D1559" s="20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5"/>
    </row>
    <row r="1560">
      <c r="A1560" s="11"/>
      <c r="B1560" s="11"/>
      <c r="C1560" s="20"/>
      <c r="D1560" s="20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5"/>
    </row>
    <row r="1561">
      <c r="A1561" s="11"/>
      <c r="B1561" s="11"/>
      <c r="C1561" s="20"/>
      <c r="D1561" s="20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5"/>
    </row>
    <row r="1562">
      <c r="A1562" s="11"/>
      <c r="B1562" s="11"/>
      <c r="C1562" s="20"/>
      <c r="D1562" s="20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5"/>
    </row>
    <row r="1563">
      <c r="A1563" s="11"/>
      <c r="B1563" s="11"/>
      <c r="C1563" s="20"/>
      <c r="D1563" s="20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5"/>
    </row>
    <row r="1564">
      <c r="A1564" s="11"/>
      <c r="B1564" s="11"/>
      <c r="C1564" s="20"/>
      <c r="D1564" s="20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5"/>
    </row>
    <row r="1565">
      <c r="A1565" s="11"/>
      <c r="B1565" s="11"/>
      <c r="C1565" s="20"/>
      <c r="D1565" s="20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5"/>
    </row>
    <row r="1566">
      <c r="A1566" s="11"/>
      <c r="B1566" s="11"/>
      <c r="C1566" s="20"/>
      <c r="D1566" s="20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5"/>
    </row>
    <row r="1567">
      <c r="A1567" s="11"/>
      <c r="B1567" s="11"/>
      <c r="C1567" s="20"/>
      <c r="D1567" s="20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5"/>
    </row>
    <row r="1568">
      <c r="A1568" s="11"/>
      <c r="B1568" s="11"/>
      <c r="C1568" s="20"/>
      <c r="D1568" s="20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5"/>
    </row>
    <row r="1569">
      <c r="A1569" s="11"/>
      <c r="B1569" s="11"/>
      <c r="C1569" s="20"/>
      <c r="D1569" s="20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5"/>
    </row>
    <row r="1570">
      <c r="A1570" s="11"/>
      <c r="B1570" s="11"/>
      <c r="C1570" s="20"/>
      <c r="D1570" s="20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5"/>
    </row>
    <row r="1571">
      <c r="A1571" s="11"/>
      <c r="B1571" s="11"/>
      <c r="C1571" s="20"/>
      <c r="D1571" s="20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5"/>
    </row>
    <row r="1572">
      <c r="A1572" s="11"/>
      <c r="B1572" s="11"/>
      <c r="C1572" s="20"/>
      <c r="D1572" s="20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5"/>
    </row>
    <row r="1573">
      <c r="A1573" s="11"/>
      <c r="B1573" s="11"/>
      <c r="C1573" s="20"/>
      <c r="D1573" s="20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5"/>
    </row>
    <row r="1574">
      <c r="A1574" s="11"/>
      <c r="B1574" s="11"/>
      <c r="C1574" s="20"/>
      <c r="D1574" s="20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5"/>
    </row>
    <row r="1575">
      <c r="A1575" s="11"/>
      <c r="B1575" s="11"/>
      <c r="C1575" s="20"/>
      <c r="D1575" s="20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5"/>
    </row>
    <row r="1576">
      <c r="A1576" s="11"/>
      <c r="B1576" s="11"/>
      <c r="C1576" s="20"/>
      <c r="D1576" s="20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5"/>
    </row>
    <row r="1577">
      <c r="A1577" s="11"/>
      <c r="B1577" s="11"/>
      <c r="C1577" s="20"/>
      <c r="D1577" s="20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5"/>
    </row>
    <row r="1578">
      <c r="A1578" s="11"/>
      <c r="B1578" s="11"/>
      <c r="C1578" s="20"/>
      <c r="D1578" s="20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5"/>
    </row>
    <row r="1579">
      <c r="A1579" s="11"/>
      <c r="B1579" s="11"/>
      <c r="C1579" s="20"/>
      <c r="D1579" s="20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5"/>
    </row>
    <row r="1580">
      <c r="A1580" s="11"/>
      <c r="B1580" s="11"/>
      <c r="C1580" s="20"/>
      <c r="D1580" s="20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5"/>
    </row>
    <row r="1581">
      <c r="A1581" s="11"/>
      <c r="B1581" s="11"/>
      <c r="C1581" s="20"/>
      <c r="D1581" s="20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5"/>
    </row>
    <row r="1582">
      <c r="A1582" s="11"/>
      <c r="B1582" s="11"/>
      <c r="C1582" s="20"/>
      <c r="D1582" s="20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5"/>
    </row>
    <row r="1583">
      <c r="A1583" s="11"/>
      <c r="B1583" s="11"/>
      <c r="C1583" s="20"/>
      <c r="D1583" s="20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5"/>
    </row>
    <row r="1584">
      <c r="A1584" s="11"/>
      <c r="B1584" s="11"/>
      <c r="C1584" s="20"/>
      <c r="D1584" s="20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5"/>
    </row>
    <row r="1585">
      <c r="A1585" s="11"/>
      <c r="B1585" s="11"/>
      <c r="C1585" s="20"/>
      <c r="D1585" s="20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5"/>
    </row>
    <row r="1586">
      <c r="A1586" s="11"/>
      <c r="B1586" s="11"/>
      <c r="C1586" s="20"/>
      <c r="D1586" s="20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5"/>
    </row>
    <row r="1587">
      <c r="A1587" s="11"/>
      <c r="B1587" s="11"/>
      <c r="C1587" s="20"/>
      <c r="D1587" s="20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5"/>
    </row>
    <row r="1588">
      <c r="A1588" s="11"/>
      <c r="B1588" s="11"/>
      <c r="C1588" s="20"/>
      <c r="D1588" s="20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5"/>
    </row>
    <row r="1589">
      <c r="A1589" s="11"/>
      <c r="B1589" s="11"/>
      <c r="C1589" s="20"/>
      <c r="D1589" s="20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5"/>
    </row>
    <row r="1590">
      <c r="A1590" s="11"/>
      <c r="B1590" s="11"/>
      <c r="C1590" s="20"/>
      <c r="D1590" s="20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5"/>
    </row>
    <row r="1591">
      <c r="A1591" s="11"/>
      <c r="B1591" s="11"/>
      <c r="C1591" s="20"/>
      <c r="D1591" s="20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5"/>
    </row>
    <row r="1592">
      <c r="A1592" s="11"/>
      <c r="B1592" s="11"/>
      <c r="C1592" s="20"/>
      <c r="D1592" s="20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5"/>
    </row>
    <row r="1593">
      <c r="A1593" s="11"/>
      <c r="B1593" s="11"/>
      <c r="C1593" s="20"/>
      <c r="D1593" s="20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5"/>
    </row>
    <row r="1594">
      <c r="A1594" s="11"/>
      <c r="B1594" s="11"/>
      <c r="C1594" s="20"/>
      <c r="D1594" s="20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5"/>
    </row>
    <row r="1595">
      <c r="A1595" s="11"/>
      <c r="B1595" s="11"/>
      <c r="C1595" s="20"/>
      <c r="D1595" s="20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5"/>
    </row>
    <row r="1596">
      <c r="A1596" s="11"/>
      <c r="B1596" s="11"/>
      <c r="C1596" s="20"/>
      <c r="D1596" s="20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5"/>
    </row>
    <row r="1597">
      <c r="A1597" s="11"/>
      <c r="B1597" s="11"/>
      <c r="C1597" s="20"/>
      <c r="D1597" s="20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5"/>
    </row>
    <row r="1598">
      <c r="A1598" s="11"/>
      <c r="B1598" s="11"/>
      <c r="C1598" s="20"/>
      <c r="D1598" s="20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5"/>
    </row>
    <row r="1599">
      <c r="A1599" s="11"/>
      <c r="B1599" s="11"/>
      <c r="C1599" s="20"/>
      <c r="D1599" s="20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5"/>
    </row>
    <row r="1600">
      <c r="A1600" s="11"/>
      <c r="B1600" s="11"/>
      <c r="C1600" s="20"/>
      <c r="D1600" s="20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5"/>
    </row>
    <row r="1601">
      <c r="A1601" s="11"/>
      <c r="B1601" s="11"/>
      <c r="C1601" s="20"/>
      <c r="D1601" s="20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5"/>
    </row>
    <row r="1602">
      <c r="A1602" s="11"/>
      <c r="B1602" s="11"/>
      <c r="C1602" s="20"/>
      <c r="D1602" s="20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5"/>
    </row>
    <row r="1603">
      <c r="A1603" s="11"/>
      <c r="B1603" s="11"/>
      <c r="C1603" s="20"/>
      <c r="D1603" s="20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5"/>
    </row>
    <row r="1604">
      <c r="A1604" s="11"/>
      <c r="B1604" s="11"/>
      <c r="C1604" s="20"/>
      <c r="D1604" s="20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5"/>
    </row>
    <row r="1605">
      <c r="A1605" s="11"/>
      <c r="B1605" s="11"/>
      <c r="C1605" s="20"/>
      <c r="D1605" s="20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5"/>
    </row>
    <row r="1606">
      <c r="A1606" s="11"/>
      <c r="B1606" s="11"/>
      <c r="C1606" s="20"/>
      <c r="D1606" s="20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5"/>
    </row>
    <row r="1607">
      <c r="A1607" s="11"/>
      <c r="B1607" s="11"/>
      <c r="C1607" s="20"/>
      <c r="D1607" s="20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5"/>
    </row>
    <row r="1608">
      <c r="A1608" s="11"/>
      <c r="B1608" s="11"/>
      <c r="C1608" s="20"/>
      <c r="D1608" s="20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5"/>
    </row>
    <row r="1609">
      <c r="A1609" s="11"/>
      <c r="B1609" s="11"/>
      <c r="C1609" s="20"/>
      <c r="D1609" s="20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5"/>
    </row>
    <row r="1610">
      <c r="A1610" s="11"/>
      <c r="B1610" s="11"/>
      <c r="C1610" s="20"/>
      <c r="D1610" s="20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5"/>
    </row>
    <row r="1611">
      <c r="A1611" s="11"/>
      <c r="B1611" s="11"/>
      <c r="C1611" s="20"/>
      <c r="D1611" s="20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5"/>
    </row>
    <row r="1612">
      <c r="A1612" s="11"/>
      <c r="B1612" s="11"/>
      <c r="C1612" s="20"/>
      <c r="D1612" s="20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5"/>
    </row>
    <row r="1613">
      <c r="A1613" s="11"/>
      <c r="B1613" s="11"/>
      <c r="C1613" s="20"/>
      <c r="D1613" s="20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5"/>
    </row>
    <row r="1614">
      <c r="A1614" s="11"/>
      <c r="B1614" s="11"/>
      <c r="C1614" s="20"/>
      <c r="D1614" s="20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5"/>
    </row>
    <row r="1615">
      <c r="A1615" s="11"/>
      <c r="B1615" s="11"/>
      <c r="C1615" s="20"/>
      <c r="D1615" s="20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5"/>
    </row>
    <row r="1616">
      <c r="A1616" s="11"/>
      <c r="B1616" s="11"/>
      <c r="C1616" s="20"/>
      <c r="D1616" s="20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5"/>
    </row>
    <row r="1617">
      <c r="A1617" s="11"/>
      <c r="B1617" s="11"/>
      <c r="C1617" s="20"/>
      <c r="D1617" s="20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5"/>
    </row>
    <row r="1618">
      <c r="A1618" s="11"/>
      <c r="B1618" s="11"/>
      <c r="C1618" s="20"/>
      <c r="D1618" s="20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5"/>
    </row>
    <row r="1619">
      <c r="A1619" s="11"/>
      <c r="B1619" s="11"/>
      <c r="C1619" s="20"/>
      <c r="D1619" s="20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5"/>
    </row>
    <row r="1620">
      <c r="A1620" s="11"/>
      <c r="B1620" s="11"/>
      <c r="C1620" s="20"/>
      <c r="D1620" s="20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5"/>
    </row>
    <row r="1621">
      <c r="A1621" s="11"/>
      <c r="B1621" s="11"/>
      <c r="C1621" s="20"/>
      <c r="D1621" s="20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5"/>
    </row>
    <row r="1622">
      <c r="A1622" s="11"/>
      <c r="B1622" s="11"/>
      <c r="C1622" s="20"/>
      <c r="D1622" s="20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5"/>
    </row>
    <row r="1623">
      <c r="A1623" s="11"/>
      <c r="B1623" s="11"/>
      <c r="C1623" s="20"/>
      <c r="D1623" s="20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5"/>
    </row>
    <row r="1624">
      <c r="A1624" s="11"/>
      <c r="B1624" s="11"/>
      <c r="C1624" s="20"/>
      <c r="D1624" s="20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5"/>
    </row>
    <row r="1625">
      <c r="A1625" s="11"/>
      <c r="B1625" s="11"/>
      <c r="C1625" s="20"/>
      <c r="D1625" s="20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5"/>
    </row>
    <row r="1626">
      <c r="A1626" s="11"/>
      <c r="B1626" s="11"/>
      <c r="C1626" s="20"/>
      <c r="D1626" s="20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5"/>
    </row>
    <row r="1627">
      <c r="A1627" s="11"/>
      <c r="B1627" s="11"/>
      <c r="C1627" s="20"/>
      <c r="D1627" s="20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5"/>
    </row>
    <row r="1628">
      <c r="A1628" s="11"/>
      <c r="B1628" s="11"/>
      <c r="C1628" s="20"/>
      <c r="D1628" s="20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5"/>
    </row>
    <row r="1629">
      <c r="A1629" s="11"/>
      <c r="B1629" s="11"/>
      <c r="C1629" s="20"/>
      <c r="D1629" s="20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5"/>
    </row>
    <row r="1630">
      <c r="A1630" s="11"/>
      <c r="B1630" s="11"/>
      <c r="C1630" s="20"/>
      <c r="D1630" s="20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5"/>
    </row>
    <row r="1631">
      <c r="A1631" s="11"/>
      <c r="B1631" s="11"/>
      <c r="C1631" s="20"/>
      <c r="D1631" s="20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5"/>
    </row>
    <row r="1632">
      <c r="A1632" s="11"/>
      <c r="B1632" s="11"/>
      <c r="C1632" s="20"/>
      <c r="D1632" s="20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5"/>
    </row>
    <row r="1633">
      <c r="A1633" s="11"/>
      <c r="B1633" s="11"/>
      <c r="C1633" s="20"/>
      <c r="D1633" s="20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5"/>
    </row>
    <row r="1634">
      <c r="A1634" s="11"/>
      <c r="B1634" s="11"/>
      <c r="C1634" s="20"/>
      <c r="D1634" s="20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5"/>
    </row>
    <row r="1635">
      <c r="A1635" s="11"/>
      <c r="B1635" s="11"/>
      <c r="C1635" s="20"/>
      <c r="D1635" s="20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5"/>
    </row>
    <row r="1636">
      <c r="A1636" s="11"/>
      <c r="B1636" s="11"/>
      <c r="C1636" s="20"/>
      <c r="D1636" s="20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5"/>
    </row>
    <row r="1637">
      <c r="A1637" s="11"/>
      <c r="B1637" s="11"/>
      <c r="C1637" s="20"/>
      <c r="D1637" s="20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5"/>
    </row>
    <row r="1638">
      <c r="A1638" s="11"/>
      <c r="B1638" s="11"/>
      <c r="C1638" s="20"/>
      <c r="D1638" s="20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5"/>
    </row>
    <row r="1639">
      <c r="A1639" s="11"/>
      <c r="B1639" s="11"/>
      <c r="C1639" s="20"/>
      <c r="D1639" s="20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5"/>
    </row>
    <row r="1640">
      <c r="A1640" s="11"/>
      <c r="B1640" s="11"/>
      <c r="C1640" s="20"/>
      <c r="D1640" s="20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5"/>
    </row>
    <row r="1641">
      <c r="A1641" s="11"/>
      <c r="B1641" s="11"/>
      <c r="C1641" s="20"/>
      <c r="D1641" s="20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5"/>
    </row>
    <row r="1642">
      <c r="A1642" s="11"/>
      <c r="B1642" s="11"/>
      <c r="C1642" s="20"/>
      <c r="D1642" s="20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5"/>
    </row>
    <row r="1643">
      <c r="A1643" s="11"/>
      <c r="B1643" s="11"/>
      <c r="C1643" s="20"/>
      <c r="D1643" s="20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5"/>
    </row>
    <row r="1644">
      <c r="A1644" s="11"/>
      <c r="B1644" s="11"/>
      <c r="C1644" s="20"/>
      <c r="D1644" s="20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5"/>
    </row>
    <row r="1645">
      <c r="A1645" s="11"/>
      <c r="B1645" s="11"/>
      <c r="C1645" s="20"/>
      <c r="D1645" s="20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5"/>
    </row>
    <row r="1646">
      <c r="A1646" s="11"/>
      <c r="B1646" s="11"/>
      <c r="C1646" s="20"/>
      <c r="D1646" s="20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5"/>
    </row>
    <row r="1647">
      <c r="A1647" s="11"/>
      <c r="B1647" s="11"/>
      <c r="C1647" s="20"/>
      <c r="D1647" s="20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5"/>
    </row>
    <row r="1648">
      <c r="A1648" s="11"/>
      <c r="B1648" s="11"/>
      <c r="C1648" s="20"/>
      <c r="D1648" s="20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5"/>
    </row>
    <row r="1649">
      <c r="A1649" s="11"/>
      <c r="B1649" s="11"/>
      <c r="C1649" s="20"/>
      <c r="D1649" s="20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5"/>
    </row>
    <row r="1650">
      <c r="A1650" s="11"/>
      <c r="B1650" s="11"/>
      <c r="C1650" s="20"/>
      <c r="D1650" s="20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5"/>
    </row>
    <row r="1651">
      <c r="A1651" s="11"/>
      <c r="B1651" s="11"/>
      <c r="C1651" s="20"/>
      <c r="D1651" s="20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5"/>
    </row>
    <row r="1652">
      <c r="A1652" s="11"/>
      <c r="B1652" s="11"/>
      <c r="C1652" s="20"/>
      <c r="D1652" s="20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5"/>
    </row>
    <row r="1653">
      <c r="A1653" s="11"/>
      <c r="B1653" s="11"/>
      <c r="C1653" s="20"/>
      <c r="D1653" s="20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5"/>
    </row>
    <row r="1654">
      <c r="A1654" s="11"/>
      <c r="B1654" s="11"/>
      <c r="C1654" s="20"/>
      <c r="D1654" s="20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5"/>
    </row>
    <row r="1655">
      <c r="A1655" s="11"/>
      <c r="B1655" s="11"/>
      <c r="C1655" s="20"/>
      <c r="D1655" s="20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5"/>
    </row>
    <row r="1656">
      <c r="A1656" s="11"/>
      <c r="B1656" s="11"/>
      <c r="C1656" s="20"/>
      <c r="D1656" s="20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5"/>
    </row>
    <row r="1657">
      <c r="A1657" s="11"/>
      <c r="B1657" s="11"/>
      <c r="C1657" s="20"/>
      <c r="D1657" s="20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5"/>
    </row>
    <row r="1658">
      <c r="A1658" s="11"/>
      <c r="B1658" s="11"/>
      <c r="C1658" s="20"/>
      <c r="D1658" s="20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5"/>
    </row>
    <row r="1659">
      <c r="A1659" s="11"/>
      <c r="B1659" s="11"/>
      <c r="C1659" s="20"/>
      <c r="D1659" s="20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5"/>
    </row>
    <row r="1660">
      <c r="A1660" s="11"/>
      <c r="B1660" s="11"/>
      <c r="C1660" s="20"/>
      <c r="D1660" s="20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5"/>
    </row>
    <row r="1661">
      <c r="A1661" s="11"/>
      <c r="B1661" s="11"/>
      <c r="C1661" s="20"/>
      <c r="D1661" s="20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5"/>
    </row>
    <row r="1662">
      <c r="A1662" s="11"/>
      <c r="B1662" s="11"/>
      <c r="C1662" s="20"/>
      <c r="D1662" s="20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5"/>
    </row>
    <row r="1663">
      <c r="A1663" s="11"/>
      <c r="B1663" s="11"/>
      <c r="C1663" s="20"/>
      <c r="D1663" s="20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5"/>
    </row>
    <row r="1664">
      <c r="A1664" s="11"/>
      <c r="B1664" s="11"/>
      <c r="C1664" s="20"/>
      <c r="D1664" s="20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5"/>
    </row>
    <row r="1665">
      <c r="A1665" s="11"/>
      <c r="B1665" s="11"/>
      <c r="C1665" s="20"/>
      <c r="D1665" s="20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5"/>
    </row>
    <row r="1666">
      <c r="A1666" s="11"/>
      <c r="B1666" s="11"/>
      <c r="C1666" s="20"/>
      <c r="D1666" s="20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5"/>
    </row>
    <row r="1667">
      <c r="A1667" s="11"/>
      <c r="B1667" s="11"/>
      <c r="C1667" s="20"/>
      <c r="D1667" s="20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5"/>
    </row>
    <row r="1668">
      <c r="A1668" s="11"/>
      <c r="B1668" s="11"/>
      <c r="C1668" s="20"/>
      <c r="D1668" s="20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5"/>
    </row>
    <row r="1669">
      <c r="A1669" s="11"/>
      <c r="B1669" s="11"/>
      <c r="C1669" s="20"/>
      <c r="D1669" s="20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5"/>
    </row>
    <row r="1670">
      <c r="A1670" s="11"/>
      <c r="B1670" s="11"/>
      <c r="C1670" s="20"/>
      <c r="D1670" s="20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5"/>
    </row>
    <row r="1671">
      <c r="A1671" s="11"/>
      <c r="B1671" s="11"/>
      <c r="C1671" s="20"/>
      <c r="D1671" s="20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5"/>
    </row>
    <row r="1672">
      <c r="A1672" s="11"/>
      <c r="B1672" s="11"/>
      <c r="C1672" s="20"/>
      <c r="D1672" s="20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5"/>
    </row>
    <row r="1673">
      <c r="A1673" s="11"/>
      <c r="B1673" s="11"/>
      <c r="C1673" s="20"/>
      <c r="D1673" s="20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5"/>
    </row>
    <row r="1674">
      <c r="A1674" s="11"/>
      <c r="B1674" s="11"/>
      <c r="C1674" s="20"/>
      <c r="D1674" s="20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5"/>
    </row>
    <row r="1675">
      <c r="A1675" s="11"/>
      <c r="B1675" s="11"/>
      <c r="C1675" s="20"/>
      <c r="D1675" s="20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5"/>
    </row>
    <row r="1676">
      <c r="A1676" s="11"/>
      <c r="B1676" s="11"/>
      <c r="C1676" s="20"/>
      <c r="D1676" s="20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5"/>
    </row>
    <row r="1677">
      <c r="A1677" s="11"/>
      <c r="B1677" s="11"/>
      <c r="C1677" s="20"/>
      <c r="D1677" s="20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5"/>
    </row>
    <row r="1678">
      <c r="A1678" s="11"/>
      <c r="B1678" s="11"/>
      <c r="C1678" s="20"/>
      <c r="D1678" s="20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5"/>
    </row>
    <row r="1679">
      <c r="A1679" s="11"/>
      <c r="B1679" s="11"/>
      <c r="C1679" s="20"/>
      <c r="D1679" s="20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5"/>
    </row>
    <row r="1680">
      <c r="A1680" s="11"/>
      <c r="B1680" s="11"/>
      <c r="C1680" s="20"/>
      <c r="D1680" s="20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5"/>
    </row>
    <row r="1681">
      <c r="A1681" s="11"/>
      <c r="B1681" s="11"/>
      <c r="C1681" s="20"/>
      <c r="D1681" s="20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5"/>
    </row>
    <row r="1682">
      <c r="A1682" s="11"/>
      <c r="B1682" s="11"/>
      <c r="C1682" s="20"/>
      <c r="D1682" s="20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5"/>
    </row>
    <row r="1683">
      <c r="A1683" s="11"/>
      <c r="B1683" s="11"/>
      <c r="C1683" s="20"/>
      <c r="D1683" s="20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5"/>
    </row>
    <row r="1684">
      <c r="A1684" s="11"/>
      <c r="B1684" s="11"/>
      <c r="C1684" s="20"/>
      <c r="D1684" s="20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5"/>
    </row>
    <row r="1685">
      <c r="A1685" s="11"/>
      <c r="B1685" s="11"/>
      <c r="C1685" s="20"/>
      <c r="D1685" s="20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5"/>
    </row>
    <row r="1686">
      <c r="A1686" s="11"/>
      <c r="B1686" s="11"/>
      <c r="C1686" s="20"/>
      <c r="D1686" s="20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5"/>
    </row>
    <row r="1687">
      <c r="A1687" s="11"/>
      <c r="B1687" s="11"/>
      <c r="C1687" s="20"/>
      <c r="D1687" s="20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5"/>
    </row>
    <row r="1688">
      <c r="A1688" s="11"/>
      <c r="B1688" s="11"/>
      <c r="C1688" s="20"/>
      <c r="D1688" s="20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5"/>
    </row>
    <row r="1689">
      <c r="A1689" s="11"/>
      <c r="B1689" s="11"/>
      <c r="C1689" s="20"/>
      <c r="D1689" s="20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5"/>
    </row>
    <row r="1690">
      <c r="A1690" s="11"/>
      <c r="B1690" s="11"/>
      <c r="C1690" s="20"/>
      <c r="D1690" s="20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5"/>
    </row>
    <row r="1691">
      <c r="A1691" s="11"/>
      <c r="B1691" s="11"/>
      <c r="C1691" s="20"/>
      <c r="D1691" s="20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5"/>
    </row>
    <row r="1692">
      <c r="A1692" s="11"/>
      <c r="B1692" s="11"/>
      <c r="C1692" s="20"/>
      <c r="D1692" s="20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5"/>
    </row>
    <row r="1693">
      <c r="A1693" s="11"/>
      <c r="B1693" s="11"/>
      <c r="C1693" s="20"/>
      <c r="D1693" s="20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5"/>
    </row>
    <row r="1694">
      <c r="A1694" s="11"/>
      <c r="B1694" s="11"/>
      <c r="C1694" s="20"/>
      <c r="D1694" s="20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5"/>
    </row>
    <row r="1695">
      <c r="A1695" s="11"/>
      <c r="B1695" s="11"/>
      <c r="C1695" s="20"/>
      <c r="D1695" s="20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5"/>
    </row>
    <row r="1696">
      <c r="A1696" s="11"/>
      <c r="B1696" s="11"/>
      <c r="C1696" s="20"/>
      <c r="D1696" s="20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5"/>
    </row>
    <row r="1697">
      <c r="A1697" s="11"/>
      <c r="B1697" s="11"/>
      <c r="C1697" s="20"/>
      <c r="D1697" s="20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5"/>
    </row>
    <row r="1698">
      <c r="A1698" s="11"/>
      <c r="B1698" s="11"/>
      <c r="C1698" s="20"/>
      <c r="D1698" s="20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5"/>
    </row>
    <row r="1699">
      <c r="A1699" s="11"/>
      <c r="B1699" s="11"/>
      <c r="C1699" s="20"/>
      <c r="D1699" s="20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5"/>
    </row>
    <row r="1700">
      <c r="A1700" s="11"/>
      <c r="B1700" s="11"/>
      <c r="C1700" s="20"/>
      <c r="D1700" s="20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5"/>
    </row>
    <row r="1701">
      <c r="A1701" s="11"/>
      <c r="B1701" s="11"/>
      <c r="C1701" s="20"/>
      <c r="D1701" s="20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5"/>
    </row>
    <row r="1702">
      <c r="A1702" s="11"/>
      <c r="B1702" s="11"/>
      <c r="C1702" s="20"/>
      <c r="D1702" s="20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5"/>
    </row>
    <row r="1703">
      <c r="A1703" s="11"/>
      <c r="B1703" s="11"/>
      <c r="C1703" s="20"/>
      <c r="D1703" s="20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5"/>
    </row>
    <row r="1704">
      <c r="A1704" s="11"/>
      <c r="B1704" s="11"/>
      <c r="C1704" s="20"/>
      <c r="D1704" s="20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5"/>
    </row>
    <row r="1705">
      <c r="A1705" s="11"/>
      <c r="B1705" s="11"/>
      <c r="C1705" s="20"/>
      <c r="D1705" s="20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5"/>
    </row>
    <row r="1706">
      <c r="A1706" s="11"/>
      <c r="B1706" s="11"/>
      <c r="C1706" s="20"/>
      <c r="D1706" s="20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5"/>
    </row>
    <row r="1707">
      <c r="A1707" s="11"/>
      <c r="B1707" s="11"/>
      <c r="C1707" s="20"/>
      <c r="D1707" s="20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5"/>
    </row>
    <row r="1708">
      <c r="A1708" s="11"/>
      <c r="B1708" s="11"/>
      <c r="C1708" s="20"/>
      <c r="D1708" s="20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5"/>
    </row>
    <row r="1709">
      <c r="A1709" s="11"/>
      <c r="B1709" s="11"/>
      <c r="C1709" s="20"/>
      <c r="D1709" s="20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5"/>
    </row>
    <row r="1710">
      <c r="A1710" s="11"/>
      <c r="B1710" s="11"/>
      <c r="C1710" s="20"/>
      <c r="D1710" s="20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5"/>
    </row>
    <row r="1711">
      <c r="A1711" s="11"/>
      <c r="B1711" s="11"/>
      <c r="C1711" s="20"/>
      <c r="D1711" s="20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5"/>
    </row>
    <row r="1712">
      <c r="A1712" s="11"/>
      <c r="B1712" s="11"/>
      <c r="C1712" s="20"/>
      <c r="D1712" s="20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5"/>
    </row>
    <row r="1713">
      <c r="A1713" s="11"/>
      <c r="B1713" s="11"/>
      <c r="C1713" s="20"/>
      <c r="D1713" s="20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5"/>
    </row>
    <row r="1714">
      <c r="A1714" s="11"/>
      <c r="B1714" s="11"/>
      <c r="C1714" s="20"/>
      <c r="D1714" s="20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5"/>
    </row>
    <row r="1715">
      <c r="A1715" s="11"/>
      <c r="B1715" s="11"/>
      <c r="C1715" s="20"/>
      <c r="D1715" s="20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5"/>
    </row>
    <row r="1716">
      <c r="A1716" s="11"/>
      <c r="B1716" s="11"/>
      <c r="C1716" s="20"/>
      <c r="D1716" s="20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5"/>
    </row>
    <row r="1717">
      <c r="A1717" s="11"/>
      <c r="B1717" s="11"/>
      <c r="C1717" s="20"/>
      <c r="D1717" s="20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5"/>
    </row>
    <row r="1718">
      <c r="A1718" s="11"/>
      <c r="B1718" s="11"/>
      <c r="C1718" s="20"/>
      <c r="D1718" s="20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5"/>
    </row>
    <row r="1719">
      <c r="A1719" s="11"/>
      <c r="B1719" s="11"/>
      <c r="C1719" s="20"/>
      <c r="D1719" s="20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5"/>
    </row>
    <row r="1720">
      <c r="A1720" s="11"/>
      <c r="B1720" s="11"/>
      <c r="C1720" s="20"/>
      <c r="D1720" s="20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5"/>
    </row>
    <row r="1721">
      <c r="A1721" s="11"/>
      <c r="B1721" s="11"/>
      <c r="C1721" s="20"/>
      <c r="D1721" s="20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5"/>
    </row>
    <row r="1722">
      <c r="A1722" s="11"/>
      <c r="B1722" s="11"/>
      <c r="C1722" s="20"/>
      <c r="D1722" s="20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5"/>
    </row>
    <row r="1723">
      <c r="A1723" s="11"/>
      <c r="B1723" s="11"/>
      <c r="C1723" s="20"/>
      <c r="D1723" s="20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5"/>
    </row>
    <row r="1724">
      <c r="A1724" s="11"/>
      <c r="B1724" s="11"/>
      <c r="C1724" s="20"/>
      <c r="D1724" s="20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5"/>
    </row>
    <row r="1725">
      <c r="A1725" s="11"/>
      <c r="B1725" s="11"/>
      <c r="C1725" s="20"/>
      <c r="D1725" s="20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5"/>
    </row>
    <row r="1726">
      <c r="A1726" s="11"/>
      <c r="B1726" s="11"/>
      <c r="C1726" s="20"/>
      <c r="D1726" s="20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5"/>
    </row>
    <row r="1727">
      <c r="A1727" s="11"/>
      <c r="B1727" s="11"/>
      <c r="C1727" s="20"/>
      <c r="D1727" s="20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5"/>
    </row>
    <row r="1728">
      <c r="A1728" s="11"/>
      <c r="B1728" s="11"/>
      <c r="C1728" s="20"/>
      <c r="D1728" s="20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5"/>
    </row>
    <row r="1729">
      <c r="A1729" s="11"/>
      <c r="B1729" s="11"/>
      <c r="C1729" s="20"/>
      <c r="D1729" s="20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5"/>
    </row>
    <row r="1730">
      <c r="A1730" s="11"/>
      <c r="B1730" s="11"/>
      <c r="C1730" s="20"/>
      <c r="D1730" s="20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5"/>
    </row>
    <row r="1731">
      <c r="A1731" s="11"/>
      <c r="B1731" s="11"/>
      <c r="C1731" s="20"/>
      <c r="D1731" s="20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5"/>
    </row>
    <row r="1732">
      <c r="A1732" s="11"/>
      <c r="B1732" s="11"/>
      <c r="C1732" s="20"/>
      <c r="D1732" s="20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5"/>
    </row>
    <row r="1733">
      <c r="A1733" s="11"/>
      <c r="B1733" s="11"/>
      <c r="C1733" s="20"/>
      <c r="D1733" s="20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5"/>
    </row>
    <row r="1734">
      <c r="A1734" s="11"/>
      <c r="B1734" s="11"/>
      <c r="C1734" s="20"/>
      <c r="D1734" s="20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5"/>
    </row>
    <row r="1735">
      <c r="A1735" s="11"/>
      <c r="B1735" s="11"/>
      <c r="C1735" s="20"/>
      <c r="D1735" s="20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5"/>
    </row>
    <row r="1736">
      <c r="A1736" s="11"/>
      <c r="B1736" s="11"/>
      <c r="C1736" s="20"/>
      <c r="D1736" s="20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5"/>
    </row>
    <row r="1737">
      <c r="A1737" s="11"/>
      <c r="B1737" s="11"/>
      <c r="C1737" s="20"/>
      <c r="D1737" s="20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5"/>
    </row>
    <row r="1738">
      <c r="A1738" s="11"/>
      <c r="B1738" s="11"/>
      <c r="C1738" s="20"/>
      <c r="D1738" s="20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5"/>
    </row>
    <row r="1739">
      <c r="A1739" s="11"/>
      <c r="B1739" s="11"/>
      <c r="C1739" s="20"/>
      <c r="D1739" s="20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5"/>
    </row>
    <row r="1740">
      <c r="A1740" s="11"/>
      <c r="B1740" s="11"/>
      <c r="C1740" s="20"/>
      <c r="D1740" s="20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5"/>
    </row>
    <row r="1741">
      <c r="A1741" s="11"/>
      <c r="B1741" s="11"/>
      <c r="C1741" s="20"/>
      <c r="D1741" s="20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5"/>
    </row>
    <row r="1742">
      <c r="A1742" s="11"/>
      <c r="B1742" s="11"/>
      <c r="C1742" s="20"/>
      <c r="D1742" s="20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5"/>
    </row>
    <row r="1743">
      <c r="A1743" s="11"/>
      <c r="B1743" s="11"/>
      <c r="C1743" s="20"/>
      <c r="D1743" s="20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5"/>
    </row>
    <row r="1744">
      <c r="A1744" s="11"/>
      <c r="B1744" s="11"/>
      <c r="C1744" s="20"/>
      <c r="D1744" s="20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5"/>
    </row>
    <row r="1745">
      <c r="A1745" s="11"/>
      <c r="B1745" s="11"/>
      <c r="C1745" s="20"/>
      <c r="D1745" s="20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5"/>
    </row>
    <row r="1746">
      <c r="A1746" s="11"/>
      <c r="B1746" s="11"/>
      <c r="C1746" s="20"/>
      <c r="D1746" s="20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5"/>
    </row>
    <row r="1747">
      <c r="A1747" s="11"/>
      <c r="B1747" s="11"/>
      <c r="C1747" s="20"/>
      <c r="D1747" s="20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5"/>
    </row>
    <row r="1748">
      <c r="A1748" s="11"/>
      <c r="B1748" s="11"/>
      <c r="C1748" s="20"/>
      <c r="D1748" s="20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5"/>
    </row>
    <row r="1749">
      <c r="A1749" s="11"/>
      <c r="B1749" s="11"/>
      <c r="C1749" s="20"/>
      <c r="D1749" s="20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5"/>
    </row>
    <row r="1750">
      <c r="A1750" s="11"/>
      <c r="B1750" s="11"/>
      <c r="C1750" s="20"/>
      <c r="D1750" s="20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5"/>
    </row>
    <row r="1751">
      <c r="A1751" s="11"/>
      <c r="B1751" s="11"/>
      <c r="C1751" s="20"/>
      <c r="D1751" s="20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5"/>
    </row>
    <row r="1752">
      <c r="A1752" s="11"/>
      <c r="B1752" s="11"/>
      <c r="C1752" s="20"/>
      <c r="D1752" s="20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5"/>
    </row>
    <row r="1753">
      <c r="A1753" s="11"/>
      <c r="B1753" s="11"/>
      <c r="C1753" s="20"/>
      <c r="D1753" s="20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5"/>
    </row>
    <row r="1754">
      <c r="A1754" s="11"/>
      <c r="B1754" s="11"/>
      <c r="C1754" s="20"/>
      <c r="D1754" s="20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5"/>
    </row>
    <row r="1755">
      <c r="A1755" s="11"/>
      <c r="B1755" s="11"/>
      <c r="C1755" s="20"/>
      <c r="D1755" s="20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5"/>
    </row>
    <row r="1756">
      <c r="A1756" s="11"/>
      <c r="B1756" s="11"/>
      <c r="C1756" s="20"/>
      <c r="D1756" s="20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5"/>
    </row>
    <row r="1757">
      <c r="A1757" s="11"/>
      <c r="B1757" s="11"/>
      <c r="C1757" s="20"/>
      <c r="D1757" s="20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5"/>
    </row>
    <row r="1758">
      <c r="A1758" s="11"/>
      <c r="B1758" s="11"/>
      <c r="C1758" s="20"/>
      <c r="D1758" s="20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5"/>
    </row>
    <row r="1759">
      <c r="A1759" s="11"/>
      <c r="B1759" s="11"/>
      <c r="C1759" s="20"/>
      <c r="D1759" s="20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5"/>
    </row>
    <row r="1760">
      <c r="A1760" s="11"/>
      <c r="B1760" s="11"/>
      <c r="C1760" s="20"/>
      <c r="D1760" s="20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5"/>
    </row>
    <row r="1761">
      <c r="A1761" s="11"/>
      <c r="B1761" s="11"/>
      <c r="C1761" s="20"/>
      <c r="D1761" s="20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5"/>
    </row>
    <row r="1762">
      <c r="A1762" s="11"/>
      <c r="B1762" s="11"/>
      <c r="C1762" s="20"/>
      <c r="D1762" s="20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5"/>
    </row>
    <row r="1763">
      <c r="A1763" s="11"/>
      <c r="B1763" s="11"/>
      <c r="C1763" s="20"/>
      <c r="D1763" s="20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5"/>
    </row>
    <row r="1764">
      <c r="A1764" s="11"/>
      <c r="B1764" s="11"/>
      <c r="C1764" s="20"/>
      <c r="D1764" s="20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5"/>
    </row>
    <row r="1765">
      <c r="A1765" s="11"/>
      <c r="B1765" s="11"/>
      <c r="C1765" s="20"/>
      <c r="D1765" s="20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5"/>
    </row>
    <row r="1766">
      <c r="A1766" s="11"/>
      <c r="B1766" s="11"/>
      <c r="C1766" s="20"/>
      <c r="D1766" s="20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5"/>
    </row>
    <row r="1767">
      <c r="A1767" s="11"/>
      <c r="B1767" s="11"/>
      <c r="C1767" s="20"/>
      <c r="D1767" s="20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5"/>
    </row>
    <row r="1768">
      <c r="A1768" s="11"/>
      <c r="B1768" s="11"/>
      <c r="C1768" s="20"/>
      <c r="D1768" s="20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5"/>
    </row>
    <row r="1769">
      <c r="A1769" s="11"/>
      <c r="B1769" s="11"/>
      <c r="C1769" s="20"/>
      <c r="D1769" s="20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5"/>
    </row>
    <row r="1770">
      <c r="A1770" s="11"/>
      <c r="B1770" s="11"/>
      <c r="C1770" s="20"/>
      <c r="D1770" s="20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5"/>
    </row>
    <row r="1771">
      <c r="A1771" s="11"/>
      <c r="B1771" s="11"/>
      <c r="C1771" s="20"/>
      <c r="D1771" s="20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5"/>
    </row>
    <row r="1772">
      <c r="A1772" s="11"/>
      <c r="B1772" s="11"/>
      <c r="C1772" s="20"/>
      <c r="D1772" s="20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5"/>
    </row>
    <row r="1773">
      <c r="A1773" s="11"/>
      <c r="B1773" s="11"/>
      <c r="C1773" s="20"/>
      <c r="D1773" s="20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5"/>
    </row>
    <row r="1774">
      <c r="A1774" s="11"/>
      <c r="B1774" s="11"/>
      <c r="C1774" s="20"/>
      <c r="D1774" s="20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5"/>
    </row>
    <row r="1775">
      <c r="A1775" s="11"/>
      <c r="B1775" s="11"/>
      <c r="C1775" s="20"/>
      <c r="D1775" s="20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5"/>
    </row>
    <row r="1776">
      <c r="A1776" s="11"/>
      <c r="B1776" s="11"/>
      <c r="C1776" s="20"/>
      <c r="D1776" s="20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5"/>
    </row>
    <row r="1777">
      <c r="A1777" s="11"/>
      <c r="B1777" s="11"/>
      <c r="C1777" s="20"/>
      <c r="D1777" s="20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5"/>
    </row>
    <row r="1778">
      <c r="A1778" s="11"/>
      <c r="B1778" s="11"/>
      <c r="C1778" s="20"/>
      <c r="D1778" s="20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5"/>
    </row>
    <row r="1779">
      <c r="A1779" s="11"/>
      <c r="B1779" s="11"/>
      <c r="C1779" s="20"/>
      <c r="D1779" s="20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5"/>
    </row>
    <row r="1780">
      <c r="A1780" s="11"/>
      <c r="B1780" s="11"/>
      <c r="C1780" s="20"/>
      <c r="D1780" s="20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5"/>
    </row>
    <row r="1781">
      <c r="A1781" s="11"/>
      <c r="B1781" s="11"/>
      <c r="C1781" s="20"/>
      <c r="D1781" s="20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5"/>
    </row>
    <row r="1782">
      <c r="A1782" s="11"/>
      <c r="B1782" s="11"/>
      <c r="C1782" s="20"/>
      <c r="D1782" s="20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5"/>
    </row>
    <row r="1783">
      <c r="A1783" s="11"/>
      <c r="B1783" s="11"/>
      <c r="C1783" s="20"/>
      <c r="D1783" s="20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5"/>
    </row>
    <row r="1784">
      <c r="A1784" s="11"/>
      <c r="B1784" s="11"/>
      <c r="C1784" s="20"/>
      <c r="D1784" s="20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5"/>
    </row>
    <row r="1785">
      <c r="A1785" s="11"/>
      <c r="B1785" s="11"/>
      <c r="C1785" s="20"/>
      <c r="D1785" s="20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5"/>
    </row>
    <row r="1786">
      <c r="A1786" s="11"/>
      <c r="B1786" s="11"/>
      <c r="C1786" s="20"/>
      <c r="D1786" s="20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5"/>
    </row>
    <row r="1787">
      <c r="A1787" s="11"/>
      <c r="B1787" s="11"/>
      <c r="C1787" s="20"/>
      <c r="D1787" s="20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5"/>
    </row>
    <row r="1788">
      <c r="A1788" s="11"/>
      <c r="B1788" s="11"/>
      <c r="C1788" s="20"/>
      <c r="D1788" s="20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5"/>
    </row>
    <row r="1789">
      <c r="A1789" s="11"/>
      <c r="B1789" s="11"/>
      <c r="C1789" s="20"/>
      <c r="D1789" s="20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5"/>
    </row>
    <row r="1790">
      <c r="A1790" s="11"/>
      <c r="B1790" s="11"/>
      <c r="C1790" s="20"/>
      <c r="D1790" s="20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5"/>
    </row>
    <row r="1791">
      <c r="A1791" s="11"/>
      <c r="B1791" s="11"/>
      <c r="C1791" s="20"/>
      <c r="D1791" s="20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5"/>
    </row>
    <row r="1792">
      <c r="A1792" s="11"/>
      <c r="B1792" s="11"/>
      <c r="C1792" s="20"/>
      <c r="D1792" s="20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5"/>
    </row>
    <row r="1793">
      <c r="A1793" s="11"/>
      <c r="B1793" s="11"/>
      <c r="C1793" s="20"/>
      <c r="D1793" s="20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5"/>
    </row>
    <row r="1794">
      <c r="A1794" s="11"/>
      <c r="B1794" s="11"/>
      <c r="C1794" s="20"/>
      <c r="D1794" s="20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5"/>
    </row>
    <row r="1795">
      <c r="A1795" s="11"/>
      <c r="B1795" s="11"/>
      <c r="C1795" s="20"/>
      <c r="D1795" s="20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5"/>
    </row>
    <row r="1796">
      <c r="A1796" s="11"/>
      <c r="B1796" s="11"/>
      <c r="C1796" s="20"/>
      <c r="D1796" s="20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5"/>
    </row>
    <row r="1797">
      <c r="A1797" s="11"/>
      <c r="B1797" s="11"/>
      <c r="C1797" s="20"/>
      <c r="D1797" s="20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5"/>
    </row>
    <row r="1798">
      <c r="A1798" s="11"/>
      <c r="B1798" s="11"/>
      <c r="C1798" s="20"/>
      <c r="D1798" s="20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5"/>
    </row>
    <row r="1799">
      <c r="A1799" s="11"/>
      <c r="B1799" s="11"/>
      <c r="C1799" s="20"/>
      <c r="D1799" s="20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5"/>
    </row>
    <row r="1800">
      <c r="A1800" s="11"/>
      <c r="B1800" s="11"/>
      <c r="C1800" s="20"/>
      <c r="D1800" s="20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5"/>
    </row>
    <row r="1801">
      <c r="A1801" s="11"/>
      <c r="B1801" s="11"/>
      <c r="C1801" s="20"/>
      <c r="D1801" s="20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5"/>
    </row>
    <row r="1802">
      <c r="A1802" s="11"/>
      <c r="B1802" s="11"/>
      <c r="C1802" s="20"/>
      <c r="D1802" s="20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5"/>
    </row>
    <row r="1803">
      <c r="A1803" s="11"/>
      <c r="B1803" s="11"/>
      <c r="C1803" s="20"/>
      <c r="D1803" s="20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5"/>
    </row>
    <row r="1804">
      <c r="A1804" s="11"/>
      <c r="B1804" s="11"/>
      <c r="C1804" s="20"/>
      <c r="D1804" s="20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5"/>
    </row>
    <row r="1805">
      <c r="A1805" s="11"/>
      <c r="B1805" s="11"/>
      <c r="C1805" s="20"/>
      <c r="D1805" s="20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5"/>
    </row>
    <row r="1806">
      <c r="A1806" s="11"/>
      <c r="B1806" s="11"/>
      <c r="C1806" s="20"/>
      <c r="D1806" s="20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5"/>
    </row>
    <row r="1807">
      <c r="A1807" s="11"/>
      <c r="B1807" s="11"/>
      <c r="C1807" s="20"/>
      <c r="D1807" s="20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5"/>
    </row>
    <row r="1808">
      <c r="A1808" s="11"/>
      <c r="B1808" s="11"/>
      <c r="C1808" s="20"/>
      <c r="D1808" s="20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5"/>
    </row>
    <row r="1809">
      <c r="A1809" s="11"/>
      <c r="B1809" s="11"/>
      <c r="C1809" s="20"/>
      <c r="D1809" s="20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5"/>
    </row>
    <row r="1810">
      <c r="A1810" s="11"/>
      <c r="B1810" s="11"/>
      <c r="C1810" s="20"/>
      <c r="D1810" s="20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5"/>
    </row>
    <row r="1811">
      <c r="A1811" s="11"/>
      <c r="B1811" s="11"/>
      <c r="C1811" s="20"/>
      <c r="D1811" s="20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5"/>
    </row>
    <row r="1812">
      <c r="A1812" s="11"/>
      <c r="B1812" s="11"/>
      <c r="C1812" s="20"/>
      <c r="D1812" s="20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5"/>
    </row>
    <row r="1813">
      <c r="A1813" s="11"/>
      <c r="B1813" s="11"/>
      <c r="C1813" s="20"/>
      <c r="D1813" s="20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5"/>
    </row>
    <row r="1814">
      <c r="A1814" s="11"/>
      <c r="B1814" s="11"/>
      <c r="C1814" s="20"/>
      <c r="D1814" s="20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5"/>
    </row>
    <row r="1815">
      <c r="A1815" s="11"/>
      <c r="B1815" s="11"/>
      <c r="C1815" s="20"/>
      <c r="D1815" s="20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5"/>
    </row>
    <row r="1816">
      <c r="A1816" s="11"/>
      <c r="B1816" s="11"/>
      <c r="C1816" s="20"/>
      <c r="D1816" s="20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5"/>
    </row>
    <row r="1817">
      <c r="A1817" s="11"/>
      <c r="B1817" s="11"/>
      <c r="C1817" s="20"/>
      <c r="D1817" s="20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5"/>
    </row>
    <row r="1818">
      <c r="A1818" s="11"/>
      <c r="B1818" s="11"/>
      <c r="C1818" s="20"/>
      <c r="D1818" s="20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5"/>
    </row>
    <row r="1819">
      <c r="A1819" s="11"/>
      <c r="B1819" s="11"/>
      <c r="C1819" s="20"/>
      <c r="D1819" s="20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5"/>
    </row>
    <row r="1820">
      <c r="A1820" s="11"/>
      <c r="B1820" s="11"/>
      <c r="C1820" s="20"/>
      <c r="D1820" s="20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5"/>
    </row>
    <row r="1821">
      <c r="A1821" s="11"/>
      <c r="B1821" s="11"/>
      <c r="C1821" s="20"/>
      <c r="D1821" s="20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5"/>
    </row>
    <row r="1822">
      <c r="A1822" s="11"/>
      <c r="B1822" s="11"/>
      <c r="C1822" s="20"/>
      <c r="D1822" s="20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5"/>
    </row>
    <row r="1823">
      <c r="A1823" s="11"/>
      <c r="B1823" s="11"/>
      <c r="C1823" s="20"/>
      <c r="D1823" s="20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5"/>
    </row>
    <row r="1824">
      <c r="A1824" s="11"/>
      <c r="B1824" s="11"/>
      <c r="C1824" s="20"/>
      <c r="D1824" s="20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5"/>
    </row>
    <row r="1825">
      <c r="A1825" s="11"/>
      <c r="B1825" s="11"/>
      <c r="C1825" s="20"/>
      <c r="D1825" s="20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5"/>
    </row>
    <row r="1826">
      <c r="A1826" s="11"/>
      <c r="B1826" s="11"/>
      <c r="C1826" s="20"/>
      <c r="D1826" s="20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5"/>
    </row>
    <row r="1827">
      <c r="A1827" s="11"/>
      <c r="B1827" s="11"/>
      <c r="C1827" s="20"/>
      <c r="D1827" s="20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5"/>
    </row>
    <row r="1828">
      <c r="A1828" s="11"/>
      <c r="B1828" s="11"/>
      <c r="C1828" s="20"/>
      <c r="D1828" s="20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5"/>
    </row>
    <row r="1829">
      <c r="A1829" s="11"/>
      <c r="B1829" s="11"/>
      <c r="C1829" s="20"/>
      <c r="D1829" s="20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5"/>
    </row>
    <row r="1830">
      <c r="A1830" s="11"/>
      <c r="B1830" s="11"/>
      <c r="C1830" s="20"/>
      <c r="D1830" s="20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5"/>
    </row>
    <row r="1831">
      <c r="A1831" s="11"/>
      <c r="B1831" s="11"/>
      <c r="C1831" s="20"/>
      <c r="D1831" s="20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5"/>
    </row>
    <row r="1832">
      <c r="A1832" s="11"/>
      <c r="B1832" s="11"/>
      <c r="C1832" s="20"/>
      <c r="D1832" s="20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5"/>
    </row>
    <row r="1833">
      <c r="A1833" s="11"/>
      <c r="B1833" s="11"/>
      <c r="C1833" s="20"/>
      <c r="D1833" s="20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5"/>
    </row>
    <row r="1834">
      <c r="A1834" s="11"/>
      <c r="B1834" s="11"/>
      <c r="C1834" s="20"/>
      <c r="D1834" s="20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5"/>
    </row>
    <row r="1835">
      <c r="A1835" s="11"/>
      <c r="B1835" s="11"/>
      <c r="C1835" s="20"/>
      <c r="D1835" s="20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5"/>
    </row>
    <row r="1836">
      <c r="A1836" s="11"/>
      <c r="B1836" s="11"/>
      <c r="C1836" s="20"/>
      <c r="D1836" s="20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5"/>
    </row>
    <row r="1837">
      <c r="A1837" s="11"/>
      <c r="B1837" s="11"/>
      <c r="C1837" s="20"/>
      <c r="D1837" s="20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5"/>
    </row>
    <row r="1838">
      <c r="A1838" s="11"/>
      <c r="B1838" s="11"/>
      <c r="C1838" s="20"/>
      <c r="D1838" s="20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5"/>
    </row>
    <row r="1839">
      <c r="A1839" s="11"/>
      <c r="B1839" s="11"/>
      <c r="C1839" s="20"/>
      <c r="D1839" s="20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5"/>
    </row>
    <row r="1840">
      <c r="A1840" s="11"/>
      <c r="B1840" s="11"/>
      <c r="C1840" s="20"/>
      <c r="D1840" s="20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5"/>
    </row>
    <row r="1841">
      <c r="A1841" s="11"/>
      <c r="B1841" s="11"/>
      <c r="C1841" s="20"/>
      <c r="D1841" s="20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5"/>
    </row>
    <row r="1842">
      <c r="A1842" s="11"/>
      <c r="B1842" s="11"/>
      <c r="C1842" s="20"/>
      <c r="D1842" s="20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5"/>
    </row>
    <row r="1843">
      <c r="A1843" s="11"/>
      <c r="B1843" s="11"/>
      <c r="C1843" s="20"/>
      <c r="D1843" s="20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5"/>
    </row>
    <row r="1844">
      <c r="A1844" s="11"/>
      <c r="B1844" s="11"/>
      <c r="C1844" s="20"/>
      <c r="D1844" s="20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5"/>
    </row>
    <row r="1845">
      <c r="A1845" s="11"/>
      <c r="B1845" s="11"/>
      <c r="C1845" s="20"/>
      <c r="D1845" s="20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5"/>
    </row>
    <row r="1846">
      <c r="A1846" s="11"/>
      <c r="B1846" s="11"/>
      <c r="C1846" s="20"/>
      <c r="D1846" s="20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5"/>
    </row>
    <row r="1847">
      <c r="A1847" s="11"/>
      <c r="B1847" s="11"/>
      <c r="C1847" s="20"/>
      <c r="D1847" s="20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5"/>
    </row>
    <row r="1848">
      <c r="A1848" s="11"/>
      <c r="B1848" s="11"/>
      <c r="C1848" s="20"/>
      <c r="D1848" s="20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5"/>
    </row>
    <row r="1849">
      <c r="A1849" s="11"/>
      <c r="B1849" s="11"/>
      <c r="C1849" s="20"/>
      <c r="D1849" s="20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5"/>
    </row>
    <row r="1850">
      <c r="A1850" s="11"/>
      <c r="B1850" s="11"/>
      <c r="C1850" s="20"/>
      <c r="D1850" s="20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5"/>
    </row>
    <row r="1851">
      <c r="A1851" s="11"/>
      <c r="B1851" s="11"/>
      <c r="C1851" s="20"/>
      <c r="D1851" s="20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5"/>
    </row>
    <row r="1852">
      <c r="A1852" s="11"/>
      <c r="B1852" s="11"/>
      <c r="C1852" s="20"/>
      <c r="D1852" s="20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5"/>
    </row>
    <row r="1853">
      <c r="A1853" s="11"/>
      <c r="B1853" s="11"/>
      <c r="C1853" s="20"/>
      <c r="D1853" s="20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5"/>
    </row>
    <row r="1854">
      <c r="A1854" s="11"/>
      <c r="B1854" s="11"/>
      <c r="C1854" s="20"/>
      <c r="D1854" s="20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5"/>
    </row>
    <row r="1855">
      <c r="A1855" s="11"/>
      <c r="B1855" s="11"/>
      <c r="C1855" s="20"/>
      <c r="D1855" s="20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5"/>
    </row>
    <row r="1856">
      <c r="A1856" s="11"/>
      <c r="B1856" s="11"/>
      <c r="C1856" s="20"/>
      <c r="D1856" s="20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5"/>
    </row>
    <row r="1857">
      <c r="A1857" s="11"/>
      <c r="B1857" s="11"/>
      <c r="C1857" s="20"/>
      <c r="D1857" s="20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5"/>
    </row>
    <row r="1858">
      <c r="A1858" s="11"/>
      <c r="B1858" s="11"/>
      <c r="C1858" s="20"/>
      <c r="D1858" s="20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5"/>
    </row>
    <row r="1859">
      <c r="A1859" s="11"/>
      <c r="B1859" s="11"/>
      <c r="C1859" s="20"/>
      <c r="D1859" s="20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5"/>
    </row>
    <row r="1860">
      <c r="A1860" s="11"/>
      <c r="B1860" s="11"/>
      <c r="C1860" s="20"/>
      <c r="D1860" s="20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5"/>
    </row>
    <row r="1861">
      <c r="A1861" s="11"/>
      <c r="B1861" s="11"/>
      <c r="C1861" s="20"/>
      <c r="D1861" s="20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5"/>
    </row>
    <row r="1862">
      <c r="A1862" s="11"/>
      <c r="B1862" s="11"/>
      <c r="C1862" s="20"/>
      <c r="D1862" s="20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5"/>
    </row>
    <row r="1863">
      <c r="A1863" s="11"/>
      <c r="B1863" s="11"/>
      <c r="C1863" s="20"/>
      <c r="D1863" s="20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5"/>
    </row>
    <row r="1864">
      <c r="A1864" s="11"/>
      <c r="B1864" s="11"/>
      <c r="C1864" s="20"/>
      <c r="D1864" s="20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5"/>
    </row>
    <row r="1865">
      <c r="A1865" s="11"/>
      <c r="B1865" s="11"/>
      <c r="C1865" s="20"/>
      <c r="D1865" s="20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5"/>
    </row>
    <row r="1866">
      <c r="A1866" s="11"/>
      <c r="B1866" s="11"/>
      <c r="C1866" s="20"/>
      <c r="D1866" s="20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5"/>
    </row>
    <row r="1867">
      <c r="A1867" s="11"/>
      <c r="B1867" s="11"/>
      <c r="C1867" s="20"/>
      <c r="D1867" s="20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5"/>
    </row>
    <row r="1868">
      <c r="A1868" s="11"/>
      <c r="B1868" s="11"/>
      <c r="C1868" s="20"/>
      <c r="D1868" s="20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5"/>
    </row>
    <row r="1869">
      <c r="A1869" s="11"/>
      <c r="B1869" s="11"/>
      <c r="C1869" s="20"/>
      <c r="D1869" s="20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5"/>
    </row>
    <row r="1870">
      <c r="A1870" s="11"/>
      <c r="B1870" s="11"/>
      <c r="C1870" s="20"/>
      <c r="D1870" s="20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5"/>
    </row>
    <row r="1871">
      <c r="A1871" s="11"/>
      <c r="B1871" s="11"/>
      <c r="C1871" s="20"/>
      <c r="D1871" s="20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5"/>
    </row>
    <row r="1872">
      <c r="A1872" s="11"/>
      <c r="B1872" s="11"/>
      <c r="C1872" s="20"/>
      <c r="D1872" s="20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5"/>
    </row>
    <row r="1873">
      <c r="A1873" s="11"/>
      <c r="B1873" s="11"/>
      <c r="C1873" s="20"/>
      <c r="D1873" s="20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5"/>
    </row>
    <row r="1874">
      <c r="A1874" s="11"/>
      <c r="B1874" s="11"/>
      <c r="C1874" s="20"/>
      <c r="D1874" s="20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5"/>
    </row>
    <row r="1875">
      <c r="A1875" s="11"/>
      <c r="B1875" s="11"/>
      <c r="C1875" s="20"/>
      <c r="D1875" s="20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5"/>
    </row>
    <row r="1876">
      <c r="A1876" s="11"/>
      <c r="B1876" s="11"/>
      <c r="C1876" s="20"/>
      <c r="D1876" s="20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5"/>
    </row>
    <row r="1877">
      <c r="A1877" s="11"/>
      <c r="B1877" s="11"/>
      <c r="C1877" s="20"/>
      <c r="D1877" s="20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5"/>
    </row>
    <row r="1878">
      <c r="A1878" s="11"/>
      <c r="B1878" s="11"/>
      <c r="C1878" s="20"/>
      <c r="D1878" s="20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5"/>
    </row>
    <row r="1879">
      <c r="A1879" s="11"/>
      <c r="B1879" s="11"/>
      <c r="C1879" s="20"/>
      <c r="D1879" s="20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5"/>
    </row>
    <row r="1880">
      <c r="A1880" s="11"/>
      <c r="B1880" s="11"/>
      <c r="C1880" s="20"/>
      <c r="D1880" s="20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5"/>
    </row>
    <row r="1881">
      <c r="A1881" s="11"/>
      <c r="B1881" s="11"/>
      <c r="C1881" s="20"/>
      <c r="D1881" s="20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5"/>
    </row>
    <row r="1882">
      <c r="A1882" s="11"/>
      <c r="B1882" s="11"/>
      <c r="C1882" s="20"/>
      <c r="D1882" s="20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5"/>
    </row>
    <row r="1883">
      <c r="A1883" s="11"/>
      <c r="B1883" s="11"/>
      <c r="C1883" s="20"/>
      <c r="D1883" s="20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5"/>
    </row>
    <row r="1884">
      <c r="A1884" s="11"/>
      <c r="B1884" s="11"/>
      <c r="C1884" s="20"/>
      <c r="D1884" s="20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5"/>
    </row>
    <row r="1885">
      <c r="A1885" s="11"/>
      <c r="B1885" s="11"/>
      <c r="C1885" s="20"/>
      <c r="D1885" s="20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5"/>
    </row>
    <row r="1886">
      <c r="A1886" s="11"/>
      <c r="B1886" s="11"/>
      <c r="C1886" s="20"/>
      <c r="D1886" s="20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5"/>
    </row>
    <row r="1887">
      <c r="A1887" s="11"/>
      <c r="B1887" s="11"/>
      <c r="C1887" s="20"/>
      <c r="D1887" s="20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5"/>
    </row>
    <row r="1888">
      <c r="A1888" s="11"/>
      <c r="B1888" s="11"/>
      <c r="C1888" s="20"/>
      <c r="D1888" s="20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5"/>
    </row>
    <row r="1889">
      <c r="A1889" s="11"/>
      <c r="B1889" s="11"/>
      <c r="C1889" s="20"/>
      <c r="D1889" s="20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5"/>
    </row>
    <row r="1890">
      <c r="A1890" s="11"/>
      <c r="B1890" s="11"/>
      <c r="C1890" s="20"/>
      <c r="D1890" s="20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5"/>
    </row>
    <row r="1891">
      <c r="A1891" s="11"/>
      <c r="B1891" s="11"/>
      <c r="C1891" s="20"/>
      <c r="D1891" s="20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5"/>
    </row>
    <row r="1892">
      <c r="A1892" s="11"/>
      <c r="B1892" s="11"/>
      <c r="C1892" s="20"/>
      <c r="D1892" s="20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5"/>
    </row>
    <row r="1893">
      <c r="A1893" s="11"/>
      <c r="B1893" s="11"/>
      <c r="C1893" s="20"/>
      <c r="D1893" s="20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5"/>
    </row>
    <row r="1894">
      <c r="A1894" s="11"/>
      <c r="B1894" s="11"/>
      <c r="C1894" s="20"/>
      <c r="D1894" s="20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5"/>
    </row>
    <row r="1895">
      <c r="A1895" s="11"/>
      <c r="B1895" s="11"/>
      <c r="C1895" s="20"/>
      <c r="D1895" s="20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5"/>
    </row>
    <row r="1896">
      <c r="A1896" s="11"/>
      <c r="B1896" s="11"/>
      <c r="C1896" s="20"/>
      <c r="D1896" s="20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5"/>
    </row>
    <row r="1897">
      <c r="A1897" s="11"/>
      <c r="B1897" s="11"/>
      <c r="C1897" s="20"/>
      <c r="D1897" s="20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5"/>
    </row>
    <row r="1898">
      <c r="A1898" s="11"/>
      <c r="B1898" s="11"/>
      <c r="C1898" s="20"/>
      <c r="D1898" s="20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5"/>
    </row>
    <row r="1899">
      <c r="A1899" s="11"/>
      <c r="B1899" s="11"/>
      <c r="C1899" s="20"/>
      <c r="D1899" s="20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5"/>
    </row>
    <row r="1900">
      <c r="A1900" s="11"/>
      <c r="B1900" s="11"/>
      <c r="C1900" s="20"/>
      <c r="D1900" s="20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5"/>
    </row>
    <row r="1901">
      <c r="A1901" s="11"/>
      <c r="B1901" s="11"/>
      <c r="C1901" s="20"/>
      <c r="D1901" s="20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5"/>
    </row>
    <row r="1902">
      <c r="A1902" s="11"/>
      <c r="B1902" s="11"/>
      <c r="C1902" s="20"/>
      <c r="D1902" s="20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5"/>
    </row>
    <row r="1903">
      <c r="A1903" s="11"/>
      <c r="B1903" s="11"/>
      <c r="C1903" s="20"/>
      <c r="D1903" s="20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5"/>
    </row>
    <row r="1904">
      <c r="A1904" s="11"/>
      <c r="B1904" s="11"/>
      <c r="C1904" s="20"/>
      <c r="D1904" s="20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5"/>
    </row>
    <row r="1905">
      <c r="A1905" s="11"/>
      <c r="B1905" s="11"/>
      <c r="C1905" s="20"/>
      <c r="D1905" s="20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5"/>
    </row>
    <row r="1906">
      <c r="A1906" s="11"/>
      <c r="B1906" s="11"/>
      <c r="C1906" s="20"/>
      <c r="D1906" s="20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5"/>
    </row>
    <row r="1907">
      <c r="A1907" s="11"/>
      <c r="B1907" s="11"/>
      <c r="C1907" s="20"/>
      <c r="D1907" s="20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5"/>
    </row>
    <row r="1908">
      <c r="A1908" s="11"/>
      <c r="B1908" s="11"/>
      <c r="C1908" s="20"/>
      <c r="D1908" s="20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5"/>
    </row>
    <row r="1909">
      <c r="A1909" s="11"/>
      <c r="B1909" s="11"/>
      <c r="C1909" s="20"/>
      <c r="D1909" s="20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5"/>
    </row>
    <row r="1910">
      <c r="A1910" s="11"/>
      <c r="B1910" s="11"/>
      <c r="C1910" s="20"/>
      <c r="D1910" s="20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5"/>
    </row>
    <row r="1911">
      <c r="A1911" s="11"/>
      <c r="B1911" s="11"/>
      <c r="C1911" s="20"/>
      <c r="D1911" s="20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5"/>
    </row>
    <row r="1912">
      <c r="A1912" s="11"/>
      <c r="B1912" s="11"/>
      <c r="C1912" s="20"/>
      <c r="D1912" s="20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5"/>
    </row>
    <row r="1913">
      <c r="A1913" s="11"/>
      <c r="B1913" s="11"/>
      <c r="C1913" s="20"/>
      <c r="D1913" s="20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5"/>
    </row>
    <row r="1914">
      <c r="A1914" s="11"/>
      <c r="B1914" s="11"/>
      <c r="C1914" s="20"/>
      <c r="D1914" s="20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5"/>
    </row>
    <row r="1915">
      <c r="A1915" s="11"/>
      <c r="B1915" s="11"/>
      <c r="C1915" s="20"/>
      <c r="D1915" s="20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5"/>
    </row>
    <row r="1916">
      <c r="A1916" s="11"/>
      <c r="B1916" s="11"/>
      <c r="C1916" s="20"/>
      <c r="D1916" s="20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5"/>
    </row>
    <row r="1917">
      <c r="A1917" s="11"/>
      <c r="B1917" s="11"/>
      <c r="C1917" s="20"/>
      <c r="D1917" s="20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5"/>
    </row>
    <row r="1918">
      <c r="A1918" s="11"/>
      <c r="B1918" s="11"/>
      <c r="C1918" s="20"/>
      <c r="D1918" s="20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5"/>
    </row>
    <row r="1919">
      <c r="A1919" s="11"/>
      <c r="B1919" s="11"/>
      <c r="C1919" s="20"/>
      <c r="D1919" s="20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5"/>
    </row>
    <row r="1920">
      <c r="A1920" s="11"/>
      <c r="B1920" s="11"/>
      <c r="C1920" s="20"/>
      <c r="D1920" s="20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5"/>
    </row>
    <row r="1921">
      <c r="A1921" s="11"/>
      <c r="B1921" s="11"/>
      <c r="C1921" s="20"/>
      <c r="D1921" s="20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5"/>
    </row>
    <row r="1922">
      <c r="A1922" s="11"/>
      <c r="B1922" s="11"/>
      <c r="C1922" s="20"/>
      <c r="D1922" s="20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5"/>
    </row>
    <row r="1923">
      <c r="A1923" s="11"/>
      <c r="B1923" s="11"/>
      <c r="C1923" s="20"/>
      <c r="D1923" s="20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5"/>
    </row>
    <row r="1924">
      <c r="A1924" s="11"/>
      <c r="B1924" s="11"/>
      <c r="C1924" s="20"/>
      <c r="D1924" s="20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5"/>
    </row>
    <row r="1925">
      <c r="A1925" s="11"/>
      <c r="B1925" s="11"/>
      <c r="C1925" s="20"/>
      <c r="D1925" s="20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5"/>
    </row>
    <row r="1926">
      <c r="A1926" s="11"/>
      <c r="B1926" s="11"/>
      <c r="C1926" s="20"/>
      <c r="D1926" s="20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5"/>
    </row>
    <row r="1927">
      <c r="A1927" s="11"/>
      <c r="B1927" s="11"/>
      <c r="C1927" s="20"/>
      <c r="D1927" s="20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5"/>
    </row>
    <row r="1928">
      <c r="A1928" s="11"/>
      <c r="B1928" s="11"/>
      <c r="C1928" s="20"/>
      <c r="D1928" s="20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5"/>
    </row>
    <row r="1929">
      <c r="A1929" s="11"/>
      <c r="B1929" s="11"/>
      <c r="C1929" s="20"/>
      <c r="D1929" s="20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5"/>
    </row>
    <row r="1930">
      <c r="A1930" s="11"/>
      <c r="B1930" s="11"/>
      <c r="C1930" s="20"/>
      <c r="D1930" s="20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5"/>
    </row>
    <row r="1931">
      <c r="A1931" s="11"/>
      <c r="B1931" s="11"/>
      <c r="C1931" s="20"/>
      <c r="D1931" s="20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5"/>
    </row>
    <row r="1932">
      <c r="A1932" s="11"/>
      <c r="B1932" s="11"/>
      <c r="C1932" s="20"/>
      <c r="D1932" s="20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5"/>
    </row>
    <row r="1933">
      <c r="A1933" s="11"/>
      <c r="B1933" s="11"/>
      <c r="C1933" s="20"/>
      <c r="D1933" s="20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5"/>
    </row>
    <row r="1934">
      <c r="A1934" s="11"/>
      <c r="B1934" s="11"/>
      <c r="C1934" s="20"/>
      <c r="D1934" s="20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5"/>
    </row>
    <row r="1935">
      <c r="A1935" s="11"/>
      <c r="B1935" s="11"/>
      <c r="C1935" s="20"/>
      <c r="D1935" s="20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5"/>
    </row>
    <row r="1936">
      <c r="A1936" s="11"/>
      <c r="B1936" s="11"/>
      <c r="C1936" s="20"/>
      <c r="D1936" s="20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5"/>
    </row>
    <row r="1937">
      <c r="A1937" s="11"/>
      <c r="B1937" s="11"/>
      <c r="C1937" s="20"/>
      <c r="D1937" s="20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5"/>
    </row>
    <row r="1938">
      <c r="A1938" s="11"/>
      <c r="B1938" s="11"/>
      <c r="C1938" s="20"/>
      <c r="D1938" s="20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5"/>
    </row>
    <row r="1939">
      <c r="A1939" s="11"/>
      <c r="B1939" s="11"/>
      <c r="C1939" s="20"/>
      <c r="D1939" s="20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5"/>
    </row>
    <row r="1940">
      <c r="A1940" s="11"/>
      <c r="B1940" s="11"/>
      <c r="C1940" s="20"/>
      <c r="D1940" s="20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5"/>
    </row>
    <row r="1941">
      <c r="A1941" s="11"/>
      <c r="B1941" s="11"/>
      <c r="C1941" s="20"/>
      <c r="D1941" s="20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5"/>
    </row>
    <row r="1942">
      <c r="A1942" s="11"/>
      <c r="B1942" s="11"/>
      <c r="C1942" s="20"/>
      <c r="D1942" s="20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5"/>
    </row>
    <row r="1943">
      <c r="A1943" s="11"/>
      <c r="B1943" s="11"/>
      <c r="C1943" s="20"/>
      <c r="D1943" s="20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5"/>
    </row>
    <row r="1944">
      <c r="A1944" s="11"/>
      <c r="B1944" s="11"/>
      <c r="C1944" s="20"/>
      <c r="D1944" s="20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5"/>
    </row>
    <row r="1945">
      <c r="A1945" s="11"/>
      <c r="B1945" s="11"/>
      <c r="C1945" s="20"/>
      <c r="D1945" s="20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5"/>
    </row>
    <row r="1946">
      <c r="A1946" s="11"/>
      <c r="B1946" s="11"/>
      <c r="C1946" s="20"/>
      <c r="D1946" s="20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5"/>
    </row>
    <row r="1947">
      <c r="A1947" s="11"/>
      <c r="B1947" s="11"/>
      <c r="C1947" s="20"/>
      <c r="D1947" s="20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5"/>
    </row>
    <row r="1948">
      <c r="A1948" s="11"/>
      <c r="B1948" s="11"/>
      <c r="C1948" s="20"/>
      <c r="D1948" s="20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5"/>
    </row>
    <row r="1949">
      <c r="A1949" s="11"/>
      <c r="B1949" s="11"/>
      <c r="C1949" s="20"/>
      <c r="D1949" s="20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5"/>
    </row>
    <row r="1950">
      <c r="A1950" s="11"/>
      <c r="B1950" s="11"/>
      <c r="C1950" s="20"/>
      <c r="D1950" s="20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5"/>
    </row>
    <row r="1951">
      <c r="A1951" s="11"/>
      <c r="B1951" s="11"/>
      <c r="C1951" s="20"/>
      <c r="D1951" s="20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5"/>
    </row>
    <row r="1952">
      <c r="A1952" s="11"/>
      <c r="B1952" s="11"/>
      <c r="C1952" s="20"/>
      <c r="D1952" s="20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5"/>
    </row>
    <row r="1953">
      <c r="A1953" s="11"/>
      <c r="B1953" s="11"/>
      <c r="C1953" s="20"/>
      <c r="D1953" s="20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5"/>
    </row>
    <row r="1954">
      <c r="A1954" s="11"/>
      <c r="B1954" s="11"/>
      <c r="C1954" s="20"/>
      <c r="D1954" s="20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5"/>
    </row>
    <row r="1955">
      <c r="A1955" s="11"/>
      <c r="B1955" s="11"/>
      <c r="C1955" s="20"/>
      <c r="D1955" s="20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5"/>
    </row>
    <row r="1956">
      <c r="A1956" s="11"/>
      <c r="B1956" s="11"/>
      <c r="C1956" s="20"/>
      <c r="D1956" s="20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5"/>
    </row>
    <row r="1957">
      <c r="A1957" s="11"/>
      <c r="B1957" s="11"/>
      <c r="C1957" s="20"/>
      <c r="D1957" s="20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5"/>
    </row>
    <row r="1958">
      <c r="A1958" s="11"/>
      <c r="B1958" s="11"/>
      <c r="C1958" s="20"/>
      <c r="D1958" s="20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5"/>
    </row>
    <row r="1959">
      <c r="A1959" s="11"/>
      <c r="B1959" s="11"/>
      <c r="C1959" s="20"/>
      <c r="D1959" s="20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5"/>
    </row>
    <row r="1960">
      <c r="A1960" s="11"/>
      <c r="B1960" s="11"/>
      <c r="C1960" s="20"/>
      <c r="D1960" s="20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5"/>
    </row>
    <row r="1961">
      <c r="A1961" s="11"/>
      <c r="B1961" s="11"/>
      <c r="C1961" s="20"/>
      <c r="D1961" s="20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5"/>
    </row>
    <row r="1962">
      <c r="A1962" s="11"/>
      <c r="B1962" s="11"/>
      <c r="C1962" s="20"/>
      <c r="D1962" s="20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5"/>
    </row>
    <row r="1963">
      <c r="A1963" s="11"/>
      <c r="B1963" s="11"/>
      <c r="C1963" s="20"/>
      <c r="D1963" s="20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5"/>
    </row>
    <row r="1964">
      <c r="A1964" s="11"/>
      <c r="B1964" s="11"/>
      <c r="C1964" s="20"/>
      <c r="D1964" s="20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5"/>
    </row>
    <row r="1965">
      <c r="A1965" s="11"/>
      <c r="B1965" s="11"/>
      <c r="C1965" s="20"/>
      <c r="D1965" s="20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5"/>
    </row>
    <row r="1966">
      <c r="A1966" s="11"/>
      <c r="B1966" s="11"/>
      <c r="C1966" s="20"/>
      <c r="D1966" s="20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5"/>
    </row>
    <row r="1967">
      <c r="A1967" s="11"/>
      <c r="B1967" s="11"/>
      <c r="C1967" s="20"/>
      <c r="D1967" s="20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5"/>
    </row>
    <row r="1968">
      <c r="A1968" s="11"/>
      <c r="B1968" s="11"/>
      <c r="C1968" s="20"/>
      <c r="D1968" s="20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5"/>
    </row>
    <row r="1969">
      <c r="A1969" s="11"/>
      <c r="B1969" s="11"/>
      <c r="C1969" s="20"/>
      <c r="D1969" s="20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5"/>
    </row>
    <row r="1970">
      <c r="A1970" s="11"/>
      <c r="B1970" s="11"/>
      <c r="C1970" s="20"/>
      <c r="D1970" s="20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5"/>
    </row>
    <row r="1971">
      <c r="A1971" s="11"/>
      <c r="B1971" s="11"/>
      <c r="C1971" s="20"/>
      <c r="D1971" s="20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5"/>
    </row>
    <row r="1972">
      <c r="A1972" s="11"/>
      <c r="B1972" s="11"/>
      <c r="C1972" s="20"/>
      <c r="D1972" s="20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5"/>
    </row>
    <row r="1973">
      <c r="A1973" s="11"/>
      <c r="B1973" s="11"/>
      <c r="C1973" s="20"/>
      <c r="D1973" s="20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5"/>
    </row>
    <row r="1974">
      <c r="A1974" s="11"/>
      <c r="B1974" s="11"/>
      <c r="C1974" s="20"/>
      <c r="D1974" s="20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5"/>
    </row>
    <row r="1975">
      <c r="A1975" s="11"/>
      <c r="B1975" s="11"/>
      <c r="C1975" s="20"/>
      <c r="D1975" s="20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5"/>
    </row>
    <row r="1976">
      <c r="A1976" s="11"/>
      <c r="B1976" s="11"/>
      <c r="C1976" s="20"/>
      <c r="D1976" s="20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5"/>
    </row>
    <row r="1977">
      <c r="A1977" s="11"/>
      <c r="B1977" s="11"/>
      <c r="C1977" s="20"/>
      <c r="D1977" s="20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5"/>
    </row>
    <row r="1978">
      <c r="A1978" s="11"/>
      <c r="B1978" s="11"/>
      <c r="C1978" s="20"/>
      <c r="D1978" s="20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5"/>
    </row>
    <row r="1979">
      <c r="A1979" s="11"/>
      <c r="B1979" s="11"/>
      <c r="C1979" s="20"/>
      <c r="D1979" s="20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5"/>
    </row>
    <row r="1980">
      <c r="A1980" s="11"/>
      <c r="B1980" s="11"/>
      <c r="C1980" s="20"/>
      <c r="D1980" s="20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5"/>
    </row>
    <row r="1981">
      <c r="A1981" s="11"/>
      <c r="B1981" s="11"/>
      <c r="C1981" s="20"/>
      <c r="D1981" s="20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5"/>
    </row>
    <row r="1982">
      <c r="A1982" s="11"/>
      <c r="B1982" s="11"/>
      <c r="C1982" s="20"/>
      <c r="D1982" s="20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5"/>
    </row>
    <row r="1983">
      <c r="A1983" s="11"/>
      <c r="B1983" s="11"/>
      <c r="C1983" s="20"/>
      <c r="D1983" s="20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5"/>
    </row>
    <row r="1984">
      <c r="A1984" s="11"/>
      <c r="B1984" s="11"/>
      <c r="C1984" s="20"/>
      <c r="D1984" s="20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5"/>
    </row>
    <row r="1985">
      <c r="A1985" s="11"/>
      <c r="B1985" s="11"/>
      <c r="C1985" s="20"/>
      <c r="D1985" s="20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5"/>
    </row>
    <row r="1986">
      <c r="A1986" s="11"/>
      <c r="B1986" s="11"/>
      <c r="C1986" s="20"/>
      <c r="D1986" s="20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5"/>
    </row>
    <row r="1987">
      <c r="A1987" s="11"/>
      <c r="B1987" s="11"/>
      <c r="C1987" s="20"/>
      <c r="D1987" s="20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5"/>
    </row>
    <row r="1988">
      <c r="A1988" s="11"/>
      <c r="B1988" s="11"/>
      <c r="C1988" s="20"/>
      <c r="D1988" s="20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5"/>
    </row>
    <row r="1989">
      <c r="A1989" s="11"/>
      <c r="B1989" s="11"/>
      <c r="C1989" s="20"/>
      <c r="D1989" s="20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5"/>
    </row>
    <row r="1990">
      <c r="A1990" s="11"/>
      <c r="B1990" s="11"/>
      <c r="C1990" s="20"/>
      <c r="D1990" s="20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5"/>
    </row>
    <row r="1991">
      <c r="A1991" s="11"/>
      <c r="B1991" s="11"/>
      <c r="C1991" s="20"/>
      <c r="D1991" s="20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5"/>
    </row>
    <row r="1992">
      <c r="A1992" s="11"/>
      <c r="B1992" s="11"/>
      <c r="C1992" s="20"/>
      <c r="D1992" s="20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5"/>
    </row>
    <row r="1993">
      <c r="A1993" s="11"/>
      <c r="B1993" s="11"/>
      <c r="C1993" s="20"/>
      <c r="D1993" s="20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5"/>
    </row>
    <row r="1994">
      <c r="A1994" s="11"/>
      <c r="B1994" s="11"/>
      <c r="C1994" s="20"/>
      <c r="D1994" s="20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5"/>
    </row>
    <row r="1995">
      <c r="A1995" s="11"/>
      <c r="B1995" s="11"/>
      <c r="C1995" s="20"/>
      <c r="D1995" s="20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5"/>
    </row>
    <row r="1996">
      <c r="A1996" s="11"/>
      <c r="B1996" s="11"/>
      <c r="C1996" s="20"/>
      <c r="D1996" s="20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5"/>
    </row>
    <row r="1997">
      <c r="A1997" s="11"/>
      <c r="B1997" s="11"/>
      <c r="C1997" s="20"/>
      <c r="D1997" s="20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5"/>
    </row>
    <row r="1998">
      <c r="A1998" s="11"/>
      <c r="B1998" s="11"/>
      <c r="C1998" s="20"/>
      <c r="D1998" s="20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5"/>
    </row>
    <row r="1999">
      <c r="A1999" s="11"/>
      <c r="B1999" s="11"/>
      <c r="C1999" s="20"/>
      <c r="D1999" s="20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5"/>
    </row>
    <row r="2000">
      <c r="A2000" s="11"/>
      <c r="B2000" s="11"/>
      <c r="C2000" s="20"/>
      <c r="D2000" s="20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5"/>
    </row>
  </sheetData>
  <mergeCells count="2">
    <mergeCell ref="G2:I2"/>
    <mergeCell ref="J2:L2"/>
  </mergeCells>
  <conditionalFormatting sqref="G2:G2000">
    <cfRule type="cellIs" dxfId="3" priority="1" stopIfTrue="1" operator="lessThanOrEqual">
      <formula>2500</formula>
    </cfRule>
  </conditionalFormatting>
  <conditionalFormatting sqref="G2:G2000">
    <cfRule type="cellIs" dxfId="4" priority="2" stopIfTrue="1" operator="greaterThan">
      <formula>4000</formula>
    </cfRule>
  </conditionalFormatting>
  <conditionalFormatting sqref="G2:G2000">
    <cfRule type="cellIs" dxfId="5" priority="3" stopIfTrue="1" operator="between">
      <formula>2500</formula>
      <formula>4000</formula>
    </cfRule>
  </conditionalFormatting>
  <conditionalFormatting sqref="J2:J2000">
    <cfRule type="cellIs" dxfId="3" priority="4" stopIfTrue="1" operator="lessThanOrEqual">
      <formula>2500</formula>
    </cfRule>
  </conditionalFormatting>
  <conditionalFormatting sqref="J2:J2000">
    <cfRule type="cellIs" dxfId="4" priority="5" stopIfTrue="1" operator="greaterThan">
      <formula>4000</formula>
    </cfRule>
  </conditionalFormatting>
  <conditionalFormatting sqref="J2:J2000">
    <cfRule type="cellIs" dxfId="5" priority="6" stopIfTrue="1" operator="between">
      <formula>2500</formula>
      <formula>4000</formula>
    </cfRule>
  </conditionalFormatting>
  <conditionalFormatting sqref="H2:H2000">
    <cfRule type="cellIs" dxfId="3" priority="7" stopIfTrue="1" operator="lessThanOrEqual">
      <formula>120</formula>
    </cfRule>
  </conditionalFormatting>
  <conditionalFormatting sqref="H2:H2000">
    <cfRule type="cellIs" dxfId="4" priority="8" stopIfTrue="1" operator="greaterThan">
      <formula>500</formula>
    </cfRule>
  </conditionalFormatting>
  <conditionalFormatting sqref="H2:H2000">
    <cfRule type="cellIs" dxfId="5" priority="9" stopIfTrue="1" operator="between">
      <formula>120</formula>
      <formula>500</formula>
    </cfRule>
  </conditionalFormatting>
  <conditionalFormatting sqref="K2:K2000">
    <cfRule type="cellIs" dxfId="3" priority="10" stopIfTrue="1" operator="lessThanOrEqual">
      <formula>120</formula>
    </cfRule>
  </conditionalFormatting>
  <conditionalFormatting sqref="K2:K2000">
    <cfRule type="cellIs" dxfId="4" priority="11" stopIfTrue="1" operator="greaterThan">
      <formula>500</formula>
    </cfRule>
  </conditionalFormatting>
  <conditionalFormatting sqref="K2:K2000">
    <cfRule type="cellIs" dxfId="5" priority="12" stopIfTrue="1" operator="between">
      <formula>120</formula>
      <formula>500</formula>
    </cfRule>
  </conditionalFormatting>
  <conditionalFormatting sqref="I2:I2000">
    <cfRule type="cellIs" dxfId="3" priority="13" stopIfTrue="1" operator="lessThanOrEqual">
      <formula>0.12</formula>
    </cfRule>
  </conditionalFormatting>
  <conditionalFormatting sqref="I2:I2000">
    <cfRule type="cellIs" dxfId="4" priority="14" stopIfTrue="1" operator="greaterThan">
      <formula>0.25</formula>
    </cfRule>
  </conditionalFormatting>
  <conditionalFormatting sqref="I2:I2000">
    <cfRule type="cellIs" dxfId="5" priority="15" stopIfTrue="1" operator="between">
      <formula>0.12</formula>
      <formula>0.25</formula>
    </cfRule>
  </conditionalFormatting>
  <conditionalFormatting sqref="L2:L2000">
    <cfRule type="cellIs" dxfId="3" priority="16" stopIfTrue="1" operator="lessThanOrEqual">
      <formula>0.12</formula>
    </cfRule>
  </conditionalFormatting>
  <conditionalFormatting sqref="L2:L2000">
    <cfRule type="cellIs" dxfId="4" priority="17" stopIfTrue="1" operator="greaterThan">
      <formula>0.25</formula>
    </cfRule>
  </conditionalFormatting>
  <conditionalFormatting sqref="L2:L2000">
    <cfRule type="cellIs" dxfId="5" priority="18" stopIfTrue="1" operator="between">
      <formula>0.12</formula>
      <formula>0.25</formula>
    </cfRule>
  </conditionalFormatting>
  <conditionalFormatting sqref="F2:F2000">
    <cfRule type="cellIs" dxfId="4" priority="19" stopIfTrue="1" operator="lessThan">
      <formula>50</formula>
    </cfRule>
  </conditionalFormatting>
  <conditionalFormatting sqref="F2:F2000">
    <cfRule type="cellIs" dxfId="3" priority="20" stopIfTrue="1" operator="greaterThanOrEqual">
      <formula>90</formula>
    </cfRule>
  </conditionalFormatting>
  <conditionalFormatting sqref="F2:F2000">
    <cfRule type="cellIs" dxfId="5" priority="21" stopIfTrue="1" operator="between">
      <formula>50</formula>
      <formula>90</formula>
    </cfRule>
  </conditionalFormatting>
  <conditionalFormatting sqref="M2:M2000">
    <cfRule type="cellIs" dxfId="3" priority="22" stopIfTrue="1" operator="lessThanOrEqual">
      <formula>200</formula>
    </cfRule>
  </conditionalFormatting>
  <conditionalFormatting sqref="M2:M2000">
    <cfRule type="cellIs" dxfId="4" priority="23" stopIfTrue="1" operator="greaterThan">
      <formula>500</formula>
    </cfRule>
  </conditionalFormatting>
  <conditionalFormatting sqref="M2:M2000">
    <cfRule type="cellIs" dxfId="5" priority="24" stopIfTrue="1" operator="between">
      <formula>200</formula>
      <formula>500</formula>
    </cfRule>
  </conditionalFormatting>
  <conditionalFormatting sqref="N2:N2000">
    <cfRule type="cellIs" dxfId="3" priority="25" stopIfTrue="1" operator="lessThanOrEqual">
      <formula>1800</formula>
    </cfRule>
  </conditionalFormatting>
  <conditionalFormatting sqref="N2:N2000">
    <cfRule type="cellIs" dxfId="4" priority="26" stopIfTrue="1" operator="greaterThan">
      <formula>3000</formula>
    </cfRule>
  </conditionalFormatting>
  <conditionalFormatting sqref="N2:N2000">
    <cfRule type="cellIs" dxfId="5" priority="27" stopIfTrue="1" operator="between">
      <formula>1800</formula>
      <formula>3000</formula>
    </cfRule>
  </conditionalFormatting>
  <conditionalFormatting sqref="O2:O2000">
    <cfRule type="cellIs" dxfId="3" priority="28" stopIfTrue="1" operator="lessThanOrEqual">
      <formula>3400</formula>
    </cfRule>
  </conditionalFormatting>
  <conditionalFormatting sqref="O2:O2000">
    <cfRule type="cellIs" dxfId="4" priority="29" stopIfTrue="1" operator="greaterThan">
      <formula>5800</formula>
    </cfRule>
  </conditionalFormatting>
  <conditionalFormatting sqref="O2:O2000">
    <cfRule type="cellIs" dxfId="5" priority="30" stopIfTrue="1" operator="between">
      <formula>3400</formula>
      <formula>5800</formula>
    </cfRule>
  </conditionalFormatting>
  <conditionalFormatting sqref="P2:P2000">
    <cfRule type="cellIs" dxfId="3" priority="31" stopIfTrue="1" operator="lessThanOrEqual">
      <formula>3800</formula>
    </cfRule>
  </conditionalFormatting>
  <conditionalFormatting sqref="P2:P2000">
    <cfRule type="cellIs" dxfId="4" priority="32" stopIfTrue="1" operator="greaterThan">
      <formula>7300</formula>
    </cfRule>
  </conditionalFormatting>
  <conditionalFormatting sqref="P2:P2000">
    <cfRule type="cellIs" dxfId="5" priority="33" stopIfTrue="1" operator="between">
      <formula>3800</formula>
      <formula>7300</formula>
    </cfRule>
  </conditionalFormatting>
  <conditionalFormatting sqref="Q2:Q2000">
    <cfRule type="cellIs" dxfId="3" priority="34" stopIfTrue="1" operator="lessThanOrEqual">
      <formula>800</formula>
    </cfRule>
  </conditionalFormatting>
  <conditionalFormatting sqref="Q2:Q2000">
    <cfRule type="cellIs" dxfId="4" priority="35" stopIfTrue="1" operator="greaterThan">
      <formula>1800</formula>
    </cfRule>
  </conditionalFormatting>
  <conditionalFormatting sqref="Q2:Q2000">
    <cfRule type="cellIs" dxfId="5" priority="36" stopIfTrue="1" operator="between">
      <formula>800</formula>
      <formula>1800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0.63"/>
    <col customWidth="1" min="3" max="3" width="8.5"/>
    <col customWidth="1" min="4" max="4" width="9.88"/>
    <col customWidth="1" min="5" max="5" width="13.38"/>
    <col customWidth="1" min="6" max="6" width="21.25"/>
    <col customWidth="1" min="7" max="7" width="29.63"/>
    <col customWidth="1" min="8" max="8" width="13.63"/>
    <col customWidth="1" min="9" max="9" width="12.75"/>
    <col customWidth="1" min="10" max="10" width="14.0"/>
    <col customWidth="1" min="11" max="12" width="12.75"/>
  </cols>
  <sheetData>
    <row r="1">
      <c r="A1" s="90" t="s">
        <v>315</v>
      </c>
      <c r="B1" s="90" t="s">
        <v>421</v>
      </c>
      <c r="C1" s="90" t="s">
        <v>422</v>
      </c>
      <c r="D1" s="90" t="s">
        <v>423</v>
      </c>
      <c r="E1" s="90" t="s">
        <v>424</v>
      </c>
      <c r="F1" s="91" t="s">
        <v>425</v>
      </c>
      <c r="G1" s="91" t="s">
        <v>426</v>
      </c>
      <c r="H1" s="91" t="s">
        <v>169</v>
      </c>
      <c r="I1" s="91" t="s">
        <v>172</v>
      </c>
      <c r="J1" s="91" t="s">
        <v>427</v>
      </c>
      <c r="K1" s="91" t="s">
        <v>428</v>
      </c>
      <c r="L1" s="91"/>
    </row>
    <row r="2">
      <c r="A2" s="92" t="s">
        <v>5</v>
      </c>
      <c r="B2" s="93">
        <v>2500.0</v>
      </c>
      <c r="C2" s="94">
        <v>4000.0</v>
      </c>
      <c r="D2" s="95" t="s">
        <v>429</v>
      </c>
      <c r="E2" s="95" t="s">
        <v>430</v>
      </c>
      <c r="F2" s="96" t="s">
        <v>431</v>
      </c>
      <c r="G2" s="96" t="s">
        <v>432</v>
      </c>
      <c r="H2" s="96" t="s">
        <v>433</v>
      </c>
      <c r="I2" s="96" t="s">
        <v>433</v>
      </c>
      <c r="J2" s="96" t="s">
        <v>434</v>
      </c>
      <c r="K2" s="96" t="s">
        <v>435</v>
      </c>
      <c r="L2" s="96"/>
    </row>
    <row r="3">
      <c r="A3" s="97" t="s">
        <v>7</v>
      </c>
      <c r="B3" s="98">
        <v>120.0</v>
      </c>
      <c r="C3" s="99">
        <v>500.0</v>
      </c>
      <c r="D3" s="100" t="s">
        <v>429</v>
      </c>
      <c r="E3" s="100" t="s">
        <v>430</v>
      </c>
      <c r="F3" s="101" t="s">
        <v>436</v>
      </c>
      <c r="G3" s="101" t="s">
        <v>437</v>
      </c>
      <c r="H3" s="101" t="s">
        <v>433</v>
      </c>
      <c r="I3" s="101" t="s">
        <v>433</v>
      </c>
      <c r="J3" s="101" t="s">
        <v>434</v>
      </c>
      <c r="K3" s="101" t="s">
        <v>435</v>
      </c>
      <c r="L3" s="101"/>
    </row>
    <row r="4">
      <c r="A4" s="92" t="s">
        <v>8</v>
      </c>
      <c r="B4" s="102">
        <v>0.12</v>
      </c>
      <c r="C4" s="94">
        <v>0.25</v>
      </c>
      <c r="D4" s="95" t="s">
        <v>429</v>
      </c>
      <c r="E4" s="95" t="s">
        <v>438</v>
      </c>
      <c r="F4" s="96" t="s">
        <v>439</v>
      </c>
      <c r="G4" s="96" t="s">
        <v>440</v>
      </c>
      <c r="H4" s="96" t="s">
        <v>433</v>
      </c>
      <c r="I4" s="96" t="s">
        <v>433</v>
      </c>
      <c r="J4" s="96" t="s">
        <v>434</v>
      </c>
      <c r="K4" s="96" t="s">
        <v>435</v>
      </c>
      <c r="L4" s="96"/>
    </row>
    <row r="5">
      <c r="A5" s="42" t="s">
        <v>139</v>
      </c>
      <c r="B5" s="103">
        <v>90.0</v>
      </c>
      <c r="C5" s="104">
        <v>50.0</v>
      </c>
      <c r="D5" s="30" t="s">
        <v>441</v>
      </c>
      <c r="E5" s="30" t="s">
        <v>442</v>
      </c>
      <c r="F5" s="91" t="s">
        <v>443</v>
      </c>
      <c r="G5" s="91" t="s">
        <v>444</v>
      </c>
      <c r="H5" s="91" t="s">
        <v>433</v>
      </c>
      <c r="I5" s="91" t="s">
        <v>433</v>
      </c>
      <c r="J5" s="91" t="s">
        <v>445</v>
      </c>
      <c r="K5" s="91" t="s">
        <v>446</v>
      </c>
      <c r="L5" s="91"/>
    </row>
    <row r="6">
      <c r="A6" s="42" t="s">
        <v>150</v>
      </c>
      <c r="B6" s="105">
        <v>200.0</v>
      </c>
      <c r="C6" s="106">
        <v>500.0</v>
      </c>
      <c r="D6" s="30" t="s">
        <v>429</v>
      </c>
      <c r="E6" s="30" t="s">
        <v>430</v>
      </c>
      <c r="F6" s="91" t="s">
        <v>447</v>
      </c>
      <c r="G6" s="91" t="s">
        <v>448</v>
      </c>
      <c r="H6" s="91" t="s">
        <v>433</v>
      </c>
      <c r="I6" s="91" t="s">
        <v>445</v>
      </c>
      <c r="J6" s="91" t="s">
        <v>445</v>
      </c>
      <c r="K6" s="91" t="s">
        <v>446</v>
      </c>
      <c r="L6" s="91"/>
    </row>
    <row r="7">
      <c r="A7" s="42" t="s">
        <v>6</v>
      </c>
      <c r="B7" s="103">
        <v>1800.0</v>
      </c>
      <c r="C7" s="104">
        <v>3000.0</v>
      </c>
      <c r="D7" s="30" t="s">
        <v>429</v>
      </c>
      <c r="E7" s="30" t="s">
        <v>430</v>
      </c>
      <c r="F7" s="91" t="s">
        <v>449</v>
      </c>
      <c r="G7" s="91" t="s">
        <v>450</v>
      </c>
      <c r="H7" s="91" t="s">
        <v>433</v>
      </c>
      <c r="I7" s="91" t="s">
        <v>433</v>
      </c>
      <c r="J7" s="91" t="s">
        <v>434</v>
      </c>
      <c r="K7" s="91" t="s">
        <v>446</v>
      </c>
      <c r="L7" s="91"/>
    </row>
    <row r="8">
      <c r="A8" s="42" t="s">
        <v>151</v>
      </c>
      <c r="B8" s="103">
        <v>3400.0</v>
      </c>
      <c r="C8" s="104">
        <v>5800.0</v>
      </c>
      <c r="D8" s="30" t="s">
        <v>429</v>
      </c>
      <c r="E8" s="30" t="s">
        <v>430</v>
      </c>
      <c r="F8" s="91" t="s">
        <v>165</v>
      </c>
      <c r="G8" s="91" t="s">
        <v>451</v>
      </c>
      <c r="H8" s="91" t="s">
        <v>433</v>
      </c>
      <c r="I8" s="91" t="s">
        <v>433</v>
      </c>
      <c r="J8" s="91" t="s">
        <v>445</v>
      </c>
      <c r="K8" s="91" t="s">
        <v>446</v>
      </c>
      <c r="L8" s="91"/>
    </row>
    <row r="9">
      <c r="A9" s="42" t="s">
        <v>152</v>
      </c>
      <c r="B9" s="103">
        <v>3800.0</v>
      </c>
      <c r="C9" s="104">
        <v>7300.0</v>
      </c>
      <c r="D9" s="30" t="s">
        <v>429</v>
      </c>
      <c r="E9" s="30" t="s">
        <v>430</v>
      </c>
      <c r="F9" s="91" t="s">
        <v>452</v>
      </c>
      <c r="G9" s="91" t="s">
        <v>453</v>
      </c>
      <c r="H9" s="91" t="s">
        <v>433</v>
      </c>
      <c r="I9" s="91" t="s">
        <v>445</v>
      </c>
      <c r="J9" s="91" t="s">
        <v>445</v>
      </c>
      <c r="K9" s="91" t="s">
        <v>446</v>
      </c>
      <c r="L9" s="91"/>
    </row>
    <row r="10">
      <c r="A10" s="42" t="s">
        <v>13</v>
      </c>
      <c r="B10" s="103">
        <v>800.0</v>
      </c>
      <c r="C10" s="104">
        <v>1800.0</v>
      </c>
      <c r="D10" s="30" t="s">
        <v>429</v>
      </c>
      <c r="E10" s="30" t="s">
        <v>430</v>
      </c>
      <c r="F10" s="91" t="s">
        <v>454</v>
      </c>
      <c r="G10" s="91" t="s">
        <v>455</v>
      </c>
      <c r="H10" s="91" t="s">
        <v>433</v>
      </c>
      <c r="I10" s="91" t="s">
        <v>433</v>
      </c>
      <c r="J10" s="91" t="s">
        <v>456</v>
      </c>
      <c r="K10" s="91" t="s">
        <v>23</v>
      </c>
      <c r="L10" s="91"/>
    </row>
    <row r="11">
      <c r="A11" s="42" t="s">
        <v>457</v>
      </c>
      <c r="B11" s="103">
        <v>75.0</v>
      </c>
      <c r="C11" s="104">
        <v>50.0</v>
      </c>
      <c r="D11" s="30" t="s">
        <v>441</v>
      </c>
      <c r="E11" s="30" t="s">
        <v>458</v>
      </c>
      <c r="J11" s="91" t="s">
        <v>459</v>
      </c>
    </row>
    <row r="12">
      <c r="A12" s="42" t="s">
        <v>460</v>
      </c>
      <c r="B12" s="103">
        <v>75.0</v>
      </c>
      <c r="C12" s="104">
        <v>50.0</v>
      </c>
      <c r="D12" s="30" t="s">
        <v>441</v>
      </c>
      <c r="E12" s="30" t="s">
        <v>458</v>
      </c>
      <c r="J12" s="91" t="s">
        <v>459</v>
      </c>
    </row>
    <row r="13">
      <c r="A13" s="42" t="s">
        <v>461</v>
      </c>
      <c r="B13" s="103">
        <v>75.0</v>
      </c>
      <c r="C13" s="104">
        <v>50.0</v>
      </c>
      <c r="D13" s="30" t="s">
        <v>441</v>
      </c>
      <c r="E13" s="30" t="s">
        <v>458</v>
      </c>
      <c r="J13" s="91" t="s">
        <v>459</v>
      </c>
    </row>
    <row r="14">
      <c r="A14" s="42" t="s">
        <v>462</v>
      </c>
      <c r="B14" s="103">
        <v>75.0</v>
      </c>
      <c r="C14" s="104">
        <v>50.0</v>
      </c>
      <c r="D14" s="30" t="s">
        <v>441</v>
      </c>
      <c r="E14" s="30" t="s">
        <v>458</v>
      </c>
      <c r="J14" s="91" t="s">
        <v>459</v>
      </c>
    </row>
    <row r="17">
      <c r="G17" s="107" t="s">
        <v>463</v>
      </c>
    </row>
    <row r="18">
      <c r="A18" s="108" t="s">
        <v>464</v>
      </c>
      <c r="B18" s="109"/>
      <c r="C18" s="110"/>
      <c r="D18" s="110"/>
      <c r="E18" s="111"/>
      <c r="G18" s="107" t="s">
        <v>465</v>
      </c>
    </row>
    <row r="19">
      <c r="A19" s="112"/>
      <c r="B19" s="113" t="s">
        <v>466</v>
      </c>
      <c r="E19" s="114" t="s">
        <v>467</v>
      </c>
    </row>
    <row r="20">
      <c r="A20" s="112"/>
      <c r="B20" s="113" t="s">
        <v>468</v>
      </c>
      <c r="E20" s="114" t="s">
        <v>469</v>
      </c>
    </row>
    <row r="21">
      <c r="B21" s="115"/>
      <c r="E21" s="114" t="s">
        <v>470</v>
      </c>
    </row>
    <row r="22">
      <c r="B22" s="116"/>
      <c r="E22" s="30"/>
    </row>
    <row r="23">
      <c r="A23" s="117" t="s">
        <v>471</v>
      </c>
      <c r="B23" s="116"/>
      <c r="E23" s="30"/>
    </row>
    <row r="24">
      <c r="A24" s="108" t="s">
        <v>472</v>
      </c>
      <c r="B24" s="118" t="s">
        <v>473</v>
      </c>
      <c r="C24" s="110"/>
      <c r="D24" s="110"/>
      <c r="E24" s="111"/>
    </row>
    <row r="25">
      <c r="A25" s="112"/>
      <c r="B25" s="113" t="s">
        <v>474</v>
      </c>
      <c r="E25" s="114" t="s">
        <v>475</v>
      </c>
    </row>
    <row r="26">
      <c r="A26" s="112"/>
      <c r="B26" s="113" t="s">
        <v>476</v>
      </c>
      <c r="E26" s="114" t="s">
        <v>477</v>
      </c>
    </row>
    <row r="27">
      <c r="B27" s="115"/>
      <c r="E27" s="114" t="s">
        <v>478</v>
      </c>
    </row>
    <row r="28">
      <c r="B28" s="116"/>
      <c r="E28" s="30"/>
    </row>
    <row r="29">
      <c r="A29" s="108" t="s">
        <v>479</v>
      </c>
      <c r="B29" s="119" t="s">
        <v>480</v>
      </c>
      <c r="C29" s="120"/>
      <c r="D29" s="110"/>
      <c r="E29" s="111"/>
    </row>
    <row r="30">
      <c r="A30" s="112"/>
      <c r="B30" s="113" t="s">
        <v>481</v>
      </c>
      <c r="C30" s="121"/>
      <c r="E30" s="114" t="s">
        <v>482</v>
      </c>
    </row>
    <row r="31">
      <c r="A31" s="112"/>
      <c r="B31" s="113" t="s">
        <v>483</v>
      </c>
      <c r="C31" s="121"/>
      <c r="E31" s="114" t="s">
        <v>484</v>
      </c>
    </row>
    <row r="32">
      <c r="B32" s="122"/>
      <c r="E32" s="114" t="s">
        <v>485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4</v>
      </c>
      <c r="B1" s="30" t="s">
        <v>486</v>
      </c>
      <c r="C1" s="30" t="s">
        <v>487</v>
      </c>
      <c r="D1" s="30" t="s">
        <v>488</v>
      </c>
      <c r="E1" s="30" t="s">
        <v>489</v>
      </c>
    </row>
    <row r="2">
      <c r="A2" s="30" t="s">
        <v>35</v>
      </c>
      <c r="B2" s="41">
        <v>12865.111111111113</v>
      </c>
      <c r="C2" s="41">
        <v>1266.4444444444448</v>
      </c>
      <c r="D2" s="41">
        <v>0.010051111111111113</v>
      </c>
      <c r="E2" s="41">
        <v>1380.9555555555562</v>
      </c>
    </row>
    <row r="3">
      <c r="A3" s="30" t="s">
        <v>34</v>
      </c>
      <c r="B3" s="41">
        <v>2896.133333333333</v>
      </c>
      <c r="C3" s="41">
        <v>460.0666666666667</v>
      </c>
      <c r="D3" s="41">
        <v>0.009267777777777778</v>
      </c>
      <c r="E3" s="41">
        <v>5435.4333333333325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153</v>
      </c>
      <c r="D1" s="30" t="s">
        <v>154</v>
      </c>
      <c r="E1" s="30" t="s">
        <v>2</v>
      </c>
      <c r="F1" s="30" t="s">
        <v>14</v>
      </c>
      <c r="G1" s="30" t="s">
        <v>15</v>
      </c>
      <c r="H1" s="30" t="s">
        <v>155</v>
      </c>
      <c r="I1" s="30" t="s">
        <v>490</v>
      </c>
      <c r="J1" s="30" t="s">
        <v>491</v>
      </c>
      <c r="K1" s="30" t="s">
        <v>492</v>
      </c>
      <c r="L1" s="30" t="s">
        <v>493</v>
      </c>
      <c r="M1" s="30" t="s">
        <v>494</v>
      </c>
      <c r="N1" s="30" t="s">
        <v>495</v>
      </c>
      <c r="O1" s="30" t="s">
        <v>496</v>
      </c>
      <c r="P1" s="30" t="s">
        <v>497</v>
      </c>
      <c r="Q1" s="30" t="s">
        <v>498</v>
      </c>
      <c r="R1" s="30" t="s">
        <v>499</v>
      </c>
    </row>
    <row r="2">
      <c r="A2" s="30" t="s">
        <v>24</v>
      </c>
      <c r="B2" s="30" t="s">
        <v>168</v>
      </c>
      <c r="C2" s="30" t="s">
        <v>52</v>
      </c>
      <c r="D2" s="30" t="s">
        <v>500</v>
      </c>
      <c r="E2" s="30" t="s">
        <v>26</v>
      </c>
      <c r="F2" s="30" t="s">
        <v>14</v>
      </c>
      <c r="G2" s="30" t="s">
        <v>15</v>
      </c>
      <c r="H2" s="41"/>
      <c r="I2" s="41">
        <v>1.0</v>
      </c>
      <c r="K2" s="41">
        <v>90.0</v>
      </c>
      <c r="L2" s="41">
        <v>90.0</v>
      </c>
      <c r="M2" s="41">
        <v>90.0</v>
      </c>
    </row>
    <row r="3">
      <c r="A3" s="30" t="s">
        <v>501</v>
      </c>
      <c r="B3" s="30" t="s">
        <v>168</v>
      </c>
      <c r="C3" s="30" t="s">
        <v>52</v>
      </c>
      <c r="D3" s="30" t="s">
        <v>169</v>
      </c>
      <c r="E3" s="30" t="s">
        <v>37</v>
      </c>
      <c r="F3" s="30" t="s">
        <v>130</v>
      </c>
      <c r="G3" s="30" t="s">
        <v>38</v>
      </c>
      <c r="H3" s="41">
        <v>10.0</v>
      </c>
      <c r="I3" s="41">
        <v>16.0</v>
      </c>
      <c r="J3" s="41">
        <v>48.0</v>
      </c>
      <c r="K3" s="41">
        <v>6694.0</v>
      </c>
      <c r="L3" s="30">
        <v>812.0</v>
      </c>
      <c r="M3" s="30">
        <v>0.002</v>
      </c>
      <c r="N3" s="41">
        <v>522.0</v>
      </c>
      <c r="O3" s="41">
        <v>899.0</v>
      </c>
      <c r="P3" s="41">
        <v>6422.0</v>
      </c>
      <c r="Q3" s="41">
        <v>16172.0</v>
      </c>
      <c r="R3" s="41">
        <v>7542.0</v>
      </c>
    </row>
    <row r="4">
      <c r="A4" s="30" t="s">
        <v>501</v>
      </c>
      <c r="B4" s="30" t="s">
        <v>168</v>
      </c>
      <c r="C4" s="30" t="s">
        <v>52</v>
      </c>
      <c r="D4" s="30" t="s">
        <v>172</v>
      </c>
      <c r="E4" s="30" t="s">
        <v>37</v>
      </c>
      <c r="F4" s="30" t="s">
        <v>130</v>
      </c>
      <c r="G4" s="30" t="s">
        <v>38</v>
      </c>
      <c r="H4" s="41">
        <v>5.0</v>
      </c>
      <c r="I4" s="41">
        <v>18.0</v>
      </c>
      <c r="J4" s="41">
        <v>51.0</v>
      </c>
      <c r="K4" s="41">
        <v>7580.0</v>
      </c>
      <c r="L4" s="41">
        <v>693.0</v>
      </c>
      <c r="M4" s="41">
        <v>0.009</v>
      </c>
      <c r="N4" s="41">
        <v>11555.0</v>
      </c>
      <c r="O4" s="41">
        <v>690.0</v>
      </c>
      <c r="P4" s="41">
        <v>6344.0</v>
      </c>
      <c r="Q4" s="41">
        <v>14869.0</v>
      </c>
      <c r="R4" s="41">
        <v>6598.0</v>
      </c>
    </row>
    <row r="5">
      <c r="A5" s="30" t="s">
        <v>502</v>
      </c>
      <c r="B5" s="30" t="s">
        <v>168</v>
      </c>
      <c r="C5" s="30" t="s">
        <v>52</v>
      </c>
      <c r="D5" s="30" t="s">
        <v>172</v>
      </c>
      <c r="E5" s="30" t="s">
        <v>45</v>
      </c>
      <c r="F5" s="30" t="s">
        <v>132</v>
      </c>
      <c r="G5" s="30" t="s">
        <v>232</v>
      </c>
      <c r="H5" s="41">
        <v>10.0</v>
      </c>
      <c r="I5" s="41">
        <v>18.0</v>
      </c>
      <c r="J5" s="41">
        <v>55.0</v>
      </c>
      <c r="K5" s="41">
        <v>9106.0</v>
      </c>
      <c r="L5" s="41">
        <v>616.0</v>
      </c>
      <c r="M5" s="41">
        <v>0.009</v>
      </c>
      <c r="N5" s="41">
        <v>8746.0</v>
      </c>
      <c r="O5" s="41">
        <v>580.0</v>
      </c>
      <c r="P5" s="41">
        <v>6584.0</v>
      </c>
      <c r="Q5" s="41">
        <v>13858.0</v>
      </c>
      <c r="R5" s="41">
        <v>6866.0</v>
      </c>
    </row>
    <row r="6">
      <c r="A6" s="30" t="s">
        <v>502</v>
      </c>
      <c r="B6" s="30" t="s">
        <v>168</v>
      </c>
      <c r="C6" s="30" t="s">
        <v>52</v>
      </c>
      <c r="D6" s="30" t="s">
        <v>169</v>
      </c>
      <c r="E6" s="30" t="s">
        <v>45</v>
      </c>
      <c r="F6" s="30" t="s">
        <v>132</v>
      </c>
      <c r="G6" s="30" t="s">
        <v>232</v>
      </c>
      <c r="H6" s="41">
        <v>10.0</v>
      </c>
      <c r="I6" s="41">
        <v>7.0</v>
      </c>
      <c r="J6" s="41">
        <v>33.0</v>
      </c>
      <c r="K6" s="41">
        <v>11459.0</v>
      </c>
      <c r="L6" s="41">
        <v>1205.0</v>
      </c>
      <c r="M6" s="41">
        <v>0.004</v>
      </c>
      <c r="N6" s="41">
        <v>639.0</v>
      </c>
      <c r="O6" s="41">
        <v>1588.0</v>
      </c>
      <c r="P6" s="41">
        <v>11044.0</v>
      </c>
      <c r="Q6" s="41">
        <v>24014.0</v>
      </c>
      <c r="R6" s="41">
        <v>11546.0</v>
      </c>
    </row>
    <row r="7">
      <c r="A7" s="30" t="s">
        <v>503</v>
      </c>
      <c r="B7" s="30" t="s">
        <v>168</v>
      </c>
      <c r="C7" s="30" t="s">
        <v>52</v>
      </c>
      <c r="D7" s="30" t="s">
        <v>172</v>
      </c>
      <c r="E7" s="30" t="s">
        <v>45</v>
      </c>
      <c r="F7" s="30" t="s">
        <v>123</v>
      </c>
      <c r="G7" s="30" t="s">
        <v>232</v>
      </c>
      <c r="H7" s="41">
        <v>10.0</v>
      </c>
      <c r="I7" s="41">
        <v>18.0</v>
      </c>
      <c r="J7" s="41">
        <v>57.0</v>
      </c>
      <c r="K7" s="41">
        <v>6865.0</v>
      </c>
      <c r="L7" s="41">
        <v>451.0</v>
      </c>
      <c r="M7" s="41">
        <v>0.009</v>
      </c>
      <c r="N7" s="41">
        <v>15500.0</v>
      </c>
      <c r="O7" s="41">
        <v>442.0</v>
      </c>
      <c r="P7" s="41">
        <v>5917.0</v>
      </c>
      <c r="Q7" s="41">
        <v>13743.0</v>
      </c>
      <c r="R7" s="41">
        <v>6122.0</v>
      </c>
    </row>
    <row r="8">
      <c r="A8" s="30" t="s">
        <v>503</v>
      </c>
      <c r="B8" s="30" t="s">
        <v>168</v>
      </c>
      <c r="C8" s="30" t="s">
        <v>52</v>
      </c>
      <c r="D8" s="30" t="s">
        <v>169</v>
      </c>
      <c r="E8" s="30" t="s">
        <v>45</v>
      </c>
      <c r="F8" s="30" t="s">
        <v>123</v>
      </c>
      <c r="G8" s="30" t="s">
        <v>232</v>
      </c>
      <c r="H8" s="41">
        <v>10.0</v>
      </c>
      <c r="I8" s="41">
        <v>16.0</v>
      </c>
      <c r="J8" s="41">
        <v>51.0</v>
      </c>
      <c r="K8" s="41">
        <v>6935.0</v>
      </c>
      <c r="L8" s="41">
        <v>966.0</v>
      </c>
      <c r="M8" s="41">
        <v>0.002</v>
      </c>
      <c r="N8" s="41">
        <v>484.0</v>
      </c>
      <c r="O8" s="41">
        <v>1095.0</v>
      </c>
      <c r="P8" s="41">
        <v>6468.0</v>
      </c>
      <c r="Q8" s="41">
        <v>15543.0</v>
      </c>
      <c r="R8" s="41">
        <v>7249.0</v>
      </c>
    </row>
    <row r="9">
      <c r="A9" s="30" t="s">
        <v>504</v>
      </c>
      <c r="B9" s="30" t="s">
        <v>168</v>
      </c>
      <c r="C9" s="30" t="s">
        <v>52</v>
      </c>
      <c r="D9" s="30" t="s">
        <v>169</v>
      </c>
      <c r="E9" s="30" t="s">
        <v>45</v>
      </c>
      <c r="F9" s="30" t="s">
        <v>125</v>
      </c>
      <c r="G9" s="30" t="s">
        <v>232</v>
      </c>
      <c r="H9" s="41">
        <v>5.0</v>
      </c>
      <c r="I9" s="41">
        <v>6.0</v>
      </c>
      <c r="J9" s="41">
        <v>49.0</v>
      </c>
      <c r="K9" s="41">
        <v>6888.0</v>
      </c>
      <c r="L9" s="41">
        <v>860.0</v>
      </c>
      <c r="M9" s="41">
        <v>0.002</v>
      </c>
      <c r="N9" s="41">
        <v>381.0</v>
      </c>
      <c r="O9" s="41">
        <v>826.0</v>
      </c>
      <c r="P9" s="41">
        <v>6509.0</v>
      </c>
      <c r="Q9" s="41">
        <v>15543.0</v>
      </c>
      <c r="R9" s="41">
        <v>7147.0</v>
      </c>
    </row>
    <row r="10">
      <c r="A10" s="30" t="s">
        <v>505</v>
      </c>
      <c r="B10" s="30" t="s">
        <v>168</v>
      </c>
      <c r="C10" s="30" t="s">
        <v>52</v>
      </c>
      <c r="D10" s="30" t="s">
        <v>169</v>
      </c>
      <c r="E10" s="30" t="s">
        <v>45</v>
      </c>
      <c r="F10" s="30" t="s">
        <v>127</v>
      </c>
      <c r="G10" s="30" t="s">
        <v>232</v>
      </c>
      <c r="H10" s="41">
        <v>10.0</v>
      </c>
      <c r="I10" s="41">
        <v>16.0</v>
      </c>
      <c r="J10" s="41">
        <v>53.0</v>
      </c>
      <c r="K10" s="41">
        <v>7095.0</v>
      </c>
      <c r="L10" s="41">
        <v>741.0</v>
      </c>
      <c r="M10" s="41">
        <v>0.002</v>
      </c>
      <c r="N10" s="41">
        <v>479.0</v>
      </c>
      <c r="O10" s="41">
        <v>823.0</v>
      </c>
      <c r="P10" s="41">
        <v>6687.0</v>
      </c>
      <c r="Q10" s="41">
        <v>15197.0</v>
      </c>
      <c r="R10" s="41">
        <v>7398.0</v>
      </c>
    </row>
    <row r="11">
      <c r="A11" s="30" t="s">
        <v>506</v>
      </c>
      <c r="B11" s="30" t="s">
        <v>168</v>
      </c>
      <c r="C11" s="30" t="s">
        <v>52</v>
      </c>
      <c r="D11" s="30" t="s">
        <v>169</v>
      </c>
      <c r="E11" s="30" t="s">
        <v>45</v>
      </c>
      <c r="F11" s="30" t="s">
        <v>128</v>
      </c>
      <c r="G11" s="30" t="s">
        <v>232</v>
      </c>
      <c r="H11" s="41">
        <v>10.0</v>
      </c>
      <c r="I11" s="41">
        <v>9.0</v>
      </c>
      <c r="J11" s="41">
        <v>49.0</v>
      </c>
      <c r="K11" s="41">
        <v>7663.0</v>
      </c>
      <c r="L11" s="41">
        <v>814.0</v>
      </c>
      <c r="M11" s="41">
        <v>0.002</v>
      </c>
      <c r="N11" s="41">
        <v>450.0</v>
      </c>
      <c r="O11" s="41">
        <v>965.0</v>
      </c>
      <c r="P11" s="41">
        <v>7274.0</v>
      </c>
      <c r="Q11" s="41">
        <v>15693.0</v>
      </c>
      <c r="R11" s="41">
        <v>7878.0</v>
      </c>
    </row>
    <row r="12">
      <c r="A12" s="30" t="s">
        <v>16</v>
      </c>
      <c r="B12" s="30" t="s">
        <v>168</v>
      </c>
      <c r="C12" s="30" t="s">
        <v>51</v>
      </c>
      <c r="D12" s="30" t="s">
        <v>507</v>
      </c>
      <c r="E12" s="30" t="s">
        <v>26</v>
      </c>
      <c r="F12" s="30" t="s">
        <v>14</v>
      </c>
      <c r="G12" s="30" t="s">
        <v>15</v>
      </c>
      <c r="H12" s="41"/>
      <c r="I12" s="41">
        <v>1.0</v>
      </c>
      <c r="J12" s="41"/>
      <c r="K12" s="41">
        <v>90.0</v>
      </c>
      <c r="L12" s="41">
        <v>90.0</v>
      </c>
      <c r="M12" s="41">
        <v>90.0</v>
      </c>
      <c r="N12" s="41"/>
      <c r="O12" s="41"/>
      <c r="P12" s="41"/>
      <c r="Q12" s="41"/>
      <c r="R12" s="41"/>
    </row>
    <row r="13">
      <c r="A13" s="30" t="s">
        <v>501</v>
      </c>
      <c r="B13" s="30" t="s">
        <v>168</v>
      </c>
      <c r="C13" s="30" t="s">
        <v>51</v>
      </c>
      <c r="D13" s="30" t="s">
        <v>169</v>
      </c>
      <c r="E13" s="30" t="s">
        <v>258</v>
      </c>
      <c r="F13" s="30" t="s">
        <v>130</v>
      </c>
      <c r="G13" s="30" t="s">
        <v>232</v>
      </c>
      <c r="H13" s="41">
        <v>5.0</v>
      </c>
      <c r="I13" s="41">
        <v>1.0</v>
      </c>
      <c r="J13" s="41">
        <v>82.0</v>
      </c>
      <c r="K13" s="41">
        <v>1540.0</v>
      </c>
      <c r="L13" s="41">
        <v>323.0</v>
      </c>
      <c r="M13" s="41">
        <v>0.0</v>
      </c>
      <c r="N13" s="41">
        <v>516.0</v>
      </c>
      <c r="O13" s="41">
        <v>137.0</v>
      </c>
      <c r="P13" s="41">
        <v>1327.0</v>
      </c>
      <c r="Q13" s="41">
        <v>2576.0</v>
      </c>
      <c r="R13" s="41">
        <v>2907.0</v>
      </c>
    </row>
    <row r="14">
      <c r="A14" s="30" t="s">
        <v>501</v>
      </c>
      <c r="B14" s="30" t="s">
        <v>168</v>
      </c>
      <c r="C14" s="30" t="s">
        <v>51</v>
      </c>
      <c r="D14" s="30" t="s">
        <v>169</v>
      </c>
      <c r="E14" s="30" t="s">
        <v>259</v>
      </c>
      <c r="F14" s="30" t="s">
        <v>130</v>
      </c>
      <c r="G14" s="30" t="s">
        <v>232</v>
      </c>
      <c r="H14" s="41">
        <v>5.0</v>
      </c>
      <c r="I14" s="41">
        <v>1.0</v>
      </c>
      <c r="J14" s="41">
        <v>89.0</v>
      </c>
      <c r="K14" s="41">
        <v>1620.0</v>
      </c>
      <c r="L14" s="41">
        <v>185.0</v>
      </c>
      <c r="M14" s="41">
        <v>0.0</v>
      </c>
      <c r="N14" s="41">
        <v>357.0</v>
      </c>
      <c r="O14" s="41">
        <v>67.0</v>
      </c>
      <c r="P14" s="41">
        <v>1246.0</v>
      </c>
      <c r="Q14" s="41">
        <v>1946.0</v>
      </c>
      <c r="R14" s="41">
        <v>2375.0</v>
      </c>
    </row>
    <row r="15">
      <c r="A15" s="30" t="s">
        <v>501</v>
      </c>
      <c r="B15" s="30" t="s">
        <v>168</v>
      </c>
      <c r="C15" s="30" t="s">
        <v>51</v>
      </c>
      <c r="D15" s="30" t="s">
        <v>169</v>
      </c>
      <c r="E15" s="30" t="s">
        <v>260</v>
      </c>
      <c r="F15" s="30" t="s">
        <v>130</v>
      </c>
      <c r="G15" s="30" t="s">
        <v>232</v>
      </c>
      <c r="H15" s="41">
        <v>5.0</v>
      </c>
      <c r="I15" s="41">
        <v>1.0</v>
      </c>
      <c r="J15" s="41">
        <v>89.0</v>
      </c>
      <c r="K15" s="41">
        <v>1560.0</v>
      </c>
      <c r="L15" s="41">
        <v>155.0</v>
      </c>
      <c r="M15" s="41">
        <v>0.0</v>
      </c>
      <c r="N15" s="41">
        <v>339.0</v>
      </c>
      <c r="O15" s="41">
        <v>88.0</v>
      </c>
      <c r="P15" s="41">
        <v>1208.0</v>
      </c>
      <c r="Q15" s="41">
        <v>1529.0</v>
      </c>
      <c r="R15" s="41">
        <v>2167.0</v>
      </c>
    </row>
    <row r="16">
      <c r="A16" s="30" t="s">
        <v>501</v>
      </c>
      <c r="B16" s="30" t="s">
        <v>168</v>
      </c>
      <c r="C16" s="30" t="s">
        <v>51</v>
      </c>
      <c r="D16" s="30" t="s">
        <v>169</v>
      </c>
      <c r="E16" s="30" t="s">
        <v>261</v>
      </c>
      <c r="F16" s="30" t="s">
        <v>130</v>
      </c>
      <c r="G16" s="30" t="s">
        <v>232</v>
      </c>
      <c r="H16" s="41">
        <v>5.0</v>
      </c>
      <c r="I16" s="41">
        <v>1.0</v>
      </c>
      <c r="J16" s="41">
        <v>87.0</v>
      </c>
      <c r="K16" s="41">
        <v>1620.0</v>
      </c>
      <c r="L16" s="41">
        <v>178.0</v>
      </c>
      <c r="M16" s="41">
        <v>0.0</v>
      </c>
      <c r="N16" s="41">
        <v>334.0</v>
      </c>
      <c r="O16" s="41">
        <v>112.0</v>
      </c>
      <c r="P16" s="41">
        <v>1238.0</v>
      </c>
      <c r="Q16" s="41">
        <v>1588.0</v>
      </c>
      <c r="R16" s="41">
        <v>2313.0</v>
      </c>
    </row>
    <row r="17">
      <c r="A17" s="30" t="s">
        <v>501</v>
      </c>
      <c r="B17" s="30" t="s">
        <v>168</v>
      </c>
      <c r="C17" s="30" t="s">
        <v>51</v>
      </c>
      <c r="D17" s="30" t="s">
        <v>169</v>
      </c>
      <c r="E17" s="30" t="s">
        <v>262</v>
      </c>
      <c r="F17" s="30" t="s">
        <v>130</v>
      </c>
      <c r="G17" s="30" t="s">
        <v>232</v>
      </c>
      <c r="H17" s="41">
        <v>5.0</v>
      </c>
      <c r="I17" s="41">
        <v>1.0</v>
      </c>
      <c r="J17" s="41">
        <v>82.0</v>
      </c>
      <c r="K17" s="41">
        <v>1630.0</v>
      </c>
      <c r="L17" s="41">
        <v>329.0</v>
      </c>
      <c r="M17" s="41">
        <v>0.0</v>
      </c>
      <c r="N17" s="41">
        <v>447.0</v>
      </c>
      <c r="O17" s="41">
        <v>180.0</v>
      </c>
      <c r="P17" s="41">
        <v>1280.0</v>
      </c>
      <c r="Q17" s="41">
        <v>1882.0</v>
      </c>
      <c r="R17" s="41">
        <v>2574.0</v>
      </c>
    </row>
    <row r="18">
      <c r="A18" s="30" t="s">
        <v>501</v>
      </c>
      <c r="B18" s="30" t="s">
        <v>168</v>
      </c>
      <c r="C18" s="30" t="s">
        <v>51</v>
      </c>
      <c r="D18" s="30" t="s">
        <v>169</v>
      </c>
      <c r="E18" s="30" t="s">
        <v>263</v>
      </c>
      <c r="F18" s="30" t="s">
        <v>130</v>
      </c>
      <c r="G18" s="30" t="s">
        <v>232</v>
      </c>
      <c r="H18" s="41">
        <v>5.0</v>
      </c>
      <c r="I18" s="41">
        <v>1.0</v>
      </c>
      <c r="J18" s="41">
        <v>82.0</v>
      </c>
      <c r="K18" s="41">
        <v>1640.0</v>
      </c>
      <c r="L18" s="41">
        <v>373.0</v>
      </c>
      <c r="M18" s="41">
        <v>0.0</v>
      </c>
      <c r="N18" s="41">
        <v>431.0</v>
      </c>
      <c r="O18" s="41">
        <v>255.0</v>
      </c>
      <c r="P18" s="41">
        <v>1271.0</v>
      </c>
      <c r="Q18" s="41">
        <v>1626.0</v>
      </c>
      <c r="R18" s="41">
        <v>2558.0</v>
      </c>
    </row>
    <row r="19">
      <c r="A19" s="30" t="s">
        <v>501</v>
      </c>
      <c r="B19" s="30" t="s">
        <v>168</v>
      </c>
      <c r="C19" s="30" t="s">
        <v>51</v>
      </c>
      <c r="D19" s="30" t="s">
        <v>169</v>
      </c>
      <c r="E19" s="30" t="s">
        <v>264</v>
      </c>
      <c r="F19" s="30" t="s">
        <v>130</v>
      </c>
      <c r="G19" s="30" t="s">
        <v>232</v>
      </c>
      <c r="H19" s="41">
        <v>5.0</v>
      </c>
      <c r="I19" s="41">
        <v>1.0</v>
      </c>
      <c r="J19" s="41">
        <v>84.0</v>
      </c>
      <c r="K19" s="41">
        <v>1410.0</v>
      </c>
      <c r="L19" s="41">
        <v>191.0</v>
      </c>
      <c r="M19" s="41">
        <v>0.0</v>
      </c>
      <c r="N19" s="41">
        <v>5088.0</v>
      </c>
      <c r="O19" s="41">
        <v>50.0</v>
      </c>
      <c r="P19" s="41">
        <v>1260.0</v>
      </c>
      <c r="Q19" s="41">
        <v>1659.0</v>
      </c>
      <c r="R19" s="41">
        <v>4808.0</v>
      </c>
    </row>
    <row r="20">
      <c r="A20" s="30" t="s">
        <v>501</v>
      </c>
      <c r="B20" s="30" t="s">
        <v>168</v>
      </c>
      <c r="C20" s="30" t="s">
        <v>51</v>
      </c>
      <c r="D20" s="30" t="s">
        <v>169</v>
      </c>
      <c r="E20" s="30" t="s">
        <v>265</v>
      </c>
      <c r="F20" s="30" t="s">
        <v>130</v>
      </c>
      <c r="G20" s="30" t="s">
        <v>232</v>
      </c>
      <c r="H20" s="41">
        <v>5.0</v>
      </c>
      <c r="I20" s="41">
        <v>1.0</v>
      </c>
      <c r="J20" s="41">
        <v>46.0</v>
      </c>
      <c r="K20" s="41">
        <v>5780.0</v>
      </c>
      <c r="L20" s="41">
        <v>1360.0</v>
      </c>
      <c r="M20" s="41">
        <v>0.004</v>
      </c>
      <c r="N20" s="41">
        <v>431.0</v>
      </c>
      <c r="O20" s="41">
        <v>829.0</v>
      </c>
      <c r="P20" s="41">
        <v>4313.0</v>
      </c>
      <c r="Q20" s="41">
        <v>11618.0</v>
      </c>
      <c r="R20" s="41">
        <v>6865.0</v>
      </c>
    </row>
    <row r="21">
      <c r="A21" s="30" t="s">
        <v>501</v>
      </c>
      <c r="B21" s="30" t="s">
        <v>168</v>
      </c>
      <c r="C21" s="30" t="s">
        <v>51</v>
      </c>
      <c r="D21" s="30" t="s">
        <v>169</v>
      </c>
      <c r="E21" s="30" t="s">
        <v>266</v>
      </c>
      <c r="F21" s="30" t="s">
        <v>130</v>
      </c>
      <c r="G21" s="30" t="s">
        <v>232</v>
      </c>
      <c r="H21" s="41">
        <v>5.0</v>
      </c>
      <c r="I21" s="41">
        <v>1.0</v>
      </c>
      <c r="J21" s="41">
        <v>49.0</v>
      </c>
      <c r="K21" s="41">
        <v>5160.0</v>
      </c>
      <c r="L21" s="41">
        <v>820.0</v>
      </c>
      <c r="M21" s="41">
        <v>0.004</v>
      </c>
      <c r="N21" s="41">
        <v>328.0</v>
      </c>
      <c r="O21" s="41">
        <v>1092.0</v>
      </c>
      <c r="P21" s="41">
        <v>3851.0</v>
      </c>
      <c r="Q21" s="41">
        <v>11752.0</v>
      </c>
      <c r="R21" s="41">
        <v>6149.0</v>
      </c>
    </row>
    <row r="22">
      <c r="A22" s="30" t="s">
        <v>501</v>
      </c>
      <c r="B22" s="30" t="s">
        <v>168</v>
      </c>
      <c r="C22" s="30" t="s">
        <v>51</v>
      </c>
      <c r="D22" s="30" t="s">
        <v>169</v>
      </c>
      <c r="E22" s="30" t="s">
        <v>267</v>
      </c>
      <c r="F22" s="30" t="s">
        <v>130</v>
      </c>
      <c r="G22" s="30" t="s">
        <v>232</v>
      </c>
      <c r="H22" s="41">
        <v>5.0</v>
      </c>
      <c r="I22" s="41">
        <v>1.0</v>
      </c>
      <c r="J22" s="41">
        <v>53.0</v>
      </c>
      <c r="K22" s="41">
        <v>4490.0</v>
      </c>
      <c r="L22" s="41">
        <v>749.0</v>
      </c>
      <c r="M22" s="41">
        <v>0.004</v>
      </c>
      <c r="N22" s="41">
        <v>307.0</v>
      </c>
      <c r="O22" s="41">
        <v>882.0</v>
      </c>
      <c r="P22" s="41">
        <v>3765.0</v>
      </c>
      <c r="Q22" s="41">
        <v>8022.0</v>
      </c>
      <c r="R22" s="41">
        <v>5689.0</v>
      </c>
    </row>
    <row r="23">
      <c r="A23" s="30" t="s">
        <v>501</v>
      </c>
      <c r="B23" s="30" t="s">
        <v>168</v>
      </c>
      <c r="C23" s="30" t="s">
        <v>51</v>
      </c>
      <c r="D23" s="30" t="s">
        <v>169</v>
      </c>
      <c r="E23" s="30" t="s">
        <v>268</v>
      </c>
      <c r="F23" s="30" t="s">
        <v>130</v>
      </c>
      <c r="G23" s="30" t="s">
        <v>232</v>
      </c>
      <c r="H23" s="41">
        <v>5.0</v>
      </c>
      <c r="I23" s="41">
        <v>1.0</v>
      </c>
      <c r="J23" s="41">
        <v>51.0</v>
      </c>
      <c r="K23" s="41">
        <v>5300.0</v>
      </c>
      <c r="L23" s="41">
        <v>809.0</v>
      </c>
      <c r="M23" s="41">
        <v>0.004</v>
      </c>
      <c r="N23" s="41">
        <v>324.0</v>
      </c>
      <c r="O23" s="41">
        <v>1002.0</v>
      </c>
      <c r="P23" s="41">
        <v>4090.0</v>
      </c>
      <c r="Q23" s="41">
        <v>11340.0</v>
      </c>
      <c r="R23" s="41">
        <v>6086.0</v>
      </c>
    </row>
    <row r="24">
      <c r="A24" s="30" t="s">
        <v>501</v>
      </c>
      <c r="B24" s="30" t="s">
        <v>168</v>
      </c>
      <c r="C24" s="30" t="s">
        <v>51</v>
      </c>
      <c r="D24" s="30" t="s">
        <v>169</v>
      </c>
      <c r="E24" s="30" t="s">
        <v>269</v>
      </c>
      <c r="F24" s="30" t="s">
        <v>130</v>
      </c>
      <c r="G24" s="30" t="s">
        <v>232</v>
      </c>
      <c r="H24" s="41">
        <v>5.0</v>
      </c>
      <c r="I24" s="41">
        <v>1.0</v>
      </c>
      <c r="J24" s="41">
        <v>37.0</v>
      </c>
      <c r="K24" s="41">
        <v>6380.0</v>
      </c>
      <c r="L24" s="41">
        <v>1481.0</v>
      </c>
      <c r="M24" s="41">
        <v>0.004</v>
      </c>
      <c r="N24" s="41">
        <v>408.0</v>
      </c>
      <c r="O24" s="41">
        <v>1944.0</v>
      </c>
      <c r="P24" s="41">
        <v>4168.0</v>
      </c>
      <c r="Q24" s="41">
        <v>10687.0</v>
      </c>
      <c r="R24" s="41">
        <v>6466.0</v>
      </c>
    </row>
    <row r="25">
      <c r="A25" s="30" t="s">
        <v>501</v>
      </c>
      <c r="B25" s="30" t="s">
        <v>168</v>
      </c>
      <c r="C25" s="30" t="s">
        <v>51</v>
      </c>
      <c r="D25" s="30" t="s">
        <v>169</v>
      </c>
      <c r="E25" s="30" t="s">
        <v>270</v>
      </c>
      <c r="F25" s="30" t="s">
        <v>130</v>
      </c>
      <c r="G25" s="30" t="s">
        <v>232</v>
      </c>
      <c r="H25" s="41">
        <v>5.0</v>
      </c>
      <c r="I25" s="41">
        <v>1.0</v>
      </c>
      <c r="J25" s="41">
        <v>45.0</v>
      </c>
      <c r="K25" s="41">
        <v>5890.0</v>
      </c>
      <c r="L25" s="41">
        <v>1531.0</v>
      </c>
      <c r="M25" s="41">
        <v>0.004</v>
      </c>
      <c r="N25" s="41">
        <v>421.0</v>
      </c>
      <c r="O25" s="41">
        <v>1019.0</v>
      </c>
      <c r="P25" s="41">
        <v>3968.0</v>
      </c>
      <c r="Q25" s="41">
        <v>9908.0</v>
      </c>
      <c r="R25" s="41">
        <v>6258.0</v>
      </c>
    </row>
    <row r="26">
      <c r="A26" s="30" t="s">
        <v>501</v>
      </c>
      <c r="B26" s="30" t="s">
        <v>168</v>
      </c>
      <c r="C26" s="30" t="s">
        <v>51</v>
      </c>
      <c r="D26" s="30" t="s">
        <v>169</v>
      </c>
      <c r="E26" s="30" t="s">
        <v>271</v>
      </c>
      <c r="F26" s="30" t="s">
        <v>130</v>
      </c>
      <c r="G26" s="30" t="s">
        <v>232</v>
      </c>
      <c r="H26" s="41">
        <v>5.0</v>
      </c>
      <c r="I26" s="41">
        <v>1.0</v>
      </c>
      <c r="J26" s="41">
        <v>50.0</v>
      </c>
      <c r="K26" s="41">
        <v>4900.0</v>
      </c>
      <c r="L26" s="41">
        <v>767.0</v>
      </c>
      <c r="M26" s="41">
        <v>0.004</v>
      </c>
      <c r="N26" s="41">
        <v>5045.0</v>
      </c>
      <c r="O26" s="41">
        <v>695.0</v>
      </c>
      <c r="P26" s="41">
        <v>4021.0</v>
      </c>
      <c r="Q26" s="41">
        <v>8006.0</v>
      </c>
      <c r="R26" s="41">
        <v>12225.0</v>
      </c>
    </row>
    <row r="27">
      <c r="A27" s="30" t="s">
        <v>502</v>
      </c>
      <c r="B27" s="30" t="s">
        <v>168</v>
      </c>
      <c r="C27" s="30" t="s">
        <v>51</v>
      </c>
      <c r="D27" s="30" t="s">
        <v>169</v>
      </c>
      <c r="E27" s="30" t="s">
        <v>272</v>
      </c>
      <c r="F27" s="30" t="s">
        <v>132</v>
      </c>
      <c r="G27" s="30" t="s">
        <v>232</v>
      </c>
      <c r="H27" s="41">
        <v>10.0</v>
      </c>
      <c r="I27" s="41">
        <v>1.0</v>
      </c>
      <c r="J27" s="41">
        <v>44.0</v>
      </c>
      <c r="K27" s="41">
        <v>5255.0</v>
      </c>
      <c r="L27" s="41">
        <v>1423.0</v>
      </c>
      <c r="M27" s="41">
        <v>0.004</v>
      </c>
      <c r="N27" s="41">
        <v>415.0</v>
      </c>
      <c r="O27" s="41">
        <v>1818.0</v>
      </c>
      <c r="P27" s="41">
        <v>4188.0</v>
      </c>
      <c r="Q27" s="41">
        <v>8522.0</v>
      </c>
      <c r="R27" s="41">
        <v>6743.0</v>
      </c>
    </row>
    <row r="28">
      <c r="A28" s="30" t="s">
        <v>502</v>
      </c>
      <c r="B28" s="30" t="s">
        <v>168</v>
      </c>
      <c r="C28" s="30" t="s">
        <v>51</v>
      </c>
      <c r="D28" s="30" t="s">
        <v>169</v>
      </c>
      <c r="E28" s="30" t="s">
        <v>273</v>
      </c>
      <c r="F28" s="30" t="s">
        <v>132</v>
      </c>
      <c r="G28" s="30" t="s">
        <v>232</v>
      </c>
      <c r="H28" s="41">
        <v>10.0</v>
      </c>
      <c r="I28" s="41">
        <v>1.0</v>
      </c>
      <c r="J28" s="41">
        <v>57.0</v>
      </c>
      <c r="K28" s="41">
        <v>2698.0</v>
      </c>
      <c r="L28" s="41">
        <v>687.0</v>
      </c>
      <c r="M28" s="41">
        <v>0.0</v>
      </c>
      <c r="N28" s="41">
        <v>459.0</v>
      </c>
      <c r="O28" s="41">
        <v>725.0</v>
      </c>
      <c r="P28" s="41">
        <v>2044.0</v>
      </c>
      <c r="Q28" s="41">
        <v>3981.0</v>
      </c>
      <c r="R28" s="41">
        <v>3551.0</v>
      </c>
    </row>
    <row r="29">
      <c r="A29" s="30" t="s">
        <v>502</v>
      </c>
      <c r="B29" s="30" t="s">
        <v>168</v>
      </c>
      <c r="C29" s="30" t="s">
        <v>51</v>
      </c>
      <c r="D29" s="30" t="s">
        <v>169</v>
      </c>
      <c r="E29" s="30" t="s">
        <v>45</v>
      </c>
      <c r="F29" s="30" t="s">
        <v>132</v>
      </c>
      <c r="G29" s="30" t="s">
        <v>232</v>
      </c>
      <c r="H29" s="41">
        <v>10.0</v>
      </c>
      <c r="I29" s="41">
        <v>10.0</v>
      </c>
      <c r="J29" s="41">
        <v>54.0</v>
      </c>
      <c r="K29" s="41">
        <v>5658.0</v>
      </c>
      <c r="L29" s="41">
        <v>1077.0</v>
      </c>
      <c r="M29" s="41">
        <v>0.003</v>
      </c>
      <c r="N29" s="41">
        <v>557.0</v>
      </c>
      <c r="O29" s="41">
        <v>1180.0</v>
      </c>
      <c r="P29" s="41">
        <v>3952.0</v>
      </c>
      <c r="Q29" s="41">
        <v>11874.0</v>
      </c>
      <c r="R29" s="41">
        <v>6496.0</v>
      </c>
    </row>
    <row r="30">
      <c r="A30" s="30" t="s">
        <v>503</v>
      </c>
      <c r="B30" s="30" t="s">
        <v>168</v>
      </c>
      <c r="C30" s="30" t="s">
        <v>51</v>
      </c>
      <c r="D30" s="30" t="s">
        <v>169</v>
      </c>
      <c r="E30" s="30" t="s">
        <v>45</v>
      </c>
      <c r="F30" s="30" t="s">
        <v>123</v>
      </c>
      <c r="G30" s="30" t="s">
        <v>232</v>
      </c>
      <c r="H30" s="41">
        <v>10.0</v>
      </c>
      <c r="I30" s="41">
        <v>15.0</v>
      </c>
      <c r="J30" s="41">
        <v>62.0</v>
      </c>
      <c r="K30" s="41">
        <v>4481.0</v>
      </c>
      <c r="L30" s="41">
        <v>848.0</v>
      </c>
      <c r="M30" s="41">
        <v>0.002</v>
      </c>
      <c r="N30" s="41">
        <v>532.0</v>
      </c>
      <c r="O30" s="41">
        <v>846.0</v>
      </c>
      <c r="P30" s="41">
        <v>3587.0</v>
      </c>
      <c r="Q30" s="41">
        <v>8459.0</v>
      </c>
      <c r="R30" s="41">
        <v>5254.0</v>
      </c>
    </row>
    <row r="31">
      <c r="A31" s="30" t="s">
        <v>508</v>
      </c>
      <c r="B31" s="30" t="s">
        <v>168</v>
      </c>
      <c r="C31" s="30" t="s">
        <v>51</v>
      </c>
      <c r="D31" s="30" t="s">
        <v>169</v>
      </c>
      <c r="E31" s="30" t="s">
        <v>45</v>
      </c>
      <c r="F31" s="30" t="s">
        <v>275</v>
      </c>
      <c r="G31" s="30" t="s">
        <v>232</v>
      </c>
      <c r="H31" s="41">
        <v>1.0</v>
      </c>
      <c r="I31" s="41">
        <v>1.0</v>
      </c>
      <c r="J31" s="41">
        <v>84.0</v>
      </c>
      <c r="K31" s="41">
        <v>1597.0</v>
      </c>
      <c r="L31" s="41">
        <v>267.0</v>
      </c>
      <c r="M31" s="41">
        <v>0.0</v>
      </c>
      <c r="N31" s="41">
        <v>426.0</v>
      </c>
      <c r="O31" s="41">
        <v>108.0</v>
      </c>
      <c r="P31" s="41">
        <v>1237.0</v>
      </c>
      <c r="Q31" s="41">
        <v>2102.0</v>
      </c>
      <c r="R31" s="41">
        <v>2679.0</v>
      </c>
    </row>
    <row r="32">
      <c r="A32" s="30" t="s">
        <v>509</v>
      </c>
      <c r="B32" s="30" t="s">
        <v>168</v>
      </c>
      <c r="C32" s="30" t="s">
        <v>51</v>
      </c>
      <c r="D32" s="30" t="s">
        <v>169</v>
      </c>
      <c r="E32" s="30" t="s">
        <v>45</v>
      </c>
      <c r="F32" s="30" t="s">
        <v>276</v>
      </c>
      <c r="G32" s="30" t="s">
        <v>232</v>
      </c>
      <c r="H32" s="41">
        <v>1.0</v>
      </c>
      <c r="I32" s="41">
        <v>1.0</v>
      </c>
      <c r="J32" s="41">
        <v>81.0</v>
      </c>
      <c r="K32" s="41">
        <v>1694.0</v>
      </c>
      <c r="L32" s="41">
        <v>337.0</v>
      </c>
      <c r="M32" s="41">
        <v>0.0</v>
      </c>
      <c r="N32" s="41">
        <v>417.0</v>
      </c>
      <c r="O32" s="41">
        <v>144.0</v>
      </c>
      <c r="P32" s="41">
        <v>1286.0</v>
      </c>
      <c r="Q32" s="41">
        <v>2129.0</v>
      </c>
      <c r="R32" s="41">
        <v>2689.0</v>
      </c>
    </row>
    <row r="33">
      <c r="A33" s="30" t="s">
        <v>510</v>
      </c>
      <c r="B33" s="30" t="s">
        <v>168</v>
      </c>
      <c r="C33" s="30" t="s">
        <v>51</v>
      </c>
      <c r="D33" s="30" t="s">
        <v>169</v>
      </c>
      <c r="E33" s="30" t="s">
        <v>45</v>
      </c>
      <c r="F33" s="30" t="s">
        <v>277</v>
      </c>
      <c r="G33" s="30" t="s">
        <v>232</v>
      </c>
      <c r="H33" s="41">
        <v>10.0</v>
      </c>
      <c r="I33" s="41">
        <v>3.0</v>
      </c>
      <c r="J33" s="41">
        <v>48.0</v>
      </c>
      <c r="K33" s="41">
        <v>5174.0</v>
      </c>
      <c r="L33" s="41">
        <v>1071.0</v>
      </c>
      <c r="M33" s="41">
        <v>0.004</v>
      </c>
      <c r="N33" s="41">
        <v>367.0</v>
      </c>
      <c r="O33" s="41">
        <v>1084.0</v>
      </c>
      <c r="P33" s="41">
        <v>4001.0</v>
      </c>
      <c r="Q33" s="41">
        <v>10499.0</v>
      </c>
      <c r="R33" s="41">
        <v>6128.0</v>
      </c>
    </row>
    <row r="34">
      <c r="A34" s="30" t="s">
        <v>511</v>
      </c>
      <c r="B34" s="30" t="s">
        <v>168</v>
      </c>
      <c r="C34" s="30" t="s">
        <v>51</v>
      </c>
      <c r="D34" s="30" t="s">
        <v>169</v>
      </c>
      <c r="E34" s="30" t="s">
        <v>45</v>
      </c>
      <c r="F34" s="30" t="s">
        <v>278</v>
      </c>
      <c r="G34" s="30" t="s">
        <v>232</v>
      </c>
      <c r="H34" s="41">
        <v>10.0</v>
      </c>
      <c r="I34" s="41">
        <v>3.0</v>
      </c>
      <c r="J34" s="41">
        <v>86.0</v>
      </c>
      <c r="K34" s="41">
        <v>1605.0</v>
      </c>
      <c r="L34" s="41">
        <v>258.0</v>
      </c>
      <c r="M34" s="41">
        <v>0.0</v>
      </c>
      <c r="N34" s="41">
        <v>360.0</v>
      </c>
      <c r="O34" s="41">
        <v>112.0</v>
      </c>
      <c r="P34" s="41">
        <v>1266.0</v>
      </c>
      <c r="Q34" s="41">
        <v>2031.0</v>
      </c>
      <c r="R34" s="41">
        <v>2446.0</v>
      </c>
    </row>
    <row r="35">
      <c r="A35" s="30" t="s">
        <v>512</v>
      </c>
      <c r="B35" s="30" t="s">
        <v>168</v>
      </c>
      <c r="C35" s="30" t="s">
        <v>51</v>
      </c>
      <c r="D35" s="30" t="s">
        <v>169</v>
      </c>
      <c r="E35" s="30" t="s">
        <v>45</v>
      </c>
      <c r="F35" s="30" t="s">
        <v>279</v>
      </c>
      <c r="G35" s="30" t="s">
        <v>232</v>
      </c>
      <c r="H35" s="41">
        <v>10.0</v>
      </c>
      <c r="I35" s="41">
        <v>6.0</v>
      </c>
      <c r="J35" s="41">
        <v>67.0</v>
      </c>
      <c r="K35" s="41">
        <v>3703.0</v>
      </c>
      <c r="L35" s="41">
        <v>788.0</v>
      </c>
      <c r="M35" s="41">
        <v>0.002</v>
      </c>
      <c r="N35" s="41">
        <v>351.0</v>
      </c>
      <c r="O35" s="41">
        <v>681.0</v>
      </c>
      <c r="P35" s="41">
        <v>2695.0</v>
      </c>
      <c r="Q35" s="41">
        <v>6557.0</v>
      </c>
      <c r="R35" s="41">
        <v>4736.0</v>
      </c>
    </row>
    <row r="36">
      <c r="A36" s="30" t="s">
        <v>513</v>
      </c>
      <c r="B36" s="30" t="s">
        <v>168</v>
      </c>
      <c r="C36" s="30" t="s">
        <v>51</v>
      </c>
      <c r="D36" s="30" t="s">
        <v>169</v>
      </c>
      <c r="E36" s="30" t="s">
        <v>45</v>
      </c>
      <c r="F36" s="30" t="s">
        <v>280</v>
      </c>
      <c r="G36" s="30" t="s">
        <v>232</v>
      </c>
      <c r="H36" s="41">
        <v>10.0</v>
      </c>
      <c r="I36" s="41">
        <v>16.0</v>
      </c>
      <c r="J36" s="41">
        <v>63.0</v>
      </c>
      <c r="K36" s="41">
        <v>4154.0</v>
      </c>
      <c r="L36" s="41">
        <v>759.0</v>
      </c>
      <c r="M36" s="41">
        <v>0.002</v>
      </c>
      <c r="N36" s="41">
        <v>535.0</v>
      </c>
      <c r="O36" s="41">
        <v>711.0</v>
      </c>
      <c r="P36" s="41">
        <v>3062.0</v>
      </c>
      <c r="Q36" s="41">
        <v>7205.0</v>
      </c>
      <c r="R36" s="41">
        <v>4735.0</v>
      </c>
    </row>
    <row r="37">
      <c r="A37" s="30" t="s">
        <v>514</v>
      </c>
      <c r="B37" s="30" t="s">
        <v>168</v>
      </c>
      <c r="C37" s="30" t="s">
        <v>51</v>
      </c>
      <c r="D37" s="30" t="s">
        <v>169</v>
      </c>
      <c r="E37" s="30" t="s">
        <v>45</v>
      </c>
      <c r="F37" s="30" t="s">
        <v>281</v>
      </c>
      <c r="G37" s="30" t="s">
        <v>282</v>
      </c>
      <c r="H37" s="41">
        <v>10.0</v>
      </c>
      <c r="I37" s="41">
        <v>16.0</v>
      </c>
      <c r="J37" s="41">
        <v>63.0</v>
      </c>
      <c r="K37" s="41">
        <v>3941.0</v>
      </c>
      <c r="L37" s="41">
        <v>783.0</v>
      </c>
      <c r="M37" s="41">
        <v>0.002</v>
      </c>
      <c r="N37" s="41">
        <v>555.0</v>
      </c>
      <c r="O37" s="41">
        <v>762.0</v>
      </c>
      <c r="P37" s="41">
        <v>3007.0</v>
      </c>
      <c r="Q37" s="41">
        <v>7063.0</v>
      </c>
      <c r="R37" s="41">
        <v>4658.0</v>
      </c>
    </row>
    <row r="38">
      <c r="A38" s="30" t="s">
        <v>515</v>
      </c>
      <c r="B38" s="30" t="s">
        <v>168</v>
      </c>
      <c r="C38" s="30" t="s">
        <v>51</v>
      </c>
      <c r="D38" s="30" t="s">
        <v>169</v>
      </c>
      <c r="E38" s="30" t="s">
        <v>45</v>
      </c>
      <c r="F38" s="30" t="s">
        <v>283</v>
      </c>
      <c r="G38" s="30" t="s">
        <v>282</v>
      </c>
      <c r="H38" s="41">
        <v>10.0</v>
      </c>
      <c r="I38" s="41">
        <v>1.0</v>
      </c>
      <c r="J38" s="41">
        <v>62.0</v>
      </c>
      <c r="K38" s="41">
        <v>4504.0</v>
      </c>
      <c r="L38" s="41">
        <v>637.0</v>
      </c>
      <c r="M38" s="41">
        <v>0.004</v>
      </c>
      <c r="N38" s="41">
        <v>313.0</v>
      </c>
      <c r="O38" s="41">
        <v>596.0</v>
      </c>
      <c r="P38" s="41">
        <v>3760.0</v>
      </c>
      <c r="Q38" s="41">
        <v>7085.0</v>
      </c>
      <c r="R38" s="41">
        <v>5404.0</v>
      </c>
    </row>
    <row r="39">
      <c r="A39" s="30" t="s">
        <v>16</v>
      </c>
      <c r="B39" s="30" t="s">
        <v>168</v>
      </c>
      <c r="C39" s="30" t="s">
        <v>50</v>
      </c>
      <c r="D39" s="30" t="s">
        <v>507</v>
      </c>
      <c r="E39" s="30" t="s">
        <v>26</v>
      </c>
      <c r="F39" s="30" t="s">
        <v>14</v>
      </c>
      <c r="G39" s="30" t="s">
        <v>15</v>
      </c>
      <c r="H39" s="41"/>
      <c r="I39" s="41">
        <v>1.0</v>
      </c>
      <c r="J39" s="41"/>
      <c r="K39" s="41">
        <v>90.0</v>
      </c>
      <c r="L39" s="41">
        <v>90.0</v>
      </c>
      <c r="M39" s="41">
        <v>90.0</v>
      </c>
      <c r="N39" s="41"/>
      <c r="O39" s="41"/>
      <c r="P39" s="41"/>
      <c r="Q39" s="41"/>
      <c r="R39" s="41"/>
    </row>
    <row r="40">
      <c r="A40" s="30" t="s">
        <v>501</v>
      </c>
      <c r="B40" s="30" t="s">
        <v>168</v>
      </c>
      <c r="C40" s="30" t="s">
        <v>50</v>
      </c>
      <c r="D40" s="30" t="s">
        <v>169</v>
      </c>
      <c r="E40" s="30" t="s">
        <v>45</v>
      </c>
      <c r="F40" s="30" t="s">
        <v>130</v>
      </c>
      <c r="G40" s="30" t="s">
        <v>38</v>
      </c>
      <c r="H40" s="41">
        <v>5.0</v>
      </c>
      <c r="I40" s="41">
        <v>12.0</v>
      </c>
      <c r="J40" s="41">
        <v>69.0</v>
      </c>
      <c r="K40" s="41">
        <v>4043.0</v>
      </c>
      <c r="L40" s="41">
        <v>283.0</v>
      </c>
      <c r="M40" s="41">
        <v>0.002</v>
      </c>
      <c r="N40" s="41">
        <v>602.0</v>
      </c>
      <c r="O40" s="41">
        <v>4033.0</v>
      </c>
      <c r="P40" s="41">
        <v>3222.0</v>
      </c>
      <c r="Q40" s="41">
        <v>5506.0</v>
      </c>
      <c r="R40" s="41">
        <v>4365.0</v>
      </c>
    </row>
    <row r="41">
      <c r="A41" s="30" t="s">
        <v>502</v>
      </c>
      <c r="B41" s="30" t="s">
        <v>168</v>
      </c>
      <c r="C41" s="30" t="s">
        <v>50</v>
      </c>
      <c r="D41" s="30" t="s">
        <v>169</v>
      </c>
      <c r="E41" s="30" t="s">
        <v>45</v>
      </c>
      <c r="F41" s="30" t="s">
        <v>132</v>
      </c>
      <c r="G41" s="30" t="s">
        <v>38</v>
      </c>
      <c r="H41" s="41">
        <v>10.0</v>
      </c>
      <c r="I41" s="41">
        <v>11.0</v>
      </c>
      <c r="J41" s="41">
        <v>56.0</v>
      </c>
      <c r="K41" s="41">
        <v>5016.0</v>
      </c>
      <c r="L41" s="41">
        <v>979.0</v>
      </c>
      <c r="M41" s="41">
        <v>0.003</v>
      </c>
      <c r="N41" s="41">
        <v>556.0</v>
      </c>
      <c r="O41" s="41">
        <v>840.0</v>
      </c>
      <c r="P41" s="41">
        <v>3531.0</v>
      </c>
      <c r="Q41" s="41">
        <v>6870.0</v>
      </c>
      <c r="R41" s="41">
        <v>5319.0</v>
      </c>
    </row>
    <row r="42">
      <c r="A42" s="30" t="s">
        <v>503</v>
      </c>
      <c r="B42" s="30" t="s">
        <v>168</v>
      </c>
      <c r="C42" s="30" t="s">
        <v>50</v>
      </c>
      <c r="D42" s="30" t="s">
        <v>169</v>
      </c>
      <c r="E42" s="30" t="s">
        <v>45</v>
      </c>
      <c r="F42" s="30" t="s">
        <v>123</v>
      </c>
      <c r="G42" s="30" t="s">
        <v>38</v>
      </c>
      <c r="H42" s="41">
        <v>10.0</v>
      </c>
      <c r="I42" s="41">
        <v>16.0</v>
      </c>
      <c r="J42" s="41">
        <v>60.0</v>
      </c>
      <c r="K42" s="41">
        <v>4713.0</v>
      </c>
      <c r="L42" s="41">
        <v>850.0</v>
      </c>
      <c r="M42" s="41">
        <v>0.002</v>
      </c>
      <c r="N42" s="41">
        <v>543.0</v>
      </c>
      <c r="O42" s="41">
        <v>933.0</v>
      </c>
      <c r="P42" s="41">
        <v>3228.0</v>
      </c>
      <c r="Q42" s="41">
        <v>8355.0</v>
      </c>
      <c r="R42" s="41">
        <v>5076.0</v>
      </c>
    </row>
    <row r="43">
      <c r="A43" s="30" t="s">
        <v>516</v>
      </c>
      <c r="B43" s="30" t="s">
        <v>168</v>
      </c>
      <c r="C43" s="30" t="s">
        <v>50</v>
      </c>
      <c r="D43" s="30" t="s">
        <v>169</v>
      </c>
      <c r="E43" s="30" t="s">
        <v>45</v>
      </c>
      <c r="F43" s="30" t="s">
        <v>134</v>
      </c>
      <c r="G43" s="30" t="s">
        <v>38</v>
      </c>
      <c r="H43" s="41">
        <v>10.0</v>
      </c>
      <c r="I43" s="41">
        <v>1.0</v>
      </c>
      <c r="J43" s="41">
        <v>84.0</v>
      </c>
      <c r="K43" s="41">
        <v>1738.0</v>
      </c>
      <c r="L43" s="41">
        <v>337.0</v>
      </c>
      <c r="M43" s="41">
        <v>0.0</v>
      </c>
      <c r="N43" s="41">
        <v>698.0</v>
      </c>
      <c r="O43" s="41">
        <v>124.0</v>
      </c>
      <c r="P43" s="41">
        <v>1182.0</v>
      </c>
      <c r="Q43" s="41">
        <v>2012.0</v>
      </c>
      <c r="R43" s="41">
        <v>2538.0</v>
      </c>
    </row>
    <row r="44">
      <c r="A44" s="30" t="s">
        <v>517</v>
      </c>
      <c r="B44" s="30" t="s">
        <v>168</v>
      </c>
      <c r="C44" s="30" t="s">
        <v>50</v>
      </c>
      <c r="D44" s="30" t="s">
        <v>169</v>
      </c>
      <c r="E44" s="30" t="s">
        <v>45</v>
      </c>
      <c r="F44" s="30" t="s">
        <v>284</v>
      </c>
      <c r="G44" s="30" t="s">
        <v>285</v>
      </c>
      <c r="H44" s="41">
        <v>10.0</v>
      </c>
      <c r="I44" s="41">
        <v>7.0</v>
      </c>
      <c r="J44" s="41">
        <v>47.0</v>
      </c>
      <c r="K44" s="41">
        <v>5801.0</v>
      </c>
      <c r="L44" s="41">
        <v>1176.0</v>
      </c>
      <c r="M44" s="41">
        <v>0.004</v>
      </c>
      <c r="N44" s="41">
        <v>1082.0</v>
      </c>
      <c r="O44" s="41">
        <v>1101.0</v>
      </c>
      <c r="P44" s="41">
        <v>4057.0</v>
      </c>
      <c r="Q44" s="41">
        <v>7886.0</v>
      </c>
      <c r="R44" s="41">
        <v>6573.0</v>
      </c>
    </row>
    <row r="45">
      <c r="A45" s="30" t="s">
        <v>518</v>
      </c>
      <c r="B45" s="30" t="s">
        <v>168</v>
      </c>
      <c r="C45" s="30" t="s">
        <v>50</v>
      </c>
      <c r="D45" s="30" t="s">
        <v>169</v>
      </c>
      <c r="E45" s="30" t="s">
        <v>45</v>
      </c>
      <c r="F45" s="30" t="s">
        <v>286</v>
      </c>
      <c r="G45" s="30" t="s">
        <v>285</v>
      </c>
      <c r="H45" s="41">
        <v>10.0</v>
      </c>
      <c r="I45" s="41">
        <v>7.0</v>
      </c>
      <c r="J45" s="41">
        <v>83.0</v>
      </c>
      <c r="K45" s="41">
        <v>1793.0</v>
      </c>
      <c r="L45" s="41">
        <v>289.0</v>
      </c>
      <c r="M45" s="41">
        <v>0.0</v>
      </c>
      <c r="N45" s="41">
        <v>1079.0</v>
      </c>
      <c r="O45" s="41">
        <v>163.0</v>
      </c>
      <c r="P45" s="41">
        <v>1253.0</v>
      </c>
      <c r="Q45" s="41">
        <v>1936.0</v>
      </c>
      <c r="R45" s="41">
        <v>2575.0</v>
      </c>
    </row>
    <row r="46">
      <c r="A46" s="30" t="s">
        <v>16</v>
      </c>
      <c r="B46" s="30" t="s">
        <v>168</v>
      </c>
      <c r="C46" s="30" t="s">
        <v>49</v>
      </c>
      <c r="D46" s="30" t="s">
        <v>507</v>
      </c>
      <c r="E46" s="30" t="s">
        <v>26</v>
      </c>
      <c r="F46" s="30" t="s">
        <v>14</v>
      </c>
      <c r="G46" s="30" t="s">
        <v>15</v>
      </c>
      <c r="H46" s="41"/>
      <c r="I46" s="41">
        <v>1.0</v>
      </c>
      <c r="J46" s="41"/>
      <c r="K46" s="41">
        <v>90.0</v>
      </c>
      <c r="L46" s="41">
        <v>90.0</v>
      </c>
      <c r="M46" s="41">
        <v>90.0</v>
      </c>
      <c r="N46" s="41"/>
      <c r="O46" s="41"/>
      <c r="P46" s="41"/>
      <c r="Q46" s="41"/>
      <c r="R46" s="41"/>
    </row>
    <row r="47">
      <c r="A47" s="30" t="s">
        <v>501</v>
      </c>
      <c r="B47" s="30" t="s">
        <v>168</v>
      </c>
      <c r="C47" s="30" t="s">
        <v>49</v>
      </c>
      <c r="D47" s="30" t="s">
        <v>169</v>
      </c>
      <c r="E47" s="30" t="s">
        <v>287</v>
      </c>
      <c r="F47" s="30" t="s">
        <v>130</v>
      </c>
      <c r="G47" s="30" t="s">
        <v>38</v>
      </c>
      <c r="H47" s="41">
        <v>5.0</v>
      </c>
      <c r="I47" s="41">
        <v>1.0</v>
      </c>
      <c r="J47" s="41">
        <v>32.0</v>
      </c>
      <c r="K47" s="41">
        <v>17350.0</v>
      </c>
      <c r="L47" s="41">
        <v>1103.0</v>
      </c>
      <c r="M47" s="41">
        <v>0.004</v>
      </c>
      <c r="N47" s="41">
        <v>908.0</v>
      </c>
      <c r="O47" s="41">
        <v>1146.0</v>
      </c>
      <c r="P47" s="41">
        <v>11055.0</v>
      </c>
      <c r="Q47" s="41">
        <v>19688.0</v>
      </c>
      <c r="R47" s="41">
        <v>11055.0</v>
      </c>
    </row>
    <row r="48">
      <c r="A48" s="30" t="s">
        <v>501</v>
      </c>
      <c r="B48" s="30" t="s">
        <v>168</v>
      </c>
      <c r="C48" s="30" t="s">
        <v>49</v>
      </c>
      <c r="D48" s="30" t="s">
        <v>169</v>
      </c>
      <c r="E48" s="30" t="s">
        <v>288</v>
      </c>
      <c r="F48" s="30" t="s">
        <v>130</v>
      </c>
      <c r="G48" s="30" t="s">
        <v>38</v>
      </c>
      <c r="H48" s="41">
        <v>5.0</v>
      </c>
      <c r="I48" s="41">
        <v>1.0</v>
      </c>
      <c r="J48" s="41">
        <v>39.0</v>
      </c>
      <c r="K48" s="41">
        <v>16920.0</v>
      </c>
      <c r="L48" s="41">
        <v>987.0</v>
      </c>
      <c r="M48" s="41">
        <v>0.004</v>
      </c>
      <c r="N48" s="41">
        <v>712.0</v>
      </c>
      <c r="O48" s="41">
        <v>790.0</v>
      </c>
      <c r="P48" s="41">
        <v>10767.0</v>
      </c>
      <c r="Q48" s="41">
        <v>18702.0</v>
      </c>
      <c r="R48" s="41">
        <v>10767.0</v>
      </c>
    </row>
    <row r="49">
      <c r="A49" s="30" t="s">
        <v>501</v>
      </c>
      <c r="B49" s="30" t="s">
        <v>168</v>
      </c>
      <c r="C49" s="30" t="s">
        <v>49</v>
      </c>
      <c r="D49" s="30" t="s">
        <v>169</v>
      </c>
      <c r="E49" s="30" t="s">
        <v>289</v>
      </c>
      <c r="F49" s="30" t="s">
        <v>130</v>
      </c>
      <c r="G49" s="30" t="s">
        <v>38</v>
      </c>
      <c r="H49" s="41">
        <v>5.0</v>
      </c>
      <c r="I49" s="41">
        <v>1.0</v>
      </c>
      <c r="J49" s="41">
        <v>59.0</v>
      </c>
      <c r="K49" s="41">
        <v>3890.0</v>
      </c>
      <c r="L49" s="41">
        <v>275.0</v>
      </c>
      <c r="M49" s="41">
        <v>0.0</v>
      </c>
      <c r="N49" s="41">
        <v>895.0</v>
      </c>
      <c r="O49" s="41">
        <v>160.0</v>
      </c>
      <c r="P49" s="41">
        <v>2343.0</v>
      </c>
      <c r="Q49" s="41">
        <v>4206.0</v>
      </c>
      <c r="R49" s="41">
        <v>3498.0</v>
      </c>
    </row>
    <row r="50">
      <c r="A50" s="30" t="s">
        <v>501</v>
      </c>
      <c r="B50" s="30" t="s">
        <v>168</v>
      </c>
      <c r="C50" s="30" t="s">
        <v>49</v>
      </c>
      <c r="D50" s="30" t="s">
        <v>169</v>
      </c>
      <c r="E50" s="30" t="s">
        <v>290</v>
      </c>
      <c r="F50" s="30" t="s">
        <v>130</v>
      </c>
      <c r="G50" s="30" t="s">
        <v>38</v>
      </c>
      <c r="H50" s="41">
        <v>5.0</v>
      </c>
      <c r="I50" s="41">
        <v>1.0</v>
      </c>
      <c r="J50" s="41">
        <v>81.0</v>
      </c>
      <c r="K50" s="41">
        <v>2500.0</v>
      </c>
      <c r="L50" s="41">
        <v>232.0</v>
      </c>
      <c r="M50" s="41">
        <v>0.0</v>
      </c>
      <c r="N50" s="41">
        <v>723.0</v>
      </c>
      <c r="O50" s="41">
        <v>179.0</v>
      </c>
      <c r="P50" s="41">
        <v>2303.0</v>
      </c>
      <c r="Q50" s="41">
        <v>3344.0</v>
      </c>
      <c r="R50" s="41">
        <v>2751.0</v>
      </c>
    </row>
    <row r="51">
      <c r="A51" s="30" t="s">
        <v>501</v>
      </c>
      <c r="B51" s="30" t="s">
        <v>168</v>
      </c>
      <c r="C51" s="30" t="s">
        <v>49</v>
      </c>
      <c r="D51" s="30" t="s">
        <v>169</v>
      </c>
      <c r="E51" s="30" t="s">
        <v>291</v>
      </c>
      <c r="F51" s="30" t="s">
        <v>130</v>
      </c>
      <c r="G51" s="30" t="s">
        <v>38</v>
      </c>
      <c r="H51" s="41">
        <v>10.0</v>
      </c>
      <c r="I51" s="41">
        <v>1.0</v>
      </c>
      <c r="J51" s="41">
        <v>33.0</v>
      </c>
      <c r="K51" s="41">
        <v>17382.0</v>
      </c>
      <c r="L51" s="41">
        <v>1159.0</v>
      </c>
      <c r="M51" s="41">
        <v>0.004</v>
      </c>
      <c r="N51" s="41">
        <v>919.0</v>
      </c>
      <c r="O51" s="41">
        <v>1149.0</v>
      </c>
      <c r="P51" s="41">
        <v>11047.0</v>
      </c>
      <c r="Q51" s="41">
        <v>19603.0</v>
      </c>
      <c r="R51" s="41">
        <v>11047.0</v>
      </c>
    </row>
    <row r="52">
      <c r="A52" s="30" t="s">
        <v>501</v>
      </c>
      <c r="B52" s="30" t="s">
        <v>168</v>
      </c>
      <c r="C52" s="30" t="s">
        <v>49</v>
      </c>
      <c r="D52" s="30" t="s">
        <v>169</v>
      </c>
      <c r="E52" s="30" t="s">
        <v>292</v>
      </c>
      <c r="F52" s="30" t="s">
        <v>130</v>
      </c>
      <c r="G52" s="30" t="s">
        <v>38</v>
      </c>
      <c r="H52" s="41">
        <v>10.0</v>
      </c>
      <c r="I52" s="41">
        <v>1.0</v>
      </c>
      <c r="J52" s="41">
        <v>33.0</v>
      </c>
      <c r="K52" s="41">
        <v>18845.0</v>
      </c>
      <c r="L52" s="41">
        <v>1290.0</v>
      </c>
      <c r="M52" s="41">
        <v>0.004</v>
      </c>
      <c r="N52" s="41">
        <v>926.0</v>
      </c>
      <c r="O52" s="41">
        <v>1300.0</v>
      </c>
      <c r="P52" s="41">
        <v>10886.0</v>
      </c>
      <c r="Q52" s="41">
        <v>20532.0</v>
      </c>
      <c r="R52" s="41">
        <v>10886.0</v>
      </c>
    </row>
    <row r="53">
      <c r="A53" s="30" t="s">
        <v>501</v>
      </c>
      <c r="B53" s="30" t="s">
        <v>168</v>
      </c>
      <c r="C53" s="30" t="s">
        <v>49</v>
      </c>
      <c r="D53" s="30" t="s">
        <v>169</v>
      </c>
      <c r="E53" s="30" t="s">
        <v>293</v>
      </c>
      <c r="F53" s="30" t="s">
        <v>130</v>
      </c>
      <c r="G53" s="30" t="s">
        <v>38</v>
      </c>
      <c r="H53" s="41">
        <v>10.0</v>
      </c>
      <c r="I53" s="41">
        <v>1.0</v>
      </c>
      <c r="J53" s="41">
        <v>60.0</v>
      </c>
      <c r="K53" s="41">
        <v>4032.0</v>
      </c>
      <c r="L53" s="41">
        <v>321.0</v>
      </c>
      <c r="M53" s="41">
        <v>0.0</v>
      </c>
      <c r="N53" s="41">
        <v>903.0</v>
      </c>
      <c r="O53" s="41">
        <v>188.0</v>
      </c>
      <c r="P53" s="41">
        <v>2445.0</v>
      </c>
      <c r="Q53" s="41">
        <v>4284.0</v>
      </c>
      <c r="R53" s="41">
        <v>3560.0</v>
      </c>
    </row>
    <row r="54">
      <c r="A54" s="30" t="s">
        <v>501</v>
      </c>
      <c r="B54" s="30" t="s">
        <v>168</v>
      </c>
      <c r="C54" s="30" t="s">
        <v>49</v>
      </c>
      <c r="D54" s="30" t="s">
        <v>169</v>
      </c>
      <c r="E54" s="30" t="s">
        <v>294</v>
      </c>
      <c r="F54" s="30" t="s">
        <v>130</v>
      </c>
      <c r="G54" s="30" t="s">
        <v>38</v>
      </c>
      <c r="H54" s="41">
        <v>10.0</v>
      </c>
      <c r="I54" s="41">
        <v>1.0</v>
      </c>
      <c r="J54" s="41">
        <v>59.0</v>
      </c>
      <c r="K54" s="41">
        <v>3720.0</v>
      </c>
      <c r="L54" s="41">
        <v>287.0</v>
      </c>
      <c r="M54" s="41">
        <v>0.0</v>
      </c>
      <c r="N54" s="41">
        <v>708.0</v>
      </c>
      <c r="O54" s="41">
        <v>193.0</v>
      </c>
      <c r="P54" s="41">
        <v>2392.0</v>
      </c>
      <c r="Q54" s="41">
        <v>4184.0</v>
      </c>
      <c r="R54" s="41">
        <v>3315.0</v>
      </c>
    </row>
    <row r="55">
      <c r="A55" s="30" t="s">
        <v>502</v>
      </c>
      <c r="B55" s="30" t="s">
        <v>168</v>
      </c>
      <c r="C55" s="30" t="s">
        <v>49</v>
      </c>
      <c r="D55" s="30" t="s">
        <v>169</v>
      </c>
      <c r="E55" s="30" t="s">
        <v>295</v>
      </c>
      <c r="F55" s="30" t="s">
        <v>132</v>
      </c>
      <c r="G55" s="30" t="s">
        <v>38</v>
      </c>
      <c r="H55" s="41">
        <v>10.0</v>
      </c>
      <c r="I55" s="41">
        <v>1.0</v>
      </c>
      <c r="J55" s="41">
        <v>37.0</v>
      </c>
      <c r="K55" s="41">
        <v>15069.0</v>
      </c>
      <c r="L55" s="41">
        <v>2012.0</v>
      </c>
      <c r="M55" s="41">
        <v>0.004</v>
      </c>
      <c r="N55" s="41">
        <v>1243.0</v>
      </c>
      <c r="O55" s="41">
        <v>1969.0</v>
      </c>
      <c r="P55" s="41">
        <v>9232.0</v>
      </c>
      <c r="Q55" s="41">
        <v>21285.0</v>
      </c>
      <c r="R55" s="41">
        <v>10673.0</v>
      </c>
    </row>
    <row r="56">
      <c r="A56" s="30" t="s">
        <v>502</v>
      </c>
      <c r="B56" s="30" t="s">
        <v>168</v>
      </c>
      <c r="C56" s="30" t="s">
        <v>49</v>
      </c>
      <c r="D56" s="30" t="s">
        <v>169</v>
      </c>
      <c r="E56" s="30" t="s">
        <v>296</v>
      </c>
      <c r="F56" s="30" t="s">
        <v>132</v>
      </c>
      <c r="G56" s="30" t="s">
        <v>38</v>
      </c>
      <c r="H56" s="41">
        <v>10.0</v>
      </c>
      <c r="I56" s="41">
        <v>1.0</v>
      </c>
      <c r="J56" s="41">
        <v>46.0</v>
      </c>
      <c r="K56" s="41">
        <v>4825.0</v>
      </c>
      <c r="L56" s="41">
        <v>1401.0</v>
      </c>
      <c r="M56" s="41">
        <v>0.004</v>
      </c>
      <c r="N56" s="41">
        <v>867.0</v>
      </c>
      <c r="O56" s="41">
        <v>1646.0</v>
      </c>
      <c r="P56" s="41">
        <v>3274.0</v>
      </c>
      <c r="Q56" s="41">
        <v>19476.0</v>
      </c>
      <c r="R56" s="41">
        <v>9292.0</v>
      </c>
    </row>
    <row r="57">
      <c r="A57" s="30" t="s">
        <v>502</v>
      </c>
      <c r="B57" s="30" t="s">
        <v>168</v>
      </c>
      <c r="C57" s="30" t="s">
        <v>49</v>
      </c>
      <c r="D57" s="30" t="s">
        <v>169</v>
      </c>
      <c r="E57" s="30" t="s">
        <v>297</v>
      </c>
      <c r="F57" s="30" t="s">
        <v>132</v>
      </c>
      <c r="G57" s="30" t="s">
        <v>38</v>
      </c>
      <c r="H57" s="41">
        <v>10.0</v>
      </c>
      <c r="I57" s="41">
        <v>1.0</v>
      </c>
      <c r="J57" s="41">
        <v>38.0</v>
      </c>
      <c r="K57" s="41">
        <v>18088.0</v>
      </c>
      <c r="L57" s="41">
        <v>1340.0</v>
      </c>
      <c r="M57" s="41">
        <v>0.004</v>
      </c>
      <c r="N57" s="41">
        <v>734.0</v>
      </c>
      <c r="O57" s="41">
        <v>1520.0</v>
      </c>
      <c r="P57" s="41">
        <v>11000.0</v>
      </c>
      <c r="Q57" s="41">
        <v>20530.0</v>
      </c>
      <c r="R57" s="41">
        <v>11000.0</v>
      </c>
    </row>
    <row r="58">
      <c r="A58" s="30" t="s">
        <v>502</v>
      </c>
      <c r="B58" s="30" t="s">
        <v>168</v>
      </c>
      <c r="C58" s="30" t="s">
        <v>49</v>
      </c>
      <c r="D58" s="30" t="s">
        <v>169</v>
      </c>
      <c r="E58" s="30" t="s">
        <v>298</v>
      </c>
      <c r="F58" s="30" t="s">
        <v>132</v>
      </c>
      <c r="G58" s="30" t="s">
        <v>38</v>
      </c>
      <c r="H58" s="41">
        <v>10.0</v>
      </c>
      <c r="I58" s="41">
        <v>1.0</v>
      </c>
      <c r="J58" s="41">
        <v>38.0</v>
      </c>
      <c r="K58" s="41">
        <v>18884.0</v>
      </c>
      <c r="L58" s="41">
        <v>2008.0</v>
      </c>
      <c r="M58" s="41">
        <v>0.005</v>
      </c>
      <c r="N58" s="41">
        <v>940.0</v>
      </c>
      <c r="O58" s="41">
        <v>2113.0</v>
      </c>
      <c r="P58" s="41">
        <v>11111.0</v>
      </c>
      <c r="Q58" s="41">
        <v>22419.0</v>
      </c>
      <c r="R58" s="41">
        <v>11141.0</v>
      </c>
    </row>
    <row r="59">
      <c r="A59" s="30" t="s">
        <v>502</v>
      </c>
      <c r="B59" s="30" t="s">
        <v>168</v>
      </c>
      <c r="C59" s="30" t="s">
        <v>49</v>
      </c>
      <c r="D59" s="30" t="s">
        <v>169</v>
      </c>
      <c r="E59" s="30" t="s">
        <v>299</v>
      </c>
      <c r="F59" s="30" t="s">
        <v>132</v>
      </c>
      <c r="G59" s="30" t="s">
        <v>38</v>
      </c>
      <c r="H59" s="41">
        <v>10.0</v>
      </c>
      <c r="I59" s="41">
        <v>1.0</v>
      </c>
      <c r="J59" s="41">
        <v>49.0</v>
      </c>
      <c r="K59" s="41">
        <v>17430.0</v>
      </c>
      <c r="L59" s="41">
        <v>2304.0</v>
      </c>
      <c r="M59" s="41">
        <v>0.004</v>
      </c>
      <c r="N59" s="41">
        <v>1074.0</v>
      </c>
      <c r="O59" s="41">
        <v>1958.0</v>
      </c>
      <c r="P59" s="41">
        <v>10960.0</v>
      </c>
      <c r="Q59" s="41">
        <v>21017.0</v>
      </c>
      <c r="R59" s="41">
        <v>10960.0</v>
      </c>
    </row>
    <row r="60">
      <c r="A60" s="30" t="s">
        <v>502</v>
      </c>
      <c r="B60" s="30" t="s">
        <v>168</v>
      </c>
      <c r="C60" s="30" t="s">
        <v>49</v>
      </c>
      <c r="D60" s="30" t="s">
        <v>169</v>
      </c>
      <c r="E60" s="30" t="s">
        <v>300</v>
      </c>
      <c r="F60" s="30" t="s">
        <v>132</v>
      </c>
      <c r="G60" s="30" t="s">
        <v>38</v>
      </c>
      <c r="H60" s="41">
        <v>10.0</v>
      </c>
      <c r="I60" s="41">
        <v>1.0</v>
      </c>
      <c r="J60" s="41">
        <v>31.0</v>
      </c>
      <c r="K60" s="41">
        <v>18490.0</v>
      </c>
      <c r="L60" s="41">
        <v>1149.0</v>
      </c>
      <c r="M60" s="41">
        <v>0.004</v>
      </c>
      <c r="N60" s="41">
        <v>1106.0</v>
      </c>
      <c r="O60" s="41">
        <v>1260.0</v>
      </c>
      <c r="P60" s="41">
        <v>11065.0</v>
      </c>
      <c r="Q60" s="41">
        <v>20751.0</v>
      </c>
      <c r="R60" s="41">
        <v>11167.0</v>
      </c>
    </row>
    <row r="61">
      <c r="A61" s="30" t="s">
        <v>502</v>
      </c>
      <c r="B61" s="30" t="s">
        <v>168</v>
      </c>
      <c r="C61" s="30" t="s">
        <v>49</v>
      </c>
      <c r="D61" s="30" t="s">
        <v>169</v>
      </c>
      <c r="E61" s="30" t="s">
        <v>301</v>
      </c>
      <c r="F61" s="30" t="s">
        <v>132</v>
      </c>
      <c r="G61" s="30" t="s">
        <v>38</v>
      </c>
      <c r="H61" s="41">
        <v>10.0</v>
      </c>
      <c r="I61" s="41">
        <v>1.0</v>
      </c>
      <c r="J61" s="41">
        <v>34.0</v>
      </c>
      <c r="K61" s="41">
        <v>18894.0</v>
      </c>
      <c r="L61" s="41">
        <v>1288.0</v>
      </c>
      <c r="M61" s="41">
        <v>0.004</v>
      </c>
      <c r="N61" s="41">
        <v>1373.0</v>
      </c>
      <c r="O61" s="41">
        <v>1733.0</v>
      </c>
      <c r="P61" s="41">
        <v>11279.0</v>
      </c>
      <c r="Q61" s="41">
        <v>20543.0</v>
      </c>
      <c r="R61" s="41">
        <v>11980.0</v>
      </c>
    </row>
    <row r="62">
      <c r="A62" s="30" t="s">
        <v>502</v>
      </c>
      <c r="B62" s="30" t="s">
        <v>168</v>
      </c>
      <c r="C62" s="30" t="s">
        <v>49</v>
      </c>
      <c r="D62" s="30" t="s">
        <v>169</v>
      </c>
      <c r="E62" s="30" t="s">
        <v>302</v>
      </c>
      <c r="F62" s="30" t="s">
        <v>132</v>
      </c>
      <c r="G62" s="30" t="s">
        <v>38</v>
      </c>
      <c r="H62" s="41">
        <v>10.0</v>
      </c>
      <c r="I62" s="41">
        <v>1.0</v>
      </c>
      <c r="J62" s="41">
        <v>60.0</v>
      </c>
      <c r="K62" s="41">
        <v>3685.0</v>
      </c>
      <c r="L62" s="41">
        <v>586.0</v>
      </c>
      <c r="M62" s="41">
        <v>0.072</v>
      </c>
      <c r="N62" s="41">
        <v>985.0</v>
      </c>
      <c r="O62" s="41">
        <v>416.0</v>
      </c>
      <c r="P62" s="41">
        <v>1777.0</v>
      </c>
      <c r="Q62" s="41">
        <v>5310.0</v>
      </c>
      <c r="R62" s="41">
        <v>3241.0</v>
      </c>
    </row>
    <row r="63">
      <c r="A63" s="30" t="s">
        <v>502</v>
      </c>
      <c r="B63" s="30" t="s">
        <v>168</v>
      </c>
      <c r="C63" s="30" t="s">
        <v>49</v>
      </c>
      <c r="D63" s="30" t="s">
        <v>169</v>
      </c>
      <c r="E63" s="30" t="s">
        <v>303</v>
      </c>
      <c r="F63" s="30" t="s">
        <v>132</v>
      </c>
      <c r="G63" s="30" t="s">
        <v>38</v>
      </c>
      <c r="H63" s="41">
        <v>10.0</v>
      </c>
      <c r="I63" s="41">
        <v>1.0</v>
      </c>
      <c r="J63" s="41">
        <v>76.0</v>
      </c>
      <c r="K63" s="41">
        <v>3772.0</v>
      </c>
      <c r="L63" s="41">
        <v>347.0</v>
      </c>
      <c r="M63" s="41">
        <v>0.0</v>
      </c>
      <c r="N63" s="41">
        <v>749.0</v>
      </c>
      <c r="O63" s="41">
        <v>250.0</v>
      </c>
      <c r="P63" s="41">
        <v>2438.0</v>
      </c>
      <c r="Q63" s="41">
        <v>4433.0</v>
      </c>
      <c r="R63" s="41">
        <v>3415.0</v>
      </c>
    </row>
    <row r="64">
      <c r="A64" s="30" t="s">
        <v>502</v>
      </c>
      <c r="B64" s="30" t="s">
        <v>168</v>
      </c>
      <c r="C64" s="30" t="s">
        <v>49</v>
      </c>
      <c r="D64" s="30" t="s">
        <v>169</v>
      </c>
      <c r="E64" s="30" t="s">
        <v>304</v>
      </c>
      <c r="F64" s="30" t="s">
        <v>132</v>
      </c>
      <c r="G64" s="30" t="s">
        <v>38</v>
      </c>
      <c r="H64" s="41">
        <v>10.0</v>
      </c>
      <c r="I64" s="41">
        <v>1.0</v>
      </c>
      <c r="J64" s="41">
        <v>46.0</v>
      </c>
      <c r="K64" s="41">
        <v>3956.0</v>
      </c>
      <c r="L64" s="41">
        <v>423.0</v>
      </c>
      <c r="M64" s="41">
        <v>0.0</v>
      </c>
      <c r="N64" s="41">
        <v>897.0</v>
      </c>
      <c r="O64" s="41">
        <v>356.0</v>
      </c>
      <c r="P64" s="41">
        <v>2504.0</v>
      </c>
      <c r="Q64" s="41">
        <v>4618.0</v>
      </c>
      <c r="R64" s="41">
        <v>3760.0</v>
      </c>
    </row>
    <row r="65">
      <c r="A65" s="30" t="s">
        <v>502</v>
      </c>
      <c r="B65" s="30" t="s">
        <v>168</v>
      </c>
      <c r="C65" s="30" t="s">
        <v>49</v>
      </c>
      <c r="D65" s="30" t="s">
        <v>169</v>
      </c>
      <c r="E65" s="30" t="s">
        <v>305</v>
      </c>
      <c r="F65" s="30" t="s">
        <v>132</v>
      </c>
      <c r="G65" s="30" t="s">
        <v>38</v>
      </c>
      <c r="H65" s="41">
        <v>10.0</v>
      </c>
      <c r="I65" s="41">
        <v>1.0</v>
      </c>
      <c r="J65" s="41">
        <v>64.0</v>
      </c>
      <c r="K65" s="41">
        <v>4055.0</v>
      </c>
      <c r="L65" s="41">
        <v>611.0</v>
      </c>
      <c r="M65" s="41">
        <v>0.0</v>
      </c>
      <c r="N65" s="41">
        <v>1051.0</v>
      </c>
      <c r="O65" s="41">
        <v>378.0</v>
      </c>
      <c r="P65" s="41">
        <v>2420.0</v>
      </c>
      <c r="Q65" s="41">
        <v>5546.0</v>
      </c>
      <c r="R65" s="41">
        <v>3937.0</v>
      </c>
    </row>
    <row r="66">
      <c r="A66" s="30" t="s">
        <v>502</v>
      </c>
      <c r="B66" s="30" t="s">
        <v>168</v>
      </c>
      <c r="C66" s="30" t="s">
        <v>49</v>
      </c>
      <c r="D66" s="30" t="s">
        <v>169</v>
      </c>
      <c r="E66" s="30" t="s">
        <v>306</v>
      </c>
      <c r="F66" s="30" t="s">
        <v>132</v>
      </c>
      <c r="G66" s="30" t="s">
        <v>38</v>
      </c>
      <c r="H66" s="41">
        <v>10.0</v>
      </c>
      <c r="I66" s="41">
        <v>1.0</v>
      </c>
      <c r="J66" s="41">
        <v>65.0</v>
      </c>
      <c r="K66" s="41">
        <v>2652.0</v>
      </c>
      <c r="L66" s="41">
        <v>347.0</v>
      </c>
      <c r="M66" s="41">
        <v>0.0</v>
      </c>
      <c r="N66" s="41">
        <v>1142.0</v>
      </c>
      <c r="O66" s="41">
        <v>419.0</v>
      </c>
      <c r="P66" s="41">
        <v>2366.0</v>
      </c>
      <c r="Q66" s="41">
        <v>3944.0</v>
      </c>
      <c r="R66" s="41">
        <v>3262.0</v>
      </c>
    </row>
    <row r="67">
      <c r="A67" s="30" t="s">
        <v>502</v>
      </c>
      <c r="B67" s="30" t="s">
        <v>168</v>
      </c>
      <c r="C67" s="30" t="s">
        <v>49</v>
      </c>
      <c r="D67" s="30" t="s">
        <v>169</v>
      </c>
      <c r="E67" s="30" t="s">
        <v>307</v>
      </c>
      <c r="F67" s="30" t="s">
        <v>132</v>
      </c>
      <c r="G67" s="30" t="s">
        <v>38</v>
      </c>
      <c r="H67" s="41">
        <v>10.0</v>
      </c>
      <c r="I67" s="41">
        <v>1.0</v>
      </c>
      <c r="J67" s="41">
        <v>62.0</v>
      </c>
      <c r="K67" s="41">
        <v>2570.0</v>
      </c>
      <c r="L67" s="41">
        <v>297.0</v>
      </c>
      <c r="M67" s="41">
        <v>0.0</v>
      </c>
      <c r="N67" s="41">
        <v>1379.0</v>
      </c>
      <c r="O67" s="41">
        <v>428.0</v>
      </c>
      <c r="P67" s="41">
        <v>2349.0</v>
      </c>
      <c r="Q67" s="41">
        <v>4057.0</v>
      </c>
      <c r="R67" s="41">
        <v>3410.0</v>
      </c>
    </row>
    <row r="68">
      <c r="A68" s="30" t="s">
        <v>519</v>
      </c>
      <c r="B68" s="30" t="s">
        <v>168</v>
      </c>
      <c r="C68" s="30" t="s">
        <v>49</v>
      </c>
      <c r="D68" s="30" t="s">
        <v>169</v>
      </c>
      <c r="E68" s="30" t="s">
        <v>45</v>
      </c>
      <c r="F68" s="30" t="s">
        <v>135</v>
      </c>
      <c r="G68" s="30" t="s">
        <v>38</v>
      </c>
      <c r="H68" s="41">
        <v>10.0</v>
      </c>
      <c r="I68" s="41">
        <v>14.0</v>
      </c>
      <c r="J68" s="41">
        <v>45.0</v>
      </c>
      <c r="K68" s="41">
        <v>10534.0</v>
      </c>
      <c r="L68" s="41">
        <v>850.0</v>
      </c>
      <c r="M68" s="41">
        <v>0.002</v>
      </c>
      <c r="N68" s="41">
        <v>1036.0</v>
      </c>
      <c r="O68" s="41">
        <v>823.0</v>
      </c>
      <c r="P68" s="41">
        <v>6673.0</v>
      </c>
      <c r="Q68" s="41">
        <v>12208.0</v>
      </c>
      <c r="R68" s="41">
        <v>7050.0</v>
      </c>
    </row>
    <row r="69">
      <c r="A69" s="30" t="s">
        <v>16</v>
      </c>
      <c r="B69" s="30" t="s">
        <v>520</v>
      </c>
      <c r="C69" s="30" t="s">
        <v>52</v>
      </c>
      <c r="D69" s="30" t="s">
        <v>507</v>
      </c>
      <c r="E69" s="30" t="s">
        <v>26</v>
      </c>
      <c r="F69" s="30" t="s">
        <v>14</v>
      </c>
      <c r="G69" s="30" t="s">
        <v>15</v>
      </c>
      <c r="H69" s="41"/>
      <c r="I69" s="41">
        <v>1.0</v>
      </c>
      <c r="J69" s="41"/>
      <c r="K69" s="41">
        <v>90.0</v>
      </c>
      <c r="L69" s="41">
        <v>90.0</v>
      </c>
      <c r="M69" s="41">
        <v>90.0</v>
      </c>
      <c r="N69" s="41"/>
      <c r="O69" s="41"/>
      <c r="P69" s="41"/>
      <c r="Q69" s="41"/>
      <c r="R69" s="41"/>
    </row>
    <row r="70">
      <c r="A70" s="30" t="s">
        <v>502</v>
      </c>
      <c r="B70" s="30" t="s">
        <v>520</v>
      </c>
      <c r="C70" s="30" t="s">
        <v>52</v>
      </c>
      <c r="D70" s="30" t="s">
        <v>169</v>
      </c>
      <c r="E70" s="30"/>
      <c r="F70" s="30" t="s">
        <v>132</v>
      </c>
      <c r="G70" s="30" t="s">
        <v>417</v>
      </c>
      <c r="H70" s="41">
        <v>10.0</v>
      </c>
      <c r="I70" s="41">
        <v>12.0</v>
      </c>
      <c r="J70" s="41">
        <v>63.0</v>
      </c>
      <c r="K70" s="41">
        <v>5807.0</v>
      </c>
      <c r="L70" s="41">
        <v>927.0</v>
      </c>
      <c r="M70" s="41">
        <v>0.01</v>
      </c>
      <c r="N70" s="41">
        <v>357.0</v>
      </c>
      <c r="O70" s="41">
        <v>1690.0</v>
      </c>
      <c r="P70" s="41">
        <v>2057.0</v>
      </c>
      <c r="Q70" s="41">
        <v>8071.0</v>
      </c>
      <c r="R70" s="41">
        <v>3742.0</v>
      </c>
    </row>
    <row r="71">
      <c r="A71" s="30" t="s">
        <v>16</v>
      </c>
      <c r="B71" s="30" t="s">
        <v>520</v>
      </c>
      <c r="C71" s="30" t="s">
        <v>51</v>
      </c>
      <c r="D71" s="30" t="s">
        <v>507</v>
      </c>
      <c r="E71" s="30" t="s">
        <v>26</v>
      </c>
      <c r="F71" s="30" t="s">
        <v>14</v>
      </c>
      <c r="G71" s="30" t="s">
        <v>15</v>
      </c>
      <c r="H71" s="41"/>
      <c r="I71" s="41">
        <v>1.0</v>
      </c>
      <c r="J71" s="41"/>
      <c r="K71" s="41">
        <v>90.0</v>
      </c>
      <c r="L71" s="41">
        <v>90.0</v>
      </c>
      <c r="M71" s="41">
        <v>90.0</v>
      </c>
      <c r="N71" s="41"/>
      <c r="O71" s="41"/>
      <c r="P71" s="41"/>
      <c r="Q71" s="41"/>
      <c r="R71" s="41"/>
    </row>
    <row r="72">
      <c r="A72" s="30" t="s">
        <v>502</v>
      </c>
      <c r="B72" s="30" t="s">
        <v>520</v>
      </c>
      <c r="C72" s="30" t="s">
        <v>51</v>
      </c>
      <c r="D72" s="30" t="s">
        <v>169</v>
      </c>
      <c r="E72" s="30"/>
      <c r="F72" s="30" t="s">
        <v>132</v>
      </c>
      <c r="G72" s="30" t="s">
        <v>418</v>
      </c>
      <c r="H72" s="41">
        <v>10.0</v>
      </c>
      <c r="I72" s="41">
        <v>12.0</v>
      </c>
      <c r="J72" s="41">
        <v>65.0</v>
      </c>
      <c r="K72" s="41">
        <v>4793.0</v>
      </c>
      <c r="L72" s="41">
        <v>1023.0</v>
      </c>
      <c r="M72" s="41">
        <v>0.02</v>
      </c>
      <c r="N72" s="41">
        <v>386.0</v>
      </c>
      <c r="O72" s="41">
        <v>1319.0</v>
      </c>
      <c r="P72" s="41">
        <v>2107.0</v>
      </c>
      <c r="Q72" s="41">
        <v>6776.0</v>
      </c>
      <c r="R72" s="41">
        <v>3958.0</v>
      </c>
    </row>
    <row r="73">
      <c r="A73" s="30" t="s">
        <v>502</v>
      </c>
      <c r="B73" s="30" t="s">
        <v>520</v>
      </c>
      <c r="C73" s="30" t="s">
        <v>51</v>
      </c>
      <c r="D73" s="30" t="s">
        <v>169</v>
      </c>
      <c r="E73" s="30"/>
      <c r="F73" s="30" t="s">
        <v>132</v>
      </c>
      <c r="G73" s="30"/>
      <c r="H73" s="41">
        <v>5.0</v>
      </c>
      <c r="I73" s="41">
        <v>12.0</v>
      </c>
      <c r="J73" s="41">
        <v>75.0</v>
      </c>
      <c r="K73" s="41">
        <v>3897.0</v>
      </c>
      <c r="L73" s="41">
        <v>713.0</v>
      </c>
      <c r="M73" s="41">
        <v>0.022</v>
      </c>
      <c r="N73" s="41">
        <v>350.0</v>
      </c>
      <c r="O73" s="41">
        <v>887.0</v>
      </c>
      <c r="P73" s="41">
        <v>1662.0</v>
      </c>
      <c r="Q73" s="41">
        <v>6391.0</v>
      </c>
      <c r="R73" s="41">
        <v>3218.0</v>
      </c>
    </row>
    <row r="74">
      <c r="A74" s="30" t="s">
        <v>16</v>
      </c>
      <c r="B74" s="30" t="s">
        <v>520</v>
      </c>
      <c r="C74" s="30" t="s">
        <v>50</v>
      </c>
      <c r="D74" s="30" t="s">
        <v>507</v>
      </c>
      <c r="E74" s="30" t="s">
        <v>26</v>
      </c>
      <c r="F74" s="30" t="s">
        <v>14</v>
      </c>
      <c r="G74" s="30" t="s">
        <v>15</v>
      </c>
      <c r="H74" s="41"/>
      <c r="I74" s="41">
        <v>1.0</v>
      </c>
      <c r="J74" s="41"/>
      <c r="K74" s="41">
        <v>90.0</v>
      </c>
      <c r="L74" s="41">
        <v>90.0</v>
      </c>
      <c r="M74" s="41">
        <v>90.0</v>
      </c>
      <c r="N74" s="41"/>
      <c r="O74" s="41"/>
      <c r="P74" s="41"/>
      <c r="Q74" s="41"/>
      <c r="R74" s="41"/>
    </row>
    <row r="75">
      <c r="A75" s="30" t="s">
        <v>502</v>
      </c>
      <c r="B75" s="30" t="s">
        <v>520</v>
      </c>
      <c r="C75" s="30" t="s">
        <v>50</v>
      </c>
      <c r="D75" s="30" t="s">
        <v>169</v>
      </c>
      <c r="E75" s="30"/>
      <c r="F75" s="30" t="s">
        <v>132</v>
      </c>
      <c r="G75" s="30" t="s">
        <v>419</v>
      </c>
      <c r="H75" s="41">
        <v>10.0</v>
      </c>
      <c r="I75" s="41">
        <v>8.0</v>
      </c>
      <c r="J75" s="41">
        <v>70.0</v>
      </c>
      <c r="K75" s="41">
        <v>3434.0</v>
      </c>
      <c r="L75" s="41">
        <v>714.0</v>
      </c>
      <c r="M75" s="41">
        <v>0.02</v>
      </c>
      <c r="N75" s="41">
        <v>425.0</v>
      </c>
      <c r="O75" s="41">
        <v>815.0</v>
      </c>
      <c r="P75" s="41">
        <v>1611.0</v>
      </c>
      <c r="Q75" s="41">
        <v>6504.0</v>
      </c>
      <c r="R75" s="41">
        <v>3417.0</v>
      </c>
    </row>
    <row r="76">
      <c r="A76" s="30" t="s">
        <v>16</v>
      </c>
      <c r="B76" s="30" t="s">
        <v>520</v>
      </c>
      <c r="C76" s="30" t="s">
        <v>49</v>
      </c>
      <c r="D76" s="30" t="s">
        <v>507</v>
      </c>
      <c r="E76" s="30" t="s">
        <v>26</v>
      </c>
      <c r="F76" s="30" t="s">
        <v>14</v>
      </c>
      <c r="G76" s="30" t="s">
        <v>15</v>
      </c>
      <c r="H76" s="41"/>
      <c r="I76" s="41">
        <v>1.0</v>
      </c>
      <c r="J76" s="41"/>
      <c r="K76" s="41">
        <v>90.0</v>
      </c>
      <c r="L76" s="41">
        <v>90.0</v>
      </c>
      <c r="M76" s="41">
        <v>90.0</v>
      </c>
      <c r="N76" s="41"/>
      <c r="O76" s="41"/>
      <c r="P76" s="41"/>
      <c r="Q76" s="41"/>
      <c r="R76" s="41"/>
    </row>
    <row r="77">
      <c r="A77" s="30" t="s">
        <v>502</v>
      </c>
      <c r="B77" s="30" t="s">
        <v>520</v>
      </c>
      <c r="C77" s="30" t="s">
        <v>49</v>
      </c>
      <c r="D77" s="30" t="s">
        <v>169</v>
      </c>
      <c r="E77" s="30"/>
      <c r="F77" s="30" t="s">
        <v>132</v>
      </c>
      <c r="G77" s="30" t="s">
        <v>420</v>
      </c>
      <c r="H77" s="41">
        <v>10.0</v>
      </c>
      <c r="I77" s="41">
        <v>11.0</v>
      </c>
      <c r="J77" s="41">
        <v>63.0</v>
      </c>
      <c r="K77" s="41">
        <v>8465.0</v>
      </c>
      <c r="L77" s="41">
        <v>1024.0</v>
      </c>
      <c r="M77" s="41">
        <v>0.021</v>
      </c>
      <c r="N77" s="41">
        <v>748.0</v>
      </c>
      <c r="O77" s="41">
        <v>1347.0</v>
      </c>
      <c r="P77" s="41">
        <v>3524.0</v>
      </c>
      <c r="Q77" s="41">
        <v>10933.0</v>
      </c>
      <c r="R77" s="41">
        <v>5663.0</v>
      </c>
    </row>
    <row r="78">
      <c r="A78" s="30" t="s">
        <v>16</v>
      </c>
      <c r="B78" s="30" t="s">
        <v>521</v>
      </c>
      <c r="C78" s="30" t="s">
        <v>52</v>
      </c>
      <c r="D78" s="30" t="s">
        <v>522</v>
      </c>
      <c r="E78" s="30" t="s">
        <v>18</v>
      </c>
      <c r="F78" s="30" t="s">
        <v>14</v>
      </c>
      <c r="G78" s="30" t="s">
        <v>15</v>
      </c>
      <c r="H78" s="41">
        <v>1.0</v>
      </c>
      <c r="I78" s="41">
        <v>1.0</v>
      </c>
      <c r="J78" s="41"/>
      <c r="K78" s="41">
        <v>75.0</v>
      </c>
      <c r="L78" s="41"/>
      <c r="M78" s="41"/>
      <c r="N78" s="41"/>
      <c r="O78" s="41"/>
      <c r="P78" s="41"/>
      <c r="Q78" s="41"/>
      <c r="R78" s="41"/>
    </row>
    <row r="79">
      <c r="A79" s="30" t="s">
        <v>24</v>
      </c>
      <c r="B79" s="30" t="s">
        <v>523</v>
      </c>
      <c r="C79" s="30" t="s">
        <v>52</v>
      </c>
      <c r="D79" s="30" t="s">
        <v>522</v>
      </c>
      <c r="E79" s="30" t="s">
        <v>26</v>
      </c>
      <c r="F79" s="30" t="s">
        <v>14</v>
      </c>
      <c r="G79" s="30" t="s">
        <v>15</v>
      </c>
      <c r="H79" s="41">
        <v>1.0</v>
      </c>
      <c r="I79" s="41">
        <v>1.0</v>
      </c>
      <c r="J79" s="41"/>
      <c r="K79" s="41"/>
      <c r="L79" s="41"/>
      <c r="M79" s="41"/>
      <c r="N79" s="41"/>
      <c r="O79" s="41"/>
      <c r="P79" s="41"/>
      <c r="Q79" s="41"/>
      <c r="R79" s="41"/>
    </row>
    <row r="80">
      <c r="A80" s="30" t="s">
        <v>524</v>
      </c>
      <c r="B80" s="30" t="s">
        <v>520</v>
      </c>
      <c r="C80" s="30" t="s">
        <v>52</v>
      </c>
      <c r="D80" s="30" t="s">
        <v>522</v>
      </c>
      <c r="E80" s="30"/>
      <c r="F80" s="30"/>
      <c r="G80" s="30"/>
      <c r="H80" s="41">
        <v>1.0</v>
      </c>
      <c r="I80" s="41">
        <v>18.0</v>
      </c>
      <c r="J80" s="41"/>
      <c r="K80" s="41">
        <v>3192.0</v>
      </c>
      <c r="L80" s="41">
        <v>197.0</v>
      </c>
      <c r="M80" s="41">
        <v>2.722</v>
      </c>
      <c r="N80" s="41">
        <v>1990.0</v>
      </c>
      <c r="O80" s="41"/>
      <c r="P80" s="41">
        <v>2595.0</v>
      </c>
      <c r="Q80" s="41"/>
      <c r="R80" s="41"/>
    </row>
    <row r="81">
      <c r="A81" s="30" t="s">
        <v>503</v>
      </c>
      <c r="B81" s="30" t="s">
        <v>168</v>
      </c>
      <c r="C81" s="30" t="s">
        <v>52</v>
      </c>
      <c r="D81" s="30" t="s">
        <v>522</v>
      </c>
      <c r="E81" s="30" t="s">
        <v>37</v>
      </c>
      <c r="F81" s="30"/>
      <c r="G81" s="30" t="s">
        <v>38</v>
      </c>
      <c r="H81" s="41">
        <v>1.0</v>
      </c>
      <c r="I81" s="41">
        <v>18.0</v>
      </c>
      <c r="J81" s="41"/>
      <c r="K81" s="41">
        <v>2798.0</v>
      </c>
      <c r="L81" s="41">
        <v>165.0</v>
      </c>
      <c r="M81" s="41">
        <v>13.595</v>
      </c>
      <c r="N81" s="41">
        <v>1819.0</v>
      </c>
      <c r="O81" s="41"/>
      <c r="P81" s="41">
        <v>2353.0</v>
      </c>
      <c r="Q81" s="41"/>
      <c r="R81" s="41"/>
    </row>
    <row r="82">
      <c r="A82" s="30"/>
      <c r="B82" s="30"/>
      <c r="C82" s="30"/>
      <c r="D82" s="30"/>
      <c r="E82" s="30"/>
      <c r="F82" s="30"/>
      <c r="G82" s="30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>
      <c r="A83" s="30"/>
      <c r="B83" s="30"/>
      <c r="C83" s="30"/>
      <c r="D83" s="30"/>
      <c r="E83" s="30"/>
      <c r="F83" s="30"/>
      <c r="G83" s="30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>
      <c r="A84" s="30"/>
      <c r="B84" s="30"/>
      <c r="C84" s="30"/>
      <c r="D84" s="30"/>
      <c r="E84" s="30"/>
      <c r="F84" s="30"/>
      <c r="G84" s="30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>
      <c r="A85" s="30"/>
      <c r="B85" s="30"/>
      <c r="C85" s="30"/>
      <c r="D85" s="30"/>
      <c r="E85" s="30"/>
      <c r="F85" s="30"/>
      <c r="G85" s="30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>
      <c r="A86" s="30"/>
      <c r="B86" s="30"/>
      <c r="C86" s="30"/>
      <c r="D86" s="30"/>
      <c r="E86" s="30"/>
      <c r="F86" s="30"/>
      <c r="G86" s="30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>
      <c r="A87" s="30"/>
      <c r="B87" s="30"/>
      <c r="C87" s="30"/>
      <c r="D87" s="30"/>
      <c r="E87" s="30"/>
      <c r="F87" s="30"/>
      <c r="G87" s="30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>
      <c r="A88" s="30"/>
      <c r="B88" s="30"/>
      <c r="C88" s="30"/>
      <c r="D88" s="30"/>
      <c r="E88" s="30"/>
      <c r="F88" s="30"/>
      <c r="G88" s="30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>
      <c r="A89" s="30"/>
      <c r="B89" s="30"/>
      <c r="C89" s="30"/>
      <c r="D89" s="30"/>
      <c r="E89" s="30"/>
      <c r="F89" s="30"/>
      <c r="G89" s="30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>
      <c r="A90" s="30"/>
      <c r="B90" s="30"/>
      <c r="C90" s="30"/>
      <c r="D90" s="30"/>
      <c r="E90" s="30"/>
      <c r="F90" s="30"/>
      <c r="G90" s="30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>
      <c r="A91" s="30"/>
      <c r="B91" s="30"/>
      <c r="C91" s="30"/>
      <c r="D91" s="30"/>
      <c r="E91" s="30"/>
      <c r="F91" s="30"/>
      <c r="G91" s="30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>
      <c r="A92" s="30"/>
      <c r="B92" s="30"/>
      <c r="C92" s="30"/>
      <c r="D92" s="30"/>
      <c r="E92" s="30"/>
      <c r="F92" s="30"/>
      <c r="G92" s="30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>
      <c r="A93" s="30"/>
      <c r="B93" s="30"/>
      <c r="C93" s="30"/>
      <c r="D93" s="30"/>
      <c r="E93" s="30"/>
      <c r="F93" s="30"/>
      <c r="G93" s="30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>
      <c r="A94" s="30"/>
      <c r="B94" s="30"/>
      <c r="C94" s="30"/>
      <c r="D94" s="30"/>
      <c r="E94" s="30"/>
      <c r="F94" s="30"/>
      <c r="G94" s="30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>
      <c r="A95" s="30"/>
      <c r="B95" s="30"/>
      <c r="C95" s="30"/>
      <c r="D95" s="30"/>
      <c r="E95" s="30"/>
      <c r="F95" s="30"/>
      <c r="G95" s="30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>
      <c r="A96" s="30"/>
      <c r="B96" s="30"/>
      <c r="C96" s="30"/>
      <c r="D96" s="30"/>
      <c r="E96" s="30"/>
      <c r="F96" s="30"/>
      <c r="G96" s="30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>
      <c r="A97" s="30"/>
      <c r="B97" s="30"/>
      <c r="C97" s="30"/>
      <c r="D97" s="30"/>
      <c r="E97" s="30"/>
      <c r="F97" s="30"/>
      <c r="G97" s="30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>
      <c r="A98" s="30"/>
      <c r="B98" s="30"/>
      <c r="C98" s="30"/>
      <c r="D98" s="30"/>
      <c r="E98" s="30"/>
      <c r="F98" s="30"/>
      <c r="G98" s="30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>
      <c r="A99" s="30"/>
      <c r="B99" s="30"/>
      <c r="C99" s="30"/>
      <c r="D99" s="30"/>
      <c r="E99" s="30"/>
      <c r="F99" s="30"/>
      <c r="G99" s="30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>
      <c r="A100" s="30"/>
      <c r="B100" s="30"/>
      <c r="C100" s="30"/>
      <c r="D100" s="30"/>
      <c r="E100" s="30"/>
      <c r="F100" s="30"/>
      <c r="G100" s="30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>
      <c r="A101" s="30"/>
      <c r="B101" s="30"/>
      <c r="C101" s="30"/>
      <c r="D101" s="30"/>
      <c r="E101" s="30"/>
      <c r="F101" s="30"/>
      <c r="G101" s="30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>
      <c r="A102" s="30"/>
      <c r="B102" s="30"/>
      <c r="C102" s="30"/>
      <c r="D102" s="30"/>
      <c r="E102" s="30"/>
      <c r="F102" s="30"/>
      <c r="G102" s="30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>
      <c r="A103" s="30"/>
      <c r="B103" s="30"/>
      <c r="C103" s="30"/>
      <c r="D103" s="30"/>
      <c r="E103" s="30"/>
      <c r="F103" s="30"/>
      <c r="G103" s="30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>
      <c r="A104" s="30"/>
      <c r="B104" s="30"/>
      <c r="C104" s="30"/>
      <c r="D104" s="30"/>
      <c r="E104" s="30"/>
      <c r="F104" s="30"/>
      <c r="G104" s="30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>
      <c r="A105" s="30"/>
      <c r="B105" s="30"/>
      <c r="C105" s="30"/>
      <c r="D105" s="30"/>
      <c r="E105" s="30"/>
      <c r="F105" s="30"/>
      <c r="G105" s="30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>
      <c r="A106" s="30"/>
      <c r="B106" s="30"/>
      <c r="C106" s="30"/>
      <c r="D106" s="30"/>
      <c r="E106" s="30"/>
      <c r="F106" s="30"/>
      <c r="G106" s="30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>
      <c r="A107" s="30"/>
      <c r="B107" s="30"/>
      <c r="C107" s="30"/>
      <c r="D107" s="30"/>
      <c r="E107" s="30"/>
      <c r="F107" s="30"/>
      <c r="G107" s="30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>
      <c r="A108" s="30"/>
      <c r="B108" s="30"/>
      <c r="C108" s="30"/>
      <c r="D108" s="30"/>
      <c r="E108" s="30"/>
      <c r="F108" s="30"/>
      <c r="G108" s="30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>
      <c r="A109" s="30"/>
      <c r="B109" s="30"/>
      <c r="C109" s="30"/>
      <c r="D109" s="30"/>
      <c r="E109" s="30"/>
      <c r="F109" s="30"/>
      <c r="G109" s="30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>
      <c r="A110" s="30"/>
      <c r="B110" s="30"/>
      <c r="C110" s="30"/>
      <c r="D110" s="30"/>
      <c r="E110" s="30"/>
      <c r="F110" s="30"/>
      <c r="G110" s="30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>
      <c r="A111" s="30"/>
      <c r="B111" s="30"/>
      <c r="C111" s="30"/>
      <c r="D111" s="30"/>
      <c r="E111" s="30"/>
      <c r="F111" s="30"/>
      <c r="G111" s="30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>
      <c r="A112" s="30"/>
      <c r="B112" s="30"/>
      <c r="C112" s="30"/>
      <c r="D112" s="30"/>
      <c r="E112" s="30"/>
      <c r="F112" s="30"/>
      <c r="G112" s="30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>
      <c r="A113" s="30"/>
      <c r="B113" s="30"/>
      <c r="C113" s="30"/>
      <c r="D113" s="30"/>
      <c r="E113" s="30"/>
      <c r="F113" s="30"/>
      <c r="G113" s="30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>
      <c r="A114" s="30"/>
      <c r="B114" s="30"/>
      <c r="C114" s="30"/>
      <c r="D114" s="30"/>
      <c r="E114" s="30"/>
      <c r="F114" s="30"/>
      <c r="G114" s="30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>
      <c r="A115" s="30"/>
      <c r="B115" s="30"/>
      <c r="C115" s="30"/>
      <c r="D115" s="30"/>
      <c r="E115" s="30"/>
      <c r="F115" s="30"/>
      <c r="G115" s="30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>
      <c r="A116" s="30"/>
      <c r="B116" s="30"/>
      <c r="C116" s="30"/>
      <c r="D116" s="30"/>
      <c r="E116" s="30"/>
      <c r="F116" s="30"/>
      <c r="G116" s="30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>
      <c r="A117" s="30"/>
      <c r="B117" s="30"/>
      <c r="C117" s="30"/>
      <c r="D117" s="30"/>
      <c r="E117" s="30"/>
      <c r="F117" s="30"/>
      <c r="G117" s="30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>
      <c r="A118" s="30"/>
      <c r="B118" s="30"/>
      <c r="C118" s="30"/>
      <c r="D118" s="30"/>
      <c r="E118" s="30"/>
      <c r="F118" s="30"/>
      <c r="G118" s="30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>
      <c r="A119" s="30"/>
      <c r="B119" s="30"/>
      <c r="C119" s="30"/>
      <c r="D119" s="30"/>
      <c r="E119" s="30"/>
      <c r="F119" s="30"/>
      <c r="G119" s="30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>
      <c r="A120" s="30"/>
      <c r="B120" s="30"/>
      <c r="C120" s="30"/>
      <c r="D120" s="30"/>
      <c r="E120" s="30"/>
      <c r="F120" s="30"/>
      <c r="G120" s="30"/>
      <c r="I120" s="41"/>
      <c r="K120" s="41"/>
      <c r="L120" s="41"/>
      <c r="M120" s="41"/>
    </row>
    <row r="121">
      <c r="A121" s="30"/>
      <c r="B121" s="30"/>
      <c r="C121" s="30"/>
      <c r="D121" s="30"/>
      <c r="E121" s="30"/>
      <c r="F121" s="30"/>
      <c r="G121" s="30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>
      <c r="A122" s="30"/>
      <c r="B122" s="30"/>
      <c r="C122" s="30"/>
      <c r="D122" s="30"/>
      <c r="E122" s="30"/>
      <c r="F122" s="30"/>
      <c r="G122" s="30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>
      <c r="A123" s="30"/>
      <c r="B123" s="30"/>
      <c r="C123" s="30"/>
      <c r="D123" s="30"/>
      <c r="E123" s="30"/>
      <c r="F123" s="30"/>
      <c r="G123" s="30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>
      <c r="A124" s="30"/>
      <c r="B124" s="30"/>
      <c r="C124" s="30"/>
      <c r="D124" s="30"/>
      <c r="E124" s="30"/>
      <c r="F124" s="30"/>
      <c r="G124" s="30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>
      <c r="A125" s="30"/>
      <c r="B125" s="30"/>
      <c r="C125" s="30"/>
      <c r="D125" s="30"/>
      <c r="E125" s="30"/>
      <c r="F125" s="30"/>
      <c r="G125" s="30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</row>
    <row r="126">
      <c r="A126" s="30"/>
      <c r="B126" s="30"/>
      <c r="C126" s="30"/>
      <c r="D126" s="30"/>
      <c r="E126" s="30"/>
      <c r="F126" s="30"/>
      <c r="G126" s="30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</row>
    <row r="127">
      <c r="A127" s="30"/>
      <c r="B127" s="30"/>
      <c r="C127" s="30"/>
      <c r="D127" s="30"/>
      <c r="E127" s="30"/>
      <c r="F127" s="30"/>
      <c r="G127" s="30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</row>
    <row r="128">
      <c r="A128" s="30"/>
      <c r="B128" s="30"/>
      <c r="C128" s="30"/>
      <c r="D128" s="30"/>
      <c r="E128" s="30"/>
      <c r="F128" s="30"/>
      <c r="G128" s="30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</row>
    <row r="129">
      <c r="A129" s="30"/>
      <c r="B129" s="30"/>
      <c r="C129" s="30"/>
      <c r="D129" s="30"/>
      <c r="E129" s="30"/>
      <c r="F129" s="30"/>
      <c r="G129" s="30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</row>
    <row r="130">
      <c r="A130" s="30"/>
      <c r="B130" s="30"/>
      <c r="C130" s="30"/>
      <c r="D130" s="30"/>
      <c r="E130" s="30"/>
      <c r="F130" s="30"/>
      <c r="G130" s="30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</row>
    <row r="131">
      <c r="A131" s="30"/>
      <c r="B131" s="30"/>
      <c r="C131" s="30"/>
      <c r="D131" s="30"/>
      <c r="E131" s="30"/>
      <c r="F131" s="30"/>
      <c r="G131" s="30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</row>
    <row r="132">
      <c r="A132" s="30"/>
      <c r="B132" s="30"/>
      <c r="C132" s="30"/>
      <c r="D132" s="30"/>
      <c r="E132" s="30"/>
      <c r="F132" s="30"/>
      <c r="G132" s="30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</row>
    <row r="133">
      <c r="A133" s="30"/>
      <c r="B133" s="30"/>
      <c r="C133" s="30"/>
      <c r="D133" s="30"/>
      <c r="E133" s="30"/>
      <c r="F133" s="30"/>
      <c r="G133" s="30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</row>
    <row r="134">
      <c r="A134" s="30"/>
      <c r="B134" s="30"/>
      <c r="C134" s="30"/>
      <c r="D134" s="30"/>
      <c r="E134" s="30"/>
      <c r="F134" s="30"/>
      <c r="G134" s="30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</row>
    <row r="135">
      <c r="A135" s="30"/>
      <c r="B135" s="30"/>
      <c r="C135" s="30"/>
      <c r="D135" s="30"/>
      <c r="E135" s="30"/>
      <c r="F135" s="30"/>
      <c r="G135" s="30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</row>
    <row r="136">
      <c r="A136" s="30"/>
      <c r="B136" s="30"/>
      <c r="C136" s="30"/>
      <c r="D136" s="30"/>
      <c r="E136" s="30"/>
      <c r="F136" s="30"/>
      <c r="G136" s="30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</row>
    <row r="137">
      <c r="A137" s="30"/>
      <c r="B137" s="30"/>
      <c r="C137" s="30"/>
      <c r="D137" s="30"/>
      <c r="E137" s="30"/>
      <c r="F137" s="30"/>
      <c r="G137" s="30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</row>
    <row r="138">
      <c r="A138" s="30"/>
      <c r="B138" s="30"/>
      <c r="C138" s="30"/>
      <c r="D138" s="30"/>
      <c r="E138" s="30"/>
      <c r="F138" s="30"/>
      <c r="G138" s="30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</row>
    <row r="139">
      <c r="A139" s="30"/>
      <c r="B139" s="30"/>
      <c r="C139" s="30"/>
      <c r="D139" s="30"/>
      <c r="E139" s="30"/>
      <c r="F139" s="30"/>
      <c r="G139" s="30"/>
      <c r="I139" s="41"/>
      <c r="K139" s="41"/>
      <c r="L139" s="41"/>
      <c r="M139" s="41"/>
    </row>
    <row r="140">
      <c r="A140" s="30"/>
      <c r="B140" s="30"/>
      <c r="C140" s="30"/>
      <c r="D140" s="30"/>
      <c r="E140" s="30"/>
      <c r="F140" s="30"/>
      <c r="G140" s="30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</row>
    <row r="141">
      <c r="A141" s="30"/>
      <c r="B141" s="30"/>
      <c r="C141" s="30"/>
      <c r="D141" s="30"/>
      <c r="E141" s="30"/>
      <c r="F141" s="30"/>
      <c r="G141" s="30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</row>
    <row r="142">
      <c r="A142" s="30"/>
      <c r="B142" s="30"/>
      <c r="C142" s="30"/>
      <c r="D142" s="30"/>
      <c r="E142" s="30"/>
      <c r="F142" s="30"/>
      <c r="G142" s="30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>
      <c r="A143" s="30"/>
      <c r="B143" s="30"/>
      <c r="C143" s="30"/>
      <c r="D143" s="30"/>
      <c r="E143" s="30"/>
      <c r="F143" s="30"/>
      <c r="G143" s="30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</row>
    <row r="144">
      <c r="A144" s="30"/>
      <c r="B144" s="30"/>
      <c r="C144" s="30"/>
      <c r="D144" s="30"/>
      <c r="E144" s="30"/>
      <c r="F144" s="30"/>
      <c r="G144" s="30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</row>
    <row r="145">
      <c r="A145" s="30"/>
      <c r="B145" s="30"/>
      <c r="C145" s="30"/>
      <c r="D145" s="30"/>
      <c r="E145" s="30"/>
      <c r="F145" s="30"/>
      <c r="G145" s="30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</row>
    <row r="146">
      <c r="A146" s="30"/>
      <c r="B146" s="30"/>
      <c r="C146" s="30"/>
      <c r="D146" s="30"/>
      <c r="E146" s="30"/>
      <c r="F146" s="30"/>
      <c r="G146" s="30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</row>
    <row r="147">
      <c r="A147" s="30"/>
      <c r="B147" s="30"/>
      <c r="C147" s="30"/>
      <c r="D147" s="30"/>
      <c r="E147" s="30"/>
      <c r="F147" s="30"/>
      <c r="G147" s="30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</row>
    <row r="148">
      <c r="A148" s="30"/>
      <c r="B148" s="30"/>
      <c r="C148" s="30"/>
      <c r="D148" s="30"/>
      <c r="E148" s="30"/>
      <c r="F148" s="30"/>
      <c r="G148" s="30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</row>
    <row r="149">
      <c r="A149" s="30"/>
      <c r="B149" s="30"/>
      <c r="C149" s="30"/>
      <c r="D149" s="30"/>
      <c r="E149" s="30"/>
      <c r="F149" s="30"/>
      <c r="G149" s="30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</row>
    <row r="150">
      <c r="A150" s="30"/>
      <c r="B150" s="30"/>
      <c r="C150" s="30"/>
      <c r="D150" s="30"/>
      <c r="E150" s="30"/>
      <c r="F150" s="30"/>
      <c r="G150" s="30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</row>
    <row r="151">
      <c r="A151" s="30"/>
      <c r="B151" s="30"/>
      <c r="C151" s="30"/>
      <c r="D151" s="30"/>
      <c r="E151" s="30"/>
      <c r="F151" s="30"/>
      <c r="G151" s="30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</row>
    <row r="152">
      <c r="A152" s="30"/>
      <c r="B152" s="30"/>
      <c r="C152" s="30"/>
      <c r="D152" s="30"/>
      <c r="E152" s="30"/>
      <c r="F152" s="30"/>
      <c r="G152" s="30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</row>
    <row r="153">
      <c r="A153" s="30"/>
      <c r="B153" s="30"/>
      <c r="C153" s="30"/>
      <c r="D153" s="30"/>
      <c r="E153" s="30"/>
      <c r="F153" s="30"/>
      <c r="G153" s="30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</row>
    <row r="154">
      <c r="A154" s="30"/>
      <c r="B154" s="30"/>
      <c r="C154" s="30"/>
      <c r="D154" s="30"/>
      <c r="E154" s="30"/>
      <c r="F154" s="30"/>
      <c r="G154" s="30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</row>
    <row r="155">
      <c r="A155" s="30"/>
      <c r="B155" s="30"/>
      <c r="C155" s="30"/>
      <c r="D155" s="30"/>
      <c r="E155" s="30"/>
      <c r="F155" s="30"/>
      <c r="G155" s="30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</row>
    <row r="156">
      <c r="A156" s="30"/>
      <c r="B156" s="30"/>
      <c r="C156" s="30"/>
      <c r="D156" s="30"/>
      <c r="E156" s="30"/>
      <c r="F156" s="30"/>
      <c r="G156" s="30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</row>
    <row r="157">
      <c r="A157" s="30"/>
      <c r="B157" s="30"/>
      <c r="C157" s="30"/>
      <c r="D157" s="30"/>
      <c r="E157" s="30"/>
      <c r="F157" s="30"/>
      <c r="G157" s="30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</row>
    <row r="158">
      <c r="A158" s="30"/>
      <c r="B158" s="30"/>
      <c r="C158" s="30"/>
      <c r="D158" s="30"/>
      <c r="E158" s="30"/>
      <c r="F158" s="30"/>
      <c r="G158" s="30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>
      <c r="A159" s="30"/>
      <c r="B159" s="30"/>
      <c r="C159" s="30"/>
      <c r="D159" s="30"/>
      <c r="E159" s="30"/>
      <c r="F159" s="30"/>
      <c r="G159" s="30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</row>
    <row r="160">
      <c r="A160" s="30"/>
      <c r="B160" s="30"/>
      <c r="C160" s="30"/>
      <c r="D160" s="30"/>
      <c r="E160" s="30"/>
      <c r="F160" s="30"/>
      <c r="G160" s="30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</row>
    <row r="161">
      <c r="A161" s="30"/>
      <c r="B161" s="30"/>
      <c r="C161" s="30"/>
      <c r="D161" s="30"/>
      <c r="E161" s="30"/>
      <c r="F161" s="30"/>
      <c r="G161" s="30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</row>
    <row r="162">
      <c r="A162" s="30"/>
      <c r="B162" s="30"/>
      <c r="C162" s="30"/>
      <c r="D162" s="30"/>
      <c r="E162" s="30"/>
      <c r="F162" s="30"/>
      <c r="G162" s="30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</row>
    <row r="163">
      <c r="A163" s="30"/>
      <c r="B163" s="30"/>
      <c r="C163" s="30"/>
      <c r="D163" s="30"/>
      <c r="E163" s="30"/>
      <c r="F163" s="30"/>
      <c r="G163" s="30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</row>
    <row r="164">
      <c r="A164" s="30"/>
      <c r="B164" s="30"/>
      <c r="C164" s="30"/>
      <c r="D164" s="30"/>
      <c r="E164" s="30"/>
      <c r="F164" s="30"/>
      <c r="G164" s="30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</row>
    <row r="165">
      <c r="A165" s="30"/>
      <c r="B165" s="30"/>
      <c r="C165" s="30"/>
      <c r="D165" s="30"/>
      <c r="E165" s="30"/>
      <c r="F165" s="30"/>
      <c r="G165" s="30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</row>
    <row r="166">
      <c r="A166" s="30"/>
      <c r="B166" s="30"/>
      <c r="C166" s="30"/>
      <c r="D166" s="30"/>
      <c r="E166" s="30"/>
      <c r="F166" s="30"/>
      <c r="G166" s="30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</row>
    <row r="167">
      <c r="A167" s="30"/>
      <c r="B167" s="30"/>
      <c r="C167" s="30"/>
      <c r="D167" s="30"/>
      <c r="E167" s="30"/>
      <c r="F167" s="30"/>
      <c r="G167" s="30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</row>
    <row r="168">
      <c r="A168" s="30"/>
      <c r="B168" s="30"/>
      <c r="C168" s="30"/>
      <c r="D168" s="30"/>
      <c r="E168" s="30"/>
      <c r="F168" s="30"/>
      <c r="G168" s="30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</row>
    <row r="169">
      <c r="A169" s="30"/>
      <c r="B169" s="30"/>
      <c r="C169" s="30"/>
      <c r="D169" s="30"/>
      <c r="E169" s="30"/>
      <c r="F169" s="30"/>
      <c r="G169" s="30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>
      <c r="A170" s="30"/>
      <c r="B170" s="30"/>
      <c r="C170" s="30"/>
      <c r="D170" s="30"/>
      <c r="E170" s="30"/>
      <c r="F170" s="30"/>
      <c r="G170" s="30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</row>
    <row r="171">
      <c r="A171" s="30"/>
      <c r="B171" s="30"/>
      <c r="C171" s="30"/>
      <c r="D171" s="30"/>
      <c r="E171" s="30"/>
      <c r="F171" s="30"/>
      <c r="G171" s="30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</row>
    <row r="172">
      <c r="A172" s="30"/>
      <c r="B172" s="30"/>
      <c r="C172" s="30"/>
      <c r="D172" s="30"/>
      <c r="E172" s="30"/>
      <c r="F172" s="30"/>
      <c r="G172" s="30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</row>
    <row r="173">
      <c r="A173" s="30"/>
      <c r="B173" s="30"/>
      <c r="C173" s="30"/>
      <c r="D173" s="30"/>
      <c r="E173" s="30"/>
      <c r="F173" s="30"/>
      <c r="G173" s="30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>
      <c r="A174" s="30"/>
      <c r="B174" s="30"/>
      <c r="C174" s="30"/>
      <c r="D174" s="30"/>
      <c r="E174" s="30"/>
      <c r="F174" s="30"/>
      <c r="G174" s="30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</row>
    <row r="175">
      <c r="A175" s="30"/>
      <c r="B175" s="30"/>
      <c r="C175" s="30"/>
      <c r="D175" s="30"/>
      <c r="E175" s="30"/>
      <c r="F175" s="30"/>
      <c r="G175" s="30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</row>
    <row r="176">
      <c r="A176" s="30"/>
      <c r="B176" s="30"/>
      <c r="C176" s="30"/>
      <c r="D176" s="30"/>
      <c r="E176" s="30"/>
      <c r="F176" s="30"/>
      <c r="G176" s="30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</row>
    <row r="177">
      <c r="A177" s="30"/>
      <c r="B177" s="30"/>
      <c r="C177" s="30"/>
      <c r="D177" s="30"/>
      <c r="E177" s="30"/>
      <c r="F177" s="30"/>
      <c r="G177" s="30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>
      <c r="A178" s="30"/>
      <c r="B178" s="30"/>
      <c r="C178" s="30"/>
      <c r="D178" s="30"/>
      <c r="E178" s="30"/>
      <c r="F178" s="30"/>
      <c r="G178" s="30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</row>
    <row r="179">
      <c r="A179" s="30"/>
      <c r="B179" s="30"/>
      <c r="C179" s="30"/>
      <c r="D179" s="30"/>
      <c r="E179" s="30"/>
      <c r="F179" s="30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</row>
    <row r="180">
      <c r="A180" s="30"/>
      <c r="B180" s="30"/>
      <c r="C180" s="30"/>
      <c r="D180" s="30"/>
      <c r="E180" s="30"/>
      <c r="F180" s="30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</row>
    <row r="181">
      <c r="A181" s="30"/>
      <c r="B181" s="30"/>
      <c r="C181" s="30"/>
      <c r="D181" s="30"/>
      <c r="E181" s="30"/>
      <c r="F181" s="30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>
      <c r="A182" s="30"/>
      <c r="B182" s="30"/>
      <c r="C182" s="30"/>
      <c r="D182" s="30"/>
      <c r="E182" s="30"/>
      <c r="F182" s="30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</row>
    <row r="183">
      <c r="A183" s="30"/>
      <c r="B183" s="30"/>
      <c r="C183" s="30"/>
      <c r="D183" s="30"/>
      <c r="E183" s="30"/>
      <c r="F183" s="30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</row>
    <row r="184">
      <c r="A184" s="30"/>
      <c r="B184" s="30"/>
      <c r="C184" s="30"/>
      <c r="D184" s="30"/>
      <c r="E184" s="30"/>
      <c r="F184" s="30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</row>
    <row r="185">
      <c r="A185" s="30"/>
      <c r="B185" s="30"/>
      <c r="C185" s="30"/>
      <c r="D185" s="30"/>
      <c r="F185" s="30"/>
      <c r="G185" s="30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>
      <c r="A186" s="30"/>
      <c r="B186" s="30"/>
      <c r="C186" s="30"/>
      <c r="D186" s="30"/>
      <c r="E186" s="30"/>
      <c r="F186" s="30"/>
      <c r="G186" s="30"/>
      <c r="I186" s="41"/>
      <c r="K186" s="41"/>
      <c r="L186" s="41"/>
      <c r="M186" s="41"/>
    </row>
    <row r="187">
      <c r="A187" s="30"/>
      <c r="B187" s="30"/>
      <c r="C187" s="30"/>
      <c r="D187" s="30"/>
      <c r="E187" s="30"/>
      <c r="F187" s="30"/>
      <c r="G187" s="30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</row>
    <row r="188">
      <c r="A188" s="30"/>
      <c r="B188" s="30"/>
      <c r="C188" s="30"/>
      <c r="D188" s="30"/>
      <c r="E188" s="30"/>
      <c r="F188" s="30"/>
      <c r="G188" s="30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</row>
    <row r="189">
      <c r="A189" s="30"/>
      <c r="B189" s="30"/>
      <c r="C189" s="30"/>
      <c r="D189" s="30"/>
      <c r="E189" s="30"/>
      <c r="F189" s="30"/>
      <c r="G189" s="30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>
      <c r="A190" s="30"/>
      <c r="B190" s="30"/>
      <c r="C190" s="30"/>
      <c r="D190" s="30"/>
      <c r="E190" s="30"/>
      <c r="F190" s="30"/>
      <c r="G190" s="30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</row>
    <row r="191">
      <c r="A191" s="30"/>
      <c r="B191" s="30"/>
      <c r="C191" s="30"/>
      <c r="D191" s="30"/>
      <c r="E191" s="30"/>
      <c r="F191" s="30"/>
      <c r="G191" s="30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</row>
    <row r="192">
      <c r="A192" s="30"/>
      <c r="B192" s="30"/>
      <c r="C192" s="30"/>
      <c r="D192" s="30"/>
      <c r="E192" s="30"/>
      <c r="F192" s="30"/>
      <c r="G192" s="30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</row>
    <row r="193">
      <c r="A193" s="30"/>
      <c r="B193" s="30"/>
      <c r="C193" s="30"/>
      <c r="D193" s="30"/>
      <c r="E193" s="30"/>
      <c r="F193" s="30"/>
      <c r="G193" s="30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>
      <c r="A194" s="30"/>
      <c r="B194" s="30"/>
      <c r="C194" s="30"/>
      <c r="D194" s="30"/>
      <c r="E194" s="30"/>
      <c r="F194" s="30"/>
      <c r="G194" s="30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</row>
    <row r="195">
      <c r="A195" s="30"/>
      <c r="B195" s="30"/>
      <c r="C195" s="30"/>
      <c r="D195" s="30"/>
      <c r="E195" s="30"/>
      <c r="F195" s="30"/>
      <c r="G195" s="30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</row>
    <row r="196">
      <c r="A196" s="30"/>
      <c r="B196" s="30"/>
      <c r="C196" s="30"/>
      <c r="D196" s="30"/>
      <c r="E196" s="30"/>
      <c r="F196" s="30"/>
      <c r="G196" s="30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</row>
    <row r="197">
      <c r="A197" s="30"/>
      <c r="B197" s="30"/>
      <c r="C197" s="30"/>
      <c r="D197" s="30"/>
      <c r="E197" s="30"/>
      <c r="F197" s="30"/>
      <c r="G197" s="30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>
      <c r="A198" s="30"/>
      <c r="B198" s="30"/>
      <c r="C198" s="30"/>
      <c r="D198" s="30"/>
      <c r="E198" s="30"/>
      <c r="F198" s="30"/>
      <c r="G198" s="30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</row>
    <row r="199">
      <c r="A199" s="30"/>
      <c r="B199" s="30"/>
      <c r="C199" s="30"/>
      <c r="D199" s="30"/>
      <c r="E199" s="30"/>
      <c r="F199" s="30"/>
      <c r="G199" s="30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</row>
    <row r="200">
      <c r="A200" s="30"/>
      <c r="B200" s="30"/>
      <c r="C200" s="30"/>
      <c r="D200" s="30"/>
      <c r="E200" s="30"/>
      <c r="F200" s="30"/>
      <c r="G200" s="30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</row>
    <row r="201">
      <c r="A201" s="30"/>
      <c r="B201" s="30"/>
      <c r="C201" s="30"/>
      <c r="D201" s="30"/>
      <c r="E201" s="30"/>
      <c r="F201" s="30"/>
      <c r="G201" s="30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>
      <c r="A202" s="30"/>
      <c r="B202" s="30"/>
      <c r="C202" s="30"/>
      <c r="D202" s="30"/>
      <c r="E202" s="30"/>
      <c r="F202" s="30"/>
      <c r="G202" s="30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</row>
    <row r="203">
      <c r="A203" s="30"/>
      <c r="B203" s="30"/>
      <c r="C203" s="30"/>
      <c r="D203" s="30"/>
      <c r="E203" s="30"/>
      <c r="F203" s="30"/>
      <c r="G203" s="30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</row>
    <row r="204">
      <c r="A204" s="30"/>
      <c r="B204" s="30"/>
      <c r="C204" s="30"/>
      <c r="D204" s="30"/>
      <c r="E204" s="30"/>
      <c r="F204" s="30"/>
      <c r="G204" s="30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</row>
    <row r="205">
      <c r="A205" s="30"/>
      <c r="B205" s="30"/>
      <c r="C205" s="30"/>
      <c r="D205" s="30"/>
      <c r="E205" s="30"/>
      <c r="F205" s="30"/>
      <c r="G205" s="30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>
      <c r="A206" s="30"/>
      <c r="B206" s="30"/>
      <c r="C206" s="30"/>
      <c r="D206" s="30"/>
      <c r="E206" s="30"/>
      <c r="F206" s="30"/>
      <c r="G206" s="30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</row>
    <row r="207">
      <c r="A207" s="30"/>
      <c r="B207" s="30"/>
      <c r="C207" s="30"/>
      <c r="D207" s="30"/>
      <c r="E207" s="30"/>
      <c r="F207" s="30"/>
      <c r="G207" s="30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</row>
    <row r="208">
      <c r="A208" s="30"/>
      <c r="B208" s="30"/>
      <c r="C208" s="30"/>
      <c r="D208" s="30"/>
      <c r="E208" s="30"/>
      <c r="F208" s="30"/>
      <c r="G208" s="30"/>
      <c r="I208" s="41"/>
      <c r="K208" s="41"/>
      <c r="L208" s="41"/>
      <c r="M208" s="41"/>
    </row>
    <row r="209">
      <c r="A209" s="30"/>
      <c r="B209" s="30"/>
      <c r="C209" s="30"/>
      <c r="D209" s="30"/>
      <c r="F209" s="30"/>
      <c r="G209" s="30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>
      <c r="A210" s="30"/>
      <c r="B210" s="30"/>
      <c r="C210" s="30"/>
      <c r="D210" s="30"/>
      <c r="E210" s="30"/>
      <c r="F210" s="30"/>
      <c r="G210" s="30"/>
      <c r="I210" s="41"/>
      <c r="K210" s="41"/>
      <c r="L210" s="41"/>
      <c r="M210" s="41"/>
    </row>
    <row r="211">
      <c r="A211" s="30"/>
      <c r="B211" s="30"/>
      <c r="C211" s="30"/>
      <c r="D211" s="30"/>
      <c r="F211" s="30"/>
      <c r="G211" s="30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</row>
    <row r="212">
      <c r="A212" s="30"/>
      <c r="B212" s="30"/>
      <c r="C212" s="30"/>
      <c r="D212" s="30"/>
      <c r="F212" s="30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</row>
    <row r="213">
      <c r="A213" s="30"/>
      <c r="B213" s="30"/>
      <c r="C213" s="30"/>
      <c r="D213" s="30"/>
      <c r="E213" s="30"/>
      <c r="F213" s="30"/>
      <c r="G213" s="30"/>
      <c r="I213" s="41"/>
      <c r="K213" s="41"/>
      <c r="L213" s="41"/>
      <c r="M213" s="41"/>
    </row>
    <row r="214">
      <c r="A214" s="30"/>
      <c r="B214" s="30"/>
      <c r="C214" s="30"/>
      <c r="D214" s="30"/>
      <c r="F214" s="30"/>
      <c r="G214" s="30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</row>
    <row r="215">
      <c r="A215" s="30"/>
      <c r="B215" s="30"/>
      <c r="C215" s="30"/>
      <c r="D215" s="30"/>
      <c r="E215" s="30"/>
      <c r="F215" s="30"/>
      <c r="G215" s="30"/>
      <c r="I215" s="41"/>
      <c r="K215" s="41"/>
      <c r="L215" s="41"/>
      <c r="M215" s="41"/>
    </row>
    <row r="216">
      <c r="A216" s="30"/>
      <c r="B216" s="30"/>
      <c r="C216" s="30"/>
      <c r="D216" s="30"/>
      <c r="F216" s="30"/>
      <c r="G216" s="30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</row>
    <row r="217">
      <c r="A217" s="30"/>
      <c r="B217" s="30"/>
      <c r="C217" s="30"/>
      <c r="D217" s="30"/>
      <c r="E217" s="30"/>
      <c r="F217" s="30"/>
      <c r="G217" s="30"/>
      <c r="H217" s="41"/>
      <c r="I217" s="41"/>
      <c r="K217" s="41"/>
    </row>
    <row r="218">
      <c r="A218" s="30"/>
      <c r="B218" s="30"/>
      <c r="C218" s="30"/>
      <c r="D218" s="30"/>
      <c r="E218" s="30"/>
      <c r="F218" s="30"/>
      <c r="G218" s="30"/>
      <c r="H218" s="41"/>
      <c r="I218" s="41"/>
    </row>
    <row r="219">
      <c r="A219" s="30"/>
      <c r="B219" s="30"/>
      <c r="C219" s="30"/>
      <c r="D219" s="30"/>
      <c r="H219" s="41"/>
      <c r="I219" s="41"/>
      <c r="K219" s="41"/>
      <c r="L219" s="41"/>
      <c r="M219" s="41"/>
      <c r="N219" s="41"/>
      <c r="P219" s="41"/>
    </row>
    <row r="220">
      <c r="A220" s="30"/>
      <c r="B220" s="30"/>
      <c r="C220" s="30"/>
      <c r="D220" s="30"/>
      <c r="E220" s="30"/>
      <c r="G220" s="30"/>
      <c r="H220" s="41"/>
      <c r="I220" s="41"/>
      <c r="K220" s="41"/>
      <c r="L220" s="41"/>
      <c r="M220" s="41"/>
      <c r="N220" s="41"/>
      <c r="P220" s="41"/>
    </row>
    <row r="221">
      <c r="A221" s="30"/>
      <c r="B221" s="30"/>
      <c r="C221" s="30"/>
      <c r="D221" s="30"/>
      <c r="E221" s="30"/>
      <c r="G221" s="30"/>
      <c r="H221" s="41"/>
      <c r="I221" s="41"/>
      <c r="K221" s="41"/>
      <c r="L221" s="41"/>
      <c r="M221" s="41"/>
      <c r="N221" s="41"/>
      <c r="P221" s="41"/>
    </row>
    <row r="222">
      <c r="A222" s="30"/>
      <c r="B222" s="30"/>
      <c r="C222" s="30"/>
      <c r="D222" s="30"/>
      <c r="E222" s="30"/>
      <c r="G222" s="30"/>
      <c r="H222" s="41"/>
      <c r="I222" s="41"/>
      <c r="K222" s="41"/>
      <c r="L222" s="41"/>
      <c r="M222" s="41"/>
      <c r="N222" s="41"/>
      <c r="P222" s="41"/>
    </row>
    <row r="223">
      <c r="A223" s="30"/>
      <c r="B223" s="30"/>
      <c r="C223" s="30"/>
      <c r="D223" s="30"/>
      <c r="E223" s="30"/>
      <c r="G223" s="30"/>
      <c r="H223" s="41"/>
      <c r="I223" s="41"/>
      <c r="K223" s="41"/>
      <c r="L223" s="41"/>
      <c r="M223" s="41"/>
      <c r="N223" s="41"/>
      <c r="P223" s="41"/>
    </row>
    <row r="224">
      <c r="A224" s="30"/>
      <c r="B224" s="30"/>
      <c r="C224" s="30"/>
      <c r="D224" s="30"/>
      <c r="E224" s="30"/>
      <c r="G224" s="30"/>
      <c r="H224" s="41"/>
      <c r="I224" s="41"/>
      <c r="K224" s="41"/>
      <c r="L224" s="41"/>
      <c r="M224" s="41"/>
      <c r="N224" s="41"/>
      <c r="P224" s="41"/>
    </row>
    <row r="225">
      <c r="A225" s="30"/>
      <c r="B225" s="30"/>
      <c r="C225" s="30"/>
      <c r="D225" s="30"/>
      <c r="E225" s="30"/>
      <c r="G225" s="30"/>
      <c r="H225" s="41"/>
      <c r="I225" s="41"/>
      <c r="K225" s="41"/>
      <c r="L225" s="41"/>
      <c r="M225" s="41"/>
      <c r="N225" s="41"/>
      <c r="P225" s="41"/>
    </row>
    <row r="226">
      <c r="A226" s="30"/>
      <c r="B226" s="30"/>
      <c r="C226" s="30"/>
      <c r="D226" s="30"/>
      <c r="E226" s="30"/>
      <c r="G226" s="30"/>
      <c r="H226" s="41"/>
      <c r="I226" s="41"/>
      <c r="K226" s="41"/>
      <c r="L226" s="41"/>
      <c r="M226" s="41"/>
      <c r="N226" s="41"/>
      <c r="P226" s="41"/>
    </row>
    <row r="227">
      <c r="A227" s="30"/>
      <c r="B227" s="30"/>
      <c r="C227" s="30"/>
      <c r="D227" s="30"/>
      <c r="E227" s="30"/>
      <c r="G227" s="30"/>
      <c r="H227" s="41"/>
      <c r="I227" s="41"/>
      <c r="K227" s="41"/>
      <c r="L227" s="41"/>
      <c r="M227" s="41"/>
      <c r="N227" s="41"/>
      <c r="P227" s="41"/>
    </row>
    <row r="228">
      <c r="A228" s="30"/>
      <c r="B228" s="30"/>
      <c r="C228" s="30"/>
      <c r="D228" s="30"/>
      <c r="E228" s="30"/>
      <c r="G228" s="30"/>
      <c r="H228" s="41"/>
      <c r="I228" s="41"/>
      <c r="K228" s="41"/>
      <c r="L228" s="41"/>
      <c r="M228" s="41"/>
      <c r="N228" s="41"/>
      <c r="P228" s="41"/>
    </row>
    <row r="229">
      <c r="A229" s="30"/>
      <c r="B229" s="30"/>
      <c r="C229" s="30"/>
      <c r="D229" s="30"/>
      <c r="E229" s="30"/>
      <c r="G229" s="30"/>
      <c r="H229" s="41"/>
      <c r="I229" s="41"/>
      <c r="K229" s="41"/>
      <c r="L229" s="41"/>
      <c r="M229" s="41"/>
      <c r="N229" s="41"/>
      <c r="P229" s="41"/>
    </row>
    <row r="230">
      <c r="A230" s="30"/>
      <c r="B230" s="30"/>
      <c r="C230" s="30"/>
      <c r="D230" s="30"/>
      <c r="E230" s="30"/>
      <c r="G230" s="30"/>
      <c r="H230" s="41"/>
      <c r="I230" s="41"/>
      <c r="K230" s="41"/>
      <c r="L230" s="41"/>
      <c r="M230" s="41"/>
      <c r="N230" s="41"/>
      <c r="P230" s="41"/>
    </row>
    <row r="231">
      <c r="A231" s="30"/>
      <c r="B231" s="30"/>
      <c r="C231" s="30"/>
      <c r="D231" s="30"/>
      <c r="E231" s="30"/>
      <c r="G231" s="30"/>
      <c r="H231" s="41"/>
      <c r="I231" s="41"/>
      <c r="K231" s="41"/>
      <c r="L231" s="41"/>
      <c r="M231" s="41"/>
      <c r="N231" s="41"/>
      <c r="P231" s="41"/>
    </row>
    <row r="232">
      <c r="A232" s="30"/>
      <c r="B232" s="30"/>
      <c r="C232" s="30"/>
      <c r="D232" s="30"/>
      <c r="E232" s="30"/>
      <c r="G232" s="30"/>
      <c r="H232" s="41"/>
      <c r="I232" s="41"/>
      <c r="K232" s="41"/>
      <c r="L232" s="41"/>
      <c r="M232" s="41"/>
      <c r="N232" s="41"/>
      <c r="P232" s="41"/>
    </row>
    <row r="233">
      <c r="A233" s="30"/>
      <c r="B233" s="30"/>
      <c r="C233" s="30"/>
      <c r="D233" s="30"/>
      <c r="E233" s="30"/>
      <c r="G233" s="30"/>
      <c r="H233" s="41"/>
      <c r="I233" s="41"/>
      <c r="K233" s="41"/>
      <c r="L233" s="41"/>
      <c r="M233" s="41"/>
      <c r="N233" s="41"/>
      <c r="P233" s="41"/>
    </row>
    <row r="234">
      <c r="A234" s="30"/>
      <c r="B234" s="30"/>
      <c r="C234" s="30"/>
      <c r="D234" s="30"/>
      <c r="E234" s="30"/>
      <c r="G234" s="30"/>
      <c r="H234" s="41"/>
      <c r="I234" s="41"/>
      <c r="K234" s="41"/>
      <c r="L234" s="41"/>
      <c r="M234" s="41"/>
      <c r="N234" s="41"/>
      <c r="P234" s="41"/>
    </row>
    <row r="235">
      <c r="A235" s="30"/>
      <c r="B235" s="30"/>
      <c r="C235" s="30"/>
      <c r="D235" s="30"/>
      <c r="E235" s="30"/>
      <c r="G235" s="30"/>
      <c r="H235" s="41"/>
      <c r="I235" s="41"/>
      <c r="K235" s="41"/>
      <c r="L235" s="41"/>
      <c r="M235" s="41"/>
      <c r="N235" s="41"/>
      <c r="P235" s="41"/>
    </row>
    <row r="236">
      <c r="A236" s="30"/>
      <c r="B236" s="30"/>
      <c r="C236" s="30"/>
      <c r="D236" s="30"/>
      <c r="E236" s="30"/>
      <c r="G236" s="30"/>
      <c r="H236" s="41"/>
      <c r="I236" s="41"/>
      <c r="K236" s="41"/>
      <c r="L236" s="41"/>
      <c r="M236" s="41"/>
      <c r="N236" s="41"/>
      <c r="P236" s="41"/>
    </row>
    <row r="237">
      <c r="A237" s="30"/>
      <c r="B237" s="30"/>
      <c r="C237" s="30"/>
      <c r="D237" s="30"/>
      <c r="E237" s="30"/>
      <c r="G237" s="30"/>
      <c r="H237" s="41"/>
      <c r="I237" s="41"/>
      <c r="K237" s="41"/>
      <c r="L237" s="41"/>
      <c r="M237" s="41"/>
      <c r="N237" s="41"/>
      <c r="P237" s="41"/>
    </row>
    <row r="238">
      <c r="A238" s="30"/>
      <c r="B238" s="30"/>
      <c r="C238" s="30"/>
      <c r="D238" s="30"/>
      <c r="E238" s="30"/>
      <c r="G238" s="30"/>
      <c r="H238" s="41"/>
      <c r="I238" s="41"/>
      <c r="K238" s="41"/>
      <c r="L238" s="41"/>
      <c r="M238" s="41"/>
      <c r="N238" s="41"/>
      <c r="P238" s="41"/>
    </row>
    <row r="239">
      <c r="A239" s="30"/>
      <c r="B239" s="30"/>
      <c r="C239" s="30"/>
      <c r="D239" s="30"/>
      <c r="E239" s="30"/>
      <c r="G239" s="30"/>
      <c r="H239" s="41"/>
      <c r="I239" s="41"/>
      <c r="K239" s="41"/>
      <c r="L239" s="41"/>
      <c r="M239" s="41"/>
      <c r="N239" s="41"/>
      <c r="P239" s="41"/>
    </row>
    <row r="240">
      <c r="A240" s="30"/>
      <c r="B240" s="30"/>
      <c r="C240" s="30"/>
      <c r="D240" s="30"/>
      <c r="E240" s="30"/>
      <c r="G240" s="30"/>
      <c r="H240" s="41"/>
      <c r="I240" s="41"/>
      <c r="K240" s="41"/>
      <c r="L240" s="41"/>
      <c r="M240" s="41"/>
      <c r="N240" s="41"/>
      <c r="P240" s="41"/>
    </row>
    <row r="241">
      <c r="A241" s="30"/>
      <c r="B241" s="30"/>
      <c r="C241" s="30"/>
      <c r="D241" s="30"/>
      <c r="E241" s="30"/>
      <c r="G241" s="30"/>
      <c r="H241" s="41"/>
      <c r="I241" s="41"/>
      <c r="K241" s="41"/>
      <c r="L241" s="41"/>
      <c r="M241" s="41"/>
      <c r="N241" s="41"/>
      <c r="P241" s="41"/>
    </row>
    <row r="242">
      <c r="A242" s="30"/>
      <c r="B242" s="30"/>
      <c r="C242" s="30"/>
      <c r="D242" s="30"/>
      <c r="E242" s="30"/>
      <c r="G242" s="30"/>
      <c r="H242" s="41"/>
      <c r="I242" s="41"/>
      <c r="K242" s="41"/>
      <c r="L242" s="41"/>
      <c r="M242" s="41"/>
      <c r="N242" s="41"/>
      <c r="P242" s="41"/>
    </row>
    <row r="243">
      <c r="A243" s="30"/>
      <c r="B243" s="30"/>
      <c r="C243" s="30"/>
      <c r="D243" s="30"/>
      <c r="E243" s="30"/>
      <c r="G243" s="30"/>
      <c r="H243" s="41"/>
      <c r="I243" s="41"/>
      <c r="K243" s="41"/>
      <c r="L243" s="41"/>
      <c r="M243" s="41"/>
      <c r="N243" s="41"/>
      <c r="P243" s="41"/>
    </row>
    <row r="244">
      <c r="A244" s="30"/>
      <c r="B244" s="30"/>
      <c r="C244" s="30"/>
      <c r="D244" s="30"/>
      <c r="E244" s="30"/>
      <c r="G244" s="30"/>
      <c r="H244" s="41"/>
      <c r="I244" s="41"/>
      <c r="K244" s="41"/>
      <c r="L244" s="41"/>
      <c r="M244" s="41"/>
      <c r="N244" s="41"/>
      <c r="P244" s="41"/>
    </row>
    <row r="245">
      <c r="A245" s="30"/>
      <c r="B245" s="30"/>
      <c r="C245" s="30"/>
      <c r="D245" s="30"/>
      <c r="E245" s="30"/>
      <c r="G245" s="30"/>
      <c r="H245" s="41"/>
      <c r="I245" s="41"/>
      <c r="K245" s="41"/>
      <c r="L245" s="41"/>
      <c r="M245" s="41"/>
      <c r="N245" s="41"/>
      <c r="P245" s="41"/>
    </row>
    <row r="246">
      <c r="A246" s="30"/>
      <c r="B246" s="30"/>
      <c r="C246" s="30"/>
      <c r="D246" s="30"/>
      <c r="E246" s="30"/>
      <c r="G246" s="30"/>
      <c r="H246" s="41"/>
      <c r="I246" s="41"/>
      <c r="K246" s="41"/>
      <c r="L246" s="41"/>
      <c r="M246" s="41"/>
      <c r="N246" s="41"/>
      <c r="P246" s="41"/>
    </row>
    <row r="247">
      <c r="A247" s="30"/>
      <c r="B247" s="30"/>
      <c r="C247" s="30"/>
      <c r="D247" s="30"/>
      <c r="E247" s="30"/>
      <c r="G247" s="30"/>
      <c r="H247" s="41"/>
      <c r="I247" s="41"/>
      <c r="K247" s="41"/>
      <c r="L247" s="41"/>
      <c r="M247" s="41"/>
      <c r="N247" s="41"/>
      <c r="P247" s="41"/>
    </row>
    <row r="248">
      <c r="A248" s="30"/>
      <c r="B248" s="30"/>
      <c r="C248" s="30"/>
      <c r="D248" s="30"/>
      <c r="E248" s="30"/>
      <c r="G248" s="30"/>
      <c r="H248" s="41"/>
      <c r="I248" s="41"/>
      <c r="K248" s="41"/>
      <c r="L248" s="41"/>
      <c r="M248" s="41"/>
      <c r="N248" s="41"/>
      <c r="P248" s="41"/>
    </row>
    <row r="249">
      <c r="A249" s="30"/>
      <c r="B249" s="30"/>
      <c r="C249" s="30"/>
      <c r="D249" s="30"/>
      <c r="E249" s="30"/>
      <c r="G249" s="30"/>
      <c r="H249" s="41"/>
      <c r="I249" s="41"/>
      <c r="K249" s="41"/>
      <c r="L249" s="41"/>
      <c r="M249" s="41"/>
      <c r="N249" s="41"/>
      <c r="P249" s="41"/>
    </row>
    <row r="250">
      <c r="A250" s="30"/>
      <c r="B250" s="30"/>
      <c r="C250" s="30"/>
      <c r="D250" s="30"/>
      <c r="E250" s="30"/>
      <c r="G250" s="30"/>
      <c r="H250" s="41"/>
      <c r="I250" s="41"/>
      <c r="K250" s="41"/>
      <c r="L250" s="41"/>
      <c r="M250" s="41"/>
      <c r="N250" s="41"/>
      <c r="P250" s="41"/>
    </row>
    <row r="251">
      <c r="A251" s="30"/>
      <c r="B251" s="30"/>
      <c r="C251" s="30"/>
      <c r="D251" s="30"/>
      <c r="E251" s="30"/>
      <c r="G251" s="30"/>
      <c r="H251" s="41"/>
      <c r="I251" s="41"/>
      <c r="K251" s="41"/>
      <c r="L251" s="41"/>
      <c r="M251" s="41"/>
      <c r="N251" s="41"/>
      <c r="P251" s="41"/>
    </row>
    <row r="252">
      <c r="A252" s="30"/>
      <c r="B252" s="30"/>
      <c r="C252" s="30"/>
      <c r="D252" s="30"/>
      <c r="E252" s="30"/>
      <c r="G252" s="30"/>
      <c r="H252" s="41"/>
      <c r="I252" s="41"/>
      <c r="K252" s="41"/>
      <c r="L252" s="41"/>
      <c r="M252" s="41"/>
      <c r="N252" s="41"/>
      <c r="P252" s="41"/>
    </row>
    <row r="253">
      <c r="A253" s="30"/>
      <c r="B253" s="30"/>
      <c r="C253" s="30"/>
      <c r="D253" s="30"/>
      <c r="E253" s="30"/>
      <c r="G253" s="30"/>
      <c r="H253" s="41"/>
      <c r="I253" s="41"/>
      <c r="K253" s="41"/>
      <c r="L253" s="41"/>
      <c r="M253" s="41"/>
      <c r="N253" s="41"/>
      <c r="P253" s="41"/>
    </row>
    <row r="254">
      <c r="A254" s="30"/>
      <c r="B254" s="30"/>
      <c r="C254" s="30"/>
      <c r="D254" s="30"/>
      <c r="E254" s="30"/>
      <c r="G254" s="30"/>
      <c r="H254" s="41"/>
      <c r="I254" s="41"/>
      <c r="K254" s="41"/>
      <c r="L254" s="41"/>
      <c r="M254" s="41"/>
      <c r="N254" s="41"/>
      <c r="P254" s="41"/>
    </row>
    <row r="255">
      <c r="A255" s="30"/>
      <c r="B255" s="30"/>
      <c r="C255" s="30"/>
      <c r="D255" s="30"/>
      <c r="E255" s="30"/>
      <c r="G255" s="30"/>
      <c r="H255" s="41"/>
      <c r="I255" s="41"/>
      <c r="K255" s="41"/>
      <c r="L255" s="41"/>
      <c r="M255" s="41"/>
      <c r="N255" s="41"/>
      <c r="P255" s="41"/>
    </row>
    <row r="256">
      <c r="A256" s="30"/>
      <c r="B256" s="30"/>
      <c r="C256" s="30"/>
      <c r="D256" s="30"/>
      <c r="E256" s="30"/>
      <c r="G256" s="30"/>
      <c r="H256" s="41"/>
      <c r="I256" s="41"/>
      <c r="K256" s="41"/>
      <c r="L256" s="41"/>
      <c r="M256" s="41"/>
      <c r="N256" s="41"/>
      <c r="P256" s="41"/>
    </row>
    <row r="257">
      <c r="C257" s="30"/>
      <c r="D257" s="30"/>
      <c r="E257" s="30"/>
      <c r="H257" s="41"/>
      <c r="I257" s="4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525</v>
      </c>
      <c r="B1" s="30" t="s">
        <v>3</v>
      </c>
      <c r="C1" s="30" t="s">
        <v>146</v>
      </c>
      <c r="D1" s="30" t="s">
        <v>4</v>
      </c>
      <c r="E1" s="30" t="s">
        <v>526</v>
      </c>
    </row>
    <row r="2">
      <c r="A2" s="30" t="s">
        <v>527</v>
      </c>
      <c r="B2" s="30" t="s">
        <v>143</v>
      </c>
      <c r="C2" s="30" t="s">
        <v>528</v>
      </c>
      <c r="D2" s="30" t="s">
        <v>35</v>
      </c>
      <c r="E2" s="41">
        <v>19943.0</v>
      </c>
    </row>
    <row r="3">
      <c r="A3" s="30" t="s">
        <v>527</v>
      </c>
      <c r="B3" s="30" t="s">
        <v>133</v>
      </c>
      <c r="C3" s="30" t="s">
        <v>528</v>
      </c>
      <c r="D3" s="30" t="s">
        <v>35</v>
      </c>
      <c r="E3" s="41">
        <v>15241.100000000002</v>
      </c>
    </row>
    <row r="4">
      <c r="A4" s="30" t="s">
        <v>527</v>
      </c>
      <c r="B4" s="30" t="s">
        <v>126</v>
      </c>
      <c r="C4" s="30" t="s">
        <v>528</v>
      </c>
      <c r="D4" s="30" t="s">
        <v>35</v>
      </c>
      <c r="E4" s="41">
        <v>13536.3</v>
      </c>
    </row>
    <row r="5">
      <c r="A5" s="30" t="s">
        <v>527</v>
      </c>
      <c r="B5" s="30" t="s">
        <v>145</v>
      </c>
      <c r="C5" s="30" t="s">
        <v>528</v>
      </c>
      <c r="D5" s="30" t="s">
        <v>35</v>
      </c>
      <c r="E5" s="41">
        <v>13514.0</v>
      </c>
    </row>
    <row r="6">
      <c r="A6" s="30" t="s">
        <v>527</v>
      </c>
      <c r="B6" s="30" t="s">
        <v>129</v>
      </c>
      <c r="C6" s="30" t="s">
        <v>528</v>
      </c>
      <c r="D6" s="30" t="s">
        <v>35</v>
      </c>
      <c r="E6" s="41">
        <v>12412.000000000002</v>
      </c>
    </row>
    <row r="7">
      <c r="A7" s="30" t="s">
        <v>527</v>
      </c>
      <c r="B7" s="30" t="s">
        <v>144</v>
      </c>
      <c r="C7" s="30" t="s">
        <v>528</v>
      </c>
      <c r="D7" s="30" t="s">
        <v>35</v>
      </c>
      <c r="E7" s="41">
        <v>11364.0</v>
      </c>
    </row>
    <row r="8">
      <c r="A8" s="30" t="s">
        <v>527</v>
      </c>
      <c r="B8" s="30" t="s">
        <v>131</v>
      </c>
      <c r="C8" s="30" t="s">
        <v>528</v>
      </c>
      <c r="D8" s="30" t="s">
        <v>35</v>
      </c>
      <c r="E8" s="41">
        <v>11162.0</v>
      </c>
    </row>
    <row r="9">
      <c r="A9" s="30" t="s">
        <v>527</v>
      </c>
      <c r="B9" s="30" t="s">
        <v>122</v>
      </c>
      <c r="C9" s="30" t="s">
        <v>528</v>
      </c>
      <c r="D9" s="30" t="s">
        <v>35</v>
      </c>
      <c r="E9" s="41">
        <v>11020.0</v>
      </c>
    </row>
    <row r="10">
      <c r="A10" s="30" t="s">
        <v>527</v>
      </c>
      <c r="B10" s="30" t="s">
        <v>124</v>
      </c>
      <c r="C10" s="30" t="s">
        <v>528</v>
      </c>
      <c r="D10" s="30" t="s">
        <v>35</v>
      </c>
      <c r="E10" s="41">
        <v>7593.600000000002</v>
      </c>
    </row>
    <row r="11">
      <c r="A11" s="30" t="s">
        <v>527</v>
      </c>
      <c r="B11" s="30" t="s">
        <v>133</v>
      </c>
      <c r="C11" s="30" t="s">
        <v>528</v>
      </c>
      <c r="D11" s="30" t="s">
        <v>34</v>
      </c>
      <c r="E11" s="41">
        <v>3862.8</v>
      </c>
    </row>
    <row r="12">
      <c r="A12" s="28"/>
      <c r="B12" s="28"/>
      <c r="C12" s="28"/>
    </row>
    <row r="13">
      <c r="A13" s="28"/>
      <c r="B13" s="28"/>
      <c r="C13" s="28"/>
    </row>
    <row r="14">
      <c r="A14" s="28"/>
      <c r="B14" s="28"/>
      <c r="C14" s="28"/>
    </row>
    <row r="15">
      <c r="A15" s="28"/>
      <c r="B15" s="28"/>
      <c r="C15" s="28"/>
    </row>
    <row r="16">
      <c r="A16" s="28"/>
      <c r="B16" s="28"/>
      <c r="C16" s="28"/>
    </row>
    <row r="17">
      <c r="A17" s="28"/>
      <c r="B17" s="28"/>
      <c r="C17" s="28"/>
    </row>
    <row r="18">
      <c r="A18" s="28"/>
      <c r="B18" s="28"/>
      <c r="C18" s="28"/>
    </row>
    <row r="19">
      <c r="A19" s="28"/>
      <c r="B19" s="28"/>
      <c r="C19" s="28"/>
    </row>
    <row r="20">
      <c r="A20" s="28"/>
      <c r="B20" s="28"/>
      <c r="C20" s="28"/>
    </row>
    <row r="21">
      <c r="A21" s="28"/>
      <c r="B21" s="28"/>
      <c r="C21" s="28"/>
    </row>
    <row r="22">
      <c r="A22" s="28"/>
      <c r="B22" s="28"/>
      <c r="C22" s="28"/>
    </row>
    <row r="23">
      <c r="A23" s="28"/>
      <c r="B23" s="28"/>
      <c r="C23" s="28"/>
    </row>
    <row r="24">
      <c r="A24" s="28"/>
      <c r="B24" s="28"/>
      <c r="C24" s="28"/>
    </row>
    <row r="25">
      <c r="A25" s="28"/>
      <c r="B25" s="28"/>
      <c r="C25" s="28"/>
    </row>
    <row r="26">
      <c r="A26" s="28"/>
      <c r="B26" s="28"/>
      <c r="C26" s="28"/>
    </row>
    <row r="27">
      <c r="A27" s="28"/>
      <c r="B27" s="28"/>
      <c r="C27" s="28"/>
    </row>
    <row r="28">
      <c r="A28" s="28"/>
      <c r="B28" s="28"/>
      <c r="C28" s="28"/>
    </row>
    <row r="29">
      <c r="A29" s="28"/>
      <c r="B29" s="28"/>
      <c r="C29" s="28"/>
    </row>
    <row r="30">
      <c r="A30" s="28"/>
      <c r="B30" s="28"/>
      <c r="C30" s="28"/>
    </row>
    <row r="31">
      <c r="A31" s="28"/>
      <c r="B31" s="28"/>
      <c r="C31" s="28"/>
    </row>
    <row r="32">
      <c r="A32" s="28"/>
      <c r="B32" s="28"/>
      <c r="C32" s="28"/>
    </row>
    <row r="33">
      <c r="A33" s="28"/>
      <c r="B33" s="28"/>
      <c r="C33" s="28"/>
    </row>
    <row r="34">
      <c r="A34" s="28"/>
      <c r="B34" s="28"/>
      <c r="C34" s="28"/>
    </row>
    <row r="35">
      <c r="A35" s="28"/>
      <c r="B35" s="28"/>
      <c r="C35" s="28"/>
    </row>
    <row r="36">
      <c r="A36" s="28"/>
      <c r="B36" s="28"/>
      <c r="C36" s="28"/>
    </row>
    <row r="37">
      <c r="A37" s="28"/>
      <c r="B37" s="28"/>
      <c r="C37" s="28"/>
    </row>
    <row r="38">
      <c r="A38" s="28"/>
      <c r="B38" s="28"/>
      <c r="C38" s="28"/>
    </row>
    <row r="39">
      <c r="A39" s="28"/>
      <c r="B39" s="28"/>
      <c r="C39" s="28"/>
    </row>
    <row r="40">
      <c r="A40" s="28"/>
      <c r="B40" s="28"/>
      <c r="C40" s="28"/>
    </row>
    <row r="41">
      <c r="A41" s="28"/>
      <c r="B41" s="28"/>
      <c r="C41" s="2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153</v>
      </c>
      <c r="D1" s="30" t="s">
        <v>154</v>
      </c>
      <c r="E1" s="30" t="s">
        <v>2</v>
      </c>
      <c r="F1" s="30" t="s">
        <v>14</v>
      </c>
      <c r="G1" s="30" t="s">
        <v>15</v>
      </c>
      <c r="H1" s="30" t="s">
        <v>3</v>
      </c>
      <c r="I1" s="30" t="s">
        <v>4</v>
      </c>
      <c r="J1" s="30" t="s">
        <v>146</v>
      </c>
      <c r="K1" s="30" t="s">
        <v>529</v>
      </c>
      <c r="L1" s="30" t="s">
        <v>491</v>
      </c>
      <c r="M1" s="30" t="s">
        <v>492</v>
      </c>
      <c r="N1" s="30" t="s">
        <v>493</v>
      </c>
      <c r="O1" s="30" t="s">
        <v>494</v>
      </c>
      <c r="P1" s="30" t="s">
        <v>495</v>
      </c>
    </row>
    <row r="2">
      <c r="A2" s="30" t="s">
        <v>24</v>
      </c>
      <c r="B2" s="30" t="s">
        <v>168</v>
      </c>
      <c r="C2" s="30" t="s">
        <v>52</v>
      </c>
      <c r="D2" s="30" t="s">
        <v>500</v>
      </c>
      <c r="E2" s="30" t="s">
        <v>26</v>
      </c>
      <c r="F2" s="30" t="s">
        <v>14</v>
      </c>
      <c r="G2" s="30" t="s">
        <v>15</v>
      </c>
      <c r="H2" s="30" t="s">
        <v>27</v>
      </c>
      <c r="I2" s="30" t="s">
        <v>28</v>
      </c>
      <c r="J2" s="30" t="s">
        <v>530</v>
      </c>
      <c r="M2" s="41">
        <v>90.0</v>
      </c>
      <c r="N2" s="41">
        <v>90.0</v>
      </c>
      <c r="O2" s="41">
        <v>90.0</v>
      </c>
    </row>
    <row r="3">
      <c r="A3" s="30" t="s">
        <v>501</v>
      </c>
      <c r="B3" s="30" t="s">
        <v>168</v>
      </c>
      <c r="C3" s="30" t="s">
        <v>52</v>
      </c>
      <c r="D3" s="30" t="s">
        <v>169</v>
      </c>
      <c r="E3" s="30" t="s">
        <v>37</v>
      </c>
      <c r="F3" s="30" t="s">
        <v>130</v>
      </c>
      <c r="G3" s="30" t="s">
        <v>38</v>
      </c>
      <c r="H3" s="30" t="s">
        <v>133</v>
      </c>
      <c r="I3" s="30" t="s">
        <v>35</v>
      </c>
      <c r="J3" s="30" t="s">
        <v>531</v>
      </c>
      <c r="K3" s="41">
        <v>10.0</v>
      </c>
      <c r="L3" s="41">
        <v>30.0</v>
      </c>
      <c r="M3" s="41">
        <v>11255.0</v>
      </c>
      <c r="N3" s="41">
        <v>1660.0</v>
      </c>
      <c r="O3" s="41">
        <v>0.004</v>
      </c>
      <c r="P3" s="41">
        <v>403.0</v>
      </c>
    </row>
    <row r="4">
      <c r="A4" s="30" t="s">
        <v>501</v>
      </c>
      <c r="B4" s="30" t="s">
        <v>168</v>
      </c>
      <c r="C4" s="30" t="s">
        <v>52</v>
      </c>
      <c r="D4" s="30" t="s">
        <v>172</v>
      </c>
      <c r="E4" s="30" t="s">
        <v>37</v>
      </c>
      <c r="F4" s="30" t="s">
        <v>130</v>
      </c>
      <c r="G4" s="30" t="s">
        <v>38</v>
      </c>
      <c r="H4" s="30" t="s">
        <v>133</v>
      </c>
      <c r="I4" s="30" t="s">
        <v>34</v>
      </c>
      <c r="J4" s="30" t="s">
        <v>531</v>
      </c>
      <c r="K4" s="41">
        <v>5.0</v>
      </c>
      <c r="L4" s="41">
        <v>51.0</v>
      </c>
      <c r="M4" s="41">
        <v>2765.0</v>
      </c>
      <c r="N4" s="41">
        <v>733.0</v>
      </c>
      <c r="O4" s="41">
        <v>0.015</v>
      </c>
      <c r="P4" s="41">
        <v>14536.0</v>
      </c>
    </row>
    <row r="5">
      <c r="A5" s="30" t="s">
        <v>501</v>
      </c>
      <c r="B5" s="30" t="s">
        <v>168</v>
      </c>
      <c r="C5" s="30" t="s">
        <v>52</v>
      </c>
      <c r="D5" s="30" t="s">
        <v>172</v>
      </c>
      <c r="E5" s="30" t="s">
        <v>37</v>
      </c>
      <c r="F5" s="30" t="s">
        <v>130</v>
      </c>
      <c r="G5" s="30" t="s">
        <v>38</v>
      </c>
      <c r="H5" s="30" t="s">
        <v>133</v>
      </c>
      <c r="I5" s="30" t="s">
        <v>35</v>
      </c>
      <c r="J5" s="30" t="s">
        <v>531</v>
      </c>
      <c r="K5" s="41">
        <v>5.0</v>
      </c>
      <c r="L5" s="41">
        <v>37.0</v>
      </c>
      <c r="M5" s="41">
        <v>12287.0</v>
      </c>
      <c r="N5" s="41">
        <v>1295.0</v>
      </c>
      <c r="O5" s="41">
        <v>0.004</v>
      </c>
      <c r="P5" s="41">
        <v>9103.0</v>
      </c>
    </row>
    <row r="6">
      <c r="A6" s="30" t="s">
        <v>501</v>
      </c>
      <c r="B6" s="30" t="s">
        <v>168</v>
      </c>
      <c r="C6" s="30" t="s">
        <v>52</v>
      </c>
      <c r="D6" s="30" t="s">
        <v>169</v>
      </c>
      <c r="E6" s="30" t="s">
        <v>37</v>
      </c>
      <c r="F6" s="30" t="s">
        <v>130</v>
      </c>
      <c r="G6" s="30" t="s">
        <v>38</v>
      </c>
      <c r="H6" s="30" t="s">
        <v>133</v>
      </c>
      <c r="I6" s="30" t="s">
        <v>34</v>
      </c>
      <c r="J6" s="30" t="s">
        <v>531</v>
      </c>
      <c r="K6" s="41">
        <v>10.0</v>
      </c>
      <c r="L6" s="41">
        <v>56.0</v>
      </c>
      <c r="M6" s="41">
        <v>2807.0</v>
      </c>
      <c r="N6" s="41">
        <v>455.0</v>
      </c>
      <c r="O6" s="41">
        <v>0.0</v>
      </c>
      <c r="P6" s="41">
        <v>466.0</v>
      </c>
    </row>
    <row r="7">
      <c r="A7" s="30" t="s">
        <v>501</v>
      </c>
      <c r="B7" s="30" t="s">
        <v>168</v>
      </c>
      <c r="C7" s="30" t="s">
        <v>52</v>
      </c>
      <c r="D7" s="30" t="s">
        <v>169</v>
      </c>
      <c r="E7" s="30" t="s">
        <v>37</v>
      </c>
      <c r="F7" s="30" t="s">
        <v>130</v>
      </c>
      <c r="G7" s="30" t="s">
        <v>38</v>
      </c>
      <c r="H7" s="30" t="s">
        <v>145</v>
      </c>
      <c r="I7" s="30" t="s">
        <v>34</v>
      </c>
      <c r="J7" s="30" t="s">
        <v>532</v>
      </c>
      <c r="K7" s="41">
        <v>5.0</v>
      </c>
      <c r="L7" s="41">
        <v>54.0</v>
      </c>
      <c r="M7" s="41">
        <v>3170.0</v>
      </c>
      <c r="N7" s="41">
        <v>270.0</v>
      </c>
      <c r="O7" s="41">
        <v>0.0</v>
      </c>
      <c r="P7" s="41">
        <v>701.0</v>
      </c>
    </row>
    <row r="8">
      <c r="A8" s="30" t="s">
        <v>501</v>
      </c>
      <c r="B8" s="30" t="s">
        <v>168</v>
      </c>
      <c r="C8" s="30" t="s">
        <v>52</v>
      </c>
      <c r="D8" s="30" t="s">
        <v>169</v>
      </c>
      <c r="E8" s="30" t="s">
        <v>37</v>
      </c>
      <c r="F8" s="30" t="s">
        <v>130</v>
      </c>
      <c r="G8" s="30" t="s">
        <v>38</v>
      </c>
      <c r="H8" s="30" t="s">
        <v>122</v>
      </c>
      <c r="I8" s="30" t="s">
        <v>34</v>
      </c>
      <c r="J8" s="30" t="s">
        <v>533</v>
      </c>
      <c r="K8" s="41">
        <v>10.0</v>
      </c>
      <c r="L8" s="41">
        <v>66.0</v>
      </c>
      <c r="M8" s="41">
        <v>2564.0</v>
      </c>
      <c r="N8" s="41">
        <v>254.0</v>
      </c>
      <c r="O8" s="41">
        <v>0.0</v>
      </c>
      <c r="P8" s="41">
        <v>411.0</v>
      </c>
    </row>
    <row r="9">
      <c r="A9" s="30" t="s">
        <v>501</v>
      </c>
      <c r="B9" s="30" t="s">
        <v>168</v>
      </c>
      <c r="C9" s="30" t="s">
        <v>52</v>
      </c>
      <c r="D9" s="30" t="s">
        <v>169</v>
      </c>
      <c r="E9" s="30" t="s">
        <v>37</v>
      </c>
      <c r="F9" s="30" t="s">
        <v>130</v>
      </c>
      <c r="G9" s="30" t="s">
        <v>38</v>
      </c>
      <c r="H9" s="30" t="s">
        <v>129</v>
      </c>
      <c r="I9" s="30" t="s">
        <v>34</v>
      </c>
      <c r="J9" s="30" t="s">
        <v>533</v>
      </c>
      <c r="K9" s="41">
        <v>5.0</v>
      </c>
      <c r="L9" s="41">
        <v>74.0</v>
      </c>
      <c r="M9" s="41">
        <v>1915.0</v>
      </c>
      <c r="N9" s="41">
        <v>234.0</v>
      </c>
      <c r="O9" s="41">
        <v>0.0</v>
      </c>
      <c r="P9" s="41">
        <v>374.0</v>
      </c>
    </row>
    <row r="10">
      <c r="A10" s="30" t="s">
        <v>501</v>
      </c>
      <c r="B10" s="30" t="s">
        <v>168</v>
      </c>
      <c r="C10" s="30" t="s">
        <v>52</v>
      </c>
      <c r="D10" s="30" t="s">
        <v>169</v>
      </c>
      <c r="E10" s="30" t="s">
        <v>37</v>
      </c>
      <c r="F10" s="30" t="s">
        <v>130</v>
      </c>
      <c r="G10" s="30" t="s">
        <v>38</v>
      </c>
      <c r="H10" s="30" t="s">
        <v>131</v>
      </c>
      <c r="I10" s="30" t="s">
        <v>34</v>
      </c>
      <c r="J10" s="30" t="s">
        <v>534</v>
      </c>
      <c r="K10" s="41">
        <v>5.0</v>
      </c>
      <c r="L10" s="41">
        <v>61.0</v>
      </c>
      <c r="M10" s="41">
        <v>2550.0</v>
      </c>
      <c r="N10" s="41">
        <v>229.0</v>
      </c>
      <c r="O10" s="41">
        <v>0.0</v>
      </c>
      <c r="P10" s="41">
        <v>384.0</v>
      </c>
    </row>
    <row r="11">
      <c r="A11" s="30" t="s">
        <v>501</v>
      </c>
      <c r="B11" s="30" t="s">
        <v>168</v>
      </c>
      <c r="C11" s="30" t="s">
        <v>52</v>
      </c>
      <c r="D11" s="30" t="s">
        <v>169</v>
      </c>
      <c r="E11" s="30" t="s">
        <v>37</v>
      </c>
      <c r="F11" s="30" t="s">
        <v>130</v>
      </c>
      <c r="G11" s="30" t="s">
        <v>38</v>
      </c>
      <c r="H11" s="30" t="s">
        <v>126</v>
      </c>
      <c r="I11" s="30" t="s">
        <v>34</v>
      </c>
      <c r="J11" s="30" t="s">
        <v>534</v>
      </c>
      <c r="K11" s="41">
        <v>5.0</v>
      </c>
      <c r="L11" s="41">
        <v>58.0</v>
      </c>
      <c r="M11" s="41">
        <v>2670.0</v>
      </c>
      <c r="N11" s="41">
        <v>325.0</v>
      </c>
      <c r="O11" s="41">
        <v>0.0</v>
      </c>
      <c r="P11" s="41">
        <v>332.0</v>
      </c>
    </row>
    <row r="12">
      <c r="A12" s="30" t="s">
        <v>501</v>
      </c>
      <c r="B12" s="30" t="s">
        <v>168</v>
      </c>
      <c r="C12" s="30" t="s">
        <v>52</v>
      </c>
      <c r="D12" s="30" t="s">
        <v>169</v>
      </c>
      <c r="E12" s="30" t="s">
        <v>37</v>
      </c>
      <c r="F12" s="30" t="s">
        <v>130</v>
      </c>
      <c r="G12" s="30" t="s">
        <v>38</v>
      </c>
      <c r="H12" s="30" t="s">
        <v>144</v>
      </c>
      <c r="I12" s="30" t="s">
        <v>34</v>
      </c>
      <c r="J12" s="30" t="s">
        <v>535</v>
      </c>
      <c r="K12" s="41">
        <v>5.0</v>
      </c>
      <c r="L12" s="41">
        <v>60.0</v>
      </c>
      <c r="M12" s="41">
        <v>2575.0</v>
      </c>
      <c r="N12" s="41">
        <v>366.0</v>
      </c>
      <c r="O12" s="41">
        <v>0.0</v>
      </c>
      <c r="P12" s="41">
        <v>626.0</v>
      </c>
    </row>
    <row r="13">
      <c r="A13" s="30" t="s">
        <v>501</v>
      </c>
      <c r="B13" s="30" t="s">
        <v>168</v>
      </c>
      <c r="C13" s="30" t="s">
        <v>52</v>
      </c>
      <c r="D13" s="30" t="s">
        <v>169</v>
      </c>
      <c r="E13" s="30" t="s">
        <v>37</v>
      </c>
      <c r="F13" s="30" t="s">
        <v>130</v>
      </c>
      <c r="G13" s="30" t="s">
        <v>38</v>
      </c>
      <c r="H13" s="30" t="s">
        <v>124</v>
      </c>
      <c r="I13" s="30" t="s">
        <v>34</v>
      </c>
      <c r="J13" s="30" t="s">
        <v>536</v>
      </c>
      <c r="K13" s="41">
        <v>5.0</v>
      </c>
      <c r="L13" s="41">
        <v>64.0</v>
      </c>
      <c r="M13" s="41">
        <v>2370.0</v>
      </c>
      <c r="N13" s="41">
        <v>218.0</v>
      </c>
      <c r="O13" s="41">
        <v>0.0</v>
      </c>
      <c r="P13" s="41">
        <v>792.0</v>
      </c>
    </row>
    <row r="14">
      <c r="A14" s="30" t="s">
        <v>501</v>
      </c>
      <c r="B14" s="30" t="s">
        <v>168</v>
      </c>
      <c r="C14" s="30" t="s">
        <v>52</v>
      </c>
      <c r="D14" s="30" t="s">
        <v>169</v>
      </c>
      <c r="E14" s="30" t="s">
        <v>37</v>
      </c>
      <c r="F14" s="30" t="s">
        <v>130</v>
      </c>
      <c r="G14" s="30" t="s">
        <v>38</v>
      </c>
      <c r="H14" s="30" t="s">
        <v>145</v>
      </c>
      <c r="I14" s="30" t="s">
        <v>35</v>
      </c>
      <c r="J14" s="30" t="s">
        <v>532</v>
      </c>
      <c r="K14" s="41">
        <v>5.0</v>
      </c>
      <c r="L14" s="41">
        <v>29.0</v>
      </c>
      <c r="M14" s="41">
        <v>13540.0</v>
      </c>
      <c r="N14" s="41">
        <v>1079.0</v>
      </c>
      <c r="O14" s="41">
        <v>0.004</v>
      </c>
      <c r="P14" s="41">
        <v>618.0</v>
      </c>
    </row>
    <row r="15">
      <c r="A15" s="30" t="s">
        <v>501</v>
      </c>
      <c r="B15" s="30" t="s">
        <v>168</v>
      </c>
      <c r="C15" s="30" t="s">
        <v>52</v>
      </c>
      <c r="D15" s="30" t="s">
        <v>169</v>
      </c>
      <c r="E15" s="30" t="s">
        <v>37</v>
      </c>
      <c r="F15" s="30" t="s">
        <v>130</v>
      </c>
      <c r="G15" s="30" t="s">
        <v>38</v>
      </c>
      <c r="H15" s="30" t="s">
        <v>122</v>
      </c>
      <c r="I15" s="30" t="s">
        <v>35</v>
      </c>
      <c r="J15" s="30" t="s">
        <v>533</v>
      </c>
      <c r="K15" s="41">
        <v>10.0</v>
      </c>
      <c r="L15" s="41">
        <v>38.0</v>
      </c>
      <c r="M15" s="41">
        <v>11072.0</v>
      </c>
      <c r="N15" s="41">
        <v>1066.0</v>
      </c>
      <c r="O15" s="41">
        <v>0.004</v>
      </c>
      <c r="P15" s="41">
        <v>974.0</v>
      </c>
    </row>
    <row r="16">
      <c r="A16" s="30" t="s">
        <v>501</v>
      </c>
      <c r="B16" s="30" t="s">
        <v>168</v>
      </c>
      <c r="C16" s="30" t="s">
        <v>52</v>
      </c>
      <c r="D16" s="30" t="s">
        <v>169</v>
      </c>
      <c r="E16" s="30" t="s">
        <v>37</v>
      </c>
      <c r="F16" s="30" t="s">
        <v>130</v>
      </c>
      <c r="G16" s="30" t="s">
        <v>38</v>
      </c>
      <c r="H16" s="30" t="s">
        <v>129</v>
      </c>
      <c r="I16" s="30" t="s">
        <v>35</v>
      </c>
      <c r="J16" s="30" t="s">
        <v>533</v>
      </c>
      <c r="K16" s="41">
        <v>5.0</v>
      </c>
      <c r="L16" s="41">
        <v>46.0</v>
      </c>
      <c r="M16" s="41">
        <v>7145.0</v>
      </c>
      <c r="N16" s="41">
        <v>1005.0</v>
      </c>
      <c r="O16" s="41">
        <v>0.004</v>
      </c>
      <c r="P16" s="41">
        <v>349.0</v>
      </c>
    </row>
    <row r="17">
      <c r="A17" s="30" t="s">
        <v>501</v>
      </c>
      <c r="B17" s="30" t="s">
        <v>168</v>
      </c>
      <c r="C17" s="30" t="s">
        <v>52</v>
      </c>
      <c r="D17" s="30" t="s">
        <v>169</v>
      </c>
      <c r="E17" s="30" t="s">
        <v>37</v>
      </c>
      <c r="F17" s="30" t="s">
        <v>130</v>
      </c>
      <c r="G17" s="30" t="s">
        <v>38</v>
      </c>
      <c r="H17" s="30" t="s">
        <v>131</v>
      </c>
      <c r="I17" s="30" t="s">
        <v>35</v>
      </c>
      <c r="J17" s="30" t="s">
        <v>534</v>
      </c>
      <c r="K17" s="41">
        <v>5.0</v>
      </c>
      <c r="L17" s="41">
        <v>39.0</v>
      </c>
      <c r="M17" s="41">
        <v>10995.0</v>
      </c>
      <c r="N17" s="41">
        <v>910.0</v>
      </c>
      <c r="O17" s="41">
        <v>0.004</v>
      </c>
      <c r="P17" s="41">
        <v>357.0</v>
      </c>
    </row>
    <row r="18">
      <c r="A18" s="30" t="s">
        <v>501</v>
      </c>
      <c r="B18" s="30" t="s">
        <v>168</v>
      </c>
      <c r="C18" s="30" t="s">
        <v>52</v>
      </c>
      <c r="D18" s="30" t="s">
        <v>169</v>
      </c>
      <c r="E18" s="30" t="s">
        <v>37</v>
      </c>
      <c r="F18" s="30" t="s">
        <v>130</v>
      </c>
      <c r="G18" s="30" t="s">
        <v>38</v>
      </c>
      <c r="H18" s="30" t="s">
        <v>126</v>
      </c>
      <c r="I18" s="30" t="s">
        <v>35</v>
      </c>
      <c r="J18" s="30" t="s">
        <v>534</v>
      </c>
      <c r="K18" s="41">
        <v>5.0</v>
      </c>
      <c r="L18" s="41">
        <v>39.0</v>
      </c>
      <c r="M18" s="41">
        <v>7420.0</v>
      </c>
      <c r="N18" s="41">
        <v>1414.0</v>
      </c>
      <c r="O18" s="41">
        <v>0.004</v>
      </c>
      <c r="P18" s="41">
        <v>475.0</v>
      </c>
    </row>
    <row r="19">
      <c r="A19" s="30" t="s">
        <v>501</v>
      </c>
      <c r="B19" s="30" t="s">
        <v>168</v>
      </c>
      <c r="C19" s="30" t="s">
        <v>52</v>
      </c>
      <c r="D19" s="30" t="s">
        <v>169</v>
      </c>
      <c r="E19" s="30" t="s">
        <v>37</v>
      </c>
      <c r="F19" s="30" t="s">
        <v>130</v>
      </c>
      <c r="G19" s="30" t="s">
        <v>38</v>
      </c>
      <c r="H19" s="30" t="s">
        <v>144</v>
      </c>
      <c r="I19" s="30" t="s">
        <v>35</v>
      </c>
      <c r="J19" s="30" t="s">
        <v>535</v>
      </c>
      <c r="K19" s="41">
        <v>5.0</v>
      </c>
      <c r="L19" s="41">
        <v>31.0</v>
      </c>
      <c r="M19" s="41">
        <v>11200.0</v>
      </c>
      <c r="N19" s="41">
        <v>1555.0</v>
      </c>
      <c r="O19" s="41">
        <v>0.004</v>
      </c>
      <c r="P19" s="41">
        <v>417.0</v>
      </c>
    </row>
    <row r="20">
      <c r="A20" s="30" t="s">
        <v>501</v>
      </c>
      <c r="B20" s="30" t="s">
        <v>168</v>
      </c>
      <c r="C20" s="30" t="s">
        <v>52</v>
      </c>
      <c r="D20" s="30" t="s">
        <v>169</v>
      </c>
      <c r="E20" s="30" t="s">
        <v>37</v>
      </c>
      <c r="F20" s="30" t="s">
        <v>130</v>
      </c>
      <c r="G20" s="30" t="s">
        <v>38</v>
      </c>
      <c r="H20" s="30" t="s">
        <v>124</v>
      </c>
      <c r="I20" s="30" t="s">
        <v>35</v>
      </c>
      <c r="J20" s="30" t="s">
        <v>536</v>
      </c>
      <c r="K20" s="41">
        <v>5.0</v>
      </c>
      <c r="L20" s="41">
        <v>33.0</v>
      </c>
      <c r="M20" s="41">
        <v>10980.0</v>
      </c>
      <c r="N20" s="41">
        <v>1214.0</v>
      </c>
      <c r="O20" s="41">
        <v>0.004</v>
      </c>
      <c r="P20" s="41">
        <v>902.0</v>
      </c>
    </row>
    <row r="21">
      <c r="A21" s="30" t="s">
        <v>501</v>
      </c>
      <c r="B21" s="30" t="s">
        <v>168</v>
      </c>
      <c r="C21" s="30" t="s">
        <v>52</v>
      </c>
      <c r="D21" s="30" t="s">
        <v>172</v>
      </c>
      <c r="E21" s="30" t="s">
        <v>37</v>
      </c>
      <c r="F21" s="30" t="s">
        <v>130</v>
      </c>
      <c r="G21" s="30" t="s">
        <v>38</v>
      </c>
      <c r="H21" s="30" t="s">
        <v>145</v>
      </c>
      <c r="I21" s="30" t="s">
        <v>34</v>
      </c>
      <c r="J21" s="30" t="s">
        <v>532</v>
      </c>
      <c r="K21" s="41">
        <v>5.0</v>
      </c>
      <c r="L21" s="41">
        <v>55.0</v>
      </c>
      <c r="M21" s="41">
        <v>2480.0</v>
      </c>
      <c r="N21" s="41">
        <v>343.0</v>
      </c>
      <c r="O21" s="41">
        <v>0.015</v>
      </c>
      <c r="P21" s="41">
        <v>33000.0</v>
      </c>
    </row>
    <row r="22">
      <c r="A22" s="30" t="s">
        <v>501</v>
      </c>
      <c r="B22" s="30" t="s">
        <v>168</v>
      </c>
      <c r="C22" s="30" t="s">
        <v>52</v>
      </c>
      <c r="D22" s="30" t="s">
        <v>172</v>
      </c>
      <c r="E22" s="30" t="s">
        <v>37</v>
      </c>
      <c r="F22" s="30" t="s">
        <v>130</v>
      </c>
      <c r="G22" s="30" t="s">
        <v>38</v>
      </c>
      <c r="H22" s="30" t="s">
        <v>122</v>
      </c>
      <c r="I22" s="30" t="s">
        <v>34</v>
      </c>
      <c r="J22" s="30" t="s">
        <v>533</v>
      </c>
      <c r="K22" s="41">
        <v>5.0</v>
      </c>
      <c r="L22" s="41">
        <v>92.0</v>
      </c>
      <c r="M22" s="41">
        <v>2320.0</v>
      </c>
      <c r="N22" s="41">
        <v>325.0</v>
      </c>
      <c r="O22" s="41">
        <v>0.015</v>
      </c>
      <c r="P22" s="41">
        <v>141.0</v>
      </c>
    </row>
    <row r="23">
      <c r="A23" s="30" t="s">
        <v>501</v>
      </c>
      <c r="B23" s="30" t="s">
        <v>168</v>
      </c>
      <c r="C23" s="30" t="s">
        <v>52</v>
      </c>
      <c r="D23" s="30" t="s">
        <v>172</v>
      </c>
      <c r="E23" s="30" t="s">
        <v>37</v>
      </c>
      <c r="F23" s="30" t="s">
        <v>130</v>
      </c>
      <c r="G23" s="30" t="s">
        <v>38</v>
      </c>
      <c r="H23" s="30" t="s">
        <v>129</v>
      </c>
      <c r="I23" s="30" t="s">
        <v>34</v>
      </c>
      <c r="J23" s="30" t="s">
        <v>533</v>
      </c>
      <c r="K23" s="41">
        <v>5.0</v>
      </c>
      <c r="L23" s="41">
        <v>69.0</v>
      </c>
      <c r="M23" s="41">
        <v>2280.0</v>
      </c>
      <c r="N23" s="41">
        <v>343.0</v>
      </c>
      <c r="O23" s="41">
        <v>0.015</v>
      </c>
      <c r="P23" s="41">
        <v>107.0</v>
      </c>
    </row>
    <row r="24">
      <c r="A24" s="30" t="s">
        <v>501</v>
      </c>
      <c r="B24" s="30" t="s">
        <v>168</v>
      </c>
      <c r="C24" s="30" t="s">
        <v>52</v>
      </c>
      <c r="D24" s="30" t="s">
        <v>172</v>
      </c>
      <c r="E24" s="30" t="s">
        <v>37</v>
      </c>
      <c r="F24" s="30" t="s">
        <v>130</v>
      </c>
      <c r="G24" s="30" t="s">
        <v>38</v>
      </c>
      <c r="H24" s="30" t="s">
        <v>131</v>
      </c>
      <c r="I24" s="30" t="s">
        <v>34</v>
      </c>
      <c r="J24" s="30" t="s">
        <v>534</v>
      </c>
      <c r="K24" s="41">
        <v>5.0</v>
      </c>
      <c r="L24" s="41">
        <v>64.0</v>
      </c>
      <c r="M24" s="41">
        <v>2560.0</v>
      </c>
      <c r="N24" s="41">
        <v>330.0</v>
      </c>
      <c r="O24" s="41">
        <v>0.015</v>
      </c>
      <c r="P24" s="41">
        <v>41000.0</v>
      </c>
    </row>
    <row r="25">
      <c r="A25" s="30" t="s">
        <v>501</v>
      </c>
      <c r="B25" s="30" t="s">
        <v>168</v>
      </c>
      <c r="C25" s="30" t="s">
        <v>52</v>
      </c>
      <c r="D25" s="30" t="s">
        <v>172</v>
      </c>
      <c r="E25" s="30" t="s">
        <v>37</v>
      </c>
      <c r="F25" s="30" t="s">
        <v>130</v>
      </c>
      <c r="G25" s="30" t="s">
        <v>38</v>
      </c>
      <c r="H25" s="30" t="s">
        <v>126</v>
      </c>
      <c r="I25" s="30" t="s">
        <v>34</v>
      </c>
      <c r="J25" s="30" t="s">
        <v>534</v>
      </c>
      <c r="K25" s="41">
        <v>5.0</v>
      </c>
      <c r="L25" s="41">
        <v>50.0</v>
      </c>
      <c r="M25" s="41">
        <v>2680.0</v>
      </c>
      <c r="N25" s="41">
        <v>1275.0</v>
      </c>
      <c r="O25" s="41">
        <v>0.015</v>
      </c>
      <c r="P25" s="41">
        <v>180.0</v>
      </c>
    </row>
    <row r="26">
      <c r="A26" s="30" t="s">
        <v>501</v>
      </c>
      <c r="B26" s="30" t="s">
        <v>168</v>
      </c>
      <c r="C26" s="30" t="s">
        <v>52</v>
      </c>
      <c r="D26" s="30" t="s">
        <v>172</v>
      </c>
      <c r="E26" s="30" t="s">
        <v>37</v>
      </c>
      <c r="F26" s="30" t="s">
        <v>130</v>
      </c>
      <c r="G26" s="30" t="s">
        <v>38</v>
      </c>
      <c r="H26" s="30" t="s">
        <v>144</v>
      </c>
      <c r="I26" s="30" t="s">
        <v>34</v>
      </c>
      <c r="J26" s="30" t="s">
        <v>535</v>
      </c>
      <c r="K26" s="41">
        <v>5.0</v>
      </c>
      <c r="L26" s="41">
        <v>55.0</v>
      </c>
      <c r="M26" s="41">
        <v>2540.0</v>
      </c>
      <c r="N26" s="41">
        <v>915.0</v>
      </c>
      <c r="O26" s="41">
        <v>0.015</v>
      </c>
      <c r="P26" s="41">
        <v>66.0</v>
      </c>
    </row>
    <row r="27">
      <c r="A27" s="30" t="s">
        <v>501</v>
      </c>
      <c r="B27" s="30" t="s">
        <v>168</v>
      </c>
      <c r="C27" s="30" t="s">
        <v>52</v>
      </c>
      <c r="D27" s="30" t="s">
        <v>172</v>
      </c>
      <c r="E27" s="30" t="s">
        <v>37</v>
      </c>
      <c r="F27" s="30" t="s">
        <v>130</v>
      </c>
      <c r="G27" s="30" t="s">
        <v>38</v>
      </c>
      <c r="H27" s="30" t="s">
        <v>124</v>
      </c>
      <c r="I27" s="30" t="s">
        <v>34</v>
      </c>
      <c r="J27" s="30" t="s">
        <v>536</v>
      </c>
      <c r="K27" s="41">
        <v>5.0</v>
      </c>
      <c r="L27" s="41">
        <v>60.0</v>
      </c>
      <c r="M27" s="41">
        <v>2000.0</v>
      </c>
      <c r="N27" s="41">
        <v>381.0</v>
      </c>
      <c r="O27" s="41">
        <v>0.015</v>
      </c>
      <c r="P27" s="41">
        <v>46000.0</v>
      </c>
    </row>
    <row r="28">
      <c r="A28" s="30" t="s">
        <v>501</v>
      </c>
      <c r="B28" s="30" t="s">
        <v>168</v>
      </c>
      <c r="C28" s="30" t="s">
        <v>52</v>
      </c>
      <c r="D28" s="30" t="s">
        <v>172</v>
      </c>
      <c r="E28" s="30" t="s">
        <v>37</v>
      </c>
      <c r="F28" s="30" t="s">
        <v>130</v>
      </c>
      <c r="G28" s="30" t="s">
        <v>38</v>
      </c>
      <c r="H28" s="30" t="s">
        <v>143</v>
      </c>
      <c r="I28" s="30" t="s">
        <v>34</v>
      </c>
      <c r="J28" s="30" t="s">
        <v>536</v>
      </c>
      <c r="K28" s="41">
        <v>5.0</v>
      </c>
      <c r="L28" s="41">
        <v>57.0</v>
      </c>
      <c r="M28" s="41">
        <v>4050.0</v>
      </c>
      <c r="N28" s="41">
        <v>402.0</v>
      </c>
      <c r="O28" s="41">
        <v>0.001</v>
      </c>
      <c r="P28" s="41">
        <v>194.0</v>
      </c>
    </row>
    <row r="29">
      <c r="A29" s="30" t="s">
        <v>501</v>
      </c>
      <c r="B29" s="30" t="s">
        <v>168</v>
      </c>
      <c r="C29" s="30" t="s">
        <v>52</v>
      </c>
      <c r="D29" s="30" t="s">
        <v>172</v>
      </c>
      <c r="E29" s="30" t="s">
        <v>37</v>
      </c>
      <c r="F29" s="30" t="s">
        <v>130</v>
      </c>
      <c r="G29" s="30" t="s">
        <v>38</v>
      </c>
      <c r="H29" s="30" t="s">
        <v>145</v>
      </c>
      <c r="I29" s="30" t="s">
        <v>35</v>
      </c>
      <c r="J29" s="30" t="s">
        <v>532</v>
      </c>
      <c r="K29" s="41">
        <v>5.0</v>
      </c>
      <c r="L29" s="41">
        <v>41.0</v>
      </c>
      <c r="M29" s="41">
        <v>11700.0</v>
      </c>
      <c r="N29" s="41">
        <v>400.0</v>
      </c>
      <c r="O29" s="41">
        <v>0.005</v>
      </c>
      <c r="P29" s="41">
        <v>62.0</v>
      </c>
    </row>
    <row r="30">
      <c r="A30" s="30" t="s">
        <v>501</v>
      </c>
      <c r="B30" s="30" t="s">
        <v>168</v>
      </c>
      <c r="C30" s="30" t="s">
        <v>52</v>
      </c>
      <c r="D30" s="30" t="s">
        <v>172</v>
      </c>
      <c r="E30" s="30" t="s">
        <v>37</v>
      </c>
      <c r="F30" s="30" t="s">
        <v>130</v>
      </c>
      <c r="G30" s="30" t="s">
        <v>38</v>
      </c>
      <c r="H30" s="30" t="s">
        <v>122</v>
      </c>
      <c r="I30" s="30" t="s">
        <v>35</v>
      </c>
      <c r="J30" s="30" t="s">
        <v>533</v>
      </c>
      <c r="K30" s="41">
        <v>5.0</v>
      </c>
      <c r="L30" s="41">
        <v>47.0</v>
      </c>
      <c r="M30" s="41">
        <v>10950.0</v>
      </c>
      <c r="N30" s="41">
        <v>330.0</v>
      </c>
      <c r="O30" s="41">
        <v>0.005</v>
      </c>
      <c r="P30" s="41">
        <v>49000.0</v>
      </c>
    </row>
    <row r="31">
      <c r="A31" s="30" t="s">
        <v>501</v>
      </c>
      <c r="B31" s="30" t="s">
        <v>168</v>
      </c>
      <c r="C31" s="30" t="s">
        <v>52</v>
      </c>
      <c r="D31" s="30" t="s">
        <v>172</v>
      </c>
      <c r="E31" s="30" t="s">
        <v>37</v>
      </c>
      <c r="F31" s="30" t="s">
        <v>130</v>
      </c>
      <c r="G31" s="30" t="s">
        <v>38</v>
      </c>
      <c r="H31" s="30" t="s">
        <v>129</v>
      </c>
      <c r="I31" s="30" t="s">
        <v>35</v>
      </c>
      <c r="J31" s="30" t="s">
        <v>533</v>
      </c>
      <c r="K31" s="41">
        <v>5.0</v>
      </c>
      <c r="L31" s="41">
        <v>45.0</v>
      </c>
      <c r="M31" s="41">
        <v>14470.0</v>
      </c>
      <c r="N31" s="41">
        <v>504.0</v>
      </c>
      <c r="O31" s="41">
        <v>0.005</v>
      </c>
      <c r="P31" s="41">
        <v>52.0</v>
      </c>
    </row>
    <row r="32">
      <c r="A32" s="30" t="s">
        <v>501</v>
      </c>
      <c r="B32" s="30" t="s">
        <v>168</v>
      </c>
      <c r="C32" s="30" t="s">
        <v>52</v>
      </c>
      <c r="D32" s="30" t="s">
        <v>172</v>
      </c>
      <c r="E32" s="30" t="s">
        <v>37</v>
      </c>
      <c r="F32" s="30" t="s">
        <v>130</v>
      </c>
      <c r="G32" s="30" t="s">
        <v>38</v>
      </c>
      <c r="H32" s="30" t="s">
        <v>131</v>
      </c>
      <c r="I32" s="30" t="s">
        <v>35</v>
      </c>
      <c r="J32" s="30" t="s">
        <v>534</v>
      </c>
      <c r="K32" s="41">
        <v>5.0</v>
      </c>
      <c r="L32" s="41">
        <v>33.0</v>
      </c>
      <c r="M32" s="41">
        <v>11850.0</v>
      </c>
      <c r="N32" s="41">
        <v>574.0</v>
      </c>
      <c r="O32" s="41">
        <v>0.005</v>
      </c>
      <c r="P32" s="41">
        <v>16000.0</v>
      </c>
    </row>
    <row r="33">
      <c r="A33" s="30" t="s">
        <v>501</v>
      </c>
      <c r="B33" s="30" t="s">
        <v>168</v>
      </c>
      <c r="C33" s="30" t="s">
        <v>52</v>
      </c>
      <c r="D33" s="30" t="s">
        <v>172</v>
      </c>
      <c r="E33" s="30" t="s">
        <v>37</v>
      </c>
      <c r="F33" s="30" t="s">
        <v>130</v>
      </c>
      <c r="G33" s="30" t="s">
        <v>38</v>
      </c>
      <c r="H33" s="30" t="s">
        <v>126</v>
      </c>
      <c r="I33" s="30" t="s">
        <v>35</v>
      </c>
      <c r="J33" s="30" t="s">
        <v>534</v>
      </c>
      <c r="K33" s="41">
        <v>5.0</v>
      </c>
      <c r="L33" s="41">
        <v>32.0</v>
      </c>
      <c r="M33" s="41">
        <v>11250.0</v>
      </c>
      <c r="N33" s="41">
        <v>1102.0</v>
      </c>
      <c r="O33" s="41">
        <v>0.005</v>
      </c>
      <c r="P33" s="41">
        <v>119.0</v>
      </c>
    </row>
    <row r="34">
      <c r="A34" s="30" t="s">
        <v>501</v>
      </c>
      <c r="B34" s="30" t="s">
        <v>168</v>
      </c>
      <c r="C34" s="30" t="s">
        <v>52</v>
      </c>
      <c r="D34" s="30" t="s">
        <v>172</v>
      </c>
      <c r="E34" s="30" t="s">
        <v>37</v>
      </c>
      <c r="F34" s="30" t="s">
        <v>130</v>
      </c>
      <c r="G34" s="30" t="s">
        <v>38</v>
      </c>
      <c r="H34" s="30" t="s">
        <v>144</v>
      </c>
      <c r="I34" s="30" t="s">
        <v>35</v>
      </c>
      <c r="J34" s="30" t="s">
        <v>535</v>
      </c>
      <c r="K34" s="41">
        <v>5.0</v>
      </c>
      <c r="L34" s="41">
        <v>33.0</v>
      </c>
      <c r="M34" s="41">
        <v>11400.0</v>
      </c>
      <c r="N34" s="41">
        <v>1190.0</v>
      </c>
      <c r="O34" s="41">
        <v>0.005</v>
      </c>
      <c r="P34" s="41">
        <v>176.0</v>
      </c>
    </row>
    <row r="35">
      <c r="A35" s="30" t="s">
        <v>501</v>
      </c>
      <c r="B35" s="30" t="s">
        <v>168</v>
      </c>
      <c r="C35" s="30" t="s">
        <v>52</v>
      </c>
      <c r="D35" s="30" t="s">
        <v>172</v>
      </c>
      <c r="E35" s="30" t="s">
        <v>37</v>
      </c>
      <c r="F35" s="30" t="s">
        <v>130</v>
      </c>
      <c r="G35" s="30" t="s">
        <v>38</v>
      </c>
      <c r="H35" s="30" t="s">
        <v>124</v>
      </c>
      <c r="I35" s="30" t="s">
        <v>35</v>
      </c>
      <c r="J35" s="30" t="s">
        <v>536</v>
      </c>
      <c r="K35" s="41">
        <v>5.0</v>
      </c>
      <c r="L35" s="41">
        <v>75.0</v>
      </c>
      <c r="M35" s="41">
        <v>3300.0</v>
      </c>
      <c r="N35" s="41">
        <v>424.0</v>
      </c>
      <c r="O35" s="41">
        <v>0.005</v>
      </c>
      <c r="P35" s="41">
        <v>70.0</v>
      </c>
    </row>
    <row r="36">
      <c r="A36" s="30" t="s">
        <v>501</v>
      </c>
      <c r="B36" s="30" t="s">
        <v>168</v>
      </c>
      <c r="C36" s="30" t="s">
        <v>52</v>
      </c>
      <c r="D36" s="30" t="s">
        <v>172</v>
      </c>
      <c r="E36" s="30" t="s">
        <v>37</v>
      </c>
      <c r="F36" s="30" t="s">
        <v>130</v>
      </c>
      <c r="G36" s="30" t="s">
        <v>38</v>
      </c>
      <c r="H36" s="30" t="s">
        <v>143</v>
      </c>
      <c r="I36" s="30" t="s">
        <v>35</v>
      </c>
      <c r="J36" s="30" t="s">
        <v>536</v>
      </c>
      <c r="K36" s="41">
        <v>5.0</v>
      </c>
      <c r="L36" s="41">
        <v>56.0</v>
      </c>
      <c r="M36" s="41">
        <v>20970.0</v>
      </c>
      <c r="N36" s="41">
        <v>376.0</v>
      </c>
      <c r="O36" s="41">
        <v>0.001</v>
      </c>
      <c r="P36" s="41">
        <v>97.0</v>
      </c>
    </row>
    <row r="37">
      <c r="A37" s="30" t="s">
        <v>502</v>
      </c>
      <c r="B37" s="30" t="s">
        <v>168</v>
      </c>
      <c r="C37" s="30" t="s">
        <v>52</v>
      </c>
      <c r="D37" s="30" t="s">
        <v>172</v>
      </c>
      <c r="E37" s="30" t="s">
        <v>45</v>
      </c>
      <c r="F37" s="30" t="s">
        <v>132</v>
      </c>
      <c r="G37" s="30" t="s">
        <v>232</v>
      </c>
      <c r="H37" s="30" t="s">
        <v>133</v>
      </c>
      <c r="I37" s="30" t="s">
        <v>34</v>
      </c>
      <c r="J37" s="30" t="s">
        <v>531</v>
      </c>
      <c r="K37" s="41">
        <v>10.0</v>
      </c>
      <c r="L37" s="41">
        <v>56.0</v>
      </c>
      <c r="M37" s="41">
        <v>2761.0</v>
      </c>
      <c r="N37" s="41">
        <v>843.0</v>
      </c>
      <c r="O37" s="41">
        <v>0.015</v>
      </c>
      <c r="P37" s="41">
        <v>156.0</v>
      </c>
    </row>
    <row r="38">
      <c r="A38" s="30" t="s">
        <v>502</v>
      </c>
      <c r="B38" s="30" t="s">
        <v>168</v>
      </c>
      <c r="C38" s="30" t="s">
        <v>52</v>
      </c>
      <c r="D38" s="30" t="s">
        <v>172</v>
      </c>
      <c r="E38" s="30" t="s">
        <v>45</v>
      </c>
      <c r="F38" s="30" t="s">
        <v>132</v>
      </c>
      <c r="G38" s="30" t="s">
        <v>232</v>
      </c>
      <c r="H38" s="30" t="s">
        <v>145</v>
      </c>
      <c r="I38" s="30" t="s">
        <v>34</v>
      </c>
      <c r="J38" s="30" t="s">
        <v>532</v>
      </c>
      <c r="K38" s="41">
        <v>10.0</v>
      </c>
      <c r="L38" s="41">
        <v>62.0</v>
      </c>
      <c r="M38" s="41">
        <v>2480.0</v>
      </c>
      <c r="N38" s="41">
        <v>390.0</v>
      </c>
      <c r="O38" s="41">
        <v>0.015</v>
      </c>
      <c r="P38" s="41">
        <v>101.0</v>
      </c>
    </row>
    <row r="39">
      <c r="A39" s="30" t="s">
        <v>502</v>
      </c>
      <c r="B39" s="30" t="s">
        <v>168</v>
      </c>
      <c r="C39" s="30" t="s">
        <v>52</v>
      </c>
      <c r="D39" s="30" t="s">
        <v>172</v>
      </c>
      <c r="E39" s="30" t="s">
        <v>45</v>
      </c>
      <c r="F39" s="30" t="s">
        <v>132</v>
      </c>
      <c r="G39" s="30" t="s">
        <v>232</v>
      </c>
      <c r="H39" s="30" t="s">
        <v>122</v>
      </c>
      <c r="I39" s="30" t="s">
        <v>34</v>
      </c>
      <c r="J39" s="30" t="s">
        <v>533</v>
      </c>
      <c r="K39" s="41">
        <v>10.0</v>
      </c>
      <c r="L39" s="41">
        <v>59.0</v>
      </c>
      <c r="M39" s="41">
        <v>2817.0</v>
      </c>
      <c r="N39" s="41">
        <v>633.0</v>
      </c>
      <c r="O39" s="41">
        <v>0.015</v>
      </c>
      <c r="P39" s="41">
        <v>65.0</v>
      </c>
    </row>
    <row r="40">
      <c r="A40" s="30" t="s">
        <v>502</v>
      </c>
      <c r="B40" s="30" t="s">
        <v>168</v>
      </c>
      <c r="C40" s="30" t="s">
        <v>52</v>
      </c>
      <c r="D40" s="30" t="s">
        <v>172</v>
      </c>
      <c r="E40" s="30" t="s">
        <v>45</v>
      </c>
      <c r="F40" s="30" t="s">
        <v>132</v>
      </c>
      <c r="G40" s="30" t="s">
        <v>232</v>
      </c>
      <c r="H40" s="30" t="s">
        <v>129</v>
      </c>
      <c r="I40" s="30" t="s">
        <v>34</v>
      </c>
      <c r="J40" s="30" t="s">
        <v>533</v>
      </c>
      <c r="K40" s="41">
        <v>10.0</v>
      </c>
      <c r="L40" s="41">
        <v>74.0</v>
      </c>
      <c r="M40" s="41">
        <v>1980.0</v>
      </c>
      <c r="N40" s="41">
        <v>282.0</v>
      </c>
      <c r="O40" s="41">
        <v>0.015</v>
      </c>
      <c r="P40" s="41">
        <v>62.0</v>
      </c>
    </row>
    <row r="41">
      <c r="A41" s="30" t="s">
        <v>502</v>
      </c>
      <c r="B41" s="30" t="s">
        <v>168</v>
      </c>
      <c r="C41" s="30" t="s">
        <v>52</v>
      </c>
      <c r="D41" s="30" t="s">
        <v>172</v>
      </c>
      <c r="E41" s="30" t="s">
        <v>45</v>
      </c>
      <c r="F41" s="30" t="s">
        <v>132</v>
      </c>
      <c r="G41" s="30" t="s">
        <v>232</v>
      </c>
      <c r="H41" s="30" t="s">
        <v>131</v>
      </c>
      <c r="I41" s="30" t="s">
        <v>34</v>
      </c>
      <c r="J41" s="30" t="s">
        <v>534</v>
      </c>
      <c r="K41" s="41">
        <v>10.0</v>
      </c>
      <c r="L41" s="41">
        <v>54.0</v>
      </c>
      <c r="M41" s="41">
        <v>2561.0</v>
      </c>
      <c r="N41" s="41">
        <v>422.0</v>
      </c>
      <c r="O41" s="41">
        <v>0.015</v>
      </c>
      <c r="P41" s="41">
        <v>63.0</v>
      </c>
    </row>
    <row r="42">
      <c r="A42" s="30" t="s">
        <v>502</v>
      </c>
      <c r="B42" s="30" t="s">
        <v>168</v>
      </c>
      <c r="C42" s="30" t="s">
        <v>52</v>
      </c>
      <c r="D42" s="30" t="s">
        <v>172</v>
      </c>
      <c r="E42" s="30" t="s">
        <v>45</v>
      </c>
      <c r="F42" s="30" t="s">
        <v>132</v>
      </c>
      <c r="G42" s="30" t="s">
        <v>232</v>
      </c>
      <c r="H42" s="30" t="s">
        <v>126</v>
      </c>
      <c r="I42" s="30" t="s">
        <v>34</v>
      </c>
      <c r="J42" s="30" t="s">
        <v>534</v>
      </c>
      <c r="K42" s="41">
        <v>10.0</v>
      </c>
      <c r="L42" s="41">
        <v>55.0</v>
      </c>
      <c r="M42" s="41">
        <v>2881.0</v>
      </c>
      <c r="N42" s="41">
        <v>1249.0</v>
      </c>
      <c r="O42" s="41">
        <v>0.015</v>
      </c>
      <c r="P42" s="41">
        <v>144.0</v>
      </c>
    </row>
    <row r="43">
      <c r="A43" s="30" t="s">
        <v>502</v>
      </c>
      <c r="B43" s="30" t="s">
        <v>168</v>
      </c>
      <c r="C43" s="30" t="s">
        <v>52</v>
      </c>
      <c r="D43" s="30" t="s">
        <v>172</v>
      </c>
      <c r="E43" s="30" t="s">
        <v>45</v>
      </c>
      <c r="F43" s="30" t="s">
        <v>132</v>
      </c>
      <c r="G43" s="30" t="s">
        <v>232</v>
      </c>
      <c r="H43" s="30" t="s">
        <v>144</v>
      </c>
      <c r="I43" s="30" t="s">
        <v>34</v>
      </c>
      <c r="J43" s="30" t="s">
        <v>535</v>
      </c>
      <c r="K43" s="41">
        <v>10.0</v>
      </c>
      <c r="L43" s="41">
        <v>54.0</v>
      </c>
      <c r="M43" s="41">
        <v>2561.0</v>
      </c>
      <c r="N43" s="41">
        <v>906.0</v>
      </c>
      <c r="O43" s="41">
        <v>0.015</v>
      </c>
      <c r="P43" s="41">
        <v>116.0</v>
      </c>
    </row>
    <row r="44">
      <c r="A44" s="30" t="s">
        <v>502</v>
      </c>
      <c r="B44" s="30" t="s">
        <v>168</v>
      </c>
      <c r="C44" s="30" t="s">
        <v>52</v>
      </c>
      <c r="D44" s="30" t="s">
        <v>172</v>
      </c>
      <c r="E44" s="30" t="s">
        <v>45</v>
      </c>
      <c r="F44" s="30" t="s">
        <v>132</v>
      </c>
      <c r="G44" s="30" t="s">
        <v>232</v>
      </c>
      <c r="H44" s="30" t="s">
        <v>124</v>
      </c>
      <c r="I44" s="30" t="s">
        <v>34</v>
      </c>
      <c r="J44" s="30" t="s">
        <v>536</v>
      </c>
      <c r="K44" s="41">
        <v>10.0</v>
      </c>
      <c r="L44" s="41">
        <v>63.0</v>
      </c>
      <c r="M44" s="41">
        <v>2201.0</v>
      </c>
      <c r="N44" s="41">
        <v>298.0</v>
      </c>
      <c r="O44" s="41">
        <v>0.015</v>
      </c>
      <c r="P44" s="41">
        <v>55.0</v>
      </c>
    </row>
    <row r="45">
      <c r="A45" s="30" t="s">
        <v>502</v>
      </c>
      <c r="B45" s="30" t="s">
        <v>168</v>
      </c>
      <c r="C45" s="30" t="s">
        <v>52</v>
      </c>
      <c r="D45" s="30" t="s">
        <v>172</v>
      </c>
      <c r="E45" s="30" t="s">
        <v>45</v>
      </c>
      <c r="F45" s="30" t="s">
        <v>132</v>
      </c>
      <c r="G45" s="30" t="s">
        <v>232</v>
      </c>
      <c r="H45" s="30" t="s">
        <v>143</v>
      </c>
      <c r="I45" s="30" t="s">
        <v>34</v>
      </c>
      <c r="J45" s="30" t="s">
        <v>536</v>
      </c>
      <c r="K45" s="41">
        <v>10.0</v>
      </c>
      <c r="L45" s="41">
        <v>57.0</v>
      </c>
      <c r="M45" s="41">
        <v>4700.0</v>
      </c>
      <c r="N45" s="41">
        <v>705.0</v>
      </c>
      <c r="O45" s="41">
        <v>0.0</v>
      </c>
      <c r="P45" s="41">
        <v>97.0</v>
      </c>
    </row>
    <row r="46">
      <c r="A46" s="30" t="s">
        <v>502</v>
      </c>
      <c r="B46" s="30" t="s">
        <v>168</v>
      </c>
      <c r="C46" s="30" t="s">
        <v>52</v>
      </c>
      <c r="D46" s="30" t="s">
        <v>169</v>
      </c>
      <c r="E46" s="30" t="s">
        <v>45</v>
      </c>
      <c r="F46" s="30" t="s">
        <v>132</v>
      </c>
      <c r="G46" s="30" t="s">
        <v>232</v>
      </c>
      <c r="H46" s="30" t="s">
        <v>145</v>
      </c>
      <c r="I46" s="30" t="s">
        <v>35</v>
      </c>
      <c r="J46" s="30" t="s">
        <v>532</v>
      </c>
      <c r="K46" s="41">
        <v>10.0</v>
      </c>
      <c r="L46" s="41">
        <v>46.0</v>
      </c>
      <c r="M46" s="41">
        <v>13683.0</v>
      </c>
      <c r="N46" s="41">
        <v>1157.0</v>
      </c>
      <c r="O46" s="41">
        <v>0.004</v>
      </c>
      <c r="P46" s="41">
        <v>684.0</v>
      </c>
    </row>
    <row r="47">
      <c r="A47" s="30" t="s">
        <v>502</v>
      </c>
      <c r="B47" s="30" t="s">
        <v>168</v>
      </c>
      <c r="C47" s="30" t="s">
        <v>52</v>
      </c>
      <c r="D47" s="30" t="s">
        <v>169</v>
      </c>
      <c r="E47" s="30" t="s">
        <v>45</v>
      </c>
      <c r="F47" s="30" t="s">
        <v>132</v>
      </c>
      <c r="G47" s="30" t="s">
        <v>232</v>
      </c>
      <c r="H47" s="30" t="s">
        <v>122</v>
      </c>
      <c r="I47" s="30" t="s">
        <v>35</v>
      </c>
      <c r="J47" s="30" t="s">
        <v>533</v>
      </c>
      <c r="K47" s="41">
        <v>10.0</v>
      </c>
      <c r="L47" s="41">
        <v>31.0</v>
      </c>
      <c r="M47" s="41">
        <v>11033.0</v>
      </c>
      <c r="N47" s="41">
        <v>1149.0</v>
      </c>
      <c r="O47" s="41">
        <v>0.004</v>
      </c>
      <c r="P47" s="41">
        <v>422.0</v>
      </c>
    </row>
    <row r="48">
      <c r="A48" s="30" t="s">
        <v>502</v>
      </c>
      <c r="B48" s="30" t="s">
        <v>168</v>
      </c>
      <c r="C48" s="30" t="s">
        <v>52</v>
      </c>
      <c r="D48" s="30" t="s">
        <v>169</v>
      </c>
      <c r="E48" s="30" t="s">
        <v>45</v>
      </c>
      <c r="F48" s="30" t="s">
        <v>132</v>
      </c>
      <c r="G48" s="30" t="s">
        <v>232</v>
      </c>
      <c r="H48" s="30" t="s">
        <v>129</v>
      </c>
      <c r="I48" s="30" t="s">
        <v>35</v>
      </c>
      <c r="J48" s="30" t="s">
        <v>533</v>
      </c>
      <c r="K48" s="41">
        <v>10.0</v>
      </c>
      <c r="L48" s="41">
        <v>34.0</v>
      </c>
      <c r="M48" s="41">
        <v>10969.0</v>
      </c>
      <c r="N48" s="41">
        <v>1078.0</v>
      </c>
      <c r="O48" s="41">
        <v>0.004</v>
      </c>
      <c r="P48" s="41">
        <v>728.0</v>
      </c>
    </row>
    <row r="49">
      <c r="A49" s="30" t="s">
        <v>502</v>
      </c>
      <c r="B49" s="30" t="s">
        <v>168</v>
      </c>
      <c r="C49" s="30" t="s">
        <v>52</v>
      </c>
      <c r="D49" s="30" t="s">
        <v>169</v>
      </c>
      <c r="E49" s="30" t="s">
        <v>45</v>
      </c>
      <c r="F49" s="30" t="s">
        <v>132</v>
      </c>
      <c r="G49" s="30" t="s">
        <v>232</v>
      </c>
      <c r="H49" s="30" t="s">
        <v>131</v>
      </c>
      <c r="I49" s="30" t="s">
        <v>35</v>
      </c>
      <c r="J49" s="30" t="s">
        <v>534</v>
      </c>
      <c r="K49" s="41">
        <v>10.0</v>
      </c>
      <c r="L49" s="41">
        <v>28.0</v>
      </c>
      <c r="M49" s="41">
        <v>11010.0</v>
      </c>
      <c r="N49" s="41">
        <v>1049.0</v>
      </c>
      <c r="O49" s="41">
        <v>0.004</v>
      </c>
      <c r="P49" s="41">
        <v>339.0</v>
      </c>
    </row>
    <row r="50">
      <c r="A50" s="30" t="s">
        <v>502</v>
      </c>
      <c r="B50" s="30" t="s">
        <v>168</v>
      </c>
      <c r="C50" s="30" t="s">
        <v>52</v>
      </c>
      <c r="D50" s="30" t="s">
        <v>169</v>
      </c>
      <c r="E50" s="30" t="s">
        <v>45</v>
      </c>
      <c r="F50" s="30" t="s">
        <v>132</v>
      </c>
      <c r="G50" s="30" t="s">
        <v>232</v>
      </c>
      <c r="H50" s="30" t="s">
        <v>126</v>
      </c>
      <c r="I50" s="30" t="s">
        <v>35</v>
      </c>
      <c r="J50" s="30" t="s">
        <v>534</v>
      </c>
      <c r="K50" s="41">
        <v>10.0</v>
      </c>
      <c r="L50" s="41">
        <v>30.0</v>
      </c>
      <c r="M50" s="41">
        <v>11296.0</v>
      </c>
      <c r="N50" s="41">
        <v>1467.0</v>
      </c>
      <c r="O50" s="41">
        <v>0.004</v>
      </c>
      <c r="P50" s="41">
        <v>1094.0</v>
      </c>
    </row>
    <row r="51">
      <c r="A51" s="30" t="s">
        <v>502</v>
      </c>
      <c r="B51" s="30" t="s">
        <v>168</v>
      </c>
      <c r="C51" s="30" t="s">
        <v>52</v>
      </c>
      <c r="D51" s="30" t="s">
        <v>169</v>
      </c>
      <c r="E51" s="30" t="s">
        <v>45</v>
      </c>
      <c r="F51" s="30" t="s">
        <v>132</v>
      </c>
      <c r="G51" s="30" t="s">
        <v>232</v>
      </c>
      <c r="H51" s="30" t="s">
        <v>144</v>
      </c>
      <c r="I51" s="30" t="s">
        <v>35</v>
      </c>
      <c r="J51" s="30" t="s">
        <v>535</v>
      </c>
      <c r="K51" s="41">
        <v>10.0</v>
      </c>
      <c r="L51" s="41">
        <v>31.0</v>
      </c>
      <c r="M51" s="41">
        <v>11263.0</v>
      </c>
      <c r="N51" s="41">
        <v>1574.0</v>
      </c>
      <c r="O51" s="41">
        <v>0.004</v>
      </c>
      <c r="P51" s="41">
        <v>366.0</v>
      </c>
    </row>
    <row r="52">
      <c r="A52" s="30" t="s">
        <v>502</v>
      </c>
      <c r="B52" s="30" t="s">
        <v>168</v>
      </c>
      <c r="C52" s="30" t="s">
        <v>52</v>
      </c>
      <c r="D52" s="30" t="s">
        <v>169</v>
      </c>
      <c r="E52" s="30" t="s">
        <v>45</v>
      </c>
      <c r="F52" s="30" t="s">
        <v>132</v>
      </c>
      <c r="G52" s="30" t="s">
        <v>232</v>
      </c>
      <c r="H52" s="30" t="s">
        <v>124</v>
      </c>
      <c r="I52" s="30" t="s">
        <v>35</v>
      </c>
      <c r="J52" s="30" t="s">
        <v>536</v>
      </c>
      <c r="K52" s="41">
        <v>10.0</v>
      </c>
      <c r="L52" s="41">
        <v>33.0</v>
      </c>
      <c r="M52" s="41">
        <v>10957.0</v>
      </c>
      <c r="N52" s="41">
        <v>960.0</v>
      </c>
      <c r="O52" s="41">
        <v>0.004</v>
      </c>
      <c r="P52" s="41">
        <v>840.0</v>
      </c>
    </row>
    <row r="53">
      <c r="A53" s="30" t="s">
        <v>502</v>
      </c>
      <c r="B53" s="30" t="s">
        <v>168</v>
      </c>
      <c r="C53" s="30" t="s">
        <v>52</v>
      </c>
      <c r="D53" s="30" t="s">
        <v>172</v>
      </c>
      <c r="E53" s="30" t="s">
        <v>45</v>
      </c>
      <c r="F53" s="30" t="s">
        <v>132</v>
      </c>
      <c r="G53" s="30" t="s">
        <v>232</v>
      </c>
      <c r="H53" s="30" t="s">
        <v>133</v>
      </c>
      <c r="I53" s="30" t="s">
        <v>35</v>
      </c>
      <c r="J53" s="30" t="s">
        <v>531</v>
      </c>
      <c r="K53" s="41">
        <v>10.0</v>
      </c>
      <c r="L53" s="41">
        <v>41.0</v>
      </c>
      <c r="M53" s="41">
        <v>14564.0</v>
      </c>
      <c r="N53" s="41">
        <v>853.0</v>
      </c>
      <c r="O53" s="41">
        <v>0.005</v>
      </c>
      <c r="P53" s="41">
        <v>71.0</v>
      </c>
    </row>
    <row r="54">
      <c r="A54" s="30" t="s">
        <v>502</v>
      </c>
      <c r="B54" s="30" t="s">
        <v>168</v>
      </c>
      <c r="C54" s="30" t="s">
        <v>52</v>
      </c>
      <c r="D54" s="30" t="s">
        <v>172</v>
      </c>
      <c r="E54" s="30" t="s">
        <v>45</v>
      </c>
      <c r="F54" s="30" t="s">
        <v>132</v>
      </c>
      <c r="G54" s="30" t="s">
        <v>232</v>
      </c>
      <c r="H54" s="30" t="s">
        <v>145</v>
      </c>
      <c r="I54" s="30" t="s">
        <v>35</v>
      </c>
      <c r="J54" s="30" t="s">
        <v>532</v>
      </c>
      <c r="K54" s="41">
        <v>10.0</v>
      </c>
      <c r="L54" s="41">
        <v>46.0</v>
      </c>
      <c r="M54" s="41">
        <v>13351.0</v>
      </c>
      <c r="N54" s="41">
        <v>334.0</v>
      </c>
      <c r="O54" s="41">
        <v>0.005</v>
      </c>
      <c r="P54" s="41">
        <v>49000.0</v>
      </c>
    </row>
    <row r="55">
      <c r="A55" s="30" t="s">
        <v>502</v>
      </c>
      <c r="B55" s="30" t="s">
        <v>168</v>
      </c>
      <c r="C55" s="30" t="s">
        <v>52</v>
      </c>
      <c r="D55" s="30" t="s">
        <v>172</v>
      </c>
      <c r="E55" s="30" t="s">
        <v>45</v>
      </c>
      <c r="F55" s="30" t="s">
        <v>132</v>
      </c>
      <c r="G55" s="30" t="s">
        <v>232</v>
      </c>
      <c r="H55" s="30" t="s">
        <v>122</v>
      </c>
      <c r="I55" s="30" t="s">
        <v>35</v>
      </c>
      <c r="J55" s="30" t="s">
        <v>533</v>
      </c>
      <c r="K55" s="41">
        <v>10.0</v>
      </c>
      <c r="L55" s="41">
        <v>44.0</v>
      </c>
      <c r="M55" s="41">
        <v>19666.0</v>
      </c>
      <c r="N55" s="41">
        <v>450.0</v>
      </c>
      <c r="O55" s="41">
        <v>0.005</v>
      </c>
      <c r="P55" s="41">
        <v>20000.0</v>
      </c>
    </row>
    <row r="56">
      <c r="A56" s="30" t="s">
        <v>502</v>
      </c>
      <c r="B56" s="30" t="s">
        <v>168</v>
      </c>
      <c r="C56" s="30" t="s">
        <v>52</v>
      </c>
      <c r="D56" s="30" t="s">
        <v>172</v>
      </c>
      <c r="E56" s="30" t="s">
        <v>45</v>
      </c>
      <c r="F56" s="30" t="s">
        <v>132</v>
      </c>
      <c r="G56" s="30" t="s">
        <v>232</v>
      </c>
      <c r="H56" s="30" t="s">
        <v>129</v>
      </c>
      <c r="I56" s="30" t="s">
        <v>35</v>
      </c>
      <c r="J56" s="30" t="s">
        <v>533</v>
      </c>
      <c r="K56" s="41">
        <v>10.0</v>
      </c>
      <c r="L56" s="41">
        <v>47.0</v>
      </c>
      <c r="M56" s="41">
        <v>11701.0</v>
      </c>
      <c r="N56" s="41">
        <v>395.0</v>
      </c>
      <c r="O56" s="41">
        <v>0.005</v>
      </c>
      <c r="P56" s="41">
        <v>43000.0</v>
      </c>
    </row>
    <row r="57">
      <c r="A57" s="30" t="s">
        <v>502</v>
      </c>
      <c r="B57" s="30" t="s">
        <v>168</v>
      </c>
      <c r="C57" s="30" t="s">
        <v>52</v>
      </c>
      <c r="D57" s="30" t="s">
        <v>172</v>
      </c>
      <c r="E57" s="30" t="s">
        <v>45</v>
      </c>
      <c r="F57" s="30" t="s">
        <v>132</v>
      </c>
      <c r="G57" s="30" t="s">
        <v>232</v>
      </c>
      <c r="H57" s="30" t="s">
        <v>131</v>
      </c>
      <c r="I57" s="30" t="s">
        <v>35</v>
      </c>
      <c r="J57" s="30" t="s">
        <v>534</v>
      </c>
      <c r="K57" s="41">
        <v>10.0</v>
      </c>
      <c r="L57" s="41">
        <v>66.0</v>
      </c>
      <c r="M57" s="41">
        <v>16302.0</v>
      </c>
      <c r="N57" s="41">
        <v>494.0</v>
      </c>
      <c r="O57" s="41">
        <v>0.005</v>
      </c>
      <c r="P57" s="41">
        <v>116.0</v>
      </c>
    </row>
    <row r="58">
      <c r="A58" s="30" t="s">
        <v>502</v>
      </c>
      <c r="B58" s="30" t="s">
        <v>168</v>
      </c>
      <c r="C58" s="30" t="s">
        <v>52</v>
      </c>
      <c r="D58" s="30" t="s">
        <v>172</v>
      </c>
      <c r="E58" s="30" t="s">
        <v>45</v>
      </c>
      <c r="F58" s="30" t="s">
        <v>132</v>
      </c>
      <c r="G58" s="30" t="s">
        <v>232</v>
      </c>
      <c r="H58" s="30" t="s">
        <v>126</v>
      </c>
      <c r="I58" s="30" t="s">
        <v>35</v>
      </c>
      <c r="J58" s="30" t="s">
        <v>534</v>
      </c>
      <c r="K58" s="41">
        <v>10.0</v>
      </c>
      <c r="L58" s="41">
        <v>36.0</v>
      </c>
      <c r="M58" s="41">
        <v>18001.0</v>
      </c>
      <c r="N58" s="41">
        <v>945.0</v>
      </c>
      <c r="O58" s="41">
        <v>0.005</v>
      </c>
      <c r="P58" s="41">
        <v>105.0</v>
      </c>
    </row>
    <row r="59">
      <c r="A59" s="30" t="s">
        <v>502</v>
      </c>
      <c r="B59" s="30" t="s">
        <v>168</v>
      </c>
      <c r="C59" s="30" t="s">
        <v>52</v>
      </c>
      <c r="D59" s="30" t="s">
        <v>172</v>
      </c>
      <c r="E59" s="30" t="s">
        <v>45</v>
      </c>
      <c r="F59" s="30" t="s">
        <v>132</v>
      </c>
      <c r="G59" s="30" t="s">
        <v>232</v>
      </c>
      <c r="H59" s="30" t="s">
        <v>144</v>
      </c>
      <c r="I59" s="30" t="s">
        <v>35</v>
      </c>
      <c r="J59" s="30" t="s">
        <v>535</v>
      </c>
      <c r="K59" s="41">
        <v>10.0</v>
      </c>
      <c r="L59" s="41">
        <v>40.0</v>
      </c>
      <c r="M59" s="41">
        <v>14326.0</v>
      </c>
      <c r="N59" s="41">
        <v>953.0</v>
      </c>
      <c r="O59" s="41">
        <v>0.005</v>
      </c>
      <c r="P59" s="41">
        <v>185.0</v>
      </c>
    </row>
    <row r="60">
      <c r="A60" s="30" t="s">
        <v>502</v>
      </c>
      <c r="B60" s="30" t="s">
        <v>168</v>
      </c>
      <c r="C60" s="30" t="s">
        <v>52</v>
      </c>
      <c r="D60" s="30" t="s">
        <v>172</v>
      </c>
      <c r="E60" s="30" t="s">
        <v>45</v>
      </c>
      <c r="F60" s="30" t="s">
        <v>132</v>
      </c>
      <c r="G60" s="30" t="s">
        <v>232</v>
      </c>
      <c r="H60" s="30" t="s">
        <v>124</v>
      </c>
      <c r="I60" s="30" t="s">
        <v>35</v>
      </c>
      <c r="J60" s="30" t="s">
        <v>536</v>
      </c>
      <c r="K60" s="41">
        <v>10.0</v>
      </c>
      <c r="L60" s="41">
        <v>76.0</v>
      </c>
      <c r="M60" s="41">
        <v>11251.0</v>
      </c>
      <c r="N60" s="41">
        <v>430.0</v>
      </c>
      <c r="O60" s="41">
        <v>0.005</v>
      </c>
      <c r="P60" s="41">
        <v>44000.0</v>
      </c>
    </row>
    <row r="61">
      <c r="A61" s="30" t="s">
        <v>502</v>
      </c>
      <c r="B61" s="30" t="s">
        <v>168</v>
      </c>
      <c r="C61" s="30" t="s">
        <v>52</v>
      </c>
      <c r="D61" s="30" t="s">
        <v>172</v>
      </c>
      <c r="E61" s="30" t="s">
        <v>45</v>
      </c>
      <c r="F61" s="30" t="s">
        <v>132</v>
      </c>
      <c r="G61" s="30" t="s">
        <v>232</v>
      </c>
      <c r="H61" s="30" t="s">
        <v>143</v>
      </c>
      <c r="I61" s="30" t="s">
        <v>35</v>
      </c>
      <c r="J61" s="30" t="s">
        <v>536</v>
      </c>
      <c r="K61" s="41">
        <v>10.0</v>
      </c>
      <c r="L61" s="41">
        <v>56.0</v>
      </c>
      <c r="M61" s="41">
        <v>19801.0</v>
      </c>
      <c r="N61" s="41">
        <v>511.0</v>
      </c>
      <c r="O61" s="41">
        <v>0.001</v>
      </c>
      <c r="P61" s="41">
        <v>90.0</v>
      </c>
    </row>
    <row r="62">
      <c r="A62" s="30" t="s">
        <v>503</v>
      </c>
      <c r="B62" s="30" t="s">
        <v>168</v>
      </c>
      <c r="C62" s="30" t="s">
        <v>52</v>
      </c>
      <c r="D62" s="30" t="s">
        <v>172</v>
      </c>
      <c r="E62" s="30" t="s">
        <v>45</v>
      </c>
      <c r="F62" s="30" t="s">
        <v>123</v>
      </c>
      <c r="G62" s="30" t="s">
        <v>232</v>
      </c>
      <c r="H62" s="30" t="s">
        <v>133</v>
      </c>
      <c r="I62" s="30" t="s">
        <v>34</v>
      </c>
      <c r="J62" s="30" t="s">
        <v>531</v>
      </c>
      <c r="K62" s="41">
        <v>10.0</v>
      </c>
      <c r="L62" s="41">
        <v>56.0</v>
      </c>
      <c r="M62" s="41">
        <v>2661.0</v>
      </c>
      <c r="N62" s="41">
        <v>538.0</v>
      </c>
      <c r="O62" s="41">
        <v>0.015</v>
      </c>
      <c r="P62" s="41">
        <v>65.0</v>
      </c>
    </row>
    <row r="63">
      <c r="A63" s="30" t="s">
        <v>503</v>
      </c>
      <c r="B63" s="30" t="s">
        <v>168</v>
      </c>
      <c r="C63" s="30" t="s">
        <v>52</v>
      </c>
      <c r="D63" s="30" t="s">
        <v>172</v>
      </c>
      <c r="E63" s="30" t="s">
        <v>45</v>
      </c>
      <c r="F63" s="30" t="s">
        <v>123</v>
      </c>
      <c r="G63" s="30" t="s">
        <v>232</v>
      </c>
      <c r="H63" s="30" t="s">
        <v>145</v>
      </c>
      <c r="I63" s="30" t="s">
        <v>34</v>
      </c>
      <c r="J63" s="30" t="s">
        <v>532</v>
      </c>
      <c r="K63" s="41">
        <v>10.0</v>
      </c>
      <c r="L63" s="41">
        <v>87.0</v>
      </c>
      <c r="M63" s="41">
        <v>921.0</v>
      </c>
      <c r="N63" s="41">
        <v>246.0</v>
      </c>
      <c r="O63" s="41">
        <v>0.015</v>
      </c>
      <c r="P63" s="41">
        <v>88.0</v>
      </c>
    </row>
    <row r="64">
      <c r="A64" s="30" t="s">
        <v>503</v>
      </c>
      <c r="B64" s="30" t="s">
        <v>168</v>
      </c>
      <c r="C64" s="30" t="s">
        <v>52</v>
      </c>
      <c r="D64" s="30" t="s">
        <v>172</v>
      </c>
      <c r="E64" s="30" t="s">
        <v>45</v>
      </c>
      <c r="F64" s="30" t="s">
        <v>123</v>
      </c>
      <c r="G64" s="30" t="s">
        <v>232</v>
      </c>
      <c r="H64" s="30" t="s">
        <v>122</v>
      </c>
      <c r="I64" s="30" t="s">
        <v>34</v>
      </c>
      <c r="J64" s="30" t="s">
        <v>533</v>
      </c>
      <c r="K64" s="41">
        <v>10.0</v>
      </c>
      <c r="L64" s="41">
        <v>82.0</v>
      </c>
      <c r="M64" s="41">
        <v>1024.0</v>
      </c>
      <c r="N64" s="41">
        <v>363.0</v>
      </c>
      <c r="O64" s="41">
        <v>0.015</v>
      </c>
      <c r="P64" s="41">
        <v>59.0</v>
      </c>
    </row>
    <row r="65">
      <c r="A65" s="30" t="s">
        <v>503</v>
      </c>
      <c r="B65" s="30" t="s">
        <v>168</v>
      </c>
      <c r="C65" s="30" t="s">
        <v>52</v>
      </c>
      <c r="D65" s="30" t="s">
        <v>172</v>
      </c>
      <c r="E65" s="30" t="s">
        <v>45</v>
      </c>
      <c r="F65" s="30" t="s">
        <v>123</v>
      </c>
      <c r="G65" s="30" t="s">
        <v>232</v>
      </c>
      <c r="H65" s="30" t="s">
        <v>129</v>
      </c>
      <c r="I65" s="30" t="s">
        <v>34</v>
      </c>
      <c r="J65" s="30" t="s">
        <v>533</v>
      </c>
      <c r="K65" s="41">
        <v>10.0</v>
      </c>
      <c r="L65" s="41">
        <v>67.0</v>
      </c>
      <c r="M65" s="41">
        <v>2385.0</v>
      </c>
      <c r="N65" s="41">
        <v>303.0</v>
      </c>
      <c r="O65" s="41">
        <v>0.015</v>
      </c>
      <c r="P65" s="41">
        <v>48000.0</v>
      </c>
    </row>
    <row r="66">
      <c r="A66" s="30" t="s">
        <v>503</v>
      </c>
      <c r="B66" s="30" t="s">
        <v>168</v>
      </c>
      <c r="C66" s="30" t="s">
        <v>52</v>
      </c>
      <c r="D66" s="30" t="s">
        <v>172</v>
      </c>
      <c r="E66" s="30" t="s">
        <v>45</v>
      </c>
      <c r="F66" s="30" t="s">
        <v>123</v>
      </c>
      <c r="G66" s="30" t="s">
        <v>232</v>
      </c>
      <c r="H66" s="30" t="s">
        <v>131</v>
      </c>
      <c r="I66" s="30" t="s">
        <v>34</v>
      </c>
      <c r="J66" s="30" t="s">
        <v>534</v>
      </c>
      <c r="K66" s="41">
        <v>10.0</v>
      </c>
      <c r="L66" s="41">
        <v>64.0</v>
      </c>
      <c r="M66" s="41">
        <v>2281.0</v>
      </c>
      <c r="N66" s="41">
        <v>292.0</v>
      </c>
      <c r="O66" s="41">
        <v>0.015</v>
      </c>
      <c r="P66" s="41">
        <v>47000.0</v>
      </c>
    </row>
    <row r="67">
      <c r="A67" s="30" t="s">
        <v>503</v>
      </c>
      <c r="B67" s="30" t="s">
        <v>168</v>
      </c>
      <c r="C67" s="30" t="s">
        <v>52</v>
      </c>
      <c r="D67" s="30" t="s">
        <v>172</v>
      </c>
      <c r="E67" s="30" t="s">
        <v>45</v>
      </c>
      <c r="F67" s="30" t="s">
        <v>123</v>
      </c>
      <c r="G67" s="30" t="s">
        <v>232</v>
      </c>
      <c r="H67" s="30" t="s">
        <v>126</v>
      </c>
      <c r="I67" s="30" t="s">
        <v>34</v>
      </c>
      <c r="J67" s="30" t="s">
        <v>534</v>
      </c>
      <c r="K67" s="41">
        <v>10.0</v>
      </c>
      <c r="L67" s="41">
        <v>55.0</v>
      </c>
      <c r="M67" s="41">
        <v>2141.0</v>
      </c>
      <c r="N67" s="41">
        <v>701.0</v>
      </c>
      <c r="O67" s="41">
        <v>0.015</v>
      </c>
      <c r="P67" s="41">
        <v>146.0</v>
      </c>
    </row>
    <row r="68">
      <c r="A68" s="30" t="s">
        <v>503</v>
      </c>
      <c r="B68" s="30" t="s">
        <v>168</v>
      </c>
      <c r="C68" s="30" t="s">
        <v>52</v>
      </c>
      <c r="D68" s="30" t="s">
        <v>172</v>
      </c>
      <c r="E68" s="30" t="s">
        <v>45</v>
      </c>
      <c r="F68" s="30" t="s">
        <v>123</v>
      </c>
      <c r="G68" s="30" t="s">
        <v>232</v>
      </c>
      <c r="H68" s="30" t="s">
        <v>144</v>
      </c>
      <c r="I68" s="30" t="s">
        <v>34</v>
      </c>
      <c r="J68" s="30" t="s">
        <v>535</v>
      </c>
      <c r="K68" s="41">
        <v>10.0</v>
      </c>
      <c r="L68" s="41">
        <v>56.0</v>
      </c>
      <c r="M68" s="41">
        <v>2421.0</v>
      </c>
      <c r="N68" s="41">
        <v>583.0</v>
      </c>
      <c r="O68" s="41">
        <v>0.015</v>
      </c>
      <c r="P68" s="41">
        <v>49000.0</v>
      </c>
    </row>
    <row r="69">
      <c r="A69" s="30" t="s">
        <v>503</v>
      </c>
      <c r="B69" s="30" t="s">
        <v>168</v>
      </c>
      <c r="C69" s="30" t="s">
        <v>52</v>
      </c>
      <c r="D69" s="30" t="s">
        <v>172</v>
      </c>
      <c r="E69" s="30" t="s">
        <v>45</v>
      </c>
      <c r="F69" s="30" t="s">
        <v>123</v>
      </c>
      <c r="G69" s="30" t="s">
        <v>232</v>
      </c>
      <c r="H69" s="30" t="s">
        <v>124</v>
      </c>
      <c r="I69" s="30" t="s">
        <v>34</v>
      </c>
      <c r="J69" s="30" t="s">
        <v>536</v>
      </c>
      <c r="K69" s="41">
        <v>10.0</v>
      </c>
      <c r="L69" s="41">
        <v>62.0</v>
      </c>
      <c r="M69" s="41">
        <v>2001.0</v>
      </c>
      <c r="N69" s="41">
        <v>306.0</v>
      </c>
      <c r="O69" s="41">
        <v>0.015</v>
      </c>
      <c r="P69" s="41">
        <v>45000.0</v>
      </c>
    </row>
    <row r="70">
      <c r="A70" s="30" t="s">
        <v>503</v>
      </c>
      <c r="B70" s="30" t="s">
        <v>168</v>
      </c>
      <c r="C70" s="30" t="s">
        <v>52</v>
      </c>
      <c r="D70" s="30" t="s">
        <v>172</v>
      </c>
      <c r="E70" s="30" t="s">
        <v>45</v>
      </c>
      <c r="F70" s="30" t="s">
        <v>123</v>
      </c>
      <c r="G70" s="30" t="s">
        <v>232</v>
      </c>
      <c r="H70" s="30" t="s">
        <v>143</v>
      </c>
      <c r="I70" s="30" t="s">
        <v>34</v>
      </c>
      <c r="J70" s="30" t="s">
        <v>536</v>
      </c>
      <c r="K70" s="41">
        <v>10.0</v>
      </c>
      <c r="L70" s="41">
        <v>61.0</v>
      </c>
      <c r="M70" s="41">
        <v>4240.0</v>
      </c>
      <c r="N70" s="41">
        <v>349.0</v>
      </c>
      <c r="O70" s="41">
        <v>0.001</v>
      </c>
      <c r="P70" s="41">
        <v>19000.0</v>
      </c>
    </row>
    <row r="71">
      <c r="A71" s="30" t="s">
        <v>503</v>
      </c>
      <c r="B71" s="30" t="s">
        <v>168</v>
      </c>
      <c r="C71" s="30" t="s">
        <v>52</v>
      </c>
      <c r="D71" s="30" t="s">
        <v>172</v>
      </c>
      <c r="E71" s="30" t="s">
        <v>45</v>
      </c>
      <c r="F71" s="30" t="s">
        <v>123</v>
      </c>
      <c r="G71" s="30" t="s">
        <v>232</v>
      </c>
      <c r="H71" s="30" t="s">
        <v>133</v>
      </c>
      <c r="I71" s="30" t="s">
        <v>35</v>
      </c>
      <c r="J71" s="30" t="s">
        <v>531</v>
      </c>
      <c r="K71" s="41">
        <v>10.0</v>
      </c>
      <c r="L71" s="41">
        <v>38.0</v>
      </c>
      <c r="M71" s="41">
        <v>11251.0</v>
      </c>
      <c r="N71" s="41">
        <v>816.0</v>
      </c>
      <c r="O71" s="41">
        <v>0.005</v>
      </c>
      <c r="P71" s="41">
        <v>64.0</v>
      </c>
    </row>
    <row r="72">
      <c r="A72" s="30" t="s">
        <v>503</v>
      </c>
      <c r="B72" s="30" t="s">
        <v>168</v>
      </c>
      <c r="C72" s="30" t="s">
        <v>52</v>
      </c>
      <c r="D72" s="30" t="s">
        <v>172</v>
      </c>
      <c r="E72" s="30" t="s">
        <v>45</v>
      </c>
      <c r="F72" s="30" t="s">
        <v>123</v>
      </c>
      <c r="G72" s="30" t="s">
        <v>232</v>
      </c>
      <c r="H72" s="30" t="s">
        <v>145</v>
      </c>
      <c r="I72" s="30" t="s">
        <v>35</v>
      </c>
      <c r="J72" s="30" t="s">
        <v>532</v>
      </c>
      <c r="K72" s="41">
        <v>10.0</v>
      </c>
      <c r="L72" s="41">
        <v>48.0</v>
      </c>
      <c r="M72" s="41">
        <v>11851.0</v>
      </c>
      <c r="N72" s="41">
        <v>289.0</v>
      </c>
      <c r="O72" s="41">
        <v>0.005</v>
      </c>
      <c r="P72" s="41">
        <v>49000.0</v>
      </c>
    </row>
    <row r="73">
      <c r="A73" s="30" t="s">
        <v>503</v>
      </c>
      <c r="B73" s="30" t="s">
        <v>168</v>
      </c>
      <c r="C73" s="30" t="s">
        <v>52</v>
      </c>
      <c r="D73" s="30" t="s">
        <v>172</v>
      </c>
      <c r="E73" s="30" t="s">
        <v>45</v>
      </c>
      <c r="F73" s="30" t="s">
        <v>123</v>
      </c>
      <c r="G73" s="30" t="s">
        <v>232</v>
      </c>
      <c r="H73" s="30" t="s">
        <v>122</v>
      </c>
      <c r="I73" s="30" t="s">
        <v>35</v>
      </c>
      <c r="J73" s="30" t="s">
        <v>533</v>
      </c>
      <c r="K73" s="41">
        <v>10.0</v>
      </c>
      <c r="L73" s="41">
        <v>69.0</v>
      </c>
      <c r="M73" s="41">
        <v>3186.0</v>
      </c>
      <c r="N73" s="41">
        <v>460.0</v>
      </c>
      <c r="O73" s="41">
        <v>0.005</v>
      </c>
      <c r="P73" s="41">
        <v>63.0</v>
      </c>
    </row>
    <row r="74">
      <c r="A74" s="30" t="s">
        <v>503</v>
      </c>
      <c r="B74" s="30" t="s">
        <v>168</v>
      </c>
      <c r="C74" s="30" t="s">
        <v>52</v>
      </c>
      <c r="D74" s="30" t="s">
        <v>172</v>
      </c>
      <c r="E74" s="30" t="s">
        <v>45</v>
      </c>
      <c r="F74" s="30" t="s">
        <v>123</v>
      </c>
      <c r="G74" s="30" t="s">
        <v>232</v>
      </c>
      <c r="H74" s="30" t="s">
        <v>129</v>
      </c>
      <c r="I74" s="30" t="s">
        <v>35</v>
      </c>
      <c r="J74" s="30" t="s">
        <v>533</v>
      </c>
      <c r="K74" s="41">
        <v>10.0</v>
      </c>
      <c r="L74" s="41">
        <v>48.0</v>
      </c>
      <c r="M74" s="41">
        <v>11701.0</v>
      </c>
      <c r="N74" s="41">
        <v>342.0</v>
      </c>
      <c r="O74" s="41">
        <v>0.005</v>
      </c>
      <c r="P74" s="41">
        <v>65.0</v>
      </c>
    </row>
    <row r="75">
      <c r="A75" s="30" t="s">
        <v>503</v>
      </c>
      <c r="B75" s="30" t="s">
        <v>168</v>
      </c>
      <c r="C75" s="30" t="s">
        <v>52</v>
      </c>
      <c r="D75" s="30" t="s">
        <v>172</v>
      </c>
      <c r="E75" s="30" t="s">
        <v>45</v>
      </c>
      <c r="F75" s="30" t="s">
        <v>123</v>
      </c>
      <c r="G75" s="30" t="s">
        <v>232</v>
      </c>
      <c r="H75" s="30" t="s">
        <v>131</v>
      </c>
      <c r="I75" s="30" t="s">
        <v>35</v>
      </c>
      <c r="J75" s="30" t="s">
        <v>534</v>
      </c>
      <c r="K75" s="41">
        <v>10.0</v>
      </c>
      <c r="L75" s="41">
        <v>38.0</v>
      </c>
      <c r="M75" s="41">
        <v>10951.0</v>
      </c>
      <c r="N75" s="41">
        <v>420.0</v>
      </c>
      <c r="O75" s="41">
        <v>0.005</v>
      </c>
      <c r="P75" s="41">
        <v>100.0</v>
      </c>
    </row>
    <row r="76">
      <c r="A76" s="30" t="s">
        <v>503</v>
      </c>
      <c r="B76" s="30" t="s">
        <v>168</v>
      </c>
      <c r="C76" s="30" t="s">
        <v>52</v>
      </c>
      <c r="D76" s="30" t="s">
        <v>172</v>
      </c>
      <c r="E76" s="30" t="s">
        <v>45</v>
      </c>
      <c r="F76" s="30" t="s">
        <v>123</v>
      </c>
      <c r="G76" s="30" t="s">
        <v>232</v>
      </c>
      <c r="H76" s="30" t="s">
        <v>126</v>
      </c>
      <c r="I76" s="30" t="s">
        <v>35</v>
      </c>
      <c r="J76" s="30" t="s">
        <v>534</v>
      </c>
      <c r="K76" s="41">
        <v>10.0</v>
      </c>
      <c r="L76" s="41">
        <v>63.0</v>
      </c>
      <c r="M76" s="41">
        <v>11702.0</v>
      </c>
      <c r="N76" s="41">
        <v>652.0</v>
      </c>
      <c r="O76" s="41">
        <v>0.005</v>
      </c>
      <c r="P76" s="41">
        <v>163.0</v>
      </c>
    </row>
    <row r="77">
      <c r="A77" s="30" t="s">
        <v>503</v>
      </c>
      <c r="B77" s="30" t="s">
        <v>168</v>
      </c>
      <c r="C77" s="30" t="s">
        <v>52</v>
      </c>
      <c r="D77" s="30" t="s">
        <v>172</v>
      </c>
      <c r="E77" s="30" t="s">
        <v>45</v>
      </c>
      <c r="F77" s="30" t="s">
        <v>123</v>
      </c>
      <c r="G77" s="30" t="s">
        <v>232</v>
      </c>
      <c r="H77" s="30" t="s">
        <v>144</v>
      </c>
      <c r="I77" s="30" t="s">
        <v>35</v>
      </c>
      <c r="J77" s="30" t="s">
        <v>535</v>
      </c>
      <c r="K77" s="41">
        <v>10.0</v>
      </c>
      <c r="L77" s="41">
        <v>39.0</v>
      </c>
      <c r="M77" s="41">
        <v>11401.0</v>
      </c>
      <c r="N77" s="41">
        <v>773.0</v>
      </c>
      <c r="O77" s="41">
        <v>0.005</v>
      </c>
      <c r="P77" s="41">
        <v>93.0</v>
      </c>
    </row>
    <row r="78">
      <c r="A78" s="30" t="s">
        <v>503</v>
      </c>
      <c r="B78" s="30" t="s">
        <v>168</v>
      </c>
      <c r="C78" s="30" t="s">
        <v>52</v>
      </c>
      <c r="D78" s="30" t="s">
        <v>172</v>
      </c>
      <c r="E78" s="30" t="s">
        <v>45</v>
      </c>
      <c r="F78" s="30" t="s">
        <v>123</v>
      </c>
      <c r="G78" s="30" t="s">
        <v>232</v>
      </c>
      <c r="H78" s="30" t="s">
        <v>124</v>
      </c>
      <c r="I78" s="30" t="s">
        <v>35</v>
      </c>
      <c r="J78" s="30" t="s">
        <v>536</v>
      </c>
      <c r="K78" s="41">
        <v>10.0</v>
      </c>
      <c r="L78" s="41">
        <v>48.0</v>
      </c>
      <c r="M78" s="41">
        <v>11101.0</v>
      </c>
      <c r="N78" s="41">
        <v>329.0</v>
      </c>
      <c r="O78" s="41">
        <v>0.005</v>
      </c>
      <c r="P78" s="41">
        <v>21000.0</v>
      </c>
    </row>
    <row r="79">
      <c r="A79" s="30" t="s">
        <v>503</v>
      </c>
      <c r="B79" s="30" t="s">
        <v>168</v>
      </c>
      <c r="C79" s="30" t="s">
        <v>52</v>
      </c>
      <c r="D79" s="30" t="s">
        <v>172</v>
      </c>
      <c r="E79" s="30" t="s">
        <v>45</v>
      </c>
      <c r="F79" s="30" t="s">
        <v>123</v>
      </c>
      <c r="G79" s="30" t="s">
        <v>232</v>
      </c>
      <c r="H79" s="30" t="s">
        <v>143</v>
      </c>
      <c r="I79" s="30" t="s">
        <v>35</v>
      </c>
      <c r="J79" s="30" t="s">
        <v>536</v>
      </c>
      <c r="K79" s="41">
        <v>10.0</v>
      </c>
      <c r="L79" s="41">
        <v>50.0</v>
      </c>
      <c r="M79" s="41">
        <v>20346.0</v>
      </c>
      <c r="N79" s="41">
        <v>354.0</v>
      </c>
      <c r="O79" s="41">
        <v>0.001</v>
      </c>
      <c r="P79" s="41">
        <v>98.0</v>
      </c>
    </row>
    <row r="80">
      <c r="A80" s="30" t="s">
        <v>503</v>
      </c>
      <c r="B80" s="30" t="s">
        <v>168</v>
      </c>
      <c r="C80" s="30" t="s">
        <v>52</v>
      </c>
      <c r="D80" s="30" t="s">
        <v>169</v>
      </c>
      <c r="E80" s="30" t="s">
        <v>45</v>
      </c>
      <c r="F80" s="30" t="s">
        <v>123</v>
      </c>
      <c r="G80" s="30" t="s">
        <v>232</v>
      </c>
      <c r="H80" s="30" t="s">
        <v>133</v>
      </c>
      <c r="I80" s="30" t="s">
        <v>35</v>
      </c>
      <c r="J80" s="30" t="s">
        <v>531</v>
      </c>
      <c r="K80" s="41">
        <v>10.0</v>
      </c>
      <c r="L80" s="41">
        <v>36.0</v>
      </c>
      <c r="M80" s="41">
        <v>11439.0</v>
      </c>
      <c r="N80" s="41">
        <v>2085.0</v>
      </c>
      <c r="O80" s="41">
        <v>0.004</v>
      </c>
      <c r="P80" s="41">
        <v>426.0</v>
      </c>
    </row>
    <row r="81">
      <c r="A81" s="30" t="s">
        <v>503</v>
      </c>
      <c r="B81" s="30" t="s">
        <v>168</v>
      </c>
      <c r="C81" s="30" t="s">
        <v>52</v>
      </c>
      <c r="D81" s="30" t="s">
        <v>169</v>
      </c>
      <c r="E81" s="30" t="s">
        <v>45</v>
      </c>
      <c r="F81" s="30" t="s">
        <v>123</v>
      </c>
      <c r="G81" s="30" t="s">
        <v>232</v>
      </c>
      <c r="H81" s="30" t="s">
        <v>145</v>
      </c>
      <c r="I81" s="30" t="s">
        <v>35</v>
      </c>
      <c r="J81" s="30" t="s">
        <v>532</v>
      </c>
      <c r="K81" s="41">
        <v>10.0</v>
      </c>
      <c r="L81" s="41">
        <v>44.0</v>
      </c>
      <c r="M81" s="41">
        <v>13416.0</v>
      </c>
      <c r="N81" s="41">
        <v>1386.0</v>
      </c>
      <c r="O81" s="41">
        <v>0.004</v>
      </c>
      <c r="P81" s="41">
        <v>566.0</v>
      </c>
    </row>
    <row r="82">
      <c r="A82" s="30" t="s">
        <v>503</v>
      </c>
      <c r="B82" s="30" t="s">
        <v>168</v>
      </c>
      <c r="C82" s="30" t="s">
        <v>52</v>
      </c>
      <c r="D82" s="30" t="s">
        <v>169</v>
      </c>
      <c r="E82" s="30" t="s">
        <v>45</v>
      </c>
      <c r="F82" s="30" t="s">
        <v>123</v>
      </c>
      <c r="G82" s="30" t="s">
        <v>232</v>
      </c>
      <c r="H82" s="30" t="s">
        <v>122</v>
      </c>
      <c r="I82" s="30" t="s">
        <v>35</v>
      </c>
      <c r="J82" s="30" t="s">
        <v>533</v>
      </c>
      <c r="K82" s="41">
        <v>10.0</v>
      </c>
      <c r="L82" s="41">
        <v>43.0</v>
      </c>
      <c r="M82" s="41">
        <v>11011.0</v>
      </c>
      <c r="N82" s="41">
        <v>1281.0</v>
      </c>
      <c r="O82" s="41">
        <v>0.004</v>
      </c>
      <c r="P82" s="41">
        <v>316.0</v>
      </c>
    </row>
    <row r="83">
      <c r="A83" s="30" t="s">
        <v>503</v>
      </c>
      <c r="B83" s="30" t="s">
        <v>168</v>
      </c>
      <c r="C83" s="30" t="s">
        <v>52</v>
      </c>
      <c r="D83" s="30" t="s">
        <v>169</v>
      </c>
      <c r="E83" s="30" t="s">
        <v>45</v>
      </c>
      <c r="F83" s="30" t="s">
        <v>123</v>
      </c>
      <c r="G83" s="30" t="s">
        <v>232</v>
      </c>
      <c r="H83" s="30" t="s">
        <v>129</v>
      </c>
      <c r="I83" s="30" t="s">
        <v>35</v>
      </c>
      <c r="J83" s="30" t="s">
        <v>533</v>
      </c>
      <c r="K83" s="41">
        <v>10.0</v>
      </c>
      <c r="L83" s="41">
        <v>41.0</v>
      </c>
      <c r="M83" s="41">
        <v>10921.0</v>
      </c>
      <c r="N83" s="41">
        <v>1194.0</v>
      </c>
      <c r="O83" s="41">
        <v>0.004</v>
      </c>
      <c r="P83" s="41">
        <v>355.0</v>
      </c>
    </row>
    <row r="84">
      <c r="A84" s="30" t="s">
        <v>503</v>
      </c>
      <c r="B84" s="30" t="s">
        <v>168</v>
      </c>
      <c r="C84" s="30" t="s">
        <v>52</v>
      </c>
      <c r="D84" s="30" t="s">
        <v>169</v>
      </c>
      <c r="E84" s="30" t="s">
        <v>45</v>
      </c>
      <c r="F84" s="30" t="s">
        <v>123</v>
      </c>
      <c r="G84" s="30" t="s">
        <v>232</v>
      </c>
      <c r="H84" s="30" t="s">
        <v>131</v>
      </c>
      <c r="I84" s="30" t="s">
        <v>35</v>
      </c>
      <c r="J84" s="30" t="s">
        <v>534</v>
      </c>
      <c r="K84" s="41">
        <v>10.0</v>
      </c>
      <c r="L84" s="41">
        <v>28.0</v>
      </c>
      <c r="M84" s="41">
        <v>11042.0</v>
      </c>
      <c r="N84" s="41">
        <v>1229.0</v>
      </c>
      <c r="O84" s="41">
        <v>0.004</v>
      </c>
      <c r="P84" s="41">
        <v>340.0</v>
      </c>
    </row>
    <row r="85">
      <c r="A85" s="30" t="s">
        <v>503</v>
      </c>
      <c r="B85" s="30" t="s">
        <v>168</v>
      </c>
      <c r="C85" s="30" t="s">
        <v>52</v>
      </c>
      <c r="D85" s="30" t="s">
        <v>169</v>
      </c>
      <c r="E85" s="30" t="s">
        <v>45</v>
      </c>
      <c r="F85" s="30" t="s">
        <v>123</v>
      </c>
      <c r="G85" s="30" t="s">
        <v>232</v>
      </c>
      <c r="H85" s="30" t="s">
        <v>126</v>
      </c>
      <c r="I85" s="30" t="s">
        <v>35</v>
      </c>
      <c r="J85" s="30" t="s">
        <v>534</v>
      </c>
      <c r="K85" s="41">
        <v>10.0</v>
      </c>
      <c r="L85" s="41">
        <v>28.0</v>
      </c>
      <c r="M85" s="41">
        <v>11272.0</v>
      </c>
      <c r="N85" s="41">
        <v>2035.0</v>
      </c>
      <c r="O85" s="41">
        <v>0.004</v>
      </c>
      <c r="P85" s="41">
        <v>373.0</v>
      </c>
    </row>
    <row r="86">
      <c r="A86" s="30" t="s">
        <v>503</v>
      </c>
      <c r="B86" s="30" t="s">
        <v>168</v>
      </c>
      <c r="C86" s="30" t="s">
        <v>52</v>
      </c>
      <c r="D86" s="30" t="s">
        <v>169</v>
      </c>
      <c r="E86" s="30" t="s">
        <v>45</v>
      </c>
      <c r="F86" s="30" t="s">
        <v>123</v>
      </c>
      <c r="G86" s="30" t="s">
        <v>232</v>
      </c>
      <c r="H86" s="30" t="s">
        <v>144</v>
      </c>
      <c r="I86" s="30" t="s">
        <v>35</v>
      </c>
      <c r="J86" s="30" t="s">
        <v>535</v>
      </c>
      <c r="K86" s="41">
        <v>10.0</v>
      </c>
      <c r="L86" s="41">
        <v>28.0</v>
      </c>
      <c r="M86" s="41">
        <v>11283.0</v>
      </c>
      <c r="N86" s="41">
        <v>2079.0</v>
      </c>
      <c r="O86" s="41">
        <v>0.004</v>
      </c>
      <c r="P86" s="41">
        <v>424.0</v>
      </c>
    </row>
    <row r="87">
      <c r="A87" s="30" t="s">
        <v>503</v>
      </c>
      <c r="B87" s="30" t="s">
        <v>168</v>
      </c>
      <c r="C87" s="30" t="s">
        <v>52</v>
      </c>
      <c r="D87" s="30" t="s">
        <v>169</v>
      </c>
      <c r="E87" s="30" t="s">
        <v>45</v>
      </c>
      <c r="F87" s="30" t="s">
        <v>123</v>
      </c>
      <c r="G87" s="30" t="s">
        <v>232</v>
      </c>
      <c r="H87" s="30" t="s">
        <v>124</v>
      </c>
      <c r="I87" s="30" t="s">
        <v>35</v>
      </c>
      <c r="J87" s="30" t="s">
        <v>536</v>
      </c>
      <c r="K87" s="41">
        <v>10.0</v>
      </c>
      <c r="L87" s="41">
        <v>51.0</v>
      </c>
      <c r="M87" s="41">
        <v>10177.0</v>
      </c>
      <c r="N87" s="41">
        <v>1094.0</v>
      </c>
      <c r="O87" s="41">
        <v>0.004</v>
      </c>
      <c r="P87" s="41">
        <v>817.0</v>
      </c>
    </row>
    <row r="88">
      <c r="A88" s="30" t="s">
        <v>503</v>
      </c>
      <c r="B88" s="30" t="s">
        <v>168</v>
      </c>
      <c r="C88" s="30" t="s">
        <v>52</v>
      </c>
      <c r="D88" s="30" t="s">
        <v>169</v>
      </c>
      <c r="E88" s="30" t="s">
        <v>45</v>
      </c>
      <c r="F88" s="30" t="s">
        <v>123</v>
      </c>
      <c r="G88" s="30" t="s">
        <v>232</v>
      </c>
      <c r="H88" s="30" t="s">
        <v>133</v>
      </c>
      <c r="I88" s="30" t="s">
        <v>34</v>
      </c>
      <c r="J88" s="30" t="s">
        <v>531</v>
      </c>
      <c r="K88" s="41">
        <v>10.0</v>
      </c>
      <c r="L88" s="41">
        <v>66.0</v>
      </c>
      <c r="M88" s="41">
        <v>2649.0</v>
      </c>
      <c r="N88" s="41">
        <v>559.0</v>
      </c>
      <c r="O88" s="41">
        <v>0.0</v>
      </c>
      <c r="P88" s="41">
        <v>427.0</v>
      </c>
    </row>
    <row r="89">
      <c r="A89" s="30" t="s">
        <v>503</v>
      </c>
      <c r="B89" s="30" t="s">
        <v>168</v>
      </c>
      <c r="C89" s="30" t="s">
        <v>52</v>
      </c>
      <c r="D89" s="30" t="s">
        <v>169</v>
      </c>
      <c r="E89" s="30" t="s">
        <v>45</v>
      </c>
      <c r="F89" s="30" t="s">
        <v>123</v>
      </c>
      <c r="G89" s="30" t="s">
        <v>232</v>
      </c>
      <c r="H89" s="30" t="s">
        <v>145</v>
      </c>
      <c r="I89" s="30" t="s">
        <v>34</v>
      </c>
      <c r="J89" s="30" t="s">
        <v>532</v>
      </c>
      <c r="K89" s="41">
        <v>10.0</v>
      </c>
      <c r="L89" s="41">
        <v>54.0</v>
      </c>
      <c r="M89" s="41">
        <v>3041.0</v>
      </c>
      <c r="N89" s="41">
        <v>326.0</v>
      </c>
      <c r="O89" s="41">
        <v>0.0</v>
      </c>
      <c r="P89" s="41">
        <v>632.0</v>
      </c>
    </row>
    <row r="90">
      <c r="A90" s="30" t="s">
        <v>503</v>
      </c>
      <c r="B90" s="30" t="s">
        <v>168</v>
      </c>
      <c r="C90" s="30" t="s">
        <v>52</v>
      </c>
      <c r="D90" s="30" t="s">
        <v>169</v>
      </c>
      <c r="E90" s="30" t="s">
        <v>45</v>
      </c>
      <c r="F90" s="30" t="s">
        <v>123</v>
      </c>
      <c r="G90" s="30" t="s">
        <v>232</v>
      </c>
      <c r="H90" s="30" t="s">
        <v>122</v>
      </c>
      <c r="I90" s="30" t="s">
        <v>34</v>
      </c>
      <c r="J90" s="30" t="s">
        <v>533</v>
      </c>
      <c r="K90" s="41">
        <v>10.0</v>
      </c>
      <c r="L90" s="41">
        <v>68.0</v>
      </c>
      <c r="M90" s="41">
        <v>2581.0</v>
      </c>
      <c r="N90" s="41">
        <v>292.0</v>
      </c>
      <c r="O90" s="41">
        <v>0.0</v>
      </c>
      <c r="P90" s="41">
        <v>471.0</v>
      </c>
    </row>
    <row r="91">
      <c r="A91" s="30" t="s">
        <v>503</v>
      </c>
      <c r="B91" s="30" t="s">
        <v>168</v>
      </c>
      <c r="C91" s="30" t="s">
        <v>52</v>
      </c>
      <c r="D91" s="30" t="s">
        <v>169</v>
      </c>
      <c r="E91" s="30" t="s">
        <v>45</v>
      </c>
      <c r="F91" s="30" t="s">
        <v>123</v>
      </c>
      <c r="G91" s="30" t="s">
        <v>232</v>
      </c>
      <c r="H91" s="30" t="s">
        <v>129</v>
      </c>
      <c r="I91" s="30" t="s">
        <v>34</v>
      </c>
      <c r="J91" s="30" t="s">
        <v>533</v>
      </c>
      <c r="K91" s="41">
        <v>10.0</v>
      </c>
      <c r="L91" s="41">
        <v>66.0</v>
      </c>
      <c r="M91" s="41">
        <v>2565.0</v>
      </c>
      <c r="N91" s="41">
        <v>291.0</v>
      </c>
      <c r="O91" s="41">
        <v>0.0</v>
      </c>
      <c r="P91" s="41">
        <v>408.0</v>
      </c>
    </row>
    <row r="92">
      <c r="A92" s="30" t="s">
        <v>503</v>
      </c>
      <c r="B92" s="30" t="s">
        <v>168</v>
      </c>
      <c r="C92" s="30" t="s">
        <v>52</v>
      </c>
      <c r="D92" s="30" t="s">
        <v>169</v>
      </c>
      <c r="E92" s="30" t="s">
        <v>45</v>
      </c>
      <c r="F92" s="30" t="s">
        <v>123</v>
      </c>
      <c r="G92" s="30" t="s">
        <v>232</v>
      </c>
      <c r="H92" s="30" t="s">
        <v>131</v>
      </c>
      <c r="I92" s="30" t="s">
        <v>34</v>
      </c>
      <c r="J92" s="30" t="s">
        <v>534</v>
      </c>
      <c r="K92" s="41">
        <v>10.0</v>
      </c>
      <c r="L92" s="41">
        <v>56.0</v>
      </c>
      <c r="M92" s="41">
        <v>2533.0</v>
      </c>
      <c r="N92" s="41">
        <v>320.0</v>
      </c>
      <c r="O92" s="41">
        <v>0.0</v>
      </c>
      <c r="P92" s="41">
        <v>404.0</v>
      </c>
    </row>
    <row r="93">
      <c r="A93" s="30" t="s">
        <v>503</v>
      </c>
      <c r="B93" s="30" t="s">
        <v>168</v>
      </c>
      <c r="C93" s="30" t="s">
        <v>52</v>
      </c>
      <c r="D93" s="30" t="s">
        <v>169</v>
      </c>
      <c r="E93" s="30" t="s">
        <v>45</v>
      </c>
      <c r="F93" s="30" t="s">
        <v>123</v>
      </c>
      <c r="G93" s="30" t="s">
        <v>232</v>
      </c>
      <c r="H93" s="30" t="s">
        <v>126</v>
      </c>
      <c r="I93" s="30" t="s">
        <v>34</v>
      </c>
      <c r="J93" s="30" t="s">
        <v>534</v>
      </c>
      <c r="K93" s="41">
        <v>10.0</v>
      </c>
      <c r="L93" s="41">
        <v>55.0</v>
      </c>
      <c r="M93" s="41">
        <v>2828.0</v>
      </c>
      <c r="N93" s="41">
        <v>506.0</v>
      </c>
      <c r="O93" s="41">
        <v>0.0</v>
      </c>
      <c r="P93" s="41">
        <v>556.0</v>
      </c>
    </row>
    <row r="94">
      <c r="A94" s="30" t="s">
        <v>503</v>
      </c>
      <c r="B94" s="30" t="s">
        <v>168</v>
      </c>
      <c r="C94" s="30" t="s">
        <v>52</v>
      </c>
      <c r="D94" s="30" t="s">
        <v>169</v>
      </c>
      <c r="E94" s="30" t="s">
        <v>45</v>
      </c>
      <c r="F94" s="30" t="s">
        <v>123</v>
      </c>
      <c r="G94" s="30" t="s">
        <v>232</v>
      </c>
      <c r="H94" s="30" t="s">
        <v>144</v>
      </c>
      <c r="I94" s="30" t="s">
        <v>34</v>
      </c>
      <c r="J94" s="30" t="s">
        <v>535</v>
      </c>
      <c r="K94" s="41">
        <v>10.0</v>
      </c>
      <c r="L94" s="41">
        <v>66.0</v>
      </c>
      <c r="M94" s="41">
        <v>2590.0</v>
      </c>
      <c r="N94" s="41">
        <v>485.0</v>
      </c>
      <c r="O94" s="41">
        <v>0.0</v>
      </c>
      <c r="P94" s="41">
        <v>359.0</v>
      </c>
    </row>
    <row r="95">
      <c r="A95" s="30" t="s">
        <v>503</v>
      </c>
      <c r="B95" s="30" t="s">
        <v>168</v>
      </c>
      <c r="C95" s="30" t="s">
        <v>52</v>
      </c>
      <c r="D95" s="30" t="s">
        <v>169</v>
      </c>
      <c r="E95" s="30" t="s">
        <v>45</v>
      </c>
      <c r="F95" s="30" t="s">
        <v>123</v>
      </c>
      <c r="G95" s="30" t="s">
        <v>232</v>
      </c>
      <c r="H95" s="30" t="s">
        <v>124</v>
      </c>
      <c r="I95" s="30" t="s">
        <v>34</v>
      </c>
      <c r="J95" s="30" t="s">
        <v>536</v>
      </c>
      <c r="K95" s="41">
        <v>10.0</v>
      </c>
      <c r="L95" s="41">
        <v>63.0</v>
      </c>
      <c r="M95" s="41">
        <v>2769.0</v>
      </c>
      <c r="N95" s="41">
        <v>252.0</v>
      </c>
      <c r="O95" s="41">
        <v>0.0</v>
      </c>
      <c r="P95" s="41">
        <v>818.0</v>
      </c>
    </row>
    <row r="96">
      <c r="A96" s="30" t="s">
        <v>537</v>
      </c>
      <c r="B96" s="30" t="s">
        <v>168</v>
      </c>
      <c r="C96" s="30" t="s">
        <v>52</v>
      </c>
      <c r="D96" s="30" t="s">
        <v>169</v>
      </c>
      <c r="E96" s="30" t="s">
        <v>45</v>
      </c>
      <c r="F96" s="30" t="s">
        <v>125</v>
      </c>
      <c r="G96" s="30" t="s">
        <v>232</v>
      </c>
      <c r="H96" s="30" t="s">
        <v>133</v>
      </c>
      <c r="I96" s="30" t="s">
        <v>35</v>
      </c>
      <c r="J96" s="30" t="s">
        <v>531</v>
      </c>
      <c r="K96" s="41">
        <v>5.0</v>
      </c>
      <c r="L96" s="41">
        <v>30.0</v>
      </c>
      <c r="M96" s="41">
        <v>11474.0</v>
      </c>
      <c r="N96" s="41">
        <v>2044.0</v>
      </c>
      <c r="O96" s="41">
        <v>0.004</v>
      </c>
      <c r="P96" s="41">
        <v>592.0</v>
      </c>
    </row>
    <row r="97">
      <c r="A97" s="30" t="s">
        <v>538</v>
      </c>
      <c r="B97" s="30" t="s">
        <v>168</v>
      </c>
      <c r="C97" s="30" t="s">
        <v>52</v>
      </c>
      <c r="D97" s="30" t="s">
        <v>169</v>
      </c>
      <c r="E97" s="30" t="s">
        <v>45</v>
      </c>
      <c r="F97" s="30" t="s">
        <v>125</v>
      </c>
      <c r="G97" s="30" t="s">
        <v>232</v>
      </c>
      <c r="H97" s="30" t="s">
        <v>122</v>
      </c>
      <c r="I97" s="30" t="s">
        <v>35</v>
      </c>
      <c r="J97" s="30" t="s">
        <v>533</v>
      </c>
      <c r="K97" s="41">
        <v>5.0</v>
      </c>
      <c r="L97" s="41">
        <v>34.0</v>
      </c>
      <c r="M97" s="41">
        <v>11138.0</v>
      </c>
      <c r="N97" s="41">
        <v>1023.0</v>
      </c>
      <c r="O97" s="41">
        <v>0.004</v>
      </c>
      <c r="P97" s="41">
        <v>342.0</v>
      </c>
    </row>
    <row r="98">
      <c r="A98" s="30" t="s">
        <v>539</v>
      </c>
      <c r="B98" s="30" t="s">
        <v>168</v>
      </c>
      <c r="C98" s="30" t="s">
        <v>52</v>
      </c>
      <c r="D98" s="30" t="s">
        <v>169</v>
      </c>
      <c r="E98" s="30" t="s">
        <v>45</v>
      </c>
      <c r="F98" s="30" t="s">
        <v>125</v>
      </c>
      <c r="G98" s="30" t="s">
        <v>232</v>
      </c>
      <c r="H98" s="30" t="s">
        <v>129</v>
      </c>
      <c r="I98" s="30" t="s">
        <v>35</v>
      </c>
      <c r="J98" s="30" t="s">
        <v>533</v>
      </c>
      <c r="K98" s="41">
        <v>5.0</v>
      </c>
      <c r="L98" s="41">
        <v>35.0</v>
      </c>
      <c r="M98" s="41">
        <v>10890.0</v>
      </c>
      <c r="N98" s="41">
        <v>1137.0</v>
      </c>
      <c r="O98" s="41">
        <v>0.004</v>
      </c>
      <c r="P98" s="41">
        <v>265.0</v>
      </c>
    </row>
    <row r="99">
      <c r="A99" s="30" t="s">
        <v>540</v>
      </c>
      <c r="B99" s="30" t="s">
        <v>168</v>
      </c>
      <c r="C99" s="30" t="s">
        <v>52</v>
      </c>
      <c r="D99" s="30" t="s">
        <v>169</v>
      </c>
      <c r="E99" s="30" t="s">
        <v>45</v>
      </c>
      <c r="F99" s="30" t="s">
        <v>125</v>
      </c>
      <c r="G99" s="30" t="s">
        <v>232</v>
      </c>
      <c r="H99" s="30" t="s">
        <v>133</v>
      </c>
      <c r="I99" s="30" t="s">
        <v>34</v>
      </c>
      <c r="J99" s="30" t="s">
        <v>531</v>
      </c>
      <c r="K99" s="41">
        <v>5.0</v>
      </c>
      <c r="L99" s="41">
        <v>56.0</v>
      </c>
      <c r="M99" s="41">
        <v>2830.0</v>
      </c>
      <c r="N99" s="41">
        <v>461.0</v>
      </c>
      <c r="O99" s="41">
        <v>0.0</v>
      </c>
      <c r="P99" s="41">
        <v>402.0</v>
      </c>
    </row>
    <row r="100">
      <c r="A100" s="30" t="s">
        <v>541</v>
      </c>
      <c r="B100" s="30" t="s">
        <v>168</v>
      </c>
      <c r="C100" s="30" t="s">
        <v>52</v>
      </c>
      <c r="D100" s="30" t="s">
        <v>169</v>
      </c>
      <c r="E100" s="30" t="s">
        <v>45</v>
      </c>
      <c r="F100" s="30" t="s">
        <v>125</v>
      </c>
      <c r="G100" s="30" t="s">
        <v>232</v>
      </c>
      <c r="H100" s="30" t="s">
        <v>122</v>
      </c>
      <c r="I100" s="30" t="s">
        <v>34</v>
      </c>
      <c r="J100" s="30" t="s">
        <v>533</v>
      </c>
      <c r="K100" s="41">
        <v>5.0</v>
      </c>
      <c r="L100" s="41">
        <v>68.0</v>
      </c>
      <c r="M100" s="41">
        <v>2515.0</v>
      </c>
      <c r="N100" s="41">
        <v>252.0</v>
      </c>
      <c r="O100" s="41">
        <v>0.0</v>
      </c>
      <c r="P100" s="41">
        <v>300.0</v>
      </c>
    </row>
    <row r="101">
      <c r="A101" s="30" t="s">
        <v>504</v>
      </c>
      <c r="B101" s="30" t="s">
        <v>168</v>
      </c>
      <c r="C101" s="30" t="s">
        <v>52</v>
      </c>
      <c r="D101" s="30" t="s">
        <v>169</v>
      </c>
      <c r="E101" s="30" t="s">
        <v>45</v>
      </c>
      <c r="F101" s="30" t="s">
        <v>125</v>
      </c>
      <c r="G101" s="30" t="s">
        <v>232</v>
      </c>
      <c r="H101" s="30" t="s">
        <v>129</v>
      </c>
      <c r="I101" s="30" t="s">
        <v>34</v>
      </c>
      <c r="J101" s="30" t="s">
        <v>533</v>
      </c>
      <c r="K101" s="41">
        <v>5.0</v>
      </c>
      <c r="L101" s="41">
        <v>70.0</v>
      </c>
      <c r="M101" s="41">
        <v>2479.0</v>
      </c>
      <c r="N101" s="41">
        <v>242.0</v>
      </c>
      <c r="O101" s="41">
        <v>0.0</v>
      </c>
      <c r="P101" s="41">
        <v>382.0</v>
      </c>
    </row>
    <row r="102">
      <c r="A102" s="30" t="s">
        <v>542</v>
      </c>
      <c r="B102" s="30" t="s">
        <v>168</v>
      </c>
      <c r="C102" s="30" t="s">
        <v>52</v>
      </c>
      <c r="D102" s="30" t="s">
        <v>169</v>
      </c>
      <c r="E102" s="30" t="s">
        <v>45</v>
      </c>
      <c r="F102" s="30" t="s">
        <v>127</v>
      </c>
      <c r="G102" s="30" t="s">
        <v>232</v>
      </c>
      <c r="H102" s="30" t="s">
        <v>133</v>
      </c>
      <c r="I102" s="30" t="s">
        <v>35</v>
      </c>
      <c r="J102" s="30" t="s">
        <v>531</v>
      </c>
      <c r="K102" s="41">
        <v>10.0</v>
      </c>
      <c r="L102" s="41">
        <v>36.0</v>
      </c>
      <c r="M102" s="41">
        <v>11319.0</v>
      </c>
      <c r="N102" s="41">
        <v>1730.0</v>
      </c>
      <c r="O102" s="41">
        <v>0.004</v>
      </c>
      <c r="P102" s="41">
        <v>411.0</v>
      </c>
    </row>
    <row r="103">
      <c r="A103" s="30" t="s">
        <v>543</v>
      </c>
      <c r="B103" s="30" t="s">
        <v>168</v>
      </c>
      <c r="C103" s="30" t="s">
        <v>52</v>
      </c>
      <c r="D103" s="30" t="s">
        <v>169</v>
      </c>
      <c r="E103" s="30" t="s">
        <v>45</v>
      </c>
      <c r="F103" s="30" t="s">
        <v>127</v>
      </c>
      <c r="G103" s="30" t="s">
        <v>232</v>
      </c>
      <c r="H103" s="30" t="s">
        <v>145</v>
      </c>
      <c r="I103" s="30" t="s">
        <v>35</v>
      </c>
      <c r="J103" s="30" t="s">
        <v>532</v>
      </c>
      <c r="K103" s="41">
        <v>10.0</v>
      </c>
      <c r="L103" s="41">
        <v>31.0</v>
      </c>
      <c r="M103" s="41">
        <v>13556.0</v>
      </c>
      <c r="N103" s="41">
        <v>1037.0</v>
      </c>
      <c r="O103" s="41">
        <v>0.004</v>
      </c>
      <c r="P103" s="41">
        <v>490.0</v>
      </c>
    </row>
    <row r="104">
      <c r="A104" s="30" t="s">
        <v>544</v>
      </c>
      <c r="B104" s="30" t="s">
        <v>168</v>
      </c>
      <c r="C104" s="30" t="s">
        <v>52</v>
      </c>
      <c r="D104" s="30" t="s">
        <v>169</v>
      </c>
      <c r="E104" s="30" t="s">
        <v>45</v>
      </c>
      <c r="F104" s="30" t="s">
        <v>127</v>
      </c>
      <c r="G104" s="30" t="s">
        <v>232</v>
      </c>
      <c r="H104" s="30" t="s">
        <v>122</v>
      </c>
      <c r="I104" s="30" t="s">
        <v>35</v>
      </c>
      <c r="J104" s="30" t="s">
        <v>533</v>
      </c>
      <c r="K104" s="41">
        <v>10.0</v>
      </c>
      <c r="L104" s="41">
        <v>55.0</v>
      </c>
      <c r="M104" s="41">
        <v>10989.0</v>
      </c>
      <c r="N104" s="41">
        <v>992.0</v>
      </c>
      <c r="O104" s="41">
        <v>0.004</v>
      </c>
      <c r="P104" s="41">
        <v>296.0</v>
      </c>
    </row>
    <row r="105">
      <c r="A105" s="30" t="s">
        <v>545</v>
      </c>
      <c r="B105" s="30" t="s">
        <v>168</v>
      </c>
      <c r="C105" s="30" t="s">
        <v>52</v>
      </c>
      <c r="D105" s="30" t="s">
        <v>169</v>
      </c>
      <c r="E105" s="30" t="s">
        <v>45</v>
      </c>
      <c r="F105" s="30" t="s">
        <v>127</v>
      </c>
      <c r="G105" s="30" t="s">
        <v>232</v>
      </c>
      <c r="H105" s="30" t="s">
        <v>129</v>
      </c>
      <c r="I105" s="30" t="s">
        <v>35</v>
      </c>
      <c r="J105" s="30" t="s">
        <v>533</v>
      </c>
      <c r="K105" s="41">
        <v>10.0</v>
      </c>
      <c r="L105" s="41">
        <v>58.0</v>
      </c>
      <c r="M105" s="41">
        <v>10834.0</v>
      </c>
      <c r="N105" s="41">
        <v>964.0</v>
      </c>
      <c r="O105" s="41">
        <v>0.004</v>
      </c>
      <c r="P105" s="41">
        <v>337.0</v>
      </c>
    </row>
    <row r="106">
      <c r="A106" s="30" t="s">
        <v>546</v>
      </c>
      <c r="B106" s="30" t="s">
        <v>168</v>
      </c>
      <c r="C106" s="30" t="s">
        <v>52</v>
      </c>
      <c r="D106" s="30" t="s">
        <v>169</v>
      </c>
      <c r="E106" s="30" t="s">
        <v>45</v>
      </c>
      <c r="F106" s="30" t="s">
        <v>127</v>
      </c>
      <c r="G106" s="30" t="s">
        <v>232</v>
      </c>
      <c r="H106" s="30" t="s">
        <v>131</v>
      </c>
      <c r="I106" s="30" t="s">
        <v>35</v>
      </c>
      <c r="J106" s="30" t="s">
        <v>534</v>
      </c>
      <c r="K106" s="41">
        <v>10.0</v>
      </c>
      <c r="L106" s="41">
        <v>44.0</v>
      </c>
      <c r="M106" s="41">
        <v>10982.0</v>
      </c>
      <c r="N106" s="41">
        <v>1084.0</v>
      </c>
      <c r="O106" s="41">
        <v>0.004</v>
      </c>
      <c r="P106" s="41">
        <v>319.0</v>
      </c>
    </row>
    <row r="107">
      <c r="A107" s="30" t="s">
        <v>547</v>
      </c>
      <c r="B107" s="30" t="s">
        <v>168</v>
      </c>
      <c r="C107" s="30" t="s">
        <v>52</v>
      </c>
      <c r="D107" s="30" t="s">
        <v>169</v>
      </c>
      <c r="E107" s="30" t="s">
        <v>45</v>
      </c>
      <c r="F107" s="30" t="s">
        <v>127</v>
      </c>
      <c r="G107" s="30" t="s">
        <v>232</v>
      </c>
      <c r="H107" s="30" t="s">
        <v>126</v>
      </c>
      <c r="I107" s="30" t="s">
        <v>35</v>
      </c>
      <c r="J107" s="30" t="s">
        <v>534</v>
      </c>
      <c r="K107" s="41">
        <v>10.0</v>
      </c>
      <c r="L107" s="41">
        <v>30.0</v>
      </c>
      <c r="M107" s="41">
        <v>11262.0</v>
      </c>
      <c r="N107" s="41">
        <v>1362.0</v>
      </c>
      <c r="O107" s="41">
        <v>0.004</v>
      </c>
      <c r="P107" s="41">
        <v>347.0</v>
      </c>
    </row>
    <row r="108">
      <c r="A108" s="30" t="s">
        <v>548</v>
      </c>
      <c r="B108" s="30" t="s">
        <v>168</v>
      </c>
      <c r="C108" s="30" t="s">
        <v>52</v>
      </c>
      <c r="D108" s="30" t="s">
        <v>169</v>
      </c>
      <c r="E108" s="30" t="s">
        <v>45</v>
      </c>
      <c r="F108" s="30" t="s">
        <v>127</v>
      </c>
      <c r="G108" s="30" t="s">
        <v>232</v>
      </c>
      <c r="H108" s="30" t="s">
        <v>144</v>
      </c>
      <c r="I108" s="30" t="s">
        <v>35</v>
      </c>
      <c r="J108" s="30" t="s">
        <v>535</v>
      </c>
      <c r="K108" s="41">
        <v>10.0</v>
      </c>
      <c r="L108" s="41">
        <v>45.0</v>
      </c>
      <c r="M108" s="41">
        <v>11913.0</v>
      </c>
      <c r="N108" s="41">
        <v>1331.0</v>
      </c>
      <c r="O108" s="41">
        <v>0.004</v>
      </c>
      <c r="P108" s="41">
        <v>560.0</v>
      </c>
    </row>
    <row r="109">
      <c r="A109" s="30" t="s">
        <v>549</v>
      </c>
      <c r="B109" s="30" t="s">
        <v>168</v>
      </c>
      <c r="C109" s="30" t="s">
        <v>52</v>
      </c>
      <c r="D109" s="30" t="s">
        <v>169</v>
      </c>
      <c r="E109" s="30" t="s">
        <v>45</v>
      </c>
      <c r="F109" s="30" t="s">
        <v>127</v>
      </c>
      <c r="G109" s="30" t="s">
        <v>232</v>
      </c>
      <c r="H109" s="30" t="s">
        <v>124</v>
      </c>
      <c r="I109" s="30" t="s">
        <v>35</v>
      </c>
      <c r="J109" s="30" t="s">
        <v>536</v>
      </c>
      <c r="K109" s="41">
        <v>10.0</v>
      </c>
      <c r="L109" s="41">
        <v>34.0</v>
      </c>
      <c r="M109" s="41">
        <v>11030.0</v>
      </c>
      <c r="N109" s="41">
        <v>915.0</v>
      </c>
      <c r="O109" s="41">
        <v>0.004</v>
      </c>
      <c r="P109" s="41">
        <v>802.0</v>
      </c>
    </row>
    <row r="110">
      <c r="A110" s="30" t="s">
        <v>550</v>
      </c>
      <c r="B110" s="30" t="s">
        <v>168</v>
      </c>
      <c r="C110" s="30" t="s">
        <v>52</v>
      </c>
      <c r="D110" s="30" t="s">
        <v>169</v>
      </c>
      <c r="E110" s="30" t="s">
        <v>45</v>
      </c>
      <c r="F110" s="30" t="s">
        <v>127</v>
      </c>
      <c r="G110" s="30" t="s">
        <v>232</v>
      </c>
      <c r="H110" s="30" t="s">
        <v>133</v>
      </c>
      <c r="I110" s="30" t="s">
        <v>34</v>
      </c>
      <c r="J110" s="30" t="s">
        <v>531</v>
      </c>
      <c r="K110" s="41">
        <v>10.0</v>
      </c>
      <c r="L110" s="41">
        <v>60.0</v>
      </c>
      <c r="M110" s="41">
        <v>2953.0</v>
      </c>
      <c r="N110" s="41">
        <v>442.0</v>
      </c>
      <c r="O110" s="41">
        <v>0.0</v>
      </c>
      <c r="P110" s="41">
        <v>425.0</v>
      </c>
    </row>
    <row r="111">
      <c r="A111" s="30" t="s">
        <v>551</v>
      </c>
      <c r="B111" s="30" t="s">
        <v>168</v>
      </c>
      <c r="C111" s="30" t="s">
        <v>52</v>
      </c>
      <c r="D111" s="30" t="s">
        <v>169</v>
      </c>
      <c r="E111" s="30" t="s">
        <v>45</v>
      </c>
      <c r="F111" s="30" t="s">
        <v>127</v>
      </c>
      <c r="G111" s="30" t="s">
        <v>232</v>
      </c>
      <c r="H111" s="30" t="s">
        <v>145</v>
      </c>
      <c r="I111" s="30" t="s">
        <v>34</v>
      </c>
      <c r="J111" s="30" t="s">
        <v>532</v>
      </c>
      <c r="K111" s="41">
        <v>10.0</v>
      </c>
      <c r="L111" s="41">
        <v>64.0</v>
      </c>
      <c r="M111" s="41">
        <v>2995.0</v>
      </c>
      <c r="N111" s="41">
        <v>253.0</v>
      </c>
      <c r="O111" s="41">
        <v>0.0</v>
      </c>
      <c r="P111" s="41">
        <v>703.0</v>
      </c>
    </row>
    <row r="112">
      <c r="A112" s="30" t="s">
        <v>552</v>
      </c>
      <c r="B112" s="30" t="s">
        <v>168</v>
      </c>
      <c r="C112" s="30" t="s">
        <v>52</v>
      </c>
      <c r="D112" s="30" t="s">
        <v>169</v>
      </c>
      <c r="E112" s="30" t="s">
        <v>45</v>
      </c>
      <c r="F112" s="30" t="s">
        <v>127</v>
      </c>
      <c r="G112" s="30" t="s">
        <v>232</v>
      </c>
      <c r="H112" s="30" t="s">
        <v>122</v>
      </c>
      <c r="I112" s="30" t="s">
        <v>34</v>
      </c>
      <c r="J112" s="30" t="s">
        <v>533</v>
      </c>
      <c r="K112" s="41">
        <v>10.0</v>
      </c>
      <c r="L112" s="41">
        <v>68.0</v>
      </c>
      <c r="M112" s="41">
        <v>2580.0</v>
      </c>
      <c r="N112" s="41">
        <v>256.0</v>
      </c>
      <c r="O112" s="41">
        <v>0.0</v>
      </c>
      <c r="P112" s="41">
        <v>277.0</v>
      </c>
    </row>
    <row r="113">
      <c r="A113" s="30" t="s">
        <v>553</v>
      </c>
      <c r="B113" s="30" t="s">
        <v>168</v>
      </c>
      <c r="C113" s="30" t="s">
        <v>52</v>
      </c>
      <c r="D113" s="30" t="s">
        <v>169</v>
      </c>
      <c r="E113" s="30" t="s">
        <v>45</v>
      </c>
      <c r="F113" s="30" t="s">
        <v>127</v>
      </c>
      <c r="G113" s="30" t="s">
        <v>232</v>
      </c>
      <c r="H113" s="30" t="s">
        <v>129</v>
      </c>
      <c r="I113" s="30" t="s">
        <v>34</v>
      </c>
      <c r="J113" s="30" t="s">
        <v>533</v>
      </c>
      <c r="K113" s="41">
        <v>10.0</v>
      </c>
      <c r="L113" s="41">
        <v>69.0</v>
      </c>
      <c r="M113" s="41">
        <v>2610.0</v>
      </c>
      <c r="N113" s="41">
        <v>285.0</v>
      </c>
      <c r="O113" s="41">
        <v>0.0</v>
      </c>
      <c r="P113" s="41">
        <v>488.0</v>
      </c>
    </row>
    <row r="114">
      <c r="A114" s="30" t="s">
        <v>554</v>
      </c>
      <c r="B114" s="30" t="s">
        <v>168</v>
      </c>
      <c r="C114" s="30" t="s">
        <v>52</v>
      </c>
      <c r="D114" s="30" t="s">
        <v>169</v>
      </c>
      <c r="E114" s="30" t="s">
        <v>45</v>
      </c>
      <c r="F114" s="30" t="s">
        <v>127</v>
      </c>
      <c r="G114" s="30" t="s">
        <v>232</v>
      </c>
      <c r="H114" s="30" t="s">
        <v>131</v>
      </c>
      <c r="I114" s="30" t="s">
        <v>34</v>
      </c>
      <c r="J114" s="30" t="s">
        <v>534</v>
      </c>
      <c r="K114" s="41">
        <v>10.0</v>
      </c>
      <c r="L114" s="41">
        <v>62.0</v>
      </c>
      <c r="M114" s="41">
        <v>2774.0</v>
      </c>
      <c r="N114" s="41">
        <v>238.0</v>
      </c>
      <c r="O114" s="41">
        <v>0.0</v>
      </c>
      <c r="P114" s="41">
        <v>282.0</v>
      </c>
    </row>
    <row r="115">
      <c r="A115" s="30" t="s">
        <v>555</v>
      </c>
      <c r="B115" s="30" t="s">
        <v>168</v>
      </c>
      <c r="C115" s="30" t="s">
        <v>52</v>
      </c>
      <c r="D115" s="30" t="s">
        <v>169</v>
      </c>
      <c r="E115" s="30" t="s">
        <v>45</v>
      </c>
      <c r="F115" s="30" t="s">
        <v>127</v>
      </c>
      <c r="G115" s="30" t="s">
        <v>232</v>
      </c>
      <c r="H115" s="30" t="s">
        <v>126</v>
      </c>
      <c r="I115" s="30" t="s">
        <v>34</v>
      </c>
      <c r="J115" s="30" t="s">
        <v>534</v>
      </c>
      <c r="K115" s="41">
        <v>10.0</v>
      </c>
      <c r="L115" s="41">
        <v>62.0</v>
      </c>
      <c r="M115" s="41">
        <v>2649.0</v>
      </c>
      <c r="N115" s="41">
        <v>393.0</v>
      </c>
      <c r="O115" s="41">
        <v>0.0</v>
      </c>
      <c r="P115" s="41">
        <v>364.0</v>
      </c>
    </row>
    <row r="116">
      <c r="A116" s="30" t="s">
        <v>556</v>
      </c>
      <c r="B116" s="30" t="s">
        <v>168</v>
      </c>
      <c r="C116" s="30" t="s">
        <v>52</v>
      </c>
      <c r="D116" s="30" t="s">
        <v>169</v>
      </c>
      <c r="E116" s="30" t="s">
        <v>45</v>
      </c>
      <c r="F116" s="30" t="s">
        <v>127</v>
      </c>
      <c r="G116" s="30" t="s">
        <v>232</v>
      </c>
      <c r="H116" s="30" t="s">
        <v>144</v>
      </c>
      <c r="I116" s="30" t="s">
        <v>34</v>
      </c>
      <c r="J116" s="30" t="s">
        <v>535</v>
      </c>
      <c r="K116" s="41">
        <v>10.0</v>
      </c>
      <c r="L116" s="41">
        <v>63.0</v>
      </c>
      <c r="M116" s="41">
        <v>2639.0</v>
      </c>
      <c r="N116" s="41">
        <v>345.0</v>
      </c>
      <c r="O116" s="41">
        <v>0.0</v>
      </c>
      <c r="P116" s="41">
        <v>744.0</v>
      </c>
    </row>
    <row r="117">
      <c r="A117" s="30" t="s">
        <v>505</v>
      </c>
      <c r="B117" s="30" t="s">
        <v>168</v>
      </c>
      <c r="C117" s="30" t="s">
        <v>52</v>
      </c>
      <c r="D117" s="30" t="s">
        <v>169</v>
      </c>
      <c r="E117" s="30" t="s">
        <v>45</v>
      </c>
      <c r="F117" s="30" t="s">
        <v>127</v>
      </c>
      <c r="G117" s="30" t="s">
        <v>232</v>
      </c>
      <c r="H117" s="30" t="s">
        <v>124</v>
      </c>
      <c r="I117" s="30" t="s">
        <v>34</v>
      </c>
      <c r="J117" s="30" t="s">
        <v>536</v>
      </c>
      <c r="K117" s="41">
        <v>10.0</v>
      </c>
      <c r="L117" s="41">
        <v>65.0</v>
      </c>
      <c r="M117" s="41">
        <v>2441.0</v>
      </c>
      <c r="N117" s="41">
        <v>229.0</v>
      </c>
      <c r="O117" s="41">
        <v>0.0</v>
      </c>
      <c r="P117" s="41">
        <v>818.0</v>
      </c>
    </row>
    <row r="118">
      <c r="A118" s="30" t="s">
        <v>557</v>
      </c>
      <c r="B118" s="30" t="s">
        <v>168</v>
      </c>
      <c r="C118" s="30" t="s">
        <v>52</v>
      </c>
      <c r="D118" s="30" t="s">
        <v>169</v>
      </c>
      <c r="E118" s="30" t="s">
        <v>45</v>
      </c>
      <c r="F118" s="30" t="s">
        <v>128</v>
      </c>
      <c r="G118" s="30" t="s">
        <v>232</v>
      </c>
      <c r="H118" s="30" t="s">
        <v>133</v>
      </c>
      <c r="I118" s="30" t="s">
        <v>35</v>
      </c>
      <c r="J118" s="30" t="s">
        <v>531</v>
      </c>
      <c r="K118" s="41">
        <v>10.0</v>
      </c>
      <c r="L118" s="41">
        <v>46.0</v>
      </c>
      <c r="M118" s="41">
        <v>11517.0</v>
      </c>
      <c r="N118" s="41">
        <v>1780.0</v>
      </c>
      <c r="O118" s="41">
        <v>0.004</v>
      </c>
      <c r="P118" s="41">
        <v>701.0</v>
      </c>
    </row>
    <row r="119">
      <c r="A119" s="30" t="s">
        <v>558</v>
      </c>
      <c r="B119" s="30" t="s">
        <v>168</v>
      </c>
      <c r="C119" s="30" t="s">
        <v>52</v>
      </c>
      <c r="D119" s="30" t="s">
        <v>169</v>
      </c>
      <c r="E119" s="30" t="s">
        <v>45</v>
      </c>
      <c r="F119" s="30" t="s">
        <v>128</v>
      </c>
      <c r="G119" s="30" t="s">
        <v>232</v>
      </c>
      <c r="H119" s="30" t="s">
        <v>133</v>
      </c>
      <c r="I119" s="30" t="s">
        <v>34</v>
      </c>
      <c r="J119" s="30" t="s">
        <v>531</v>
      </c>
      <c r="K119" s="41">
        <v>10.0</v>
      </c>
      <c r="L119" s="41">
        <v>59.0</v>
      </c>
      <c r="M119" s="41">
        <v>2679.0</v>
      </c>
      <c r="N119" s="41">
        <v>457.0</v>
      </c>
      <c r="O119" s="41">
        <v>0.0</v>
      </c>
      <c r="P119" s="41">
        <v>386.0</v>
      </c>
    </row>
    <row r="120">
      <c r="A120" s="30" t="s">
        <v>559</v>
      </c>
      <c r="B120" s="30" t="s">
        <v>168</v>
      </c>
      <c r="C120" s="30" t="s">
        <v>52</v>
      </c>
      <c r="D120" s="30" t="s">
        <v>169</v>
      </c>
      <c r="E120" s="30" t="s">
        <v>45</v>
      </c>
      <c r="F120" s="30" t="s">
        <v>128</v>
      </c>
      <c r="G120" s="30" t="s">
        <v>232</v>
      </c>
      <c r="H120" s="30" t="s">
        <v>145</v>
      </c>
      <c r="I120" s="30" t="s">
        <v>35</v>
      </c>
      <c r="J120" s="30" t="s">
        <v>532</v>
      </c>
      <c r="K120" s="41">
        <v>10.0</v>
      </c>
      <c r="L120" s="41">
        <v>30.0</v>
      </c>
      <c r="M120" s="41">
        <v>13581.0</v>
      </c>
      <c r="N120" s="41">
        <v>1294.0</v>
      </c>
      <c r="O120" s="41">
        <v>0.004</v>
      </c>
      <c r="P120" s="41">
        <v>493.0</v>
      </c>
    </row>
    <row r="121">
      <c r="A121" s="30" t="s">
        <v>560</v>
      </c>
      <c r="B121" s="30" t="s">
        <v>168</v>
      </c>
      <c r="C121" s="30" t="s">
        <v>52</v>
      </c>
      <c r="D121" s="30" t="s">
        <v>169</v>
      </c>
      <c r="E121" s="30" t="s">
        <v>45</v>
      </c>
      <c r="F121" s="30" t="s">
        <v>128</v>
      </c>
      <c r="G121" s="30" t="s">
        <v>232</v>
      </c>
      <c r="H121" s="30" t="s">
        <v>145</v>
      </c>
      <c r="I121" s="30" t="s">
        <v>34</v>
      </c>
      <c r="J121" s="30" t="s">
        <v>532</v>
      </c>
      <c r="K121" s="41">
        <v>10.0</v>
      </c>
      <c r="L121" s="41">
        <v>63.0</v>
      </c>
      <c r="M121" s="41">
        <v>2980.0</v>
      </c>
      <c r="N121" s="41">
        <v>273.0</v>
      </c>
      <c r="O121" s="41">
        <v>0.0</v>
      </c>
      <c r="P121" s="41">
        <v>550.0</v>
      </c>
    </row>
    <row r="122">
      <c r="A122" s="30" t="s">
        <v>561</v>
      </c>
      <c r="B122" s="30" t="s">
        <v>168</v>
      </c>
      <c r="C122" s="30" t="s">
        <v>52</v>
      </c>
      <c r="D122" s="30" t="s">
        <v>169</v>
      </c>
      <c r="E122" s="30" t="s">
        <v>45</v>
      </c>
      <c r="F122" s="30" t="s">
        <v>128</v>
      </c>
      <c r="G122" s="30" t="s">
        <v>232</v>
      </c>
      <c r="H122" s="30" t="s">
        <v>122</v>
      </c>
      <c r="I122" s="30" t="s">
        <v>35</v>
      </c>
      <c r="J122" s="30" t="s">
        <v>533</v>
      </c>
      <c r="K122" s="41">
        <v>10.0</v>
      </c>
      <c r="L122" s="41">
        <v>34.0</v>
      </c>
      <c r="M122" s="41">
        <v>11016.0</v>
      </c>
      <c r="N122" s="41">
        <v>980.0</v>
      </c>
      <c r="O122" s="41">
        <v>0.004</v>
      </c>
      <c r="P122" s="41">
        <v>335.0</v>
      </c>
    </row>
    <row r="123">
      <c r="A123" s="30" t="s">
        <v>562</v>
      </c>
      <c r="B123" s="30" t="s">
        <v>168</v>
      </c>
      <c r="C123" s="30" t="s">
        <v>52</v>
      </c>
      <c r="D123" s="30" t="s">
        <v>169</v>
      </c>
      <c r="E123" s="30" t="s">
        <v>45</v>
      </c>
      <c r="F123" s="30" t="s">
        <v>128</v>
      </c>
      <c r="G123" s="30" t="s">
        <v>232</v>
      </c>
      <c r="H123" s="30" t="s">
        <v>122</v>
      </c>
      <c r="I123" s="30" t="s">
        <v>34</v>
      </c>
      <c r="J123" s="30" t="s">
        <v>533</v>
      </c>
      <c r="K123" s="41">
        <v>10.0</v>
      </c>
      <c r="L123" s="41">
        <v>68.0</v>
      </c>
      <c r="M123" s="41">
        <v>2564.0</v>
      </c>
      <c r="N123" s="41">
        <v>253.0</v>
      </c>
      <c r="O123" s="41">
        <v>0.0</v>
      </c>
      <c r="P123" s="41">
        <v>539.0</v>
      </c>
    </row>
    <row r="124">
      <c r="A124" s="30" t="s">
        <v>563</v>
      </c>
      <c r="B124" s="30" t="s">
        <v>168</v>
      </c>
      <c r="C124" s="30" t="s">
        <v>52</v>
      </c>
      <c r="D124" s="30" t="s">
        <v>169</v>
      </c>
      <c r="E124" s="30" t="s">
        <v>45</v>
      </c>
      <c r="F124" s="30" t="s">
        <v>128</v>
      </c>
      <c r="G124" s="30" t="s">
        <v>232</v>
      </c>
      <c r="H124" s="30" t="s">
        <v>129</v>
      </c>
      <c r="I124" s="30" t="s">
        <v>35</v>
      </c>
      <c r="J124" s="30" t="s">
        <v>533</v>
      </c>
      <c r="K124" s="41">
        <v>10.0</v>
      </c>
      <c r="L124" s="41">
        <v>35.0</v>
      </c>
      <c r="M124" s="41">
        <v>11000.0</v>
      </c>
      <c r="N124" s="41">
        <v>1037.0</v>
      </c>
      <c r="O124" s="41">
        <v>0.004</v>
      </c>
      <c r="P124" s="41">
        <v>370.0</v>
      </c>
    </row>
    <row r="125">
      <c r="A125" s="30" t="s">
        <v>564</v>
      </c>
      <c r="B125" s="30" t="s">
        <v>168</v>
      </c>
      <c r="C125" s="30" t="s">
        <v>52</v>
      </c>
      <c r="D125" s="30" t="s">
        <v>169</v>
      </c>
      <c r="E125" s="30" t="s">
        <v>45</v>
      </c>
      <c r="F125" s="30" t="s">
        <v>128</v>
      </c>
      <c r="G125" s="30" t="s">
        <v>232</v>
      </c>
      <c r="H125" s="30" t="s">
        <v>129</v>
      </c>
      <c r="I125" s="30" t="s">
        <v>34</v>
      </c>
      <c r="J125" s="30" t="s">
        <v>533</v>
      </c>
      <c r="K125" s="41">
        <v>10.0</v>
      </c>
      <c r="L125" s="41">
        <v>80.0</v>
      </c>
      <c r="M125" s="41">
        <v>2578.0</v>
      </c>
      <c r="N125" s="41">
        <v>221.0</v>
      </c>
      <c r="O125" s="41">
        <v>0.0</v>
      </c>
      <c r="P125" s="41">
        <v>386.0</v>
      </c>
    </row>
    <row r="126">
      <c r="A126" s="30" t="s">
        <v>506</v>
      </c>
      <c r="B126" s="30" t="s">
        <v>168</v>
      </c>
      <c r="C126" s="30" t="s">
        <v>52</v>
      </c>
      <c r="D126" s="30" t="s">
        <v>169</v>
      </c>
      <c r="E126" s="30" t="s">
        <v>45</v>
      </c>
      <c r="F126" s="30" t="s">
        <v>128</v>
      </c>
      <c r="G126" s="30" t="s">
        <v>232</v>
      </c>
      <c r="H126" s="30" t="s">
        <v>131</v>
      </c>
      <c r="I126" s="30" t="s">
        <v>35</v>
      </c>
      <c r="J126" s="30" t="s">
        <v>534</v>
      </c>
      <c r="K126" s="41">
        <v>10.0</v>
      </c>
      <c r="L126" s="41">
        <v>28.0</v>
      </c>
      <c r="M126" s="41">
        <v>11054.0</v>
      </c>
      <c r="N126" s="41">
        <v>1027.0</v>
      </c>
      <c r="O126" s="41">
        <v>0.004</v>
      </c>
      <c r="P126" s="41">
        <v>290.0</v>
      </c>
    </row>
    <row r="127">
      <c r="A127" s="30" t="s">
        <v>16</v>
      </c>
      <c r="B127" s="30" t="s">
        <v>168</v>
      </c>
      <c r="C127" s="30" t="s">
        <v>51</v>
      </c>
      <c r="D127" s="30" t="s">
        <v>507</v>
      </c>
      <c r="E127" s="30" t="s">
        <v>26</v>
      </c>
      <c r="F127" s="30" t="s">
        <v>14</v>
      </c>
      <c r="G127" s="30" t="s">
        <v>15</v>
      </c>
      <c r="H127" s="30" t="s">
        <v>19</v>
      </c>
      <c r="I127" s="30" t="s">
        <v>20</v>
      </c>
      <c r="J127" s="30" t="s">
        <v>530</v>
      </c>
      <c r="K127" s="41"/>
      <c r="L127" s="41"/>
      <c r="M127" s="41">
        <v>90.0</v>
      </c>
      <c r="N127" s="41">
        <v>90.0</v>
      </c>
      <c r="O127" s="41">
        <v>90.0</v>
      </c>
      <c r="P127" s="41"/>
    </row>
    <row r="128">
      <c r="A128" s="30" t="s">
        <v>501</v>
      </c>
      <c r="B128" s="30" t="s">
        <v>168</v>
      </c>
      <c r="C128" s="30" t="s">
        <v>51</v>
      </c>
      <c r="D128" s="30" t="s">
        <v>169</v>
      </c>
      <c r="E128" s="30" t="s">
        <v>258</v>
      </c>
      <c r="F128" s="30" t="s">
        <v>130</v>
      </c>
      <c r="G128" s="30" t="s">
        <v>232</v>
      </c>
      <c r="H128" s="30" t="s">
        <v>133</v>
      </c>
      <c r="I128" s="30" t="s">
        <v>34</v>
      </c>
      <c r="J128" s="30" t="s">
        <v>531</v>
      </c>
      <c r="K128" s="41">
        <v>5.0</v>
      </c>
      <c r="L128" s="41">
        <v>82.0</v>
      </c>
      <c r="M128" s="41">
        <v>1540.0</v>
      </c>
      <c r="N128" s="41">
        <v>323.0</v>
      </c>
      <c r="O128" s="41">
        <v>0.0</v>
      </c>
      <c r="P128" s="41">
        <v>516.0</v>
      </c>
    </row>
    <row r="129">
      <c r="A129" s="30" t="s">
        <v>501</v>
      </c>
      <c r="B129" s="30" t="s">
        <v>168</v>
      </c>
      <c r="C129" s="30" t="s">
        <v>51</v>
      </c>
      <c r="D129" s="30" t="s">
        <v>169</v>
      </c>
      <c r="E129" s="30" t="s">
        <v>259</v>
      </c>
      <c r="F129" s="30" t="s">
        <v>130</v>
      </c>
      <c r="G129" s="30" t="s">
        <v>232</v>
      </c>
      <c r="H129" s="30" t="s">
        <v>122</v>
      </c>
      <c r="I129" s="30" t="s">
        <v>34</v>
      </c>
      <c r="J129" s="30" t="s">
        <v>533</v>
      </c>
      <c r="K129" s="41">
        <v>5.0</v>
      </c>
      <c r="L129" s="41">
        <v>89.0</v>
      </c>
      <c r="M129" s="41">
        <v>1620.0</v>
      </c>
      <c r="N129" s="41">
        <v>185.0</v>
      </c>
      <c r="O129" s="41">
        <v>0.0</v>
      </c>
      <c r="P129" s="41">
        <v>357.0</v>
      </c>
    </row>
    <row r="130">
      <c r="A130" s="30" t="s">
        <v>501</v>
      </c>
      <c r="B130" s="30" t="s">
        <v>168</v>
      </c>
      <c r="C130" s="30" t="s">
        <v>51</v>
      </c>
      <c r="D130" s="30" t="s">
        <v>169</v>
      </c>
      <c r="E130" s="30" t="s">
        <v>260</v>
      </c>
      <c r="F130" s="30" t="s">
        <v>130</v>
      </c>
      <c r="G130" s="30" t="s">
        <v>232</v>
      </c>
      <c r="H130" s="30" t="s">
        <v>129</v>
      </c>
      <c r="I130" s="30" t="s">
        <v>34</v>
      </c>
      <c r="J130" s="30" t="s">
        <v>533</v>
      </c>
      <c r="K130" s="41">
        <v>5.0</v>
      </c>
      <c r="L130" s="41">
        <v>89.0</v>
      </c>
      <c r="M130" s="41">
        <v>1560.0</v>
      </c>
      <c r="N130" s="41">
        <v>155.0</v>
      </c>
      <c r="O130" s="41">
        <v>0.0</v>
      </c>
      <c r="P130" s="41">
        <v>339.0</v>
      </c>
    </row>
    <row r="131">
      <c r="A131" s="30" t="s">
        <v>501</v>
      </c>
      <c r="B131" s="30" t="s">
        <v>168</v>
      </c>
      <c r="C131" s="30" t="s">
        <v>51</v>
      </c>
      <c r="D131" s="30" t="s">
        <v>169</v>
      </c>
      <c r="E131" s="30" t="s">
        <v>261</v>
      </c>
      <c r="F131" s="30" t="s">
        <v>130</v>
      </c>
      <c r="G131" s="30" t="s">
        <v>232</v>
      </c>
      <c r="H131" s="30" t="s">
        <v>131</v>
      </c>
      <c r="I131" s="30" t="s">
        <v>34</v>
      </c>
      <c r="J131" s="30" t="s">
        <v>534</v>
      </c>
      <c r="K131" s="41">
        <v>5.0</v>
      </c>
      <c r="L131" s="41">
        <v>87.0</v>
      </c>
      <c r="M131" s="41">
        <v>1620.0</v>
      </c>
      <c r="N131" s="41">
        <v>178.0</v>
      </c>
      <c r="O131" s="41">
        <v>0.0</v>
      </c>
      <c r="P131" s="41">
        <v>334.0</v>
      </c>
    </row>
    <row r="132">
      <c r="A132" s="30" t="s">
        <v>501</v>
      </c>
      <c r="B132" s="30" t="s">
        <v>168</v>
      </c>
      <c r="C132" s="30" t="s">
        <v>51</v>
      </c>
      <c r="D132" s="30" t="s">
        <v>169</v>
      </c>
      <c r="E132" s="30" t="s">
        <v>262</v>
      </c>
      <c r="F132" s="30" t="s">
        <v>130</v>
      </c>
      <c r="G132" s="30" t="s">
        <v>232</v>
      </c>
      <c r="H132" s="30" t="s">
        <v>126</v>
      </c>
      <c r="I132" s="30" t="s">
        <v>34</v>
      </c>
      <c r="J132" s="30" t="s">
        <v>534</v>
      </c>
      <c r="K132" s="41">
        <v>5.0</v>
      </c>
      <c r="L132" s="41">
        <v>82.0</v>
      </c>
      <c r="M132" s="41">
        <v>1630.0</v>
      </c>
      <c r="N132" s="41">
        <v>329.0</v>
      </c>
      <c r="O132" s="41">
        <v>0.0</v>
      </c>
      <c r="P132" s="41">
        <v>447.0</v>
      </c>
    </row>
    <row r="133">
      <c r="A133" s="30" t="s">
        <v>501</v>
      </c>
      <c r="B133" s="30" t="s">
        <v>168</v>
      </c>
      <c r="C133" s="30" t="s">
        <v>51</v>
      </c>
      <c r="D133" s="30" t="s">
        <v>169</v>
      </c>
      <c r="E133" s="30" t="s">
        <v>263</v>
      </c>
      <c r="F133" s="30" t="s">
        <v>130</v>
      </c>
      <c r="G133" s="30" t="s">
        <v>232</v>
      </c>
      <c r="H133" s="30" t="s">
        <v>144</v>
      </c>
      <c r="I133" s="30" t="s">
        <v>34</v>
      </c>
      <c r="J133" s="30" t="s">
        <v>535</v>
      </c>
      <c r="K133" s="41">
        <v>5.0</v>
      </c>
      <c r="L133" s="41">
        <v>82.0</v>
      </c>
      <c r="M133" s="41">
        <v>1640.0</v>
      </c>
      <c r="N133" s="41">
        <v>373.0</v>
      </c>
      <c r="O133" s="41">
        <v>0.0</v>
      </c>
      <c r="P133" s="41">
        <v>431.0</v>
      </c>
    </row>
    <row r="134">
      <c r="A134" s="30" t="s">
        <v>501</v>
      </c>
      <c r="B134" s="30" t="s">
        <v>168</v>
      </c>
      <c r="C134" s="30" t="s">
        <v>51</v>
      </c>
      <c r="D134" s="30" t="s">
        <v>169</v>
      </c>
      <c r="E134" s="30" t="s">
        <v>264</v>
      </c>
      <c r="F134" s="30" t="s">
        <v>130</v>
      </c>
      <c r="G134" s="30" t="s">
        <v>232</v>
      </c>
      <c r="H134" s="30" t="s">
        <v>124</v>
      </c>
      <c r="I134" s="30" t="s">
        <v>34</v>
      </c>
      <c r="J134" s="30" t="s">
        <v>536</v>
      </c>
      <c r="K134" s="41">
        <v>5.0</v>
      </c>
      <c r="L134" s="41">
        <v>84.0</v>
      </c>
      <c r="M134" s="41">
        <v>1410.0</v>
      </c>
      <c r="N134" s="41">
        <v>191.0</v>
      </c>
      <c r="O134" s="41">
        <v>0.0</v>
      </c>
      <c r="P134" s="41">
        <v>5088.0</v>
      </c>
    </row>
    <row r="135">
      <c r="A135" s="30" t="s">
        <v>501</v>
      </c>
      <c r="B135" s="30" t="s">
        <v>168</v>
      </c>
      <c r="C135" s="30" t="s">
        <v>51</v>
      </c>
      <c r="D135" s="30" t="s">
        <v>169</v>
      </c>
      <c r="E135" s="30" t="s">
        <v>265</v>
      </c>
      <c r="F135" s="30" t="s">
        <v>130</v>
      </c>
      <c r="G135" s="30" t="s">
        <v>232</v>
      </c>
      <c r="H135" s="30" t="s">
        <v>133</v>
      </c>
      <c r="I135" s="30" t="s">
        <v>35</v>
      </c>
      <c r="J135" s="30" t="s">
        <v>531</v>
      </c>
      <c r="K135" s="41">
        <v>5.0</v>
      </c>
      <c r="L135" s="41">
        <v>46.0</v>
      </c>
      <c r="M135" s="41">
        <v>5780.0</v>
      </c>
      <c r="N135" s="41">
        <v>1360.0</v>
      </c>
      <c r="O135" s="41">
        <v>0.004</v>
      </c>
      <c r="P135" s="41">
        <v>431.0</v>
      </c>
    </row>
    <row r="136">
      <c r="A136" s="30" t="s">
        <v>501</v>
      </c>
      <c r="B136" s="30" t="s">
        <v>168</v>
      </c>
      <c r="C136" s="30" t="s">
        <v>51</v>
      </c>
      <c r="D136" s="30" t="s">
        <v>169</v>
      </c>
      <c r="E136" s="30" t="s">
        <v>266</v>
      </c>
      <c r="F136" s="30" t="s">
        <v>130</v>
      </c>
      <c r="G136" s="30" t="s">
        <v>232</v>
      </c>
      <c r="H136" s="30" t="s">
        <v>122</v>
      </c>
      <c r="I136" s="30" t="s">
        <v>35</v>
      </c>
      <c r="J136" s="30" t="s">
        <v>533</v>
      </c>
      <c r="K136" s="41">
        <v>5.0</v>
      </c>
      <c r="L136" s="41">
        <v>49.0</v>
      </c>
      <c r="M136" s="41">
        <v>5160.0</v>
      </c>
      <c r="N136" s="41">
        <v>820.0</v>
      </c>
      <c r="O136" s="41">
        <v>0.004</v>
      </c>
      <c r="P136" s="41">
        <v>328.0</v>
      </c>
    </row>
    <row r="137">
      <c r="A137" s="30" t="s">
        <v>501</v>
      </c>
      <c r="B137" s="30" t="s">
        <v>168</v>
      </c>
      <c r="C137" s="30" t="s">
        <v>51</v>
      </c>
      <c r="D137" s="30" t="s">
        <v>169</v>
      </c>
      <c r="E137" s="30" t="s">
        <v>267</v>
      </c>
      <c r="F137" s="30" t="s">
        <v>130</v>
      </c>
      <c r="G137" s="30" t="s">
        <v>232</v>
      </c>
      <c r="H137" s="30" t="s">
        <v>129</v>
      </c>
      <c r="I137" s="30" t="s">
        <v>35</v>
      </c>
      <c r="J137" s="30" t="s">
        <v>533</v>
      </c>
      <c r="K137" s="41">
        <v>5.0</v>
      </c>
      <c r="L137" s="41">
        <v>53.0</v>
      </c>
      <c r="M137" s="41">
        <v>4490.0</v>
      </c>
      <c r="N137" s="41">
        <v>749.0</v>
      </c>
      <c r="O137" s="41">
        <v>0.004</v>
      </c>
      <c r="P137" s="41">
        <v>307.0</v>
      </c>
    </row>
    <row r="138">
      <c r="A138" s="30" t="s">
        <v>501</v>
      </c>
      <c r="B138" s="30" t="s">
        <v>168</v>
      </c>
      <c r="C138" s="30" t="s">
        <v>51</v>
      </c>
      <c r="D138" s="30" t="s">
        <v>169</v>
      </c>
      <c r="E138" s="30" t="s">
        <v>268</v>
      </c>
      <c r="F138" s="30" t="s">
        <v>130</v>
      </c>
      <c r="G138" s="30" t="s">
        <v>232</v>
      </c>
      <c r="H138" s="30" t="s">
        <v>131</v>
      </c>
      <c r="I138" s="30" t="s">
        <v>35</v>
      </c>
      <c r="J138" s="30" t="s">
        <v>534</v>
      </c>
      <c r="K138" s="41">
        <v>5.0</v>
      </c>
      <c r="L138" s="41">
        <v>51.0</v>
      </c>
      <c r="M138" s="41">
        <v>5300.0</v>
      </c>
      <c r="N138" s="41">
        <v>809.0</v>
      </c>
      <c r="O138" s="41">
        <v>0.004</v>
      </c>
      <c r="P138" s="41">
        <v>324.0</v>
      </c>
    </row>
    <row r="139">
      <c r="A139" s="30" t="s">
        <v>501</v>
      </c>
      <c r="B139" s="30" t="s">
        <v>168</v>
      </c>
      <c r="C139" s="30" t="s">
        <v>51</v>
      </c>
      <c r="D139" s="30" t="s">
        <v>169</v>
      </c>
      <c r="E139" s="30" t="s">
        <v>269</v>
      </c>
      <c r="F139" s="30" t="s">
        <v>130</v>
      </c>
      <c r="G139" s="30" t="s">
        <v>232</v>
      </c>
      <c r="H139" s="30" t="s">
        <v>126</v>
      </c>
      <c r="I139" s="30" t="s">
        <v>35</v>
      </c>
      <c r="J139" s="30" t="s">
        <v>534</v>
      </c>
      <c r="K139" s="41">
        <v>5.0</v>
      </c>
      <c r="L139" s="41">
        <v>37.0</v>
      </c>
      <c r="M139" s="41">
        <v>6380.0</v>
      </c>
      <c r="N139" s="41">
        <v>1481.0</v>
      </c>
      <c r="O139" s="41">
        <v>0.004</v>
      </c>
      <c r="P139" s="41">
        <v>408.0</v>
      </c>
    </row>
    <row r="140">
      <c r="A140" s="30" t="s">
        <v>501</v>
      </c>
      <c r="B140" s="30" t="s">
        <v>168</v>
      </c>
      <c r="C140" s="30" t="s">
        <v>51</v>
      </c>
      <c r="D140" s="30" t="s">
        <v>169</v>
      </c>
      <c r="E140" s="30" t="s">
        <v>270</v>
      </c>
      <c r="F140" s="30" t="s">
        <v>130</v>
      </c>
      <c r="G140" s="30" t="s">
        <v>232</v>
      </c>
      <c r="H140" s="30" t="s">
        <v>144</v>
      </c>
      <c r="I140" s="30" t="s">
        <v>35</v>
      </c>
      <c r="J140" s="30" t="s">
        <v>535</v>
      </c>
      <c r="K140" s="41">
        <v>5.0</v>
      </c>
      <c r="L140" s="41">
        <v>45.0</v>
      </c>
      <c r="M140" s="41">
        <v>5890.0</v>
      </c>
      <c r="N140" s="41">
        <v>1531.0</v>
      </c>
      <c r="O140" s="41">
        <v>0.004</v>
      </c>
      <c r="P140" s="41">
        <v>421.0</v>
      </c>
    </row>
    <row r="141">
      <c r="A141" s="30" t="s">
        <v>501</v>
      </c>
      <c r="B141" s="30" t="s">
        <v>168</v>
      </c>
      <c r="C141" s="30" t="s">
        <v>51</v>
      </c>
      <c r="D141" s="30" t="s">
        <v>169</v>
      </c>
      <c r="E141" s="30" t="s">
        <v>271</v>
      </c>
      <c r="F141" s="30" t="s">
        <v>130</v>
      </c>
      <c r="G141" s="30" t="s">
        <v>232</v>
      </c>
      <c r="H141" s="30" t="s">
        <v>124</v>
      </c>
      <c r="I141" s="30" t="s">
        <v>35</v>
      </c>
      <c r="J141" s="30" t="s">
        <v>536</v>
      </c>
      <c r="K141" s="41">
        <v>5.0</v>
      </c>
      <c r="L141" s="41">
        <v>50.0</v>
      </c>
      <c r="M141" s="41">
        <v>4900.0</v>
      </c>
      <c r="N141" s="41">
        <v>767.0</v>
      </c>
      <c r="O141" s="41">
        <v>0.004</v>
      </c>
      <c r="P141" s="41">
        <v>5045.0</v>
      </c>
    </row>
    <row r="142">
      <c r="A142" s="30" t="s">
        <v>502</v>
      </c>
      <c r="B142" s="30" t="s">
        <v>168</v>
      </c>
      <c r="C142" s="30" t="s">
        <v>51</v>
      </c>
      <c r="D142" s="30" t="s">
        <v>169</v>
      </c>
      <c r="E142" s="30" t="s">
        <v>272</v>
      </c>
      <c r="F142" s="30" t="s">
        <v>132</v>
      </c>
      <c r="G142" s="30" t="s">
        <v>232</v>
      </c>
      <c r="H142" s="30" t="s">
        <v>129</v>
      </c>
      <c r="I142" s="30" t="s">
        <v>35</v>
      </c>
      <c r="J142" s="30" t="s">
        <v>533</v>
      </c>
      <c r="K142" s="41">
        <v>10.0</v>
      </c>
      <c r="L142" s="41">
        <v>44.0</v>
      </c>
      <c r="M142" s="41">
        <v>5255.0</v>
      </c>
      <c r="N142" s="41">
        <v>1423.0</v>
      </c>
      <c r="O142" s="41">
        <v>0.004</v>
      </c>
      <c r="P142" s="41">
        <v>415.0</v>
      </c>
    </row>
    <row r="143">
      <c r="A143" s="30" t="s">
        <v>502</v>
      </c>
      <c r="B143" s="30" t="s">
        <v>168</v>
      </c>
      <c r="C143" s="30" t="s">
        <v>51</v>
      </c>
      <c r="D143" s="30" t="s">
        <v>169</v>
      </c>
      <c r="E143" s="30" t="s">
        <v>273</v>
      </c>
      <c r="F143" s="30" t="s">
        <v>132</v>
      </c>
      <c r="G143" s="30" t="s">
        <v>232</v>
      </c>
      <c r="H143" s="30" t="s">
        <v>126</v>
      </c>
      <c r="I143" s="30" t="s">
        <v>34</v>
      </c>
      <c r="J143" s="30" t="s">
        <v>534</v>
      </c>
      <c r="K143" s="41">
        <v>10.0</v>
      </c>
      <c r="L143" s="41">
        <v>57.0</v>
      </c>
      <c r="M143" s="41">
        <v>2698.0</v>
      </c>
      <c r="N143" s="41">
        <v>687.0</v>
      </c>
      <c r="O143" s="41">
        <v>0.0</v>
      </c>
      <c r="P143" s="41">
        <v>459.0</v>
      </c>
    </row>
    <row r="144">
      <c r="A144" s="30" t="s">
        <v>502</v>
      </c>
      <c r="B144" s="30" t="s">
        <v>168</v>
      </c>
      <c r="C144" s="30" t="s">
        <v>51</v>
      </c>
      <c r="D144" s="30" t="s">
        <v>169</v>
      </c>
      <c r="E144" s="30" t="s">
        <v>45</v>
      </c>
      <c r="F144" s="30" t="s">
        <v>132</v>
      </c>
      <c r="G144" s="30" t="s">
        <v>232</v>
      </c>
      <c r="H144" s="30" t="s">
        <v>144</v>
      </c>
      <c r="I144" s="30" t="s">
        <v>34</v>
      </c>
      <c r="J144" s="30" t="s">
        <v>535</v>
      </c>
      <c r="K144" s="41">
        <v>10.0</v>
      </c>
      <c r="L144" s="41">
        <v>71.0</v>
      </c>
      <c r="M144" s="41">
        <v>2445.0</v>
      </c>
      <c r="N144" s="41">
        <v>621.0</v>
      </c>
      <c r="O144" s="41">
        <v>0.0</v>
      </c>
      <c r="P144" s="41">
        <v>425.0</v>
      </c>
    </row>
    <row r="145">
      <c r="A145" s="30" t="s">
        <v>502</v>
      </c>
      <c r="B145" s="30" t="s">
        <v>168</v>
      </c>
      <c r="C145" s="30" t="s">
        <v>51</v>
      </c>
      <c r="D145" s="30" t="s">
        <v>169</v>
      </c>
      <c r="E145" s="30" t="s">
        <v>45</v>
      </c>
      <c r="F145" s="30" t="s">
        <v>132</v>
      </c>
      <c r="G145" s="30" t="s">
        <v>232</v>
      </c>
      <c r="H145" s="30" t="s">
        <v>133</v>
      </c>
      <c r="I145" s="30" t="s">
        <v>34</v>
      </c>
      <c r="J145" s="30" t="s">
        <v>531</v>
      </c>
      <c r="K145" s="41">
        <v>10.0</v>
      </c>
      <c r="L145" s="41">
        <v>73.0</v>
      </c>
      <c r="M145" s="41">
        <v>2716.0</v>
      </c>
      <c r="N145" s="41">
        <v>591.0</v>
      </c>
      <c r="O145" s="41">
        <v>0.0</v>
      </c>
      <c r="P145" s="41">
        <v>502.0</v>
      </c>
    </row>
    <row r="146">
      <c r="A146" s="30" t="s">
        <v>502</v>
      </c>
      <c r="B146" s="30" t="s">
        <v>168</v>
      </c>
      <c r="C146" s="30" t="s">
        <v>51</v>
      </c>
      <c r="D146" s="30" t="s">
        <v>169</v>
      </c>
      <c r="E146" s="30" t="s">
        <v>45</v>
      </c>
      <c r="F146" s="30" t="s">
        <v>132</v>
      </c>
      <c r="G146" s="30" t="s">
        <v>232</v>
      </c>
      <c r="H146" s="30" t="s">
        <v>122</v>
      </c>
      <c r="I146" s="30" t="s">
        <v>34</v>
      </c>
      <c r="J146" s="30" t="s">
        <v>533</v>
      </c>
      <c r="K146" s="41">
        <v>10.0</v>
      </c>
      <c r="L146" s="41">
        <v>87.0</v>
      </c>
      <c r="M146" s="41">
        <v>1925.0</v>
      </c>
      <c r="N146" s="41">
        <v>243.0</v>
      </c>
      <c r="O146" s="41">
        <v>0.0</v>
      </c>
      <c r="P146" s="41">
        <v>381.0</v>
      </c>
    </row>
    <row r="147">
      <c r="A147" s="30" t="s">
        <v>502</v>
      </c>
      <c r="B147" s="30" t="s">
        <v>168</v>
      </c>
      <c r="C147" s="30" t="s">
        <v>51</v>
      </c>
      <c r="D147" s="30" t="s">
        <v>169</v>
      </c>
      <c r="E147" s="30" t="s">
        <v>45</v>
      </c>
      <c r="F147" s="30" t="s">
        <v>132</v>
      </c>
      <c r="G147" s="30" t="s">
        <v>232</v>
      </c>
      <c r="H147" s="30" t="s">
        <v>133</v>
      </c>
      <c r="I147" s="30" t="s">
        <v>35</v>
      </c>
      <c r="J147" s="30" t="s">
        <v>531</v>
      </c>
      <c r="K147" s="41">
        <v>10.0</v>
      </c>
      <c r="L147" s="41">
        <v>45.0</v>
      </c>
      <c r="M147" s="41">
        <v>11186.0</v>
      </c>
      <c r="N147" s="41">
        <v>2448.0</v>
      </c>
      <c r="O147" s="41">
        <v>0.004</v>
      </c>
      <c r="P147" s="41">
        <v>487.0</v>
      </c>
    </row>
    <row r="148">
      <c r="A148" s="30" t="s">
        <v>502</v>
      </c>
      <c r="B148" s="30" t="s">
        <v>168</v>
      </c>
      <c r="C148" s="30" t="s">
        <v>51</v>
      </c>
      <c r="D148" s="30" t="s">
        <v>169</v>
      </c>
      <c r="E148" s="30" t="s">
        <v>45</v>
      </c>
      <c r="F148" s="30" t="s">
        <v>132</v>
      </c>
      <c r="G148" s="30" t="s">
        <v>232</v>
      </c>
      <c r="H148" s="30" t="s">
        <v>122</v>
      </c>
      <c r="I148" s="30" t="s">
        <v>35</v>
      </c>
      <c r="J148" s="30" t="s">
        <v>533</v>
      </c>
      <c r="K148" s="41">
        <v>10.0</v>
      </c>
      <c r="L148" s="41">
        <v>47.0</v>
      </c>
      <c r="M148" s="41">
        <v>5518.0</v>
      </c>
      <c r="N148" s="41">
        <v>1094.0</v>
      </c>
      <c r="O148" s="41">
        <v>0.004</v>
      </c>
      <c r="P148" s="41">
        <v>405.0</v>
      </c>
    </row>
    <row r="149">
      <c r="A149" s="30" t="s">
        <v>502</v>
      </c>
      <c r="B149" s="30" t="s">
        <v>168</v>
      </c>
      <c r="C149" s="30" t="s">
        <v>51</v>
      </c>
      <c r="D149" s="30" t="s">
        <v>169</v>
      </c>
      <c r="E149" s="30" t="s">
        <v>45</v>
      </c>
      <c r="F149" s="30" t="s">
        <v>132</v>
      </c>
      <c r="G149" s="30" t="s">
        <v>232</v>
      </c>
      <c r="H149" s="30" t="s">
        <v>131</v>
      </c>
      <c r="I149" s="30" t="s">
        <v>35</v>
      </c>
      <c r="J149" s="30" t="s">
        <v>534</v>
      </c>
      <c r="K149" s="41">
        <v>10.0</v>
      </c>
      <c r="L149" s="41">
        <v>48.0</v>
      </c>
      <c r="M149" s="41">
        <v>5005.0</v>
      </c>
      <c r="N149" s="41">
        <v>824.0</v>
      </c>
      <c r="O149" s="41">
        <v>0.004</v>
      </c>
      <c r="P149" s="41">
        <v>330.0</v>
      </c>
    </row>
    <row r="150">
      <c r="A150" s="30" t="s">
        <v>502</v>
      </c>
      <c r="B150" s="30" t="s">
        <v>168</v>
      </c>
      <c r="C150" s="30" t="s">
        <v>51</v>
      </c>
      <c r="D150" s="30" t="s">
        <v>169</v>
      </c>
      <c r="E150" s="30" t="s">
        <v>45</v>
      </c>
      <c r="F150" s="30" t="s">
        <v>132</v>
      </c>
      <c r="G150" s="30" t="s">
        <v>232</v>
      </c>
      <c r="H150" s="30" t="s">
        <v>126</v>
      </c>
      <c r="I150" s="30" t="s">
        <v>35</v>
      </c>
      <c r="J150" s="30" t="s">
        <v>534</v>
      </c>
      <c r="K150" s="41">
        <v>10.0</v>
      </c>
      <c r="L150" s="41">
        <v>37.0</v>
      </c>
      <c r="M150" s="41">
        <v>6449.0</v>
      </c>
      <c r="N150" s="41">
        <v>1769.0</v>
      </c>
      <c r="O150" s="41">
        <v>0.004</v>
      </c>
      <c r="P150" s="41">
        <v>443.0</v>
      </c>
    </row>
    <row r="151">
      <c r="A151" s="30" t="s">
        <v>502</v>
      </c>
      <c r="B151" s="30" t="s">
        <v>168</v>
      </c>
      <c r="C151" s="30" t="s">
        <v>51</v>
      </c>
      <c r="D151" s="30" t="s">
        <v>169</v>
      </c>
      <c r="E151" s="30" t="s">
        <v>45</v>
      </c>
      <c r="F151" s="30" t="s">
        <v>132</v>
      </c>
      <c r="G151" s="30" t="s">
        <v>232</v>
      </c>
      <c r="H151" s="30" t="s">
        <v>144</v>
      </c>
      <c r="I151" s="30" t="s">
        <v>35</v>
      </c>
      <c r="J151" s="30" t="s">
        <v>535</v>
      </c>
      <c r="K151" s="41">
        <v>10.0</v>
      </c>
      <c r="L151" s="41">
        <v>44.0</v>
      </c>
      <c r="M151" s="41">
        <v>5824.0</v>
      </c>
      <c r="N151" s="41">
        <v>1658.0</v>
      </c>
      <c r="O151" s="41">
        <v>0.004</v>
      </c>
      <c r="P151" s="41">
        <v>438.0</v>
      </c>
    </row>
    <row r="152">
      <c r="A152" s="30" t="s">
        <v>502</v>
      </c>
      <c r="B152" s="30" t="s">
        <v>168</v>
      </c>
      <c r="C152" s="30" t="s">
        <v>51</v>
      </c>
      <c r="D152" s="30" t="s">
        <v>169</v>
      </c>
      <c r="E152" s="30" t="s">
        <v>45</v>
      </c>
      <c r="F152" s="30" t="s">
        <v>132</v>
      </c>
      <c r="G152" s="30" t="s">
        <v>232</v>
      </c>
      <c r="H152" s="30" t="s">
        <v>124</v>
      </c>
      <c r="I152" s="30" t="s">
        <v>35</v>
      </c>
      <c r="J152" s="30" t="s">
        <v>536</v>
      </c>
      <c r="K152" s="41">
        <v>10.0</v>
      </c>
      <c r="L152" s="41">
        <v>47.0</v>
      </c>
      <c r="M152" s="41">
        <v>5193.0</v>
      </c>
      <c r="N152" s="41">
        <v>772.0</v>
      </c>
      <c r="O152" s="41">
        <v>0.004</v>
      </c>
      <c r="P152" s="41">
        <v>951.0</v>
      </c>
    </row>
    <row r="153">
      <c r="A153" s="30" t="s">
        <v>502</v>
      </c>
      <c r="B153" s="30" t="s">
        <v>168</v>
      </c>
      <c r="C153" s="30" t="s">
        <v>51</v>
      </c>
      <c r="D153" s="30" t="s">
        <v>169</v>
      </c>
      <c r="E153" s="30" t="s">
        <v>45</v>
      </c>
      <c r="F153" s="30" t="s">
        <v>132</v>
      </c>
      <c r="G153" s="30" t="s">
        <v>232</v>
      </c>
      <c r="H153" s="30" t="s">
        <v>143</v>
      </c>
      <c r="I153" s="30" t="s">
        <v>35</v>
      </c>
      <c r="J153" s="30" t="s">
        <v>536</v>
      </c>
      <c r="K153" s="41">
        <v>10.0</v>
      </c>
      <c r="L153" s="41">
        <v>38.0</v>
      </c>
      <c r="M153" s="41">
        <v>10314.0</v>
      </c>
      <c r="N153" s="41">
        <v>748.0</v>
      </c>
      <c r="O153" s="41">
        <v>0.004</v>
      </c>
      <c r="P153" s="41">
        <v>1206.0</v>
      </c>
    </row>
    <row r="154">
      <c r="A154" s="30" t="s">
        <v>503</v>
      </c>
      <c r="B154" s="30" t="s">
        <v>168</v>
      </c>
      <c r="C154" s="30" t="s">
        <v>51</v>
      </c>
      <c r="D154" s="30" t="s">
        <v>169</v>
      </c>
      <c r="E154" s="30" t="s">
        <v>45</v>
      </c>
      <c r="F154" s="30" t="s">
        <v>123</v>
      </c>
      <c r="G154" s="30" t="s">
        <v>232</v>
      </c>
      <c r="H154" s="30" t="s">
        <v>133</v>
      </c>
      <c r="I154" s="30" t="s">
        <v>35</v>
      </c>
      <c r="J154" s="30" t="s">
        <v>531</v>
      </c>
      <c r="K154" s="41">
        <v>10.0</v>
      </c>
      <c r="L154" s="41">
        <v>43.0</v>
      </c>
      <c r="M154" s="41">
        <v>7837.0</v>
      </c>
      <c r="N154" s="41">
        <v>1948.0</v>
      </c>
      <c r="O154" s="41">
        <v>0.004</v>
      </c>
      <c r="P154" s="41">
        <v>520.0</v>
      </c>
    </row>
    <row r="155">
      <c r="A155" s="30" t="s">
        <v>503</v>
      </c>
      <c r="B155" s="30" t="s">
        <v>168</v>
      </c>
      <c r="C155" s="30" t="s">
        <v>51</v>
      </c>
      <c r="D155" s="30" t="s">
        <v>169</v>
      </c>
      <c r="E155" s="30" t="s">
        <v>45</v>
      </c>
      <c r="F155" s="30" t="s">
        <v>123</v>
      </c>
      <c r="G155" s="30" t="s">
        <v>232</v>
      </c>
      <c r="H155" s="30" t="s">
        <v>122</v>
      </c>
      <c r="I155" s="30" t="s">
        <v>35</v>
      </c>
      <c r="J155" s="30" t="s">
        <v>533</v>
      </c>
      <c r="K155" s="41">
        <v>10.0</v>
      </c>
      <c r="L155" s="41">
        <v>46.0</v>
      </c>
      <c r="M155" s="41">
        <v>4837.0</v>
      </c>
      <c r="N155" s="41">
        <v>993.0</v>
      </c>
      <c r="O155" s="41">
        <v>0.004</v>
      </c>
      <c r="P155" s="41">
        <v>306.0</v>
      </c>
    </row>
    <row r="156">
      <c r="A156" s="30" t="s">
        <v>503</v>
      </c>
      <c r="B156" s="30" t="s">
        <v>168</v>
      </c>
      <c r="C156" s="30" t="s">
        <v>51</v>
      </c>
      <c r="D156" s="30" t="s">
        <v>169</v>
      </c>
      <c r="E156" s="30" t="s">
        <v>45</v>
      </c>
      <c r="F156" s="30" t="s">
        <v>123</v>
      </c>
      <c r="G156" s="30" t="s">
        <v>232</v>
      </c>
      <c r="H156" s="30" t="s">
        <v>129</v>
      </c>
      <c r="I156" s="30" t="s">
        <v>35</v>
      </c>
      <c r="J156" s="30" t="s">
        <v>533</v>
      </c>
      <c r="K156" s="41">
        <v>10.0</v>
      </c>
      <c r="L156" s="41">
        <v>52.0</v>
      </c>
      <c r="M156" s="41">
        <v>5037.0</v>
      </c>
      <c r="N156" s="41">
        <v>935.0</v>
      </c>
      <c r="O156" s="41">
        <v>0.004</v>
      </c>
      <c r="P156" s="41">
        <v>290.0</v>
      </c>
    </row>
    <row r="157">
      <c r="A157" s="30" t="s">
        <v>503</v>
      </c>
      <c r="B157" s="30" t="s">
        <v>168</v>
      </c>
      <c r="C157" s="30" t="s">
        <v>51</v>
      </c>
      <c r="D157" s="30" t="s">
        <v>169</v>
      </c>
      <c r="E157" s="30" t="s">
        <v>45</v>
      </c>
      <c r="F157" s="30" t="s">
        <v>123</v>
      </c>
      <c r="G157" s="30" t="s">
        <v>232</v>
      </c>
      <c r="H157" s="30" t="s">
        <v>126</v>
      </c>
      <c r="I157" s="30" t="s">
        <v>35</v>
      </c>
      <c r="J157" s="30" t="s">
        <v>534</v>
      </c>
      <c r="K157" s="41">
        <v>10.0</v>
      </c>
      <c r="L157" s="41">
        <v>41.0</v>
      </c>
      <c r="M157" s="41">
        <v>6704.0</v>
      </c>
      <c r="N157" s="41">
        <v>1968.0</v>
      </c>
      <c r="O157" s="41">
        <v>0.004</v>
      </c>
      <c r="P157" s="41">
        <v>403.0</v>
      </c>
    </row>
    <row r="158">
      <c r="A158" s="30" t="s">
        <v>503</v>
      </c>
      <c r="B158" s="30" t="s">
        <v>168</v>
      </c>
      <c r="C158" s="30" t="s">
        <v>51</v>
      </c>
      <c r="D158" s="30" t="s">
        <v>169</v>
      </c>
      <c r="E158" s="30" t="s">
        <v>45</v>
      </c>
      <c r="F158" s="30" t="s">
        <v>123</v>
      </c>
      <c r="G158" s="30" t="s">
        <v>232</v>
      </c>
      <c r="H158" s="30" t="s">
        <v>144</v>
      </c>
      <c r="I158" s="30" t="s">
        <v>35</v>
      </c>
      <c r="J158" s="30" t="s">
        <v>535</v>
      </c>
      <c r="K158" s="41">
        <v>10.0</v>
      </c>
      <c r="L158" s="41">
        <v>39.0</v>
      </c>
      <c r="M158" s="41">
        <v>5824.0</v>
      </c>
      <c r="N158" s="41">
        <v>1997.0</v>
      </c>
      <c r="O158" s="41">
        <v>0.004</v>
      </c>
      <c r="P158" s="41">
        <v>392.0</v>
      </c>
    </row>
    <row r="159">
      <c r="A159" s="30" t="s">
        <v>503</v>
      </c>
      <c r="B159" s="30" t="s">
        <v>168</v>
      </c>
      <c r="C159" s="30" t="s">
        <v>51</v>
      </c>
      <c r="D159" s="30" t="s">
        <v>169</v>
      </c>
      <c r="E159" s="30" t="s">
        <v>45</v>
      </c>
      <c r="F159" s="30" t="s">
        <v>123</v>
      </c>
      <c r="G159" s="30" t="s">
        <v>232</v>
      </c>
      <c r="H159" s="30" t="s">
        <v>124</v>
      </c>
      <c r="I159" s="30" t="s">
        <v>35</v>
      </c>
      <c r="J159" s="30" t="s">
        <v>536</v>
      </c>
      <c r="K159" s="41">
        <v>10.0</v>
      </c>
      <c r="L159" s="41">
        <v>41.0</v>
      </c>
      <c r="M159" s="41">
        <v>8519.0</v>
      </c>
      <c r="N159" s="41">
        <v>1005.0</v>
      </c>
      <c r="O159" s="41">
        <v>0.004</v>
      </c>
      <c r="P159" s="41">
        <v>878.0</v>
      </c>
    </row>
    <row r="160">
      <c r="A160" s="30" t="s">
        <v>503</v>
      </c>
      <c r="B160" s="30" t="s">
        <v>168</v>
      </c>
      <c r="C160" s="30" t="s">
        <v>51</v>
      </c>
      <c r="D160" s="30" t="s">
        <v>169</v>
      </c>
      <c r="E160" s="30" t="s">
        <v>45</v>
      </c>
      <c r="F160" s="30" t="s">
        <v>123</v>
      </c>
      <c r="G160" s="30" t="s">
        <v>232</v>
      </c>
      <c r="H160" s="30" t="s">
        <v>143</v>
      </c>
      <c r="I160" s="30" t="s">
        <v>35</v>
      </c>
      <c r="J160" s="30" t="s">
        <v>536</v>
      </c>
      <c r="K160" s="41">
        <v>10.0</v>
      </c>
      <c r="L160" s="41">
        <v>33.0</v>
      </c>
      <c r="M160" s="41">
        <v>10429.0</v>
      </c>
      <c r="N160" s="41">
        <v>1009.0</v>
      </c>
      <c r="O160" s="41">
        <v>0.004</v>
      </c>
      <c r="P160" s="41">
        <v>1129.0</v>
      </c>
    </row>
    <row r="161">
      <c r="A161" s="30" t="s">
        <v>503</v>
      </c>
      <c r="B161" s="30" t="s">
        <v>168</v>
      </c>
      <c r="C161" s="30" t="s">
        <v>51</v>
      </c>
      <c r="D161" s="30" t="s">
        <v>169</v>
      </c>
      <c r="E161" s="30" t="s">
        <v>45</v>
      </c>
      <c r="F161" s="30" t="s">
        <v>123</v>
      </c>
      <c r="G161" s="30" t="s">
        <v>232</v>
      </c>
      <c r="H161" s="30" t="s">
        <v>133</v>
      </c>
      <c r="I161" s="30" t="s">
        <v>34</v>
      </c>
      <c r="J161" s="30" t="s">
        <v>531</v>
      </c>
      <c r="K161" s="41">
        <v>10.0</v>
      </c>
      <c r="L161" s="41">
        <v>75.0</v>
      </c>
      <c r="M161" s="41">
        <v>2386.0</v>
      </c>
      <c r="N161" s="41">
        <v>493.0</v>
      </c>
      <c r="O161" s="41">
        <v>0.0</v>
      </c>
      <c r="P161" s="41">
        <v>479.0</v>
      </c>
    </row>
    <row r="162">
      <c r="A162" s="30" t="s">
        <v>503</v>
      </c>
      <c r="B162" s="30" t="s">
        <v>168</v>
      </c>
      <c r="C162" s="30" t="s">
        <v>51</v>
      </c>
      <c r="D162" s="30" t="s">
        <v>169</v>
      </c>
      <c r="E162" s="30" t="s">
        <v>45</v>
      </c>
      <c r="F162" s="30" t="s">
        <v>123</v>
      </c>
      <c r="G162" s="30" t="s">
        <v>232</v>
      </c>
      <c r="H162" s="30" t="s">
        <v>122</v>
      </c>
      <c r="I162" s="30" t="s">
        <v>34</v>
      </c>
      <c r="J162" s="30" t="s">
        <v>533</v>
      </c>
      <c r="K162" s="41">
        <v>10.0</v>
      </c>
      <c r="L162" s="41">
        <v>88.0</v>
      </c>
      <c r="M162" s="41">
        <v>2648.0</v>
      </c>
      <c r="N162" s="41">
        <v>260.0</v>
      </c>
      <c r="O162" s="41">
        <v>0.0</v>
      </c>
      <c r="P162" s="41">
        <v>350.0</v>
      </c>
    </row>
    <row r="163">
      <c r="A163" s="30" t="s">
        <v>503</v>
      </c>
      <c r="B163" s="30" t="s">
        <v>168</v>
      </c>
      <c r="C163" s="30" t="s">
        <v>51</v>
      </c>
      <c r="D163" s="30" t="s">
        <v>169</v>
      </c>
      <c r="E163" s="30" t="s">
        <v>45</v>
      </c>
      <c r="F163" s="30" t="s">
        <v>123</v>
      </c>
      <c r="G163" s="30" t="s">
        <v>232</v>
      </c>
      <c r="H163" s="30" t="s">
        <v>129</v>
      </c>
      <c r="I163" s="30" t="s">
        <v>34</v>
      </c>
      <c r="J163" s="30" t="s">
        <v>533</v>
      </c>
      <c r="K163" s="41">
        <v>10.0</v>
      </c>
      <c r="L163" s="41">
        <v>89.0</v>
      </c>
      <c r="M163" s="41">
        <v>1414.0</v>
      </c>
      <c r="N163" s="41">
        <v>219.0</v>
      </c>
      <c r="O163" s="41">
        <v>0.0</v>
      </c>
      <c r="P163" s="41">
        <v>351.0</v>
      </c>
    </row>
    <row r="164">
      <c r="A164" s="30" t="s">
        <v>503</v>
      </c>
      <c r="B164" s="30" t="s">
        <v>168</v>
      </c>
      <c r="C164" s="30" t="s">
        <v>51</v>
      </c>
      <c r="D164" s="30" t="s">
        <v>169</v>
      </c>
      <c r="E164" s="30" t="s">
        <v>45</v>
      </c>
      <c r="F164" s="30" t="s">
        <v>123</v>
      </c>
      <c r="G164" s="30" t="s">
        <v>232</v>
      </c>
      <c r="H164" s="30" t="s">
        <v>131</v>
      </c>
      <c r="I164" s="30" t="s">
        <v>34</v>
      </c>
      <c r="J164" s="30" t="s">
        <v>534</v>
      </c>
      <c r="K164" s="41">
        <v>10.0</v>
      </c>
      <c r="L164" s="41">
        <v>88.0</v>
      </c>
      <c r="M164" s="41">
        <v>2136.0</v>
      </c>
      <c r="N164" s="41">
        <v>212.0</v>
      </c>
      <c r="O164" s="41">
        <v>0.0</v>
      </c>
      <c r="P164" s="41">
        <v>303.0</v>
      </c>
    </row>
    <row r="165">
      <c r="A165" s="30" t="s">
        <v>503</v>
      </c>
      <c r="B165" s="30" t="s">
        <v>168</v>
      </c>
      <c r="C165" s="30" t="s">
        <v>51</v>
      </c>
      <c r="D165" s="30" t="s">
        <v>169</v>
      </c>
      <c r="E165" s="30" t="s">
        <v>45</v>
      </c>
      <c r="F165" s="30" t="s">
        <v>123</v>
      </c>
      <c r="G165" s="30" t="s">
        <v>232</v>
      </c>
      <c r="H165" s="30" t="s">
        <v>126</v>
      </c>
      <c r="I165" s="30" t="s">
        <v>34</v>
      </c>
      <c r="J165" s="30" t="s">
        <v>534</v>
      </c>
      <c r="K165" s="41">
        <v>10.0</v>
      </c>
      <c r="L165" s="41">
        <v>66.0</v>
      </c>
      <c r="M165" s="41">
        <v>1654.0</v>
      </c>
      <c r="N165" s="41">
        <v>570.0</v>
      </c>
      <c r="O165" s="41">
        <v>0.0</v>
      </c>
      <c r="P165" s="41">
        <v>400.0</v>
      </c>
    </row>
    <row r="166">
      <c r="A166" s="30" t="s">
        <v>503</v>
      </c>
      <c r="B166" s="30" t="s">
        <v>168</v>
      </c>
      <c r="C166" s="30" t="s">
        <v>51</v>
      </c>
      <c r="D166" s="30" t="s">
        <v>169</v>
      </c>
      <c r="E166" s="30" t="s">
        <v>45</v>
      </c>
      <c r="F166" s="30" t="s">
        <v>123</v>
      </c>
      <c r="G166" s="30" t="s">
        <v>232</v>
      </c>
      <c r="H166" s="30" t="s">
        <v>144</v>
      </c>
      <c r="I166" s="30" t="s">
        <v>34</v>
      </c>
      <c r="J166" s="30" t="s">
        <v>535</v>
      </c>
      <c r="K166" s="41">
        <v>10.0</v>
      </c>
      <c r="L166" s="41">
        <v>78.0</v>
      </c>
      <c r="M166" s="41">
        <v>1810.0</v>
      </c>
      <c r="N166" s="41">
        <v>569.0</v>
      </c>
      <c r="O166" s="41">
        <v>0.0</v>
      </c>
      <c r="P166" s="41">
        <v>416.0</v>
      </c>
    </row>
    <row r="167">
      <c r="A167" s="30" t="s">
        <v>503</v>
      </c>
      <c r="B167" s="30" t="s">
        <v>168</v>
      </c>
      <c r="C167" s="30" t="s">
        <v>51</v>
      </c>
      <c r="D167" s="30" t="s">
        <v>169</v>
      </c>
      <c r="E167" s="30" t="s">
        <v>45</v>
      </c>
      <c r="F167" s="30" t="s">
        <v>123</v>
      </c>
      <c r="G167" s="30" t="s">
        <v>232</v>
      </c>
      <c r="H167" s="30" t="s">
        <v>124</v>
      </c>
      <c r="I167" s="30" t="s">
        <v>34</v>
      </c>
      <c r="J167" s="30" t="s">
        <v>536</v>
      </c>
      <c r="K167" s="41">
        <v>10.0</v>
      </c>
      <c r="L167" s="41">
        <v>75.0</v>
      </c>
      <c r="M167" s="41">
        <v>2557.0</v>
      </c>
      <c r="N167" s="41">
        <v>260.0</v>
      </c>
      <c r="O167" s="41">
        <v>0.0</v>
      </c>
      <c r="P167" s="41">
        <v>897.0</v>
      </c>
    </row>
    <row r="168">
      <c r="A168" s="30" t="s">
        <v>503</v>
      </c>
      <c r="B168" s="30" t="s">
        <v>168</v>
      </c>
      <c r="C168" s="30" t="s">
        <v>51</v>
      </c>
      <c r="D168" s="30" t="s">
        <v>169</v>
      </c>
      <c r="E168" s="30" t="s">
        <v>45</v>
      </c>
      <c r="F168" s="30" t="s">
        <v>123</v>
      </c>
      <c r="G168" s="30" t="s">
        <v>232</v>
      </c>
      <c r="H168" s="30" t="s">
        <v>143</v>
      </c>
      <c r="I168" s="30" t="s">
        <v>34</v>
      </c>
      <c r="J168" s="30" t="s">
        <v>536</v>
      </c>
      <c r="K168" s="41">
        <v>10.0</v>
      </c>
      <c r="L168" s="41">
        <v>68.0</v>
      </c>
      <c r="M168" s="41">
        <v>2769.0</v>
      </c>
      <c r="N168" s="41">
        <v>216.0</v>
      </c>
      <c r="O168" s="41">
        <v>0.0</v>
      </c>
      <c r="P168" s="41">
        <v>1122.0</v>
      </c>
    </row>
    <row r="169">
      <c r="A169" s="30" t="s">
        <v>508</v>
      </c>
      <c r="B169" s="30" t="s">
        <v>168</v>
      </c>
      <c r="C169" s="30" t="s">
        <v>51</v>
      </c>
      <c r="D169" s="30" t="s">
        <v>169</v>
      </c>
      <c r="E169" s="30" t="s">
        <v>45</v>
      </c>
      <c r="F169" s="30" t="s">
        <v>275</v>
      </c>
      <c r="G169" s="30" t="s">
        <v>232</v>
      </c>
      <c r="H169" s="30" t="s">
        <v>133</v>
      </c>
      <c r="I169" s="30" t="s">
        <v>34</v>
      </c>
      <c r="J169" s="30" t="s">
        <v>531</v>
      </c>
      <c r="K169" s="41">
        <v>1.0</v>
      </c>
      <c r="L169" s="41">
        <v>84.0</v>
      </c>
      <c r="M169" s="41">
        <v>1597.0</v>
      </c>
      <c r="N169" s="41">
        <v>267.0</v>
      </c>
      <c r="O169" s="41">
        <v>0.0</v>
      </c>
      <c r="P169" s="41">
        <v>426.0</v>
      </c>
    </row>
    <row r="170">
      <c r="A170" s="30" t="s">
        <v>509</v>
      </c>
      <c r="B170" s="30" t="s">
        <v>168</v>
      </c>
      <c r="C170" s="30" t="s">
        <v>51</v>
      </c>
      <c r="D170" s="30" t="s">
        <v>169</v>
      </c>
      <c r="E170" s="30" t="s">
        <v>45</v>
      </c>
      <c r="F170" s="30" t="s">
        <v>276</v>
      </c>
      <c r="G170" s="30" t="s">
        <v>232</v>
      </c>
      <c r="H170" s="30" t="s">
        <v>133</v>
      </c>
      <c r="I170" s="30" t="s">
        <v>34</v>
      </c>
      <c r="J170" s="30" t="s">
        <v>531</v>
      </c>
      <c r="K170" s="41">
        <v>1.0</v>
      </c>
      <c r="L170" s="41">
        <v>81.0</v>
      </c>
      <c r="M170" s="41">
        <v>1694.0</v>
      </c>
      <c r="N170" s="41">
        <v>337.0</v>
      </c>
      <c r="O170" s="41">
        <v>0.0</v>
      </c>
      <c r="P170" s="41">
        <v>417.0</v>
      </c>
    </row>
    <row r="171">
      <c r="A171" s="30" t="s">
        <v>565</v>
      </c>
      <c r="B171" s="30" t="s">
        <v>168</v>
      </c>
      <c r="C171" s="30" t="s">
        <v>51</v>
      </c>
      <c r="D171" s="30" t="s">
        <v>169</v>
      </c>
      <c r="E171" s="30" t="s">
        <v>45</v>
      </c>
      <c r="F171" s="30" t="s">
        <v>277</v>
      </c>
      <c r="G171" s="30" t="s">
        <v>232</v>
      </c>
      <c r="H171" s="30" t="s">
        <v>133</v>
      </c>
      <c r="I171" s="30" t="s">
        <v>35</v>
      </c>
      <c r="J171" s="30" t="s">
        <v>531</v>
      </c>
      <c r="K171" s="41">
        <v>10.0</v>
      </c>
      <c r="L171" s="41">
        <v>42.0</v>
      </c>
      <c r="M171" s="41">
        <v>6007.0</v>
      </c>
      <c r="N171" s="41">
        <v>1425.0</v>
      </c>
      <c r="O171" s="41">
        <v>0.004</v>
      </c>
      <c r="P171" s="41">
        <v>480.0</v>
      </c>
    </row>
    <row r="172">
      <c r="A172" s="30" t="s">
        <v>566</v>
      </c>
      <c r="B172" s="30" t="s">
        <v>168</v>
      </c>
      <c r="C172" s="30" t="s">
        <v>51</v>
      </c>
      <c r="D172" s="30" t="s">
        <v>169</v>
      </c>
      <c r="E172" s="30" t="s">
        <v>45</v>
      </c>
      <c r="F172" s="30" t="s">
        <v>277</v>
      </c>
      <c r="G172" s="30" t="s">
        <v>232</v>
      </c>
      <c r="H172" s="30" t="s">
        <v>122</v>
      </c>
      <c r="I172" s="30" t="s">
        <v>35</v>
      </c>
      <c r="J172" s="30" t="s">
        <v>533</v>
      </c>
      <c r="K172" s="41">
        <v>10.0</v>
      </c>
      <c r="L172" s="41">
        <v>49.0</v>
      </c>
      <c r="M172" s="41">
        <v>4589.0</v>
      </c>
      <c r="N172" s="41">
        <v>999.0</v>
      </c>
      <c r="O172" s="41">
        <v>0.004</v>
      </c>
      <c r="P172" s="41">
        <v>305.0</v>
      </c>
    </row>
    <row r="173">
      <c r="A173" s="30" t="s">
        <v>510</v>
      </c>
      <c r="B173" s="30" t="s">
        <v>168</v>
      </c>
      <c r="C173" s="30" t="s">
        <v>51</v>
      </c>
      <c r="D173" s="30" t="s">
        <v>169</v>
      </c>
      <c r="E173" s="30" t="s">
        <v>45</v>
      </c>
      <c r="F173" s="30" t="s">
        <v>277</v>
      </c>
      <c r="G173" s="30" t="s">
        <v>232</v>
      </c>
      <c r="H173" s="30" t="s">
        <v>129</v>
      </c>
      <c r="I173" s="30" t="s">
        <v>35</v>
      </c>
      <c r="J173" s="30" t="s">
        <v>533</v>
      </c>
      <c r="K173" s="41">
        <v>10.0</v>
      </c>
      <c r="L173" s="41">
        <v>53.0</v>
      </c>
      <c r="M173" s="41">
        <v>4926.0</v>
      </c>
      <c r="N173" s="41">
        <v>789.0</v>
      </c>
      <c r="O173" s="41">
        <v>0.004</v>
      </c>
      <c r="P173" s="41">
        <v>315.0</v>
      </c>
    </row>
    <row r="174">
      <c r="A174" s="30" t="s">
        <v>567</v>
      </c>
      <c r="B174" s="30" t="s">
        <v>168</v>
      </c>
      <c r="C174" s="30" t="s">
        <v>51</v>
      </c>
      <c r="D174" s="30" t="s">
        <v>169</v>
      </c>
      <c r="E174" s="30" t="s">
        <v>45</v>
      </c>
      <c r="F174" s="30" t="s">
        <v>278</v>
      </c>
      <c r="G174" s="30" t="s">
        <v>232</v>
      </c>
      <c r="H174" s="30" t="s">
        <v>133</v>
      </c>
      <c r="I174" s="30" t="s">
        <v>34</v>
      </c>
      <c r="J174" s="30" t="s">
        <v>531</v>
      </c>
      <c r="K174" s="41">
        <v>10.0</v>
      </c>
      <c r="L174" s="41">
        <v>79.0</v>
      </c>
      <c r="M174" s="41">
        <v>1812.0</v>
      </c>
      <c r="N174" s="41">
        <v>317.0</v>
      </c>
      <c r="O174" s="41">
        <v>0.0</v>
      </c>
      <c r="P174" s="41">
        <v>458.0</v>
      </c>
    </row>
    <row r="175">
      <c r="A175" s="30" t="s">
        <v>568</v>
      </c>
      <c r="B175" s="30" t="s">
        <v>168</v>
      </c>
      <c r="C175" s="30" t="s">
        <v>51</v>
      </c>
      <c r="D175" s="30" t="s">
        <v>169</v>
      </c>
      <c r="E175" s="30" t="s">
        <v>45</v>
      </c>
      <c r="F175" s="30" t="s">
        <v>278</v>
      </c>
      <c r="G175" s="30" t="s">
        <v>232</v>
      </c>
      <c r="H175" s="30" t="s">
        <v>122</v>
      </c>
      <c r="I175" s="30" t="s">
        <v>34</v>
      </c>
      <c r="J175" s="30" t="s">
        <v>533</v>
      </c>
      <c r="K175" s="41">
        <v>10.0</v>
      </c>
      <c r="L175" s="41">
        <v>89.0</v>
      </c>
      <c r="M175" s="41">
        <v>1621.0</v>
      </c>
      <c r="N175" s="41">
        <v>240.0</v>
      </c>
      <c r="O175" s="41">
        <v>0.0</v>
      </c>
      <c r="P175" s="41">
        <v>314.0</v>
      </c>
    </row>
    <row r="176">
      <c r="A176" s="30" t="s">
        <v>511</v>
      </c>
      <c r="B176" s="30" t="s">
        <v>168</v>
      </c>
      <c r="C176" s="30" t="s">
        <v>51</v>
      </c>
      <c r="D176" s="30" t="s">
        <v>169</v>
      </c>
      <c r="E176" s="30" t="s">
        <v>45</v>
      </c>
      <c r="F176" s="30" t="s">
        <v>278</v>
      </c>
      <c r="G176" s="30" t="s">
        <v>232</v>
      </c>
      <c r="H176" s="30" t="s">
        <v>129</v>
      </c>
      <c r="I176" s="30" t="s">
        <v>34</v>
      </c>
      <c r="J176" s="30" t="s">
        <v>533</v>
      </c>
      <c r="K176" s="41">
        <v>10.0</v>
      </c>
      <c r="L176" s="41">
        <v>90.0</v>
      </c>
      <c r="M176" s="41">
        <v>1383.0</v>
      </c>
      <c r="N176" s="41">
        <v>217.0</v>
      </c>
      <c r="O176" s="41">
        <v>0.0</v>
      </c>
      <c r="P176" s="41">
        <v>307.0</v>
      </c>
    </row>
    <row r="177">
      <c r="A177" s="30" t="s">
        <v>569</v>
      </c>
      <c r="B177" s="30" t="s">
        <v>168</v>
      </c>
      <c r="C177" s="30" t="s">
        <v>51</v>
      </c>
      <c r="D177" s="30" t="s">
        <v>169</v>
      </c>
      <c r="E177" s="30" t="s">
        <v>45</v>
      </c>
      <c r="F177" s="30" t="s">
        <v>279</v>
      </c>
      <c r="G177" s="30" t="s">
        <v>232</v>
      </c>
      <c r="H177" s="30" t="s">
        <v>133</v>
      </c>
      <c r="I177" s="30" t="s">
        <v>35</v>
      </c>
      <c r="J177" s="30" t="s">
        <v>531</v>
      </c>
      <c r="K177" s="41">
        <v>10.0</v>
      </c>
      <c r="L177" s="41">
        <v>46.0</v>
      </c>
      <c r="M177" s="41">
        <v>6002.0</v>
      </c>
      <c r="N177" s="41">
        <v>1465.0</v>
      </c>
      <c r="O177" s="41">
        <v>0.004</v>
      </c>
      <c r="P177" s="41">
        <v>440.0</v>
      </c>
    </row>
    <row r="178">
      <c r="A178" s="30" t="s">
        <v>570</v>
      </c>
      <c r="B178" s="30" t="s">
        <v>168</v>
      </c>
      <c r="C178" s="30" t="s">
        <v>51</v>
      </c>
      <c r="D178" s="30" t="s">
        <v>169</v>
      </c>
      <c r="E178" s="30" t="s">
        <v>45</v>
      </c>
      <c r="F178" s="30" t="s">
        <v>279</v>
      </c>
      <c r="G178" s="30" t="s">
        <v>232</v>
      </c>
      <c r="H178" s="30" t="s">
        <v>122</v>
      </c>
      <c r="I178" s="30" t="s">
        <v>35</v>
      </c>
      <c r="J178" s="30" t="s">
        <v>533</v>
      </c>
      <c r="K178" s="41">
        <v>10.0</v>
      </c>
      <c r="L178" s="41">
        <v>48.0</v>
      </c>
      <c r="M178" s="41">
        <v>5584.0</v>
      </c>
      <c r="N178" s="41">
        <v>1264.0</v>
      </c>
      <c r="O178" s="41">
        <v>0.004</v>
      </c>
      <c r="P178" s="41">
        <v>335.0</v>
      </c>
    </row>
    <row r="179">
      <c r="A179" s="30" t="s">
        <v>571</v>
      </c>
      <c r="B179" s="30" t="s">
        <v>168</v>
      </c>
      <c r="C179" s="30" t="s">
        <v>51</v>
      </c>
      <c r="D179" s="30" t="s">
        <v>169</v>
      </c>
      <c r="E179" s="30" t="s">
        <v>45</v>
      </c>
      <c r="F179" s="30" t="s">
        <v>279</v>
      </c>
      <c r="G179" s="30" t="s">
        <v>232</v>
      </c>
      <c r="H179" s="30" t="s">
        <v>129</v>
      </c>
      <c r="I179" s="30" t="s">
        <v>35</v>
      </c>
      <c r="J179" s="30" t="s">
        <v>533</v>
      </c>
      <c r="K179" s="41">
        <v>10.0</v>
      </c>
      <c r="L179" s="41">
        <v>49.0</v>
      </c>
      <c r="M179" s="41">
        <v>5283.0</v>
      </c>
      <c r="N179" s="41">
        <v>1107.0</v>
      </c>
      <c r="O179" s="41">
        <v>0.004</v>
      </c>
      <c r="P179" s="41">
        <v>299.0</v>
      </c>
    </row>
    <row r="180">
      <c r="A180" s="30" t="s">
        <v>572</v>
      </c>
      <c r="B180" s="30" t="s">
        <v>168</v>
      </c>
      <c r="C180" s="30" t="s">
        <v>51</v>
      </c>
      <c r="D180" s="30" t="s">
        <v>169</v>
      </c>
      <c r="E180" s="30" t="s">
        <v>45</v>
      </c>
      <c r="F180" s="30" t="s">
        <v>279</v>
      </c>
      <c r="G180" s="30" t="s">
        <v>232</v>
      </c>
      <c r="H180" s="30" t="s">
        <v>133</v>
      </c>
      <c r="I180" s="30" t="s">
        <v>34</v>
      </c>
      <c r="J180" s="30" t="s">
        <v>531</v>
      </c>
      <c r="K180" s="41">
        <v>10.0</v>
      </c>
      <c r="L180" s="41">
        <v>83.0</v>
      </c>
      <c r="M180" s="41">
        <v>1991.0</v>
      </c>
      <c r="N180" s="41">
        <v>407.0</v>
      </c>
      <c r="O180" s="41">
        <v>0.0</v>
      </c>
      <c r="P180" s="41">
        <v>395.0</v>
      </c>
    </row>
    <row r="181">
      <c r="A181" s="30" t="s">
        <v>573</v>
      </c>
      <c r="B181" s="30" t="s">
        <v>168</v>
      </c>
      <c r="C181" s="30" t="s">
        <v>51</v>
      </c>
      <c r="D181" s="30" t="s">
        <v>169</v>
      </c>
      <c r="E181" s="30" t="s">
        <v>45</v>
      </c>
      <c r="F181" s="30" t="s">
        <v>279</v>
      </c>
      <c r="G181" s="30" t="s">
        <v>232</v>
      </c>
      <c r="H181" s="30" t="s">
        <v>122</v>
      </c>
      <c r="I181" s="30" t="s">
        <v>34</v>
      </c>
      <c r="J181" s="30" t="s">
        <v>533</v>
      </c>
      <c r="K181" s="41">
        <v>10.0</v>
      </c>
      <c r="L181" s="41">
        <v>88.0</v>
      </c>
      <c r="M181" s="41">
        <v>1531.0</v>
      </c>
      <c r="N181" s="41">
        <v>264.0</v>
      </c>
      <c r="O181" s="41">
        <v>0.0</v>
      </c>
      <c r="P181" s="41">
        <v>340.0</v>
      </c>
    </row>
    <row r="182">
      <c r="A182" s="30" t="s">
        <v>512</v>
      </c>
      <c r="B182" s="30" t="s">
        <v>168</v>
      </c>
      <c r="C182" s="30" t="s">
        <v>51</v>
      </c>
      <c r="D182" s="30" t="s">
        <v>169</v>
      </c>
      <c r="E182" s="30" t="s">
        <v>45</v>
      </c>
      <c r="F182" s="30" t="s">
        <v>279</v>
      </c>
      <c r="G182" s="30" t="s">
        <v>232</v>
      </c>
      <c r="H182" s="30" t="s">
        <v>129</v>
      </c>
      <c r="I182" s="30" t="s">
        <v>34</v>
      </c>
      <c r="J182" s="30" t="s">
        <v>533</v>
      </c>
      <c r="K182" s="41">
        <v>10.0</v>
      </c>
      <c r="L182" s="41">
        <v>88.0</v>
      </c>
      <c r="M182" s="41">
        <v>1824.0</v>
      </c>
      <c r="N182" s="41">
        <v>220.0</v>
      </c>
      <c r="O182" s="41">
        <v>0.0</v>
      </c>
      <c r="P182" s="41">
        <v>298.0</v>
      </c>
    </row>
    <row r="183">
      <c r="A183" s="30" t="s">
        <v>574</v>
      </c>
      <c r="B183" s="30" t="s">
        <v>168</v>
      </c>
      <c r="C183" s="30" t="s">
        <v>51</v>
      </c>
      <c r="D183" s="30" t="s">
        <v>169</v>
      </c>
      <c r="E183" s="30" t="s">
        <v>45</v>
      </c>
      <c r="F183" s="30" t="s">
        <v>280</v>
      </c>
      <c r="G183" s="30" t="s">
        <v>232</v>
      </c>
      <c r="H183" s="30" t="s">
        <v>133</v>
      </c>
      <c r="I183" s="30" t="s">
        <v>35</v>
      </c>
      <c r="J183" s="30" t="s">
        <v>531</v>
      </c>
      <c r="K183" s="41">
        <v>10.0</v>
      </c>
      <c r="L183" s="41">
        <v>43.0</v>
      </c>
      <c r="M183" s="41">
        <v>5925.0</v>
      </c>
      <c r="N183" s="41">
        <v>1980.0</v>
      </c>
      <c r="O183" s="41">
        <v>0.004</v>
      </c>
      <c r="P183" s="41">
        <v>407.0</v>
      </c>
    </row>
    <row r="184">
      <c r="A184" s="30" t="s">
        <v>575</v>
      </c>
      <c r="B184" s="30" t="s">
        <v>168</v>
      </c>
      <c r="C184" s="30" t="s">
        <v>51</v>
      </c>
      <c r="D184" s="30" t="s">
        <v>169</v>
      </c>
      <c r="E184" s="30" t="s">
        <v>45</v>
      </c>
      <c r="F184" s="30" t="s">
        <v>280</v>
      </c>
      <c r="G184" s="30" t="s">
        <v>232</v>
      </c>
      <c r="H184" s="30" t="s">
        <v>122</v>
      </c>
      <c r="I184" s="30" t="s">
        <v>35</v>
      </c>
      <c r="J184" s="30" t="s">
        <v>533</v>
      </c>
      <c r="K184" s="41">
        <v>10.0</v>
      </c>
      <c r="L184" s="41">
        <v>48.0</v>
      </c>
      <c r="M184" s="41">
        <v>4664.0</v>
      </c>
      <c r="N184" s="41">
        <v>1079.0</v>
      </c>
      <c r="O184" s="41">
        <v>0.004</v>
      </c>
      <c r="P184" s="41">
        <v>301.0</v>
      </c>
    </row>
    <row r="185">
      <c r="A185" s="30" t="s">
        <v>576</v>
      </c>
      <c r="B185" s="30" t="s">
        <v>168</v>
      </c>
      <c r="C185" s="30" t="s">
        <v>51</v>
      </c>
      <c r="D185" s="30" t="s">
        <v>169</v>
      </c>
      <c r="E185" s="30" t="s">
        <v>45</v>
      </c>
      <c r="F185" s="30" t="s">
        <v>280</v>
      </c>
      <c r="G185" s="30" t="s">
        <v>232</v>
      </c>
      <c r="H185" s="30" t="s">
        <v>129</v>
      </c>
      <c r="I185" s="30" t="s">
        <v>35</v>
      </c>
      <c r="J185" s="30" t="s">
        <v>533</v>
      </c>
      <c r="K185" s="41">
        <v>10.0</v>
      </c>
      <c r="L185" s="41">
        <v>56.0</v>
      </c>
      <c r="M185" s="41">
        <v>5505.0</v>
      </c>
      <c r="N185" s="41">
        <v>788.0</v>
      </c>
      <c r="O185" s="41">
        <v>0.004</v>
      </c>
      <c r="P185" s="41">
        <v>296.0</v>
      </c>
    </row>
    <row r="186">
      <c r="A186" s="30" t="s">
        <v>577</v>
      </c>
      <c r="B186" s="30" t="s">
        <v>168</v>
      </c>
      <c r="C186" s="30" t="s">
        <v>51</v>
      </c>
      <c r="D186" s="30" t="s">
        <v>169</v>
      </c>
      <c r="E186" s="30" t="s">
        <v>45</v>
      </c>
      <c r="F186" s="30" t="s">
        <v>280</v>
      </c>
      <c r="G186" s="30" t="s">
        <v>232</v>
      </c>
      <c r="H186" s="30" t="s">
        <v>131</v>
      </c>
      <c r="I186" s="30" t="s">
        <v>35</v>
      </c>
      <c r="J186" s="30" t="s">
        <v>534</v>
      </c>
      <c r="K186" s="41">
        <v>10.0</v>
      </c>
      <c r="L186" s="41">
        <v>52.0</v>
      </c>
      <c r="M186" s="41">
        <v>5647.0</v>
      </c>
      <c r="N186" s="41">
        <v>751.0</v>
      </c>
      <c r="O186" s="41">
        <v>0.004</v>
      </c>
      <c r="P186" s="41">
        <v>312.0</v>
      </c>
    </row>
    <row r="187">
      <c r="A187" s="30" t="s">
        <v>578</v>
      </c>
      <c r="B187" s="30" t="s">
        <v>168</v>
      </c>
      <c r="C187" s="30" t="s">
        <v>51</v>
      </c>
      <c r="D187" s="30" t="s">
        <v>169</v>
      </c>
      <c r="E187" s="30" t="s">
        <v>45</v>
      </c>
      <c r="F187" s="30" t="s">
        <v>280</v>
      </c>
      <c r="G187" s="30" t="s">
        <v>232</v>
      </c>
      <c r="H187" s="30" t="s">
        <v>126</v>
      </c>
      <c r="I187" s="30" t="s">
        <v>35</v>
      </c>
      <c r="J187" s="30" t="s">
        <v>534</v>
      </c>
      <c r="K187" s="41">
        <v>10.0</v>
      </c>
      <c r="L187" s="41">
        <v>38.0</v>
      </c>
      <c r="M187" s="41">
        <v>6421.0</v>
      </c>
      <c r="N187" s="41">
        <v>1588.0</v>
      </c>
      <c r="O187" s="41">
        <v>0.004</v>
      </c>
      <c r="P187" s="41">
        <v>424.0</v>
      </c>
    </row>
    <row r="188">
      <c r="A188" s="30" t="s">
        <v>579</v>
      </c>
      <c r="B188" s="30" t="s">
        <v>168</v>
      </c>
      <c r="C188" s="30" t="s">
        <v>51</v>
      </c>
      <c r="D188" s="30" t="s">
        <v>169</v>
      </c>
      <c r="E188" s="30" t="s">
        <v>45</v>
      </c>
      <c r="F188" s="30" t="s">
        <v>280</v>
      </c>
      <c r="G188" s="30" t="s">
        <v>232</v>
      </c>
      <c r="H188" s="30" t="s">
        <v>144</v>
      </c>
      <c r="I188" s="30" t="s">
        <v>35</v>
      </c>
      <c r="J188" s="30" t="s">
        <v>535</v>
      </c>
      <c r="K188" s="41">
        <v>10.0</v>
      </c>
      <c r="L188" s="41">
        <v>46.0</v>
      </c>
      <c r="M188" s="41">
        <v>6113.0</v>
      </c>
      <c r="N188" s="41">
        <v>1765.0</v>
      </c>
      <c r="O188" s="41">
        <v>0.004</v>
      </c>
      <c r="P188" s="41">
        <v>486.0</v>
      </c>
    </row>
    <row r="189">
      <c r="A189" s="30" t="s">
        <v>580</v>
      </c>
      <c r="B189" s="30" t="s">
        <v>168</v>
      </c>
      <c r="C189" s="30" t="s">
        <v>51</v>
      </c>
      <c r="D189" s="30" t="s">
        <v>169</v>
      </c>
      <c r="E189" s="30" t="s">
        <v>45</v>
      </c>
      <c r="F189" s="30" t="s">
        <v>280</v>
      </c>
      <c r="G189" s="30" t="s">
        <v>232</v>
      </c>
      <c r="H189" s="30" t="s">
        <v>124</v>
      </c>
      <c r="I189" s="30" t="s">
        <v>35</v>
      </c>
      <c r="J189" s="30" t="s">
        <v>536</v>
      </c>
      <c r="K189" s="41">
        <v>10.0</v>
      </c>
      <c r="L189" s="41">
        <v>46.0</v>
      </c>
      <c r="M189" s="41">
        <v>7095.0</v>
      </c>
      <c r="N189" s="41">
        <v>867.0</v>
      </c>
      <c r="O189" s="41">
        <v>0.004</v>
      </c>
      <c r="P189" s="41">
        <v>874.0</v>
      </c>
    </row>
    <row r="190">
      <c r="A190" s="30" t="s">
        <v>581</v>
      </c>
      <c r="B190" s="30" t="s">
        <v>168</v>
      </c>
      <c r="C190" s="30" t="s">
        <v>51</v>
      </c>
      <c r="D190" s="30" t="s">
        <v>169</v>
      </c>
      <c r="E190" s="30" t="s">
        <v>45</v>
      </c>
      <c r="F190" s="30" t="s">
        <v>280</v>
      </c>
      <c r="G190" s="30" t="s">
        <v>232</v>
      </c>
      <c r="H190" s="30" t="s">
        <v>143</v>
      </c>
      <c r="I190" s="30" t="s">
        <v>35</v>
      </c>
      <c r="J190" s="30" t="s">
        <v>536</v>
      </c>
      <c r="K190" s="41">
        <v>10.0</v>
      </c>
      <c r="L190" s="41">
        <v>36.0</v>
      </c>
      <c r="M190" s="41">
        <v>10456.0</v>
      </c>
      <c r="N190" s="41">
        <v>903.0</v>
      </c>
      <c r="O190" s="41">
        <v>0.004</v>
      </c>
      <c r="P190" s="41">
        <v>1143.0</v>
      </c>
    </row>
    <row r="191">
      <c r="A191" s="30" t="s">
        <v>582</v>
      </c>
      <c r="B191" s="30" t="s">
        <v>168</v>
      </c>
      <c r="C191" s="30" t="s">
        <v>51</v>
      </c>
      <c r="D191" s="30" t="s">
        <v>169</v>
      </c>
      <c r="E191" s="30" t="s">
        <v>45</v>
      </c>
      <c r="F191" s="30" t="s">
        <v>280</v>
      </c>
      <c r="G191" s="30" t="s">
        <v>232</v>
      </c>
      <c r="H191" s="30" t="s">
        <v>133</v>
      </c>
      <c r="I191" s="30" t="s">
        <v>34</v>
      </c>
      <c r="J191" s="30" t="s">
        <v>531</v>
      </c>
      <c r="K191" s="41">
        <v>10.0</v>
      </c>
      <c r="L191" s="41">
        <v>76.0</v>
      </c>
      <c r="M191" s="41">
        <v>1828.0</v>
      </c>
      <c r="N191" s="41">
        <v>549.0</v>
      </c>
      <c r="O191" s="41">
        <v>0.0</v>
      </c>
      <c r="P191" s="41">
        <v>475.0</v>
      </c>
    </row>
    <row r="192">
      <c r="A192" s="30" t="s">
        <v>583</v>
      </c>
      <c r="B192" s="30" t="s">
        <v>168</v>
      </c>
      <c r="C192" s="30" t="s">
        <v>51</v>
      </c>
      <c r="D192" s="30" t="s">
        <v>169</v>
      </c>
      <c r="E192" s="30" t="s">
        <v>45</v>
      </c>
      <c r="F192" s="30" t="s">
        <v>280</v>
      </c>
      <c r="G192" s="30" t="s">
        <v>232</v>
      </c>
      <c r="H192" s="30" t="s">
        <v>122</v>
      </c>
      <c r="I192" s="30" t="s">
        <v>34</v>
      </c>
      <c r="J192" s="30" t="s">
        <v>533</v>
      </c>
      <c r="K192" s="41">
        <v>10.0</v>
      </c>
      <c r="L192" s="41">
        <v>88.0</v>
      </c>
      <c r="M192" s="41">
        <v>1702.0</v>
      </c>
      <c r="N192" s="41">
        <v>241.0</v>
      </c>
      <c r="O192" s="41">
        <v>0.0</v>
      </c>
      <c r="P192" s="41">
        <v>314.0</v>
      </c>
    </row>
    <row r="193">
      <c r="A193" s="30" t="s">
        <v>584</v>
      </c>
      <c r="B193" s="30" t="s">
        <v>168</v>
      </c>
      <c r="C193" s="30" t="s">
        <v>51</v>
      </c>
      <c r="D193" s="30" t="s">
        <v>169</v>
      </c>
      <c r="E193" s="30" t="s">
        <v>45</v>
      </c>
      <c r="F193" s="30" t="s">
        <v>280</v>
      </c>
      <c r="G193" s="30" t="s">
        <v>232</v>
      </c>
      <c r="H193" s="30" t="s">
        <v>129</v>
      </c>
      <c r="I193" s="30" t="s">
        <v>34</v>
      </c>
      <c r="J193" s="30" t="s">
        <v>533</v>
      </c>
      <c r="K193" s="41">
        <v>10.0</v>
      </c>
      <c r="L193" s="41">
        <v>89.0</v>
      </c>
      <c r="M193" s="41">
        <v>1611.0</v>
      </c>
      <c r="N193" s="41">
        <v>195.0</v>
      </c>
      <c r="O193" s="41">
        <v>0.0</v>
      </c>
      <c r="P193" s="41">
        <v>298.0</v>
      </c>
    </row>
    <row r="194">
      <c r="A194" s="30" t="s">
        <v>585</v>
      </c>
      <c r="B194" s="30" t="s">
        <v>168</v>
      </c>
      <c r="C194" s="30" t="s">
        <v>51</v>
      </c>
      <c r="D194" s="30" t="s">
        <v>169</v>
      </c>
      <c r="E194" s="30" t="s">
        <v>45</v>
      </c>
      <c r="F194" s="30" t="s">
        <v>280</v>
      </c>
      <c r="G194" s="30" t="s">
        <v>232</v>
      </c>
      <c r="H194" s="30" t="s">
        <v>131</v>
      </c>
      <c r="I194" s="30" t="s">
        <v>34</v>
      </c>
      <c r="J194" s="30" t="s">
        <v>534</v>
      </c>
      <c r="K194" s="41">
        <v>10.0</v>
      </c>
      <c r="L194" s="41">
        <v>90.0</v>
      </c>
      <c r="M194" s="41">
        <v>1547.0</v>
      </c>
      <c r="N194" s="41">
        <v>169.0</v>
      </c>
      <c r="O194" s="41">
        <v>0.0</v>
      </c>
      <c r="P194" s="41">
        <v>328.0</v>
      </c>
    </row>
    <row r="195">
      <c r="A195" s="30" t="s">
        <v>586</v>
      </c>
      <c r="B195" s="30" t="s">
        <v>168</v>
      </c>
      <c r="C195" s="30" t="s">
        <v>51</v>
      </c>
      <c r="D195" s="30" t="s">
        <v>169</v>
      </c>
      <c r="E195" s="30" t="s">
        <v>45</v>
      </c>
      <c r="F195" s="30" t="s">
        <v>280</v>
      </c>
      <c r="G195" s="30" t="s">
        <v>232</v>
      </c>
      <c r="H195" s="30" t="s">
        <v>126</v>
      </c>
      <c r="I195" s="30" t="s">
        <v>34</v>
      </c>
      <c r="J195" s="30" t="s">
        <v>534</v>
      </c>
      <c r="K195" s="41">
        <v>10.0</v>
      </c>
      <c r="L195" s="41">
        <v>80.0</v>
      </c>
      <c r="M195" s="41">
        <v>1652.0</v>
      </c>
      <c r="N195" s="41">
        <v>366.0</v>
      </c>
      <c r="O195" s="41">
        <v>0.0</v>
      </c>
      <c r="P195" s="41">
        <v>418.0</v>
      </c>
    </row>
    <row r="196">
      <c r="A196" s="30" t="s">
        <v>587</v>
      </c>
      <c r="B196" s="30" t="s">
        <v>168</v>
      </c>
      <c r="C196" s="30" t="s">
        <v>51</v>
      </c>
      <c r="D196" s="30" t="s">
        <v>169</v>
      </c>
      <c r="E196" s="30" t="s">
        <v>45</v>
      </c>
      <c r="F196" s="30" t="s">
        <v>280</v>
      </c>
      <c r="G196" s="30" t="s">
        <v>232</v>
      </c>
      <c r="H196" s="30" t="s">
        <v>144</v>
      </c>
      <c r="I196" s="30" t="s">
        <v>34</v>
      </c>
      <c r="J196" s="30" t="s">
        <v>535</v>
      </c>
      <c r="K196" s="41">
        <v>10.0</v>
      </c>
      <c r="L196" s="41">
        <v>76.0</v>
      </c>
      <c r="M196" s="41">
        <v>1701.0</v>
      </c>
      <c r="N196" s="41">
        <v>455.0</v>
      </c>
      <c r="O196" s="41">
        <v>0.0</v>
      </c>
      <c r="P196" s="41">
        <v>457.0</v>
      </c>
    </row>
    <row r="197">
      <c r="A197" s="30" t="s">
        <v>588</v>
      </c>
      <c r="B197" s="30" t="s">
        <v>168</v>
      </c>
      <c r="C197" s="30" t="s">
        <v>51</v>
      </c>
      <c r="D197" s="30" t="s">
        <v>169</v>
      </c>
      <c r="E197" s="30" t="s">
        <v>45</v>
      </c>
      <c r="F197" s="30" t="s">
        <v>280</v>
      </c>
      <c r="G197" s="30" t="s">
        <v>232</v>
      </c>
      <c r="H197" s="30" t="s">
        <v>124</v>
      </c>
      <c r="I197" s="30" t="s">
        <v>34</v>
      </c>
      <c r="J197" s="30" t="s">
        <v>536</v>
      </c>
      <c r="K197" s="41">
        <v>10.0</v>
      </c>
      <c r="L197" s="41">
        <v>79.0</v>
      </c>
      <c r="M197" s="41">
        <v>2062.0</v>
      </c>
      <c r="N197" s="41">
        <v>247.0</v>
      </c>
      <c r="O197" s="41">
        <v>0.0</v>
      </c>
      <c r="P197" s="41">
        <v>894.0</v>
      </c>
    </row>
    <row r="198">
      <c r="A198" s="30" t="s">
        <v>513</v>
      </c>
      <c r="B198" s="30" t="s">
        <v>168</v>
      </c>
      <c r="C198" s="30" t="s">
        <v>51</v>
      </c>
      <c r="D198" s="30" t="s">
        <v>169</v>
      </c>
      <c r="E198" s="30" t="s">
        <v>45</v>
      </c>
      <c r="F198" s="30" t="s">
        <v>280</v>
      </c>
      <c r="G198" s="30" t="s">
        <v>232</v>
      </c>
      <c r="H198" s="30" t="s">
        <v>143</v>
      </c>
      <c r="I198" s="30" t="s">
        <v>34</v>
      </c>
      <c r="J198" s="30" t="s">
        <v>536</v>
      </c>
      <c r="K198" s="41">
        <v>10.0</v>
      </c>
      <c r="L198" s="41">
        <v>70.0</v>
      </c>
      <c r="M198" s="41">
        <v>2527.0</v>
      </c>
      <c r="N198" s="41">
        <v>199.0</v>
      </c>
      <c r="O198" s="41">
        <v>0.0</v>
      </c>
      <c r="P198" s="41">
        <v>1128.0</v>
      </c>
    </row>
    <row r="199">
      <c r="A199" s="30" t="s">
        <v>589</v>
      </c>
      <c r="B199" s="30" t="s">
        <v>168</v>
      </c>
      <c r="C199" s="30" t="s">
        <v>51</v>
      </c>
      <c r="D199" s="30" t="s">
        <v>169</v>
      </c>
      <c r="E199" s="30" t="s">
        <v>45</v>
      </c>
      <c r="F199" s="30" t="s">
        <v>281</v>
      </c>
      <c r="G199" s="30" t="s">
        <v>282</v>
      </c>
      <c r="H199" s="30" t="s">
        <v>131</v>
      </c>
      <c r="I199" s="30" t="s">
        <v>35</v>
      </c>
      <c r="J199" s="30" t="s">
        <v>534</v>
      </c>
      <c r="K199" s="41">
        <v>10.0</v>
      </c>
      <c r="L199" s="41">
        <v>51.0</v>
      </c>
      <c r="M199" s="41">
        <v>4852.0</v>
      </c>
      <c r="N199" s="41">
        <v>714.0</v>
      </c>
      <c r="O199" s="41">
        <v>0.004</v>
      </c>
      <c r="P199" s="41">
        <v>303.0</v>
      </c>
    </row>
    <row r="200">
      <c r="A200" s="30" t="s">
        <v>590</v>
      </c>
      <c r="B200" s="30" t="s">
        <v>168</v>
      </c>
      <c r="C200" s="30" t="s">
        <v>51</v>
      </c>
      <c r="D200" s="30" t="s">
        <v>169</v>
      </c>
      <c r="E200" s="30" t="s">
        <v>45</v>
      </c>
      <c r="F200" s="30" t="s">
        <v>281</v>
      </c>
      <c r="G200" s="30" t="s">
        <v>282</v>
      </c>
      <c r="H200" s="30" t="s">
        <v>124</v>
      </c>
      <c r="I200" s="30" t="s">
        <v>35</v>
      </c>
      <c r="J200" s="30" t="s">
        <v>536</v>
      </c>
      <c r="K200" s="41">
        <v>10.0</v>
      </c>
      <c r="L200" s="41">
        <v>46.0</v>
      </c>
      <c r="M200" s="41">
        <v>5733.0</v>
      </c>
      <c r="N200" s="41">
        <v>897.0</v>
      </c>
      <c r="O200" s="41">
        <v>0.004</v>
      </c>
      <c r="P200" s="41">
        <v>888.0</v>
      </c>
    </row>
    <row r="201">
      <c r="A201" s="30" t="s">
        <v>515</v>
      </c>
      <c r="B201" s="30" t="s">
        <v>168</v>
      </c>
      <c r="C201" s="30" t="s">
        <v>51</v>
      </c>
      <c r="D201" s="30" t="s">
        <v>169</v>
      </c>
      <c r="E201" s="30" t="s">
        <v>45</v>
      </c>
      <c r="F201" s="30" t="s">
        <v>283</v>
      </c>
      <c r="G201" s="30" t="s">
        <v>282</v>
      </c>
      <c r="H201" s="30" t="s">
        <v>133</v>
      </c>
      <c r="I201" s="30" t="s">
        <v>35</v>
      </c>
      <c r="J201" s="30" t="s">
        <v>531</v>
      </c>
      <c r="K201" s="41">
        <v>10.0</v>
      </c>
      <c r="L201" s="41">
        <v>62.0</v>
      </c>
      <c r="M201" s="41">
        <v>4504.0</v>
      </c>
      <c r="N201" s="41">
        <v>637.0</v>
      </c>
      <c r="O201" s="41">
        <v>0.004</v>
      </c>
      <c r="P201" s="41">
        <v>313.0</v>
      </c>
    </row>
    <row r="202">
      <c r="A202" s="30" t="s">
        <v>591</v>
      </c>
      <c r="B202" s="30" t="s">
        <v>168</v>
      </c>
      <c r="C202" s="30" t="s">
        <v>51</v>
      </c>
      <c r="D202" s="30" t="s">
        <v>169</v>
      </c>
      <c r="E202" s="30" t="s">
        <v>45</v>
      </c>
      <c r="F202" s="30" t="s">
        <v>281</v>
      </c>
      <c r="G202" s="30" t="s">
        <v>282</v>
      </c>
      <c r="H202" s="30" t="s">
        <v>133</v>
      </c>
      <c r="I202" s="30" t="s">
        <v>35</v>
      </c>
      <c r="J202" s="30" t="s">
        <v>531</v>
      </c>
      <c r="K202" s="41">
        <v>10.0</v>
      </c>
      <c r="L202" s="41">
        <v>41.0</v>
      </c>
      <c r="M202" s="41">
        <v>6213.0</v>
      </c>
      <c r="N202" s="41">
        <v>2121.0</v>
      </c>
      <c r="O202" s="41">
        <v>0.004</v>
      </c>
      <c r="P202" s="41">
        <v>686.0</v>
      </c>
    </row>
    <row r="203">
      <c r="A203" s="30" t="s">
        <v>592</v>
      </c>
      <c r="B203" s="30" t="s">
        <v>168</v>
      </c>
      <c r="C203" s="30" t="s">
        <v>51</v>
      </c>
      <c r="D203" s="30" t="s">
        <v>169</v>
      </c>
      <c r="E203" s="30" t="s">
        <v>45</v>
      </c>
      <c r="F203" s="30" t="s">
        <v>281</v>
      </c>
      <c r="G203" s="30" t="s">
        <v>282</v>
      </c>
      <c r="H203" s="30" t="s">
        <v>122</v>
      </c>
      <c r="I203" s="30" t="s">
        <v>35</v>
      </c>
      <c r="J203" s="30" t="s">
        <v>533</v>
      </c>
      <c r="K203" s="41">
        <v>10.0</v>
      </c>
      <c r="L203" s="41">
        <v>49.0</v>
      </c>
      <c r="M203" s="41">
        <v>4554.0</v>
      </c>
      <c r="N203" s="41">
        <v>938.0</v>
      </c>
      <c r="O203" s="41">
        <v>0.004</v>
      </c>
      <c r="P203" s="41">
        <v>326.0</v>
      </c>
    </row>
    <row r="204">
      <c r="A204" s="30" t="s">
        <v>593</v>
      </c>
      <c r="B204" s="30" t="s">
        <v>168</v>
      </c>
      <c r="C204" s="30" t="s">
        <v>51</v>
      </c>
      <c r="D204" s="30" t="s">
        <v>169</v>
      </c>
      <c r="E204" s="30" t="s">
        <v>45</v>
      </c>
      <c r="F204" s="30" t="s">
        <v>281</v>
      </c>
      <c r="G204" s="30" t="s">
        <v>282</v>
      </c>
      <c r="H204" s="30" t="s">
        <v>126</v>
      </c>
      <c r="I204" s="30" t="s">
        <v>35</v>
      </c>
      <c r="J204" s="30" t="s">
        <v>534</v>
      </c>
      <c r="K204" s="41">
        <v>10.0</v>
      </c>
      <c r="L204" s="41">
        <v>37.0</v>
      </c>
      <c r="M204" s="41">
        <v>6502.0</v>
      </c>
      <c r="N204" s="41">
        <v>1764.0</v>
      </c>
      <c r="O204" s="41">
        <v>0.004</v>
      </c>
      <c r="P204" s="41">
        <v>397.0</v>
      </c>
    </row>
    <row r="205">
      <c r="A205" s="30" t="s">
        <v>594</v>
      </c>
      <c r="B205" s="30" t="s">
        <v>168</v>
      </c>
      <c r="C205" s="30" t="s">
        <v>51</v>
      </c>
      <c r="D205" s="30" t="s">
        <v>169</v>
      </c>
      <c r="E205" s="30" t="s">
        <v>45</v>
      </c>
      <c r="F205" s="30" t="s">
        <v>281</v>
      </c>
      <c r="G205" s="30" t="s">
        <v>282</v>
      </c>
      <c r="H205" s="30" t="s">
        <v>143</v>
      </c>
      <c r="I205" s="30" t="s">
        <v>35</v>
      </c>
      <c r="J205" s="30" t="s">
        <v>536</v>
      </c>
      <c r="K205" s="41">
        <v>10.0</v>
      </c>
      <c r="L205" s="41">
        <v>35.0</v>
      </c>
      <c r="M205" s="41">
        <v>10314.0</v>
      </c>
      <c r="N205" s="41">
        <v>779.0</v>
      </c>
      <c r="O205" s="41">
        <v>0.004</v>
      </c>
      <c r="P205" s="41">
        <v>1133.0</v>
      </c>
    </row>
    <row r="206">
      <c r="A206" s="30" t="s">
        <v>595</v>
      </c>
      <c r="B206" s="30" t="s">
        <v>168</v>
      </c>
      <c r="C206" s="30" t="s">
        <v>51</v>
      </c>
      <c r="D206" s="30" t="s">
        <v>169</v>
      </c>
      <c r="E206" s="30" t="s">
        <v>45</v>
      </c>
      <c r="F206" s="30" t="s">
        <v>281</v>
      </c>
      <c r="G206" s="30" t="s">
        <v>282</v>
      </c>
      <c r="H206" s="30" t="s">
        <v>129</v>
      </c>
      <c r="I206" s="30" t="s">
        <v>35</v>
      </c>
      <c r="J206" s="30" t="s">
        <v>533</v>
      </c>
      <c r="K206" s="41">
        <v>10.0</v>
      </c>
      <c r="L206" s="41">
        <v>53.0</v>
      </c>
      <c r="M206" s="41">
        <v>6081.0</v>
      </c>
      <c r="N206" s="41">
        <v>783.0</v>
      </c>
      <c r="O206" s="41">
        <v>0.004</v>
      </c>
      <c r="P206" s="41">
        <v>316.0</v>
      </c>
    </row>
    <row r="207">
      <c r="A207" s="30" t="s">
        <v>596</v>
      </c>
      <c r="B207" s="30" t="s">
        <v>168</v>
      </c>
      <c r="C207" s="30" t="s">
        <v>51</v>
      </c>
      <c r="D207" s="30" t="s">
        <v>169</v>
      </c>
      <c r="E207" s="30" t="s">
        <v>45</v>
      </c>
      <c r="F207" s="30" t="s">
        <v>281</v>
      </c>
      <c r="G207" s="30" t="s">
        <v>282</v>
      </c>
      <c r="H207" s="30" t="s">
        <v>144</v>
      </c>
      <c r="I207" s="30" t="s">
        <v>35</v>
      </c>
      <c r="J207" s="30" t="s">
        <v>535</v>
      </c>
      <c r="K207" s="41">
        <v>10.0</v>
      </c>
      <c r="L207" s="41">
        <v>43.0</v>
      </c>
      <c r="M207" s="41">
        <v>5823.0</v>
      </c>
      <c r="N207" s="41">
        <v>2125.0</v>
      </c>
      <c r="O207" s="41">
        <v>0.004</v>
      </c>
      <c r="P207" s="41">
        <v>408.0</v>
      </c>
    </row>
    <row r="208">
      <c r="A208" s="30" t="s">
        <v>597</v>
      </c>
      <c r="B208" s="30" t="s">
        <v>168</v>
      </c>
      <c r="C208" s="30" t="s">
        <v>51</v>
      </c>
      <c r="D208" s="30" t="s">
        <v>169</v>
      </c>
      <c r="E208" s="30" t="s">
        <v>45</v>
      </c>
      <c r="F208" s="30" t="s">
        <v>281</v>
      </c>
      <c r="G208" s="30" t="s">
        <v>282</v>
      </c>
      <c r="H208" s="30" t="s">
        <v>131</v>
      </c>
      <c r="I208" s="30" t="s">
        <v>34</v>
      </c>
      <c r="J208" s="30" t="s">
        <v>534</v>
      </c>
      <c r="K208" s="41">
        <v>10.0</v>
      </c>
      <c r="L208" s="41">
        <v>90.0</v>
      </c>
      <c r="M208" s="41">
        <v>1502.0</v>
      </c>
      <c r="N208" s="41">
        <v>195.0</v>
      </c>
      <c r="O208" s="41">
        <v>0.0</v>
      </c>
      <c r="P208" s="41">
        <v>300.0</v>
      </c>
    </row>
    <row r="209">
      <c r="A209" s="30" t="s">
        <v>598</v>
      </c>
      <c r="B209" s="30" t="s">
        <v>168</v>
      </c>
      <c r="C209" s="30" t="s">
        <v>51</v>
      </c>
      <c r="D209" s="30" t="s">
        <v>169</v>
      </c>
      <c r="E209" s="30" t="s">
        <v>45</v>
      </c>
      <c r="F209" s="30" t="s">
        <v>281</v>
      </c>
      <c r="G209" s="30" t="s">
        <v>282</v>
      </c>
      <c r="H209" s="30" t="s">
        <v>124</v>
      </c>
      <c r="I209" s="30" t="s">
        <v>34</v>
      </c>
      <c r="J209" s="30" t="s">
        <v>536</v>
      </c>
      <c r="K209" s="41">
        <v>10.0</v>
      </c>
      <c r="L209" s="41">
        <v>82.0</v>
      </c>
      <c r="M209" s="41">
        <v>1696.0</v>
      </c>
      <c r="N209" s="41">
        <v>204.0</v>
      </c>
      <c r="O209" s="41">
        <v>0.0</v>
      </c>
      <c r="P209" s="41">
        <v>882.0</v>
      </c>
    </row>
    <row r="210">
      <c r="A210" s="30" t="s">
        <v>599</v>
      </c>
      <c r="B210" s="30" t="s">
        <v>168</v>
      </c>
      <c r="C210" s="30" t="s">
        <v>51</v>
      </c>
      <c r="D210" s="30" t="s">
        <v>169</v>
      </c>
      <c r="E210" s="30" t="s">
        <v>45</v>
      </c>
      <c r="F210" s="30" t="s">
        <v>281</v>
      </c>
      <c r="G210" s="30" t="s">
        <v>282</v>
      </c>
      <c r="H210" s="30" t="s">
        <v>133</v>
      </c>
      <c r="I210" s="30" t="s">
        <v>34</v>
      </c>
      <c r="J210" s="30" t="s">
        <v>531</v>
      </c>
      <c r="K210" s="41">
        <v>10.0</v>
      </c>
      <c r="L210" s="41">
        <v>82.0</v>
      </c>
      <c r="M210" s="41">
        <v>1588.0</v>
      </c>
      <c r="N210" s="41">
        <v>536.0</v>
      </c>
      <c r="O210" s="41">
        <v>0.0</v>
      </c>
      <c r="P210" s="41">
        <v>685.0</v>
      </c>
    </row>
    <row r="211">
      <c r="A211" s="30" t="s">
        <v>600</v>
      </c>
      <c r="B211" s="30" t="s">
        <v>168</v>
      </c>
      <c r="C211" s="30" t="s">
        <v>51</v>
      </c>
      <c r="D211" s="30" t="s">
        <v>169</v>
      </c>
      <c r="E211" s="30" t="s">
        <v>45</v>
      </c>
      <c r="F211" s="30" t="s">
        <v>281</v>
      </c>
      <c r="G211" s="30" t="s">
        <v>282</v>
      </c>
      <c r="H211" s="30" t="s">
        <v>122</v>
      </c>
      <c r="I211" s="30" t="s">
        <v>34</v>
      </c>
      <c r="J211" s="30" t="s">
        <v>533</v>
      </c>
      <c r="K211" s="41">
        <v>10.0</v>
      </c>
      <c r="L211" s="41">
        <v>89.0</v>
      </c>
      <c r="M211" s="41">
        <v>1325.0</v>
      </c>
      <c r="N211" s="41">
        <v>217.0</v>
      </c>
      <c r="O211" s="41">
        <v>0.0</v>
      </c>
      <c r="P211" s="41">
        <v>299.0</v>
      </c>
    </row>
    <row r="212">
      <c r="A212" s="30" t="s">
        <v>601</v>
      </c>
      <c r="B212" s="30" t="s">
        <v>168</v>
      </c>
      <c r="C212" s="30" t="s">
        <v>51</v>
      </c>
      <c r="D212" s="30" t="s">
        <v>169</v>
      </c>
      <c r="E212" s="30" t="s">
        <v>45</v>
      </c>
      <c r="F212" s="30" t="s">
        <v>281</v>
      </c>
      <c r="G212" s="30" t="s">
        <v>282</v>
      </c>
      <c r="H212" s="30" t="s">
        <v>126</v>
      </c>
      <c r="I212" s="30" t="s">
        <v>34</v>
      </c>
      <c r="J212" s="30" t="s">
        <v>534</v>
      </c>
      <c r="K212" s="41">
        <v>10.0</v>
      </c>
      <c r="L212" s="41">
        <v>72.0</v>
      </c>
      <c r="M212" s="41">
        <v>1655.0</v>
      </c>
      <c r="N212" s="41">
        <v>445.0</v>
      </c>
      <c r="O212" s="41">
        <v>0.0</v>
      </c>
      <c r="P212" s="41">
        <v>416.0</v>
      </c>
    </row>
    <row r="213">
      <c r="A213" s="30" t="s">
        <v>602</v>
      </c>
      <c r="B213" s="30" t="s">
        <v>168</v>
      </c>
      <c r="C213" s="30" t="s">
        <v>51</v>
      </c>
      <c r="D213" s="30" t="s">
        <v>169</v>
      </c>
      <c r="E213" s="30" t="s">
        <v>45</v>
      </c>
      <c r="F213" s="30" t="s">
        <v>281</v>
      </c>
      <c r="G213" s="30" t="s">
        <v>282</v>
      </c>
      <c r="H213" s="30" t="s">
        <v>143</v>
      </c>
      <c r="I213" s="30" t="s">
        <v>34</v>
      </c>
      <c r="J213" s="30" t="s">
        <v>536</v>
      </c>
      <c r="K213" s="41">
        <v>10.0</v>
      </c>
      <c r="L213" s="41">
        <v>69.0</v>
      </c>
      <c r="M213" s="41">
        <v>2297.0</v>
      </c>
      <c r="N213" s="41">
        <v>207.0</v>
      </c>
      <c r="O213" s="41">
        <v>0.0</v>
      </c>
      <c r="P213" s="41">
        <v>1142.0</v>
      </c>
    </row>
    <row r="214">
      <c r="A214" s="30" t="s">
        <v>603</v>
      </c>
      <c r="B214" s="30" t="s">
        <v>168</v>
      </c>
      <c r="C214" s="30" t="s">
        <v>51</v>
      </c>
      <c r="D214" s="30" t="s">
        <v>169</v>
      </c>
      <c r="E214" s="30" t="s">
        <v>45</v>
      </c>
      <c r="F214" s="30" t="s">
        <v>281</v>
      </c>
      <c r="G214" s="30" t="s">
        <v>282</v>
      </c>
      <c r="H214" s="30" t="s">
        <v>129</v>
      </c>
      <c r="I214" s="30" t="s">
        <v>34</v>
      </c>
      <c r="J214" s="30" t="s">
        <v>533</v>
      </c>
      <c r="K214" s="41">
        <v>10.0</v>
      </c>
      <c r="L214" s="41">
        <v>91.0</v>
      </c>
      <c r="M214" s="41">
        <v>1259.0</v>
      </c>
      <c r="N214" s="41">
        <v>184.0</v>
      </c>
      <c r="O214" s="41">
        <v>0.0</v>
      </c>
      <c r="P214" s="41">
        <v>296.0</v>
      </c>
    </row>
    <row r="215">
      <c r="A215" s="30" t="s">
        <v>514</v>
      </c>
      <c r="B215" s="30" t="s">
        <v>168</v>
      </c>
      <c r="C215" s="30" t="s">
        <v>51</v>
      </c>
      <c r="D215" s="30" t="s">
        <v>169</v>
      </c>
      <c r="E215" s="30" t="s">
        <v>45</v>
      </c>
      <c r="F215" s="30" t="s">
        <v>281</v>
      </c>
      <c r="G215" s="30" t="s">
        <v>282</v>
      </c>
      <c r="H215" s="30" t="s">
        <v>144</v>
      </c>
      <c r="I215" s="30" t="s">
        <v>34</v>
      </c>
      <c r="J215" s="30" t="s">
        <v>535</v>
      </c>
      <c r="K215" s="41">
        <v>10.0</v>
      </c>
      <c r="L215" s="41">
        <v>76.0</v>
      </c>
      <c r="M215" s="41">
        <v>1655.0</v>
      </c>
      <c r="N215" s="41">
        <v>415.0</v>
      </c>
      <c r="O215" s="41">
        <v>0.0</v>
      </c>
      <c r="P215" s="41">
        <v>404.0</v>
      </c>
    </row>
    <row r="216">
      <c r="A216" s="30" t="s">
        <v>16</v>
      </c>
      <c r="B216" s="30" t="s">
        <v>168</v>
      </c>
      <c r="C216" s="30" t="s">
        <v>50</v>
      </c>
      <c r="D216" s="30" t="s">
        <v>507</v>
      </c>
      <c r="E216" s="30" t="s">
        <v>26</v>
      </c>
      <c r="F216" s="30" t="s">
        <v>14</v>
      </c>
      <c r="G216" s="30" t="s">
        <v>15</v>
      </c>
      <c r="H216" s="30" t="s">
        <v>19</v>
      </c>
      <c r="I216" s="30" t="s">
        <v>20</v>
      </c>
      <c r="J216" s="30" t="s">
        <v>530</v>
      </c>
      <c r="K216" s="41"/>
      <c r="L216" s="41"/>
      <c r="M216" s="41">
        <v>90.0</v>
      </c>
      <c r="N216" s="41">
        <v>90.0</v>
      </c>
      <c r="O216" s="41">
        <v>90.0</v>
      </c>
      <c r="P216" s="41"/>
    </row>
    <row r="217">
      <c r="A217" s="30" t="s">
        <v>501</v>
      </c>
      <c r="B217" s="30" t="s">
        <v>168</v>
      </c>
      <c r="C217" s="30" t="s">
        <v>50</v>
      </c>
      <c r="D217" s="30" t="s">
        <v>169</v>
      </c>
      <c r="E217" s="30" t="s">
        <v>45</v>
      </c>
      <c r="F217" s="30" t="s">
        <v>130</v>
      </c>
      <c r="G217" s="30" t="s">
        <v>38</v>
      </c>
      <c r="H217" s="30" t="s">
        <v>133</v>
      </c>
      <c r="I217" s="30" t="s">
        <v>34</v>
      </c>
      <c r="J217" s="30" t="s">
        <v>531</v>
      </c>
      <c r="K217" s="41">
        <v>5.0</v>
      </c>
      <c r="L217" s="41">
        <v>81.0</v>
      </c>
      <c r="M217" s="41">
        <v>2460.0</v>
      </c>
      <c r="N217" s="41">
        <v>172.0</v>
      </c>
      <c r="O217" s="41">
        <v>0.0</v>
      </c>
      <c r="P217" s="41">
        <v>515.0</v>
      </c>
    </row>
    <row r="218">
      <c r="A218" s="30" t="s">
        <v>501</v>
      </c>
      <c r="B218" s="30" t="s">
        <v>168</v>
      </c>
      <c r="C218" s="30" t="s">
        <v>50</v>
      </c>
      <c r="D218" s="30" t="s">
        <v>169</v>
      </c>
      <c r="E218" s="30" t="s">
        <v>45</v>
      </c>
      <c r="F218" s="30" t="s">
        <v>130</v>
      </c>
      <c r="G218" s="30" t="s">
        <v>38</v>
      </c>
      <c r="H218" s="30" t="s">
        <v>122</v>
      </c>
      <c r="I218" s="30" t="s">
        <v>34</v>
      </c>
      <c r="J218" s="30" t="s">
        <v>533</v>
      </c>
      <c r="K218" s="41">
        <v>5.0</v>
      </c>
      <c r="L218" s="41">
        <v>90.0</v>
      </c>
      <c r="M218" s="41">
        <v>1680.0</v>
      </c>
      <c r="N218" s="41">
        <v>86.0</v>
      </c>
      <c r="O218" s="41">
        <v>0.0</v>
      </c>
      <c r="P218" s="41">
        <v>382.0</v>
      </c>
    </row>
    <row r="219">
      <c r="A219" s="30" t="s">
        <v>501</v>
      </c>
      <c r="B219" s="30" t="s">
        <v>168</v>
      </c>
      <c r="C219" s="30" t="s">
        <v>50</v>
      </c>
      <c r="D219" s="30" t="s">
        <v>169</v>
      </c>
      <c r="E219" s="30" t="s">
        <v>45</v>
      </c>
      <c r="F219" s="30" t="s">
        <v>130</v>
      </c>
      <c r="G219" s="30" t="s">
        <v>38</v>
      </c>
      <c r="H219" s="30" t="s">
        <v>131</v>
      </c>
      <c r="I219" s="30" t="s">
        <v>34</v>
      </c>
      <c r="J219" s="30" t="s">
        <v>534</v>
      </c>
      <c r="K219" s="41">
        <v>5.0</v>
      </c>
      <c r="L219" s="41">
        <v>90.0</v>
      </c>
      <c r="M219" s="41">
        <v>1500.0</v>
      </c>
      <c r="N219" s="41">
        <v>67.0</v>
      </c>
      <c r="O219" s="41">
        <v>0.0</v>
      </c>
      <c r="P219" s="41">
        <v>307.0</v>
      </c>
    </row>
    <row r="220">
      <c r="A220" s="30" t="s">
        <v>501</v>
      </c>
      <c r="B220" s="30" t="s">
        <v>168</v>
      </c>
      <c r="C220" s="30" t="s">
        <v>50</v>
      </c>
      <c r="D220" s="30" t="s">
        <v>169</v>
      </c>
      <c r="E220" s="30" t="s">
        <v>45</v>
      </c>
      <c r="F220" s="30" t="s">
        <v>130</v>
      </c>
      <c r="G220" s="30" t="s">
        <v>38</v>
      </c>
      <c r="H220" s="30" t="s">
        <v>126</v>
      </c>
      <c r="I220" s="30" t="s">
        <v>34</v>
      </c>
      <c r="J220" s="30" t="s">
        <v>534</v>
      </c>
      <c r="K220" s="41">
        <v>5.0</v>
      </c>
      <c r="L220" s="41">
        <v>90.0</v>
      </c>
      <c r="M220" s="41">
        <v>1520.0</v>
      </c>
      <c r="N220" s="41">
        <v>76.0</v>
      </c>
      <c r="O220" s="41">
        <v>0.0</v>
      </c>
      <c r="P220" s="41">
        <v>350.0</v>
      </c>
    </row>
    <row r="221">
      <c r="A221" s="30" t="s">
        <v>501</v>
      </c>
      <c r="B221" s="30" t="s">
        <v>168</v>
      </c>
      <c r="C221" s="30" t="s">
        <v>50</v>
      </c>
      <c r="D221" s="30" t="s">
        <v>169</v>
      </c>
      <c r="E221" s="30" t="s">
        <v>45</v>
      </c>
      <c r="F221" s="30" t="s">
        <v>130</v>
      </c>
      <c r="G221" s="30" t="s">
        <v>38</v>
      </c>
      <c r="H221" s="30" t="s">
        <v>124</v>
      </c>
      <c r="I221" s="30" t="s">
        <v>34</v>
      </c>
      <c r="J221" s="30" t="s">
        <v>536</v>
      </c>
      <c r="K221" s="41">
        <v>5.0</v>
      </c>
      <c r="L221" s="41">
        <v>81.0</v>
      </c>
      <c r="M221" s="41">
        <v>1950.0</v>
      </c>
      <c r="N221" s="41">
        <v>203.0</v>
      </c>
      <c r="O221" s="41">
        <v>0.0</v>
      </c>
      <c r="P221" s="41">
        <v>902.0</v>
      </c>
    </row>
    <row r="222">
      <c r="A222" s="30" t="s">
        <v>501</v>
      </c>
      <c r="B222" s="30" t="s">
        <v>168</v>
      </c>
      <c r="C222" s="30" t="s">
        <v>50</v>
      </c>
      <c r="D222" s="30" t="s">
        <v>169</v>
      </c>
      <c r="E222" s="30" t="s">
        <v>45</v>
      </c>
      <c r="F222" s="30" t="s">
        <v>130</v>
      </c>
      <c r="G222" s="30" t="s">
        <v>38</v>
      </c>
      <c r="H222" s="30" t="s">
        <v>143</v>
      </c>
      <c r="I222" s="30" t="s">
        <v>34</v>
      </c>
      <c r="J222" s="30" t="s">
        <v>536</v>
      </c>
      <c r="K222" s="41">
        <v>5.0</v>
      </c>
      <c r="L222" s="41">
        <v>70.0</v>
      </c>
      <c r="M222" s="41">
        <v>3060.0</v>
      </c>
      <c r="N222" s="41">
        <v>217.0</v>
      </c>
      <c r="O222" s="41">
        <v>0.0</v>
      </c>
      <c r="P222" s="41">
        <v>1146.0</v>
      </c>
    </row>
    <row r="223">
      <c r="A223" s="30" t="s">
        <v>501</v>
      </c>
      <c r="B223" s="30" t="s">
        <v>168</v>
      </c>
      <c r="C223" s="30" t="s">
        <v>50</v>
      </c>
      <c r="D223" s="30" t="s">
        <v>169</v>
      </c>
      <c r="E223" s="30" t="s">
        <v>45</v>
      </c>
      <c r="F223" s="30" t="s">
        <v>130</v>
      </c>
      <c r="G223" s="30" t="s">
        <v>38</v>
      </c>
      <c r="H223" s="30" t="s">
        <v>133</v>
      </c>
      <c r="I223" s="30" t="s">
        <v>35</v>
      </c>
      <c r="J223" s="30" t="s">
        <v>531</v>
      </c>
      <c r="K223" s="41">
        <v>5.0</v>
      </c>
      <c r="L223" s="41">
        <v>57.0</v>
      </c>
      <c r="M223" s="41">
        <v>5620.0</v>
      </c>
      <c r="N223" s="41">
        <v>549.0</v>
      </c>
      <c r="O223" s="41">
        <v>0.004</v>
      </c>
      <c r="P223" s="41">
        <v>515.0</v>
      </c>
    </row>
    <row r="224">
      <c r="A224" s="30" t="s">
        <v>501</v>
      </c>
      <c r="B224" s="30" t="s">
        <v>168</v>
      </c>
      <c r="C224" s="30" t="s">
        <v>50</v>
      </c>
      <c r="D224" s="30" t="s">
        <v>169</v>
      </c>
      <c r="E224" s="30" t="s">
        <v>45</v>
      </c>
      <c r="F224" s="30" t="s">
        <v>130</v>
      </c>
      <c r="G224" s="30" t="s">
        <v>38</v>
      </c>
      <c r="H224" s="30" t="s">
        <v>122</v>
      </c>
      <c r="I224" s="30" t="s">
        <v>35</v>
      </c>
      <c r="J224" s="30" t="s">
        <v>533</v>
      </c>
      <c r="K224" s="41">
        <v>5.0</v>
      </c>
      <c r="L224" s="41">
        <v>60.0</v>
      </c>
      <c r="M224" s="41">
        <v>4830.0</v>
      </c>
      <c r="N224" s="41">
        <v>261.0</v>
      </c>
      <c r="O224" s="41">
        <v>0.004</v>
      </c>
      <c r="P224" s="41">
        <v>402.0</v>
      </c>
    </row>
    <row r="225">
      <c r="A225" s="30" t="s">
        <v>501</v>
      </c>
      <c r="B225" s="30" t="s">
        <v>168</v>
      </c>
      <c r="C225" s="30" t="s">
        <v>50</v>
      </c>
      <c r="D225" s="30" t="s">
        <v>169</v>
      </c>
      <c r="E225" s="30" t="s">
        <v>45</v>
      </c>
      <c r="F225" s="30" t="s">
        <v>130</v>
      </c>
      <c r="G225" s="30" t="s">
        <v>38</v>
      </c>
      <c r="H225" s="30" t="s">
        <v>131</v>
      </c>
      <c r="I225" s="30" t="s">
        <v>35</v>
      </c>
      <c r="J225" s="30" t="s">
        <v>534</v>
      </c>
      <c r="K225" s="41">
        <v>5.0</v>
      </c>
      <c r="L225" s="41">
        <v>63.0</v>
      </c>
      <c r="M225" s="41">
        <v>4780.0</v>
      </c>
      <c r="N225" s="41">
        <v>261.0</v>
      </c>
      <c r="O225" s="41">
        <v>0.004</v>
      </c>
      <c r="P225" s="41">
        <v>321.0</v>
      </c>
    </row>
    <row r="226">
      <c r="A226" s="30" t="s">
        <v>501</v>
      </c>
      <c r="B226" s="30" t="s">
        <v>168</v>
      </c>
      <c r="C226" s="30" t="s">
        <v>50</v>
      </c>
      <c r="D226" s="30" t="s">
        <v>169</v>
      </c>
      <c r="E226" s="30" t="s">
        <v>45</v>
      </c>
      <c r="F226" s="30" t="s">
        <v>130</v>
      </c>
      <c r="G226" s="30" t="s">
        <v>38</v>
      </c>
      <c r="H226" s="30" t="s">
        <v>126</v>
      </c>
      <c r="I226" s="30" t="s">
        <v>35</v>
      </c>
      <c r="J226" s="30" t="s">
        <v>534</v>
      </c>
      <c r="K226" s="41">
        <v>5.0</v>
      </c>
      <c r="L226" s="41">
        <v>56.0</v>
      </c>
      <c r="M226" s="41">
        <v>4850.0</v>
      </c>
      <c r="N226" s="41">
        <v>349.0</v>
      </c>
      <c r="O226" s="41">
        <v>0.004</v>
      </c>
      <c r="P226" s="41">
        <v>346.0</v>
      </c>
    </row>
    <row r="227">
      <c r="A227" s="30" t="s">
        <v>501</v>
      </c>
      <c r="B227" s="30" t="s">
        <v>168</v>
      </c>
      <c r="C227" s="30" t="s">
        <v>50</v>
      </c>
      <c r="D227" s="30" t="s">
        <v>169</v>
      </c>
      <c r="E227" s="30" t="s">
        <v>45</v>
      </c>
      <c r="F227" s="30" t="s">
        <v>130</v>
      </c>
      <c r="G227" s="30" t="s">
        <v>38</v>
      </c>
      <c r="H227" s="30" t="s">
        <v>124</v>
      </c>
      <c r="I227" s="30" t="s">
        <v>35</v>
      </c>
      <c r="J227" s="30" t="s">
        <v>536</v>
      </c>
      <c r="K227" s="41">
        <v>5.0</v>
      </c>
      <c r="L227" s="41">
        <v>42.0</v>
      </c>
      <c r="M227" s="41">
        <v>5430.0</v>
      </c>
      <c r="N227" s="41">
        <v>746.0</v>
      </c>
      <c r="O227" s="41">
        <v>0.004</v>
      </c>
      <c r="P227" s="41">
        <v>890.0</v>
      </c>
    </row>
    <row r="228">
      <c r="A228" s="30" t="s">
        <v>501</v>
      </c>
      <c r="B228" s="30" t="s">
        <v>168</v>
      </c>
      <c r="C228" s="30" t="s">
        <v>50</v>
      </c>
      <c r="D228" s="30" t="s">
        <v>169</v>
      </c>
      <c r="E228" s="30" t="s">
        <v>45</v>
      </c>
      <c r="F228" s="30" t="s">
        <v>130</v>
      </c>
      <c r="G228" s="30" t="s">
        <v>38</v>
      </c>
      <c r="H228" s="30" t="s">
        <v>143</v>
      </c>
      <c r="I228" s="30" t="s">
        <v>35</v>
      </c>
      <c r="J228" s="30" t="s">
        <v>536</v>
      </c>
      <c r="K228" s="41">
        <v>5.0</v>
      </c>
      <c r="L228" s="41">
        <v>49.0</v>
      </c>
      <c r="M228" s="41">
        <v>10840.0</v>
      </c>
      <c r="N228" s="41">
        <v>412.0</v>
      </c>
      <c r="O228" s="41">
        <v>0.004</v>
      </c>
      <c r="P228" s="41">
        <v>1152.0</v>
      </c>
    </row>
    <row r="229">
      <c r="A229" s="30" t="s">
        <v>502</v>
      </c>
      <c r="B229" s="30" t="s">
        <v>168</v>
      </c>
      <c r="C229" s="30" t="s">
        <v>50</v>
      </c>
      <c r="D229" s="30" t="s">
        <v>169</v>
      </c>
      <c r="E229" s="30" t="s">
        <v>45</v>
      </c>
      <c r="F229" s="30" t="s">
        <v>132</v>
      </c>
      <c r="G229" s="30" t="s">
        <v>38</v>
      </c>
      <c r="H229" s="30" t="s">
        <v>133</v>
      </c>
      <c r="I229" s="30" t="s">
        <v>35</v>
      </c>
      <c r="J229" s="30" t="s">
        <v>531</v>
      </c>
      <c r="K229" s="41">
        <v>10.0</v>
      </c>
      <c r="L229" s="41">
        <v>43.0</v>
      </c>
      <c r="M229" s="41">
        <v>6967.0</v>
      </c>
      <c r="N229" s="41">
        <v>1848.0</v>
      </c>
      <c r="O229" s="41">
        <v>0.004</v>
      </c>
      <c r="P229" s="41">
        <v>455.0</v>
      </c>
    </row>
    <row r="230">
      <c r="A230" s="30" t="s">
        <v>502</v>
      </c>
      <c r="B230" s="30" t="s">
        <v>168</v>
      </c>
      <c r="C230" s="30" t="s">
        <v>50</v>
      </c>
      <c r="D230" s="30" t="s">
        <v>169</v>
      </c>
      <c r="E230" s="30" t="s">
        <v>45</v>
      </c>
      <c r="F230" s="30" t="s">
        <v>132</v>
      </c>
      <c r="G230" s="30" t="s">
        <v>38</v>
      </c>
      <c r="H230" s="30" t="s">
        <v>133</v>
      </c>
      <c r="I230" s="30" t="s">
        <v>34</v>
      </c>
      <c r="J230" s="30" t="s">
        <v>531</v>
      </c>
      <c r="K230" s="41">
        <v>10.0</v>
      </c>
      <c r="L230" s="41">
        <v>80.0</v>
      </c>
      <c r="M230" s="41">
        <v>2146.0</v>
      </c>
      <c r="N230" s="41">
        <v>398.0</v>
      </c>
      <c r="O230" s="41">
        <v>0.0</v>
      </c>
      <c r="P230" s="41">
        <v>461.0</v>
      </c>
    </row>
    <row r="231">
      <c r="A231" s="30" t="s">
        <v>502</v>
      </c>
      <c r="B231" s="30" t="s">
        <v>168</v>
      </c>
      <c r="C231" s="30" t="s">
        <v>50</v>
      </c>
      <c r="D231" s="30" t="s">
        <v>169</v>
      </c>
      <c r="E231" s="30" t="s">
        <v>45</v>
      </c>
      <c r="F231" s="30" t="s">
        <v>132</v>
      </c>
      <c r="G231" s="30" t="s">
        <v>38</v>
      </c>
      <c r="H231" s="30" t="s">
        <v>122</v>
      </c>
      <c r="I231" s="30" t="s">
        <v>35</v>
      </c>
      <c r="J231" s="30" t="s">
        <v>533</v>
      </c>
      <c r="K231" s="41">
        <v>10.0</v>
      </c>
      <c r="L231" s="41">
        <v>46.0</v>
      </c>
      <c r="M231" s="41">
        <v>5297.0</v>
      </c>
      <c r="N231" s="41">
        <v>1004.0</v>
      </c>
      <c r="O231" s="41">
        <v>0.004</v>
      </c>
      <c r="P231" s="41">
        <v>350.0</v>
      </c>
    </row>
    <row r="232">
      <c r="A232" s="30" t="s">
        <v>502</v>
      </c>
      <c r="B232" s="30" t="s">
        <v>168</v>
      </c>
      <c r="C232" s="30" t="s">
        <v>50</v>
      </c>
      <c r="D232" s="30" t="s">
        <v>169</v>
      </c>
      <c r="E232" s="30" t="s">
        <v>45</v>
      </c>
      <c r="F232" s="30" t="s">
        <v>132</v>
      </c>
      <c r="G232" s="30" t="s">
        <v>38</v>
      </c>
      <c r="H232" s="30" t="s">
        <v>131</v>
      </c>
      <c r="I232" s="30" t="s">
        <v>35</v>
      </c>
      <c r="J232" s="30" t="s">
        <v>534</v>
      </c>
      <c r="K232" s="41">
        <v>10.0</v>
      </c>
      <c r="L232" s="41">
        <v>49.0</v>
      </c>
      <c r="M232" s="41">
        <v>5828.0</v>
      </c>
      <c r="N232" s="41">
        <v>1028.0</v>
      </c>
      <c r="O232" s="41">
        <v>0.004</v>
      </c>
      <c r="P232" s="41">
        <v>384.0</v>
      </c>
    </row>
    <row r="233">
      <c r="A233" s="30" t="s">
        <v>502</v>
      </c>
      <c r="B233" s="30" t="s">
        <v>168</v>
      </c>
      <c r="C233" s="30" t="s">
        <v>50</v>
      </c>
      <c r="D233" s="30" t="s">
        <v>169</v>
      </c>
      <c r="E233" s="30" t="s">
        <v>45</v>
      </c>
      <c r="F233" s="30" t="s">
        <v>132</v>
      </c>
      <c r="G233" s="30" t="s">
        <v>38</v>
      </c>
      <c r="H233" s="30" t="s">
        <v>131</v>
      </c>
      <c r="I233" s="30" t="s">
        <v>34</v>
      </c>
      <c r="J233" s="30" t="s">
        <v>534</v>
      </c>
      <c r="K233" s="41">
        <v>10.0</v>
      </c>
      <c r="L233" s="41">
        <v>86.0</v>
      </c>
      <c r="M233" s="41">
        <v>1685.0</v>
      </c>
      <c r="N233" s="41">
        <v>229.0</v>
      </c>
      <c r="O233" s="41">
        <v>0.0</v>
      </c>
      <c r="P233" s="41">
        <v>304.0</v>
      </c>
    </row>
    <row r="234">
      <c r="A234" s="30" t="s">
        <v>502</v>
      </c>
      <c r="B234" s="30" t="s">
        <v>168</v>
      </c>
      <c r="C234" s="30" t="s">
        <v>50</v>
      </c>
      <c r="D234" s="30" t="s">
        <v>169</v>
      </c>
      <c r="E234" s="30" t="s">
        <v>45</v>
      </c>
      <c r="F234" s="30" t="s">
        <v>132</v>
      </c>
      <c r="G234" s="30" t="s">
        <v>38</v>
      </c>
      <c r="H234" s="30" t="s">
        <v>124</v>
      </c>
      <c r="I234" s="30" t="s">
        <v>34</v>
      </c>
      <c r="J234" s="30" t="s">
        <v>536</v>
      </c>
      <c r="K234" s="41">
        <v>10.0</v>
      </c>
      <c r="L234" s="41">
        <v>65.0</v>
      </c>
      <c r="M234" s="41">
        <v>2737.0</v>
      </c>
      <c r="N234" s="41">
        <v>313.0</v>
      </c>
      <c r="O234" s="41">
        <v>0.0</v>
      </c>
      <c r="P234" s="41">
        <v>953.0</v>
      </c>
    </row>
    <row r="235">
      <c r="A235" s="30" t="s">
        <v>502</v>
      </c>
      <c r="B235" s="30" t="s">
        <v>168</v>
      </c>
      <c r="C235" s="30" t="s">
        <v>50</v>
      </c>
      <c r="D235" s="30" t="s">
        <v>169</v>
      </c>
      <c r="E235" s="30" t="s">
        <v>45</v>
      </c>
      <c r="F235" s="30" t="s">
        <v>132</v>
      </c>
      <c r="G235" s="30" t="s">
        <v>38</v>
      </c>
      <c r="H235" s="30" t="s">
        <v>143</v>
      </c>
      <c r="I235" s="30" t="s">
        <v>34</v>
      </c>
      <c r="J235" s="30" t="s">
        <v>536</v>
      </c>
      <c r="K235" s="41">
        <v>10.0</v>
      </c>
      <c r="L235" s="41">
        <v>62.0</v>
      </c>
      <c r="M235" s="41">
        <v>2688.0</v>
      </c>
      <c r="N235" s="41">
        <v>295.0</v>
      </c>
      <c r="O235" s="41">
        <v>0.0</v>
      </c>
      <c r="P235" s="41">
        <v>1272.0</v>
      </c>
    </row>
    <row r="236">
      <c r="A236" s="30" t="s">
        <v>502</v>
      </c>
      <c r="B236" s="30" t="s">
        <v>168</v>
      </c>
      <c r="C236" s="30" t="s">
        <v>50</v>
      </c>
      <c r="D236" s="30" t="s">
        <v>169</v>
      </c>
      <c r="E236" s="30" t="s">
        <v>45</v>
      </c>
      <c r="F236" s="30" t="s">
        <v>132</v>
      </c>
      <c r="G236" s="30" t="s">
        <v>38</v>
      </c>
      <c r="H236" s="30" t="s">
        <v>126</v>
      </c>
      <c r="I236" s="30" t="s">
        <v>35</v>
      </c>
      <c r="J236" s="30" t="s">
        <v>534</v>
      </c>
      <c r="K236" s="41">
        <v>10.0</v>
      </c>
      <c r="L236" s="41">
        <v>40.0</v>
      </c>
      <c r="M236" s="41">
        <v>6767.0</v>
      </c>
      <c r="N236" s="41">
        <v>1726.0</v>
      </c>
      <c r="O236" s="41">
        <v>0.004</v>
      </c>
      <c r="P236" s="41">
        <v>434.0</v>
      </c>
    </row>
    <row r="237">
      <c r="A237" s="30" t="s">
        <v>502</v>
      </c>
      <c r="B237" s="30" t="s">
        <v>168</v>
      </c>
      <c r="C237" s="30" t="s">
        <v>50</v>
      </c>
      <c r="D237" s="30" t="s">
        <v>169</v>
      </c>
      <c r="E237" s="30" t="s">
        <v>45</v>
      </c>
      <c r="F237" s="30" t="s">
        <v>132</v>
      </c>
      <c r="G237" s="30" t="s">
        <v>38</v>
      </c>
      <c r="H237" s="30" t="s">
        <v>144</v>
      </c>
      <c r="I237" s="30" t="s">
        <v>35</v>
      </c>
      <c r="J237" s="30" t="s">
        <v>535</v>
      </c>
      <c r="K237" s="41">
        <v>10.0</v>
      </c>
      <c r="L237" s="41">
        <v>44.0</v>
      </c>
      <c r="M237" s="41">
        <v>6467.0</v>
      </c>
      <c r="N237" s="41">
        <v>1558.0</v>
      </c>
      <c r="O237" s="41">
        <v>0.004</v>
      </c>
      <c r="P237" s="41">
        <v>444.0</v>
      </c>
    </row>
    <row r="238">
      <c r="A238" s="30" t="s">
        <v>502</v>
      </c>
      <c r="B238" s="30" t="s">
        <v>168</v>
      </c>
      <c r="C238" s="30" t="s">
        <v>50</v>
      </c>
      <c r="D238" s="30" t="s">
        <v>169</v>
      </c>
      <c r="E238" s="30" t="s">
        <v>45</v>
      </c>
      <c r="F238" s="30" t="s">
        <v>132</v>
      </c>
      <c r="G238" s="30" t="s">
        <v>38</v>
      </c>
      <c r="H238" s="30" t="s">
        <v>124</v>
      </c>
      <c r="I238" s="30" t="s">
        <v>35</v>
      </c>
      <c r="J238" s="30" t="s">
        <v>536</v>
      </c>
      <c r="K238" s="41">
        <v>10.0</v>
      </c>
      <c r="L238" s="41">
        <v>42.0</v>
      </c>
      <c r="M238" s="41">
        <v>5398.0</v>
      </c>
      <c r="N238" s="41">
        <v>744.0</v>
      </c>
      <c r="O238" s="41">
        <v>0.004</v>
      </c>
      <c r="P238" s="41">
        <v>868.0</v>
      </c>
    </row>
    <row r="239">
      <c r="A239" s="30" t="s">
        <v>502</v>
      </c>
      <c r="B239" s="30" t="s">
        <v>168</v>
      </c>
      <c r="C239" s="30" t="s">
        <v>50</v>
      </c>
      <c r="D239" s="30" t="s">
        <v>169</v>
      </c>
      <c r="E239" s="30" t="s">
        <v>45</v>
      </c>
      <c r="F239" s="30" t="s">
        <v>132</v>
      </c>
      <c r="G239" s="30" t="s">
        <v>38</v>
      </c>
      <c r="H239" s="30" t="s">
        <v>143</v>
      </c>
      <c r="I239" s="30" t="s">
        <v>35</v>
      </c>
      <c r="J239" s="30" t="s">
        <v>536</v>
      </c>
      <c r="K239" s="41">
        <v>10.0</v>
      </c>
      <c r="L239" s="41">
        <v>50.0</v>
      </c>
      <c r="M239" s="41">
        <v>10853.0</v>
      </c>
      <c r="N239" s="41">
        <v>694.0</v>
      </c>
      <c r="O239" s="41">
        <v>0.004</v>
      </c>
      <c r="P239" s="41">
        <v>1157.0</v>
      </c>
    </row>
    <row r="240">
      <c r="A240" s="30" t="s">
        <v>503</v>
      </c>
      <c r="B240" s="30" t="s">
        <v>168</v>
      </c>
      <c r="C240" s="30" t="s">
        <v>50</v>
      </c>
      <c r="D240" s="30" t="s">
        <v>169</v>
      </c>
      <c r="E240" s="30" t="s">
        <v>45</v>
      </c>
      <c r="F240" s="30" t="s">
        <v>123</v>
      </c>
      <c r="G240" s="30" t="s">
        <v>38</v>
      </c>
      <c r="H240" s="30" t="s">
        <v>133</v>
      </c>
      <c r="I240" s="30" t="s">
        <v>35</v>
      </c>
      <c r="J240" s="30" t="s">
        <v>531</v>
      </c>
      <c r="K240" s="41">
        <v>10.0</v>
      </c>
      <c r="L240" s="41">
        <v>45.0</v>
      </c>
      <c r="M240" s="41">
        <v>10929.0</v>
      </c>
      <c r="N240" s="41">
        <v>2461.0</v>
      </c>
      <c r="O240" s="41">
        <v>0.004</v>
      </c>
      <c r="P240" s="41">
        <v>480.0</v>
      </c>
    </row>
    <row r="241">
      <c r="A241" s="30" t="s">
        <v>503</v>
      </c>
      <c r="B241" s="30" t="s">
        <v>168</v>
      </c>
      <c r="C241" s="30" t="s">
        <v>50</v>
      </c>
      <c r="D241" s="30" t="s">
        <v>169</v>
      </c>
      <c r="E241" s="30" t="s">
        <v>45</v>
      </c>
      <c r="F241" s="30" t="s">
        <v>123</v>
      </c>
      <c r="G241" s="30" t="s">
        <v>38</v>
      </c>
      <c r="H241" s="30" t="s">
        <v>122</v>
      </c>
      <c r="I241" s="30" t="s">
        <v>35</v>
      </c>
      <c r="J241" s="30" t="s">
        <v>533</v>
      </c>
      <c r="K241" s="41">
        <v>10.0</v>
      </c>
      <c r="L241" s="41">
        <v>45.0</v>
      </c>
      <c r="M241" s="41">
        <v>5122.0</v>
      </c>
      <c r="N241" s="41">
        <v>1249.0</v>
      </c>
      <c r="O241" s="41">
        <v>0.004</v>
      </c>
      <c r="P241" s="41">
        <v>354.0</v>
      </c>
    </row>
    <row r="242">
      <c r="A242" s="30" t="s">
        <v>503</v>
      </c>
      <c r="B242" s="30" t="s">
        <v>168</v>
      </c>
      <c r="C242" s="30" t="s">
        <v>50</v>
      </c>
      <c r="D242" s="30" t="s">
        <v>169</v>
      </c>
      <c r="E242" s="30" t="s">
        <v>45</v>
      </c>
      <c r="F242" s="30" t="s">
        <v>123</v>
      </c>
      <c r="G242" s="30" t="s">
        <v>38</v>
      </c>
      <c r="H242" s="30" t="s">
        <v>129</v>
      </c>
      <c r="I242" s="30" t="s">
        <v>35</v>
      </c>
      <c r="J242" s="30" t="s">
        <v>533</v>
      </c>
      <c r="K242" s="41">
        <v>10.0</v>
      </c>
      <c r="L242" s="41">
        <v>47.0</v>
      </c>
      <c r="M242" s="41">
        <v>5751.0</v>
      </c>
      <c r="N242" s="41">
        <v>1124.0</v>
      </c>
      <c r="O242" s="41">
        <v>0.004</v>
      </c>
      <c r="P242" s="41">
        <v>322.0</v>
      </c>
    </row>
    <row r="243">
      <c r="A243" s="30" t="s">
        <v>503</v>
      </c>
      <c r="B243" s="30" t="s">
        <v>168</v>
      </c>
      <c r="C243" s="30" t="s">
        <v>50</v>
      </c>
      <c r="D243" s="30" t="s">
        <v>169</v>
      </c>
      <c r="E243" s="30" t="s">
        <v>45</v>
      </c>
      <c r="F243" s="30" t="s">
        <v>123</v>
      </c>
      <c r="G243" s="30" t="s">
        <v>38</v>
      </c>
      <c r="H243" s="30" t="s">
        <v>131</v>
      </c>
      <c r="I243" s="30" t="s">
        <v>35</v>
      </c>
      <c r="J243" s="30" t="s">
        <v>534</v>
      </c>
      <c r="K243" s="41">
        <v>10.0</v>
      </c>
      <c r="L243" s="41">
        <v>46.0</v>
      </c>
      <c r="M243" s="41">
        <v>5880.0</v>
      </c>
      <c r="N243" s="41">
        <v>929.0</v>
      </c>
      <c r="O243" s="41">
        <v>0.004</v>
      </c>
      <c r="P243" s="41">
        <v>456.0</v>
      </c>
    </row>
    <row r="244">
      <c r="A244" s="30" t="s">
        <v>503</v>
      </c>
      <c r="B244" s="30" t="s">
        <v>168</v>
      </c>
      <c r="C244" s="30" t="s">
        <v>50</v>
      </c>
      <c r="D244" s="30" t="s">
        <v>169</v>
      </c>
      <c r="E244" s="30" t="s">
        <v>45</v>
      </c>
      <c r="F244" s="30" t="s">
        <v>123</v>
      </c>
      <c r="G244" s="30" t="s">
        <v>38</v>
      </c>
      <c r="H244" s="30" t="s">
        <v>126</v>
      </c>
      <c r="I244" s="30" t="s">
        <v>35</v>
      </c>
      <c r="J244" s="30" t="s">
        <v>534</v>
      </c>
      <c r="K244" s="41">
        <v>10.0</v>
      </c>
      <c r="L244" s="41">
        <v>37.0</v>
      </c>
      <c r="M244" s="41">
        <v>6482.0</v>
      </c>
      <c r="N244" s="41">
        <v>1739.0</v>
      </c>
      <c r="O244" s="41">
        <v>0.004</v>
      </c>
      <c r="P244" s="41">
        <v>391.0</v>
      </c>
    </row>
    <row r="245">
      <c r="A245" s="30" t="s">
        <v>503</v>
      </c>
      <c r="B245" s="30" t="s">
        <v>168</v>
      </c>
      <c r="C245" s="30" t="s">
        <v>50</v>
      </c>
      <c r="D245" s="30" t="s">
        <v>169</v>
      </c>
      <c r="E245" s="30" t="s">
        <v>45</v>
      </c>
      <c r="F245" s="30" t="s">
        <v>123</v>
      </c>
      <c r="G245" s="30" t="s">
        <v>38</v>
      </c>
      <c r="H245" s="30" t="s">
        <v>144</v>
      </c>
      <c r="I245" s="30" t="s">
        <v>35</v>
      </c>
      <c r="J245" s="30" t="s">
        <v>535</v>
      </c>
      <c r="K245" s="41">
        <v>10.0</v>
      </c>
      <c r="L245" s="41">
        <v>41.0</v>
      </c>
      <c r="M245" s="41">
        <v>7203.0</v>
      </c>
      <c r="N245" s="41">
        <v>2154.0</v>
      </c>
      <c r="O245" s="41">
        <v>0.004</v>
      </c>
      <c r="P245" s="41">
        <v>423.0</v>
      </c>
    </row>
    <row r="246">
      <c r="A246" s="30" t="s">
        <v>503</v>
      </c>
      <c r="B246" s="30" t="s">
        <v>168</v>
      </c>
      <c r="C246" s="30" t="s">
        <v>50</v>
      </c>
      <c r="D246" s="30" t="s">
        <v>169</v>
      </c>
      <c r="E246" s="30" t="s">
        <v>45</v>
      </c>
      <c r="F246" s="30" t="s">
        <v>123</v>
      </c>
      <c r="G246" s="30" t="s">
        <v>38</v>
      </c>
      <c r="H246" s="30" t="s">
        <v>124</v>
      </c>
      <c r="I246" s="30" t="s">
        <v>35</v>
      </c>
      <c r="J246" s="30" t="s">
        <v>536</v>
      </c>
      <c r="K246" s="41">
        <v>10.0</v>
      </c>
      <c r="L246" s="41">
        <v>41.0</v>
      </c>
      <c r="M246" s="41">
        <v>6083.0</v>
      </c>
      <c r="N246" s="41">
        <v>971.0</v>
      </c>
      <c r="O246" s="41">
        <v>0.004</v>
      </c>
      <c r="P246" s="41">
        <v>983.0</v>
      </c>
    </row>
    <row r="247">
      <c r="A247" s="30" t="s">
        <v>503</v>
      </c>
      <c r="B247" s="30" t="s">
        <v>168</v>
      </c>
      <c r="C247" s="30" t="s">
        <v>50</v>
      </c>
      <c r="D247" s="30" t="s">
        <v>169</v>
      </c>
      <c r="E247" s="30" t="s">
        <v>45</v>
      </c>
      <c r="F247" s="30" t="s">
        <v>123</v>
      </c>
      <c r="G247" s="30" t="s">
        <v>38</v>
      </c>
      <c r="H247" s="30" t="s">
        <v>143</v>
      </c>
      <c r="I247" s="30" t="s">
        <v>35</v>
      </c>
      <c r="J247" s="30" t="s">
        <v>536</v>
      </c>
      <c r="K247" s="41">
        <v>10.0</v>
      </c>
      <c r="L247" s="41">
        <v>33.0</v>
      </c>
      <c r="M247" s="41">
        <v>11789.0</v>
      </c>
      <c r="N247" s="41">
        <v>879.0</v>
      </c>
      <c r="O247" s="41">
        <v>0.004</v>
      </c>
      <c r="P247" s="41">
        <v>1164.0</v>
      </c>
    </row>
    <row r="248">
      <c r="A248" s="30" t="s">
        <v>503</v>
      </c>
      <c r="B248" s="30" t="s">
        <v>168</v>
      </c>
      <c r="C248" s="30" t="s">
        <v>50</v>
      </c>
      <c r="D248" s="30" t="s">
        <v>169</v>
      </c>
      <c r="E248" s="30" t="s">
        <v>45</v>
      </c>
      <c r="F248" s="30" t="s">
        <v>123</v>
      </c>
      <c r="G248" s="30" t="s">
        <v>38</v>
      </c>
      <c r="H248" s="30" t="s">
        <v>133</v>
      </c>
      <c r="I248" s="30" t="s">
        <v>34</v>
      </c>
      <c r="J248" s="30" t="s">
        <v>531</v>
      </c>
      <c r="K248" s="41">
        <v>10.0</v>
      </c>
      <c r="L248" s="41">
        <v>84.0</v>
      </c>
      <c r="M248" s="41">
        <v>1863.0</v>
      </c>
      <c r="N248" s="41">
        <v>263.0</v>
      </c>
      <c r="O248" s="41">
        <v>0.0</v>
      </c>
      <c r="P248" s="41">
        <v>302.0</v>
      </c>
    </row>
    <row r="249">
      <c r="A249" s="30" t="s">
        <v>503</v>
      </c>
      <c r="B249" s="30" t="s">
        <v>168</v>
      </c>
      <c r="C249" s="30" t="s">
        <v>50</v>
      </c>
      <c r="D249" s="30" t="s">
        <v>169</v>
      </c>
      <c r="E249" s="30" t="s">
        <v>45</v>
      </c>
      <c r="F249" s="30" t="s">
        <v>123</v>
      </c>
      <c r="G249" s="30" t="s">
        <v>38</v>
      </c>
      <c r="H249" s="30" t="s">
        <v>122</v>
      </c>
      <c r="I249" s="30" t="s">
        <v>34</v>
      </c>
      <c r="J249" s="30" t="s">
        <v>533</v>
      </c>
      <c r="K249" s="41">
        <v>10.0</v>
      </c>
      <c r="L249" s="41">
        <v>81.0</v>
      </c>
      <c r="M249" s="41">
        <v>1540.0</v>
      </c>
      <c r="N249" s="41">
        <v>291.0</v>
      </c>
      <c r="O249" s="41">
        <v>0.0</v>
      </c>
      <c r="P249" s="41">
        <v>329.0</v>
      </c>
    </row>
    <row r="250">
      <c r="A250" s="30" t="s">
        <v>503</v>
      </c>
      <c r="B250" s="30" t="s">
        <v>168</v>
      </c>
      <c r="C250" s="30" t="s">
        <v>50</v>
      </c>
      <c r="D250" s="30" t="s">
        <v>169</v>
      </c>
      <c r="E250" s="30" t="s">
        <v>45</v>
      </c>
      <c r="F250" s="30" t="s">
        <v>123</v>
      </c>
      <c r="G250" s="30" t="s">
        <v>38</v>
      </c>
      <c r="H250" s="30" t="s">
        <v>129</v>
      </c>
      <c r="I250" s="30" t="s">
        <v>34</v>
      </c>
      <c r="J250" s="30" t="s">
        <v>533</v>
      </c>
      <c r="K250" s="41">
        <v>10.0</v>
      </c>
      <c r="L250" s="41">
        <v>76.0</v>
      </c>
      <c r="M250" s="41">
        <v>2207.0</v>
      </c>
      <c r="N250" s="41">
        <v>228.0</v>
      </c>
      <c r="O250" s="41">
        <v>0.0</v>
      </c>
      <c r="P250" s="41">
        <v>315.0</v>
      </c>
    </row>
    <row r="251">
      <c r="A251" s="30" t="s">
        <v>503</v>
      </c>
      <c r="B251" s="30" t="s">
        <v>168</v>
      </c>
      <c r="C251" s="30" t="s">
        <v>50</v>
      </c>
      <c r="D251" s="30" t="s">
        <v>169</v>
      </c>
      <c r="E251" s="30" t="s">
        <v>45</v>
      </c>
      <c r="F251" s="30" t="s">
        <v>123</v>
      </c>
      <c r="G251" s="30" t="s">
        <v>38</v>
      </c>
      <c r="H251" s="30" t="s">
        <v>131</v>
      </c>
      <c r="I251" s="30" t="s">
        <v>34</v>
      </c>
      <c r="J251" s="30" t="s">
        <v>534</v>
      </c>
      <c r="K251" s="41">
        <v>10.0</v>
      </c>
      <c r="L251" s="41">
        <v>83.0</v>
      </c>
      <c r="M251" s="41">
        <v>1588.0</v>
      </c>
      <c r="N251" s="41">
        <v>222.0</v>
      </c>
      <c r="O251" s="41">
        <v>0.0</v>
      </c>
      <c r="P251" s="41">
        <v>288.0</v>
      </c>
    </row>
    <row r="252">
      <c r="A252" s="30" t="s">
        <v>503</v>
      </c>
      <c r="B252" s="30" t="s">
        <v>168</v>
      </c>
      <c r="C252" s="30" t="s">
        <v>50</v>
      </c>
      <c r="D252" s="30" t="s">
        <v>169</v>
      </c>
      <c r="E252" s="30" t="s">
        <v>45</v>
      </c>
      <c r="F252" s="30" t="s">
        <v>123</v>
      </c>
      <c r="G252" s="30" t="s">
        <v>38</v>
      </c>
      <c r="H252" s="30" t="s">
        <v>126</v>
      </c>
      <c r="I252" s="30" t="s">
        <v>34</v>
      </c>
      <c r="J252" s="30" t="s">
        <v>534</v>
      </c>
      <c r="K252" s="41">
        <v>10.0</v>
      </c>
      <c r="L252" s="41">
        <v>85.0</v>
      </c>
      <c r="M252" s="41">
        <v>1854.0</v>
      </c>
      <c r="N252" s="41">
        <v>403.0</v>
      </c>
      <c r="O252" s="41">
        <v>0.0</v>
      </c>
      <c r="P252" s="41">
        <v>455.0</v>
      </c>
    </row>
    <row r="253">
      <c r="A253" s="30" t="s">
        <v>503</v>
      </c>
      <c r="B253" s="30" t="s">
        <v>168</v>
      </c>
      <c r="C253" s="30" t="s">
        <v>50</v>
      </c>
      <c r="D253" s="30" t="s">
        <v>169</v>
      </c>
      <c r="E253" s="30" t="s">
        <v>45</v>
      </c>
      <c r="F253" s="30" t="s">
        <v>123</v>
      </c>
      <c r="G253" s="30" t="s">
        <v>38</v>
      </c>
      <c r="H253" s="30" t="s">
        <v>144</v>
      </c>
      <c r="I253" s="30" t="s">
        <v>34</v>
      </c>
      <c r="J253" s="30" t="s">
        <v>535</v>
      </c>
      <c r="K253" s="41">
        <v>10.0</v>
      </c>
      <c r="L253" s="41">
        <v>67.0</v>
      </c>
      <c r="M253" s="41">
        <v>2967.0</v>
      </c>
      <c r="N253" s="41">
        <v>367.0</v>
      </c>
      <c r="O253" s="41">
        <v>0.0</v>
      </c>
      <c r="P253" s="41">
        <v>405.0</v>
      </c>
    </row>
    <row r="254">
      <c r="A254" s="30" t="s">
        <v>503</v>
      </c>
      <c r="B254" s="30" t="s">
        <v>168</v>
      </c>
      <c r="C254" s="30" t="s">
        <v>50</v>
      </c>
      <c r="D254" s="30" t="s">
        <v>169</v>
      </c>
      <c r="E254" s="30" t="s">
        <v>45</v>
      </c>
      <c r="F254" s="30" t="s">
        <v>123</v>
      </c>
      <c r="G254" s="30" t="s">
        <v>38</v>
      </c>
      <c r="H254" s="30" t="s">
        <v>124</v>
      </c>
      <c r="I254" s="30" t="s">
        <v>34</v>
      </c>
      <c r="J254" s="30" t="s">
        <v>536</v>
      </c>
      <c r="K254" s="41">
        <v>10.0</v>
      </c>
      <c r="L254" s="41">
        <v>84.0</v>
      </c>
      <c r="M254" s="41">
        <v>1702.0</v>
      </c>
      <c r="N254" s="41">
        <v>161.0</v>
      </c>
      <c r="O254" s="41">
        <v>0.0</v>
      </c>
      <c r="P254" s="41">
        <v>874.0</v>
      </c>
    </row>
    <row r="255">
      <c r="A255" s="30" t="s">
        <v>503</v>
      </c>
      <c r="B255" s="30" t="s">
        <v>168</v>
      </c>
      <c r="C255" s="30" t="s">
        <v>50</v>
      </c>
      <c r="D255" s="30" t="s">
        <v>169</v>
      </c>
      <c r="E255" s="30" t="s">
        <v>45</v>
      </c>
      <c r="F255" s="30" t="s">
        <v>123</v>
      </c>
      <c r="G255" s="30" t="s">
        <v>38</v>
      </c>
      <c r="H255" s="30" t="s">
        <v>143</v>
      </c>
      <c r="I255" s="30" t="s">
        <v>34</v>
      </c>
      <c r="J255" s="30" t="s">
        <v>536</v>
      </c>
      <c r="K255" s="41">
        <v>10.0</v>
      </c>
      <c r="L255" s="41">
        <v>71.0</v>
      </c>
      <c r="M255" s="41">
        <v>2455.0</v>
      </c>
      <c r="N255" s="41">
        <v>163.0</v>
      </c>
      <c r="O255" s="41">
        <v>0.0</v>
      </c>
      <c r="P255" s="41">
        <v>1142.0</v>
      </c>
    </row>
    <row r="256">
      <c r="A256" s="30" t="s">
        <v>516</v>
      </c>
      <c r="B256" s="30" t="s">
        <v>168</v>
      </c>
      <c r="C256" s="30" t="s">
        <v>50</v>
      </c>
      <c r="D256" s="30" t="s">
        <v>169</v>
      </c>
      <c r="E256" s="30" t="s">
        <v>45</v>
      </c>
      <c r="F256" s="30" t="s">
        <v>134</v>
      </c>
      <c r="G256" s="30" t="s">
        <v>38</v>
      </c>
      <c r="H256" s="30" t="s">
        <v>133</v>
      </c>
      <c r="I256" s="30" t="s">
        <v>34</v>
      </c>
      <c r="J256" s="30" t="s">
        <v>531</v>
      </c>
      <c r="K256" s="41">
        <v>10.0</v>
      </c>
      <c r="L256" s="41">
        <v>84.0</v>
      </c>
      <c r="M256" s="41">
        <v>1738.0</v>
      </c>
      <c r="N256" s="41">
        <v>337.0</v>
      </c>
      <c r="O256" s="41">
        <v>0.0</v>
      </c>
      <c r="P256" s="41">
        <v>698.0</v>
      </c>
    </row>
    <row r="257">
      <c r="A257" s="30" t="s">
        <v>604</v>
      </c>
      <c r="B257" s="30" t="s">
        <v>168</v>
      </c>
      <c r="C257" s="30" t="s">
        <v>50</v>
      </c>
      <c r="D257" s="30" t="s">
        <v>169</v>
      </c>
      <c r="E257" s="30" t="s">
        <v>45</v>
      </c>
      <c r="F257" s="30" t="s">
        <v>284</v>
      </c>
      <c r="G257" s="30" t="s">
        <v>285</v>
      </c>
      <c r="H257" s="30" t="s">
        <v>133</v>
      </c>
      <c r="I257" s="30" t="s">
        <v>35</v>
      </c>
      <c r="J257" s="30" t="s">
        <v>531</v>
      </c>
      <c r="K257" s="41">
        <v>10.0</v>
      </c>
      <c r="L257" s="41">
        <v>42.0</v>
      </c>
      <c r="M257" s="41">
        <v>6882.0</v>
      </c>
      <c r="N257" s="41">
        <v>1736.0</v>
      </c>
      <c r="O257" s="41">
        <v>0.004</v>
      </c>
      <c r="P257" s="41">
        <v>694.0</v>
      </c>
    </row>
    <row r="258">
      <c r="A258" s="30" t="s">
        <v>605</v>
      </c>
      <c r="B258" s="30" t="s">
        <v>168</v>
      </c>
      <c r="C258" s="30" t="s">
        <v>50</v>
      </c>
      <c r="D258" s="30" t="s">
        <v>169</v>
      </c>
      <c r="E258" s="30" t="s">
        <v>45</v>
      </c>
      <c r="F258" s="30" t="s">
        <v>286</v>
      </c>
      <c r="G258" s="30" t="s">
        <v>285</v>
      </c>
      <c r="H258" s="30" t="s">
        <v>133</v>
      </c>
      <c r="I258" s="30" t="s">
        <v>34</v>
      </c>
      <c r="J258" s="30" t="s">
        <v>531</v>
      </c>
      <c r="K258" s="41">
        <v>10.0</v>
      </c>
      <c r="L258" s="41">
        <v>81.0</v>
      </c>
      <c r="M258" s="41">
        <v>2203.0</v>
      </c>
      <c r="N258" s="41">
        <v>508.0</v>
      </c>
      <c r="O258" s="41">
        <v>0.0</v>
      </c>
      <c r="P258" s="41">
        <v>683.0</v>
      </c>
    </row>
    <row r="259">
      <c r="A259" s="30" t="s">
        <v>606</v>
      </c>
      <c r="B259" s="30" t="s">
        <v>168</v>
      </c>
      <c r="C259" s="30" t="s">
        <v>50</v>
      </c>
      <c r="D259" s="30" t="s">
        <v>169</v>
      </c>
      <c r="E259" s="30" t="s">
        <v>45</v>
      </c>
      <c r="F259" s="30" t="s">
        <v>284</v>
      </c>
      <c r="G259" s="30" t="s">
        <v>285</v>
      </c>
      <c r="H259" s="30" t="s">
        <v>122</v>
      </c>
      <c r="I259" s="30" t="s">
        <v>35</v>
      </c>
      <c r="J259" s="30" t="s">
        <v>533</v>
      </c>
      <c r="K259" s="41">
        <v>10.0</v>
      </c>
      <c r="L259" s="41">
        <v>50.0</v>
      </c>
      <c r="M259" s="41">
        <v>4797.0</v>
      </c>
      <c r="N259" s="41">
        <v>1120.0</v>
      </c>
      <c r="O259" s="41">
        <v>0.004</v>
      </c>
      <c r="P259" s="41">
        <v>318.0</v>
      </c>
    </row>
    <row r="260">
      <c r="A260" s="30" t="s">
        <v>607</v>
      </c>
      <c r="B260" s="30" t="s">
        <v>168</v>
      </c>
      <c r="C260" s="30" t="s">
        <v>50</v>
      </c>
      <c r="D260" s="30" t="s">
        <v>169</v>
      </c>
      <c r="E260" s="30" t="s">
        <v>45</v>
      </c>
      <c r="F260" s="30" t="s">
        <v>286</v>
      </c>
      <c r="G260" s="30" t="s">
        <v>285</v>
      </c>
      <c r="H260" s="30" t="s">
        <v>122</v>
      </c>
      <c r="I260" s="30" t="s">
        <v>34</v>
      </c>
      <c r="J260" s="30" t="s">
        <v>533</v>
      </c>
      <c r="K260" s="41">
        <v>10.0</v>
      </c>
      <c r="L260" s="41">
        <v>87.0</v>
      </c>
      <c r="M260" s="41">
        <v>1460.0</v>
      </c>
      <c r="N260" s="41">
        <v>209.0</v>
      </c>
      <c r="O260" s="41">
        <v>0.0</v>
      </c>
      <c r="P260" s="41">
        <v>314.0</v>
      </c>
    </row>
    <row r="261">
      <c r="A261" s="30" t="s">
        <v>608</v>
      </c>
      <c r="B261" s="30" t="s">
        <v>168</v>
      </c>
      <c r="C261" s="30" t="s">
        <v>50</v>
      </c>
      <c r="D261" s="30" t="s">
        <v>169</v>
      </c>
      <c r="E261" s="30" t="s">
        <v>45</v>
      </c>
      <c r="F261" s="30" t="s">
        <v>284</v>
      </c>
      <c r="G261" s="30" t="s">
        <v>285</v>
      </c>
      <c r="H261" s="30" t="s">
        <v>129</v>
      </c>
      <c r="I261" s="30" t="s">
        <v>35</v>
      </c>
      <c r="J261" s="30" t="s">
        <v>533</v>
      </c>
      <c r="K261" s="41">
        <v>10.0</v>
      </c>
      <c r="L261" s="41">
        <v>52.0</v>
      </c>
      <c r="M261" s="41">
        <v>5002.0</v>
      </c>
      <c r="N261" s="41">
        <v>769.0</v>
      </c>
      <c r="O261" s="41">
        <v>0.004</v>
      </c>
      <c r="P261" s="41">
        <v>306.0</v>
      </c>
    </row>
    <row r="262">
      <c r="A262" s="30" t="s">
        <v>609</v>
      </c>
      <c r="B262" s="30" t="s">
        <v>168</v>
      </c>
      <c r="C262" s="30" t="s">
        <v>50</v>
      </c>
      <c r="D262" s="30" t="s">
        <v>169</v>
      </c>
      <c r="E262" s="30" t="s">
        <v>45</v>
      </c>
      <c r="F262" s="30" t="s">
        <v>284</v>
      </c>
      <c r="G262" s="30" t="s">
        <v>285</v>
      </c>
      <c r="H262" s="30" t="s">
        <v>131</v>
      </c>
      <c r="I262" s="30" t="s">
        <v>35</v>
      </c>
      <c r="J262" s="30" t="s">
        <v>534</v>
      </c>
      <c r="K262" s="41">
        <v>10.0</v>
      </c>
      <c r="L262" s="41">
        <v>55.0</v>
      </c>
      <c r="M262" s="41">
        <v>5428.0</v>
      </c>
      <c r="N262" s="41">
        <v>756.0</v>
      </c>
      <c r="O262" s="41">
        <v>0.004</v>
      </c>
      <c r="P262" s="41">
        <v>307.0</v>
      </c>
    </row>
    <row r="263">
      <c r="A263" s="30" t="s">
        <v>610</v>
      </c>
      <c r="B263" s="30" t="s">
        <v>168</v>
      </c>
      <c r="C263" s="30" t="s">
        <v>50</v>
      </c>
      <c r="D263" s="30" t="s">
        <v>169</v>
      </c>
      <c r="E263" s="30" t="s">
        <v>45</v>
      </c>
      <c r="F263" s="30" t="s">
        <v>286</v>
      </c>
      <c r="G263" s="30" t="s">
        <v>285</v>
      </c>
      <c r="H263" s="30" t="s">
        <v>129</v>
      </c>
      <c r="I263" s="30" t="s">
        <v>34</v>
      </c>
      <c r="J263" s="30" t="s">
        <v>533</v>
      </c>
      <c r="K263" s="41">
        <v>10.0</v>
      </c>
      <c r="L263" s="41">
        <v>90.0</v>
      </c>
      <c r="M263" s="41">
        <v>1531.0</v>
      </c>
      <c r="N263" s="41">
        <v>170.0</v>
      </c>
      <c r="O263" s="41">
        <v>0.0</v>
      </c>
      <c r="P263" s="41">
        <v>304.0</v>
      </c>
    </row>
    <row r="264">
      <c r="A264" s="30" t="s">
        <v>611</v>
      </c>
      <c r="B264" s="30" t="s">
        <v>168</v>
      </c>
      <c r="C264" s="30" t="s">
        <v>50</v>
      </c>
      <c r="D264" s="30" t="s">
        <v>169</v>
      </c>
      <c r="E264" s="30" t="s">
        <v>45</v>
      </c>
      <c r="F264" s="30" t="s">
        <v>284</v>
      </c>
      <c r="G264" s="30" t="s">
        <v>285</v>
      </c>
      <c r="H264" s="30" t="s">
        <v>126</v>
      </c>
      <c r="I264" s="30" t="s">
        <v>35</v>
      </c>
      <c r="J264" s="30" t="s">
        <v>534</v>
      </c>
      <c r="K264" s="41">
        <v>10.0</v>
      </c>
      <c r="L264" s="41">
        <v>39.0</v>
      </c>
      <c r="M264" s="41">
        <v>6620.0</v>
      </c>
      <c r="N264" s="41">
        <v>1550.0</v>
      </c>
      <c r="O264" s="41">
        <v>0.004</v>
      </c>
      <c r="P264" s="41">
        <v>417.0</v>
      </c>
    </row>
    <row r="265">
      <c r="A265" s="30" t="s">
        <v>612</v>
      </c>
      <c r="B265" s="30" t="s">
        <v>168</v>
      </c>
      <c r="C265" s="30" t="s">
        <v>50</v>
      </c>
      <c r="D265" s="30" t="s">
        <v>169</v>
      </c>
      <c r="E265" s="30" t="s">
        <v>45</v>
      </c>
      <c r="F265" s="30" t="s">
        <v>284</v>
      </c>
      <c r="G265" s="30" t="s">
        <v>285</v>
      </c>
      <c r="H265" s="30" t="s">
        <v>144</v>
      </c>
      <c r="I265" s="30" t="s">
        <v>35</v>
      </c>
      <c r="J265" s="30" t="s">
        <v>535</v>
      </c>
      <c r="K265" s="41">
        <v>10.0</v>
      </c>
      <c r="L265" s="41">
        <v>43.0</v>
      </c>
      <c r="M265" s="41">
        <v>6732.0</v>
      </c>
      <c r="N265" s="41">
        <v>1670.0</v>
      </c>
      <c r="O265" s="41">
        <v>0.004</v>
      </c>
      <c r="P265" s="41">
        <v>469.0</v>
      </c>
    </row>
    <row r="266">
      <c r="A266" s="30" t="s">
        <v>613</v>
      </c>
      <c r="B266" s="30" t="s">
        <v>168</v>
      </c>
      <c r="C266" s="30" t="s">
        <v>50</v>
      </c>
      <c r="D266" s="30" t="s">
        <v>169</v>
      </c>
      <c r="E266" s="30" t="s">
        <v>45</v>
      </c>
      <c r="F266" s="30" t="s">
        <v>286</v>
      </c>
      <c r="G266" s="30" t="s">
        <v>285</v>
      </c>
      <c r="H266" s="30" t="s">
        <v>131</v>
      </c>
      <c r="I266" s="30" t="s">
        <v>34</v>
      </c>
      <c r="J266" s="30" t="s">
        <v>534</v>
      </c>
      <c r="K266" s="41">
        <v>10.0</v>
      </c>
      <c r="L266" s="41">
        <v>87.0</v>
      </c>
      <c r="M266" s="41">
        <v>1590.0</v>
      </c>
      <c r="N266" s="41">
        <v>188.0</v>
      </c>
      <c r="O266" s="41">
        <v>0.0</v>
      </c>
      <c r="P266" s="41">
        <v>309.0</v>
      </c>
    </row>
    <row r="267">
      <c r="A267" s="30" t="s">
        <v>517</v>
      </c>
      <c r="B267" s="30" t="s">
        <v>168</v>
      </c>
      <c r="C267" s="30" t="s">
        <v>50</v>
      </c>
      <c r="D267" s="30" t="s">
        <v>169</v>
      </c>
      <c r="E267" s="30" t="s">
        <v>45</v>
      </c>
      <c r="F267" s="30" t="s">
        <v>284</v>
      </c>
      <c r="G267" s="30" t="s">
        <v>285</v>
      </c>
      <c r="H267" s="30" t="s">
        <v>124</v>
      </c>
      <c r="I267" s="30" t="s">
        <v>35</v>
      </c>
      <c r="J267" s="30" t="s">
        <v>536</v>
      </c>
      <c r="K267" s="41">
        <v>10.0</v>
      </c>
      <c r="L267" s="41">
        <v>45.0</v>
      </c>
      <c r="M267" s="41">
        <v>5144.0</v>
      </c>
      <c r="N267" s="41">
        <v>628.0</v>
      </c>
      <c r="O267" s="41">
        <v>0.004</v>
      </c>
      <c r="P267" s="41">
        <v>5060.0</v>
      </c>
    </row>
    <row r="268">
      <c r="A268" s="30" t="s">
        <v>614</v>
      </c>
      <c r="B268" s="30" t="s">
        <v>168</v>
      </c>
      <c r="C268" s="30" t="s">
        <v>50</v>
      </c>
      <c r="D268" s="30" t="s">
        <v>169</v>
      </c>
      <c r="E268" s="30" t="s">
        <v>45</v>
      </c>
      <c r="F268" s="30" t="s">
        <v>286</v>
      </c>
      <c r="G268" s="30" t="s">
        <v>285</v>
      </c>
      <c r="H268" s="30" t="s">
        <v>126</v>
      </c>
      <c r="I268" s="30" t="s">
        <v>34</v>
      </c>
      <c r="J268" s="30" t="s">
        <v>534</v>
      </c>
      <c r="K268" s="41">
        <v>10.0</v>
      </c>
      <c r="L268" s="41">
        <v>83.0</v>
      </c>
      <c r="M268" s="41">
        <v>1738.0</v>
      </c>
      <c r="N268" s="41">
        <v>378.0</v>
      </c>
      <c r="O268" s="41">
        <v>0.0</v>
      </c>
      <c r="P268" s="41">
        <v>449.0</v>
      </c>
    </row>
    <row r="269">
      <c r="A269" s="30" t="s">
        <v>615</v>
      </c>
      <c r="B269" s="30" t="s">
        <v>168</v>
      </c>
      <c r="C269" s="30" t="s">
        <v>50</v>
      </c>
      <c r="D269" s="30" t="s">
        <v>169</v>
      </c>
      <c r="E269" s="30" t="s">
        <v>45</v>
      </c>
      <c r="F269" s="30" t="s">
        <v>286</v>
      </c>
      <c r="G269" s="30" t="s">
        <v>285</v>
      </c>
      <c r="H269" s="30" t="s">
        <v>144</v>
      </c>
      <c r="I269" s="30" t="s">
        <v>34</v>
      </c>
      <c r="J269" s="30" t="s">
        <v>535</v>
      </c>
      <c r="K269" s="41">
        <v>10.0</v>
      </c>
      <c r="L269" s="41">
        <v>66.0</v>
      </c>
      <c r="M269" s="41">
        <v>2419.0</v>
      </c>
      <c r="N269" s="41">
        <v>387.0</v>
      </c>
      <c r="O269" s="41">
        <v>0.0</v>
      </c>
      <c r="P269" s="41">
        <v>436.0</v>
      </c>
    </row>
    <row r="270">
      <c r="A270" s="30" t="s">
        <v>518</v>
      </c>
      <c r="B270" s="30" t="s">
        <v>168</v>
      </c>
      <c r="C270" s="30" t="s">
        <v>50</v>
      </c>
      <c r="D270" s="30" t="s">
        <v>169</v>
      </c>
      <c r="E270" s="30" t="s">
        <v>45</v>
      </c>
      <c r="F270" s="30" t="s">
        <v>286</v>
      </c>
      <c r="G270" s="30" t="s">
        <v>285</v>
      </c>
      <c r="H270" s="30" t="s">
        <v>124</v>
      </c>
      <c r="I270" s="30" t="s">
        <v>34</v>
      </c>
      <c r="J270" s="30" t="s">
        <v>536</v>
      </c>
      <c r="K270" s="41">
        <v>10.0</v>
      </c>
      <c r="L270" s="41">
        <v>84.0</v>
      </c>
      <c r="M270" s="41">
        <v>1613.0</v>
      </c>
      <c r="N270" s="41">
        <v>181.0</v>
      </c>
      <c r="O270" s="41">
        <v>0.0</v>
      </c>
      <c r="P270" s="41">
        <v>5058.0</v>
      </c>
    </row>
    <row r="271">
      <c r="A271" s="30" t="s">
        <v>16</v>
      </c>
      <c r="B271" s="30" t="s">
        <v>168</v>
      </c>
      <c r="C271" s="30" t="s">
        <v>49</v>
      </c>
      <c r="D271" s="30" t="s">
        <v>507</v>
      </c>
      <c r="E271" s="30" t="s">
        <v>26</v>
      </c>
      <c r="F271" s="30" t="s">
        <v>14</v>
      </c>
      <c r="G271" s="30" t="s">
        <v>15</v>
      </c>
      <c r="H271" s="30" t="s">
        <v>19</v>
      </c>
      <c r="I271" s="30" t="s">
        <v>20</v>
      </c>
      <c r="J271" s="30" t="s">
        <v>530</v>
      </c>
      <c r="K271" s="41"/>
      <c r="L271" s="41"/>
      <c r="M271" s="41">
        <v>90.0</v>
      </c>
      <c r="N271" s="41">
        <v>90.0</v>
      </c>
      <c r="O271" s="41">
        <v>90.0</v>
      </c>
      <c r="P271" s="41"/>
    </row>
    <row r="272">
      <c r="A272" s="30" t="s">
        <v>501</v>
      </c>
      <c r="B272" s="30" t="s">
        <v>168</v>
      </c>
      <c r="C272" s="30" t="s">
        <v>49</v>
      </c>
      <c r="D272" s="30" t="s">
        <v>169</v>
      </c>
      <c r="E272" s="30" t="s">
        <v>287</v>
      </c>
      <c r="F272" s="30" t="s">
        <v>130</v>
      </c>
      <c r="G272" s="30" t="s">
        <v>38</v>
      </c>
      <c r="H272" s="30" t="s">
        <v>133</v>
      </c>
      <c r="I272" s="30" t="s">
        <v>35</v>
      </c>
      <c r="J272" s="30" t="s">
        <v>531</v>
      </c>
      <c r="K272" s="41">
        <v>5.0</v>
      </c>
      <c r="L272" s="41">
        <v>32.0</v>
      </c>
      <c r="M272" s="41">
        <v>17350.0</v>
      </c>
      <c r="N272" s="41">
        <v>1103.0</v>
      </c>
      <c r="O272" s="41">
        <v>0.004</v>
      </c>
      <c r="P272" s="41">
        <v>908.0</v>
      </c>
    </row>
    <row r="273">
      <c r="A273" s="30" t="s">
        <v>501</v>
      </c>
      <c r="B273" s="30" t="s">
        <v>168</v>
      </c>
      <c r="C273" s="30" t="s">
        <v>49</v>
      </c>
      <c r="D273" s="30" t="s">
        <v>169</v>
      </c>
      <c r="E273" s="30" t="s">
        <v>288</v>
      </c>
      <c r="F273" s="30" t="s">
        <v>130</v>
      </c>
      <c r="G273" s="30" t="s">
        <v>38</v>
      </c>
      <c r="H273" s="30" t="s">
        <v>122</v>
      </c>
      <c r="I273" s="30" t="s">
        <v>35</v>
      </c>
      <c r="J273" s="30" t="s">
        <v>533</v>
      </c>
      <c r="K273" s="41">
        <v>5.0</v>
      </c>
      <c r="L273" s="41">
        <v>39.0</v>
      </c>
      <c r="M273" s="41">
        <v>16920.0</v>
      </c>
      <c r="N273" s="41">
        <v>987.0</v>
      </c>
      <c r="O273" s="41">
        <v>0.004</v>
      </c>
      <c r="P273" s="41">
        <v>712.0</v>
      </c>
    </row>
    <row r="274">
      <c r="A274" s="30" t="s">
        <v>501</v>
      </c>
      <c r="B274" s="30" t="s">
        <v>168</v>
      </c>
      <c r="C274" s="30" t="s">
        <v>49</v>
      </c>
      <c r="D274" s="30" t="s">
        <v>169</v>
      </c>
      <c r="E274" s="30" t="s">
        <v>289</v>
      </c>
      <c r="F274" s="30" t="s">
        <v>130</v>
      </c>
      <c r="G274" s="30" t="s">
        <v>38</v>
      </c>
      <c r="H274" s="30" t="s">
        <v>133</v>
      </c>
      <c r="I274" s="30" t="s">
        <v>34</v>
      </c>
      <c r="J274" s="30" t="s">
        <v>531</v>
      </c>
      <c r="K274" s="41">
        <v>5.0</v>
      </c>
      <c r="L274" s="41">
        <v>59.0</v>
      </c>
      <c r="M274" s="41">
        <v>3890.0</v>
      </c>
      <c r="N274" s="41">
        <v>275.0</v>
      </c>
      <c r="O274" s="41">
        <v>0.0</v>
      </c>
      <c r="P274" s="41">
        <v>895.0</v>
      </c>
    </row>
    <row r="275">
      <c r="A275" s="30" t="s">
        <v>501</v>
      </c>
      <c r="B275" s="30" t="s">
        <v>168</v>
      </c>
      <c r="C275" s="30" t="s">
        <v>49</v>
      </c>
      <c r="D275" s="30" t="s">
        <v>169</v>
      </c>
      <c r="E275" s="30" t="s">
        <v>290</v>
      </c>
      <c r="F275" s="30" t="s">
        <v>130</v>
      </c>
      <c r="G275" s="30" t="s">
        <v>38</v>
      </c>
      <c r="H275" s="30" t="s">
        <v>122</v>
      </c>
      <c r="I275" s="30" t="s">
        <v>34</v>
      </c>
      <c r="J275" s="30" t="s">
        <v>533</v>
      </c>
      <c r="K275" s="41">
        <v>5.0</v>
      </c>
      <c r="L275" s="41">
        <v>81.0</v>
      </c>
      <c r="M275" s="41">
        <v>2500.0</v>
      </c>
      <c r="N275" s="41">
        <v>232.0</v>
      </c>
      <c r="O275" s="41">
        <v>0.0</v>
      </c>
      <c r="P275" s="41">
        <v>723.0</v>
      </c>
    </row>
    <row r="276">
      <c r="A276" s="30" t="s">
        <v>501</v>
      </c>
      <c r="B276" s="30" t="s">
        <v>168</v>
      </c>
      <c r="C276" s="30" t="s">
        <v>49</v>
      </c>
      <c r="D276" s="30" t="s">
        <v>169</v>
      </c>
      <c r="E276" s="30" t="s">
        <v>291</v>
      </c>
      <c r="F276" s="30" t="s">
        <v>130</v>
      </c>
      <c r="G276" s="30" t="s">
        <v>38</v>
      </c>
      <c r="H276" s="30" t="s">
        <v>133</v>
      </c>
      <c r="I276" s="30" t="s">
        <v>35</v>
      </c>
      <c r="J276" s="30" t="s">
        <v>531</v>
      </c>
      <c r="K276" s="41">
        <v>10.0</v>
      </c>
      <c r="L276" s="41">
        <v>33.0</v>
      </c>
      <c r="M276" s="41">
        <v>17382.0</v>
      </c>
      <c r="N276" s="41">
        <v>1159.0</v>
      </c>
      <c r="O276" s="41">
        <v>0.004</v>
      </c>
      <c r="P276" s="41">
        <v>919.0</v>
      </c>
    </row>
    <row r="277">
      <c r="A277" s="30" t="s">
        <v>501</v>
      </c>
      <c r="B277" s="30" t="s">
        <v>168</v>
      </c>
      <c r="C277" s="30" t="s">
        <v>49</v>
      </c>
      <c r="D277" s="30" t="s">
        <v>169</v>
      </c>
      <c r="E277" s="30" t="s">
        <v>292</v>
      </c>
      <c r="F277" s="30" t="s">
        <v>130</v>
      </c>
      <c r="G277" s="30" t="s">
        <v>38</v>
      </c>
      <c r="H277" s="30" t="s">
        <v>126</v>
      </c>
      <c r="I277" s="30" t="s">
        <v>35</v>
      </c>
      <c r="J277" s="30" t="s">
        <v>534</v>
      </c>
      <c r="K277" s="41">
        <v>10.0</v>
      </c>
      <c r="L277" s="41">
        <v>33.0</v>
      </c>
      <c r="M277" s="41">
        <v>18845.0</v>
      </c>
      <c r="N277" s="41">
        <v>1290.0</v>
      </c>
      <c r="O277" s="41">
        <v>0.004</v>
      </c>
      <c r="P277" s="41">
        <v>926.0</v>
      </c>
    </row>
    <row r="278">
      <c r="A278" s="30" t="s">
        <v>501</v>
      </c>
      <c r="B278" s="30" t="s">
        <v>168</v>
      </c>
      <c r="C278" s="30" t="s">
        <v>49</v>
      </c>
      <c r="D278" s="30" t="s">
        <v>169</v>
      </c>
      <c r="E278" s="30" t="s">
        <v>293</v>
      </c>
      <c r="F278" s="30" t="s">
        <v>130</v>
      </c>
      <c r="G278" s="30" t="s">
        <v>38</v>
      </c>
      <c r="H278" s="30" t="s">
        <v>133</v>
      </c>
      <c r="I278" s="30" t="s">
        <v>34</v>
      </c>
      <c r="J278" s="30" t="s">
        <v>531</v>
      </c>
      <c r="K278" s="41">
        <v>10.0</v>
      </c>
      <c r="L278" s="41">
        <v>60.0</v>
      </c>
      <c r="M278" s="41">
        <v>4032.0</v>
      </c>
      <c r="N278" s="41">
        <v>321.0</v>
      </c>
      <c r="O278" s="41">
        <v>0.0</v>
      </c>
      <c r="P278" s="41">
        <v>903.0</v>
      </c>
    </row>
    <row r="279">
      <c r="A279" s="30" t="s">
        <v>501</v>
      </c>
      <c r="B279" s="30" t="s">
        <v>168</v>
      </c>
      <c r="C279" s="30" t="s">
        <v>49</v>
      </c>
      <c r="D279" s="30" t="s">
        <v>169</v>
      </c>
      <c r="E279" s="30" t="s">
        <v>294</v>
      </c>
      <c r="F279" s="30" t="s">
        <v>130</v>
      </c>
      <c r="G279" s="30" t="s">
        <v>38</v>
      </c>
      <c r="H279" s="30" t="s">
        <v>131</v>
      </c>
      <c r="I279" s="30" t="s">
        <v>34</v>
      </c>
      <c r="J279" s="30" t="s">
        <v>534</v>
      </c>
      <c r="K279" s="41">
        <v>10.0</v>
      </c>
      <c r="L279" s="41">
        <v>59.0</v>
      </c>
      <c r="M279" s="41">
        <v>3720.0</v>
      </c>
      <c r="N279" s="41">
        <v>287.0</v>
      </c>
      <c r="O279" s="41">
        <v>0.0</v>
      </c>
      <c r="P279" s="41">
        <v>708.0</v>
      </c>
    </row>
    <row r="280">
      <c r="A280" s="30" t="s">
        <v>502</v>
      </c>
      <c r="B280" s="30" t="s">
        <v>168</v>
      </c>
      <c r="C280" s="30" t="s">
        <v>49</v>
      </c>
      <c r="D280" s="30" t="s">
        <v>169</v>
      </c>
      <c r="E280" s="30" t="s">
        <v>295</v>
      </c>
      <c r="F280" s="30" t="s">
        <v>132</v>
      </c>
      <c r="G280" s="30" t="s">
        <v>38</v>
      </c>
      <c r="H280" s="30" t="s">
        <v>133</v>
      </c>
      <c r="I280" s="30" t="s">
        <v>35</v>
      </c>
      <c r="J280" s="30" t="s">
        <v>531</v>
      </c>
      <c r="K280" s="41">
        <v>10.0</v>
      </c>
      <c r="L280" s="41">
        <v>37.0</v>
      </c>
      <c r="M280" s="41">
        <v>15069.0</v>
      </c>
      <c r="N280" s="41">
        <v>2012.0</v>
      </c>
      <c r="O280" s="41">
        <v>0.004</v>
      </c>
      <c r="P280" s="41">
        <v>1243.0</v>
      </c>
    </row>
    <row r="281">
      <c r="A281" s="30" t="s">
        <v>502</v>
      </c>
      <c r="B281" s="30" t="s">
        <v>168</v>
      </c>
      <c r="C281" s="30" t="s">
        <v>49</v>
      </c>
      <c r="D281" s="30" t="s">
        <v>169</v>
      </c>
      <c r="E281" s="30" t="s">
        <v>296</v>
      </c>
      <c r="F281" s="30" t="s">
        <v>132</v>
      </c>
      <c r="G281" s="30" t="s">
        <v>38</v>
      </c>
      <c r="H281" s="30" t="s">
        <v>122</v>
      </c>
      <c r="I281" s="30" t="s">
        <v>35</v>
      </c>
      <c r="J281" s="30" t="s">
        <v>533</v>
      </c>
      <c r="K281" s="41">
        <v>10.0</v>
      </c>
      <c r="L281" s="41">
        <v>46.0</v>
      </c>
      <c r="M281" s="41">
        <v>4825.0</v>
      </c>
      <c r="N281" s="41">
        <v>1401.0</v>
      </c>
      <c r="O281" s="41">
        <v>0.004</v>
      </c>
      <c r="P281" s="41">
        <v>867.0</v>
      </c>
    </row>
    <row r="282">
      <c r="A282" s="30" t="s">
        <v>502</v>
      </c>
      <c r="B282" s="30" t="s">
        <v>168</v>
      </c>
      <c r="C282" s="30" t="s">
        <v>49</v>
      </c>
      <c r="D282" s="30" t="s">
        <v>169</v>
      </c>
      <c r="E282" s="30" t="s">
        <v>297</v>
      </c>
      <c r="F282" s="30" t="s">
        <v>132</v>
      </c>
      <c r="G282" s="30" t="s">
        <v>38</v>
      </c>
      <c r="H282" s="30" t="s">
        <v>131</v>
      </c>
      <c r="I282" s="30" t="s">
        <v>35</v>
      </c>
      <c r="J282" s="30" t="s">
        <v>534</v>
      </c>
      <c r="K282" s="41">
        <v>10.0</v>
      </c>
      <c r="L282" s="41">
        <v>38.0</v>
      </c>
      <c r="M282" s="41">
        <v>18088.0</v>
      </c>
      <c r="N282" s="41">
        <v>1340.0</v>
      </c>
      <c r="O282" s="41">
        <v>0.004</v>
      </c>
      <c r="P282" s="41">
        <v>734.0</v>
      </c>
    </row>
    <row r="283">
      <c r="A283" s="30" t="s">
        <v>502</v>
      </c>
      <c r="B283" s="30" t="s">
        <v>168</v>
      </c>
      <c r="C283" s="30" t="s">
        <v>49</v>
      </c>
      <c r="D283" s="30" t="s">
        <v>169</v>
      </c>
      <c r="E283" s="30" t="s">
        <v>298</v>
      </c>
      <c r="F283" s="30" t="s">
        <v>132</v>
      </c>
      <c r="G283" s="30" t="s">
        <v>38</v>
      </c>
      <c r="H283" s="30" t="s">
        <v>126</v>
      </c>
      <c r="I283" s="30" t="s">
        <v>35</v>
      </c>
      <c r="J283" s="30" t="s">
        <v>534</v>
      </c>
      <c r="K283" s="41">
        <v>10.0</v>
      </c>
      <c r="L283" s="41">
        <v>38.0</v>
      </c>
      <c r="M283" s="41">
        <v>18884.0</v>
      </c>
      <c r="N283" s="41">
        <v>2008.0</v>
      </c>
      <c r="O283" s="41">
        <v>0.005</v>
      </c>
      <c r="P283" s="41">
        <v>940.0</v>
      </c>
    </row>
    <row r="284">
      <c r="A284" s="30" t="s">
        <v>502</v>
      </c>
      <c r="B284" s="30" t="s">
        <v>168</v>
      </c>
      <c r="C284" s="30" t="s">
        <v>49</v>
      </c>
      <c r="D284" s="30" t="s">
        <v>169</v>
      </c>
      <c r="E284" s="30" t="s">
        <v>299</v>
      </c>
      <c r="F284" s="30" t="s">
        <v>132</v>
      </c>
      <c r="G284" s="30" t="s">
        <v>38</v>
      </c>
      <c r="H284" s="30" t="s">
        <v>144</v>
      </c>
      <c r="I284" s="30" t="s">
        <v>35</v>
      </c>
      <c r="J284" s="30" t="s">
        <v>535</v>
      </c>
      <c r="K284" s="41">
        <v>10.0</v>
      </c>
      <c r="L284" s="41">
        <v>49.0</v>
      </c>
      <c r="M284" s="41">
        <v>17430.0</v>
      </c>
      <c r="N284" s="41">
        <v>2304.0</v>
      </c>
      <c r="O284" s="41">
        <v>0.004</v>
      </c>
      <c r="P284" s="41">
        <v>1074.0</v>
      </c>
    </row>
    <row r="285">
      <c r="A285" s="30" t="s">
        <v>502</v>
      </c>
      <c r="B285" s="30" t="s">
        <v>168</v>
      </c>
      <c r="C285" s="30" t="s">
        <v>49</v>
      </c>
      <c r="D285" s="30" t="s">
        <v>169</v>
      </c>
      <c r="E285" s="30" t="s">
        <v>300</v>
      </c>
      <c r="F285" s="30" t="s">
        <v>132</v>
      </c>
      <c r="G285" s="30" t="s">
        <v>38</v>
      </c>
      <c r="H285" s="30" t="s">
        <v>124</v>
      </c>
      <c r="I285" s="30" t="s">
        <v>35</v>
      </c>
      <c r="J285" s="30" t="s">
        <v>536</v>
      </c>
      <c r="K285" s="41">
        <v>10.0</v>
      </c>
      <c r="L285" s="41">
        <v>31.0</v>
      </c>
      <c r="M285" s="41">
        <v>18490.0</v>
      </c>
      <c r="N285" s="41">
        <v>1149.0</v>
      </c>
      <c r="O285" s="41">
        <v>0.004</v>
      </c>
      <c r="P285" s="41">
        <v>1106.0</v>
      </c>
    </row>
    <row r="286">
      <c r="A286" s="30" t="s">
        <v>502</v>
      </c>
      <c r="B286" s="30" t="s">
        <v>168</v>
      </c>
      <c r="C286" s="30" t="s">
        <v>49</v>
      </c>
      <c r="D286" s="30" t="s">
        <v>169</v>
      </c>
      <c r="E286" s="30" t="s">
        <v>301</v>
      </c>
      <c r="F286" s="30" t="s">
        <v>132</v>
      </c>
      <c r="G286" s="30" t="s">
        <v>38</v>
      </c>
      <c r="H286" s="30" t="s">
        <v>143</v>
      </c>
      <c r="I286" s="30" t="s">
        <v>35</v>
      </c>
      <c r="J286" s="30" t="s">
        <v>536</v>
      </c>
      <c r="K286" s="41">
        <v>10.0</v>
      </c>
      <c r="L286" s="41">
        <v>34.0</v>
      </c>
      <c r="M286" s="41">
        <v>18894.0</v>
      </c>
      <c r="N286" s="41">
        <v>1288.0</v>
      </c>
      <c r="O286" s="41">
        <v>0.004</v>
      </c>
      <c r="P286" s="41">
        <v>1373.0</v>
      </c>
    </row>
    <row r="287">
      <c r="A287" s="30" t="s">
        <v>502</v>
      </c>
      <c r="B287" s="30" t="s">
        <v>168</v>
      </c>
      <c r="C287" s="30" t="s">
        <v>49</v>
      </c>
      <c r="D287" s="30" t="s">
        <v>169</v>
      </c>
      <c r="E287" s="30" t="s">
        <v>302</v>
      </c>
      <c r="F287" s="30" t="s">
        <v>132</v>
      </c>
      <c r="G287" s="30" t="s">
        <v>38</v>
      </c>
      <c r="H287" s="30" t="s">
        <v>133</v>
      </c>
      <c r="I287" s="30" t="s">
        <v>34</v>
      </c>
      <c r="J287" s="30" t="s">
        <v>531</v>
      </c>
      <c r="K287" s="41">
        <v>10.0</v>
      </c>
      <c r="L287" s="41">
        <v>60.0</v>
      </c>
      <c r="M287" s="41">
        <v>3685.0</v>
      </c>
      <c r="N287" s="41">
        <v>586.0</v>
      </c>
      <c r="O287" s="41">
        <v>0.072</v>
      </c>
      <c r="P287" s="41">
        <v>985.0</v>
      </c>
    </row>
    <row r="288">
      <c r="A288" s="30" t="s">
        <v>502</v>
      </c>
      <c r="B288" s="30" t="s">
        <v>168</v>
      </c>
      <c r="C288" s="30" t="s">
        <v>49</v>
      </c>
      <c r="D288" s="30" t="s">
        <v>169</v>
      </c>
      <c r="E288" s="30" t="s">
        <v>303</v>
      </c>
      <c r="F288" s="30" t="s">
        <v>132</v>
      </c>
      <c r="G288" s="30" t="s">
        <v>38</v>
      </c>
      <c r="H288" s="30" t="s">
        <v>131</v>
      </c>
      <c r="I288" s="30" t="s">
        <v>34</v>
      </c>
      <c r="J288" s="30" t="s">
        <v>534</v>
      </c>
      <c r="K288" s="41">
        <v>10.0</v>
      </c>
      <c r="L288" s="41">
        <v>76.0</v>
      </c>
      <c r="M288" s="41">
        <v>3772.0</v>
      </c>
      <c r="N288" s="41">
        <v>347.0</v>
      </c>
      <c r="O288" s="41">
        <v>0.0</v>
      </c>
      <c r="P288" s="41">
        <v>749.0</v>
      </c>
    </row>
    <row r="289">
      <c r="A289" s="30" t="s">
        <v>502</v>
      </c>
      <c r="B289" s="30" t="s">
        <v>168</v>
      </c>
      <c r="C289" s="30" t="s">
        <v>49</v>
      </c>
      <c r="D289" s="30" t="s">
        <v>169</v>
      </c>
      <c r="E289" s="30" t="s">
        <v>304</v>
      </c>
      <c r="F289" s="30" t="s">
        <v>132</v>
      </c>
      <c r="G289" s="30" t="s">
        <v>38</v>
      </c>
      <c r="H289" s="30" t="s">
        <v>126</v>
      </c>
      <c r="I289" s="30" t="s">
        <v>34</v>
      </c>
      <c r="J289" s="30" t="s">
        <v>534</v>
      </c>
      <c r="K289" s="41">
        <v>10.0</v>
      </c>
      <c r="L289" s="41">
        <v>46.0</v>
      </c>
      <c r="M289" s="41">
        <v>3956.0</v>
      </c>
      <c r="N289" s="41">
        <v>423.0</v>
      </c>
      <c r="O289" s="41">
        <v>0.0</v>
      </c>
      <c r="P289" s="41">
        <v>897.0</v>
      </c>
    </row>
    <row r="290">
      <c r="A290" s="30" t="s">
        <v>502</v>
      </c>
      <c r="B290" s="30" t="s">
        <v>168</v>
      </c>
      <c r="C290" s="30" t="s">
        <v>49</v>
      </c>
      <c r="D290" s="30" t="s">
        <v>169</v>
      </c>
      <c r="E290" s="30" t="s">
        <v>305</v>
      </c>
      <c r="F290" s="30" t="s">
        <v>132</v>
      </c>
      <c r="G290" s="30" t="s">
        <v>38</v>
      </c>
      <c r="H290" s="30" t="s">
        <v>144</v>
      </c>
      <c r="I290" s="30" t="s">
        <v>34</v>
      </c>
      <c r="J290" s="30" t="s">
        <v>535</v>
      </c>
      <c r="K290" s="41">
        <v>10.0</v>
      </c>
      <c r="L290" s="41">
        <v>64.0</v>
      </c>
      <c r="M290" s="41">
        <v>4055.0</v>
      </c>
      <c r="N290" s="41">
        <v>611.0</v>
      </c>
      <c r="O290" s="41">
        <v>0.0</v>
      </c>
      <c r="P290" s="41">
        <v>1051.0</v>
      </c>
    </row>
    <row r="291">
      <c r="A291" s="30" t="s">
        <v>502</v>
      </c>
      <c r="B291" s="30" t="s">
        <v>168</v>
      </c>
      <c r="C291" s="30" t="s">
        <v>49</v>
      </c>
      <c r="D291" s="30" t="s">
        <v>169</v>
      </c>
      <c r="E291" s="30" t="s">
        <v>306</v>
      </c>
      <c r="F291" s="30" t="s">
        <v>132</v>
      </c>
      <c r="G291" s="30" t="s">
        <v>38</v>
      </c>
      <c r="H291" s="30" t="s">
        <v>124</v>
      </c>
      <c r="I291" s="30" t="s">
        <v>34</v>
      </c>
      <c r="J291" s="30" t="s">
        <v>536</v>
      </c>
      <c r="K291" s="41">
        <v>10.0</v>
      </c>
      <c r="L291" s="41">
        <v>65.0</v>
      </c>
      <c r="M291" s="41">
        <v>2652.0</v>
      </c>
      <c r="N291" s="41">
        <v>347.0</v>
      </c>
      <c r="O291" s="41">
        <v>0.0</v>
      </c>
      <c r="P291" s="41">
        <v>1142.0</v>
      </c>
    </row>
    <row r="292">
      <c r="A292" s="30" t="s">
        <v>502</v>
      </c>
      <c r="B292" s="30" t="s">
        <v>168</v>
      </c>
      <c r="C292" s="30" t="s">
        <v>49</v>
      </c>
      <c r="D292" s="30" t="s">
        <v>169</v>
      </c>
      <c r="E292" s="30" t="s">
        <v>307</v>
      </c>
      <c r="F292" s="30" t="s">
        <v>132</v>
      </c>
      <c r="G292" s="30" t="s">
        <v>38</v>
      </c>
      <c r="H292" s="30" t="s">
        <v>143</v>
      </c>
      <c r="I292" s="30" t="s">
        <v>34</v>
      </c>
      <c r="J292" s="30" t="s">
        <v>536</v>
      </c>
      <c r="K292" s="41">
        <v>10.0</v>
      </c>
      <c r="L292" s="41">
        <v>62.0</v>
      </c>
      <c r="M292" s="41">
        <v>2570.0</v>
      </c>
      <c r="N292" s="41">
        <v>297.0</v>
      </c>
      <c r="O292" s="41">
        <v>0.0</v>
      </c>
      <c r="P292" s="41">
        <v>1379.0</v>
      </c>
    </row>
    <row r="293">
      <c r="A293" s="30" t="s">
        <v>616</v>
      </c>
      <c r="B293" s="30" t="s">
        <v>168</v>
      </c>
      <c r="C293" s="30" t="s">
        <v>49</v>
      </c>
      <c r="D293" s="30" t="s">
        <v>169</v>
      </c>
      <c r="E293" s="30" t="s">
        <v>45</v>
      </c>
      <c r="F293" s="30" t="s">
        <v>135</v>
      </c>
      <c r="G293" s="30" t="s">
        <v>38</v>
      </c>
      <c r="H293" s="30" t="s">
        <v>133</v>
      </c>
      <c r="I293" s="30" t="s">
        <v>35</v>
      </c>
      <c r="J293" s="30" t="s">
        <v>531</v>
      </c>
      <c r="K293" s="41">
        <v>10.0</v>
      </c>
      <c r="L293" s="41">
        <v>31.0</v>
      </c>
      <c r="M293" s="41">
        <v>17337.0</v>
      </c>
      <c r="N293" s="41">
        <v>1953.0</v>
      </c>
      <c r="O293" s="41">
        <v>0.004</v>
      </c>
      <c r="P293" s="41">
        <v>1270.0</v>
      </c>
    </row>
    <row r="294">
      <c r="A294" s="30" t="s">
        <v>617</v>
      </c>
      <c r="B294" s="30" t="s">
        <v>168</v>
      </c>
      <c r="C294" s="30" t="s">
        <v>49</v>
      </c>
      <c r="D294" s="30" t="s">
        <v>169</v>
      </c>
      <c r="E294" s="30" t="s">
        <v>45</v>
      </c>
      <c r="F294" s="30" t="s">
        <v>135</v>
      </c>
      <c r="G294" s="30" t="s">
        <v>38</v>
      </c>
      <c r="H294" s="30" t="s">
        <v>133</v>
      </c>
      <c r="I294" s="30" t="s">
        <v>34</v>
      </c>
      <c r="J294" s="30" t="s">
        <v>531</v>
      </c>
      <c r="K294" s="41">
        <v>10.0</v>
      </c>
      <c r="L294" s="41">
        <v>53.0</v>
      </c>
      <c r="M294" s="41">
        <v>4036.0</v>
      </c>
      <c r="N294" s="41">
        <v>442.0</v>
      </c>
      <c r="O294" s="41">
        <v>0.0</v>
      </c>
      <c r="P294" s="41">
        <v>1312.0</v>
      </c>
    </row>
    <row r="295">
      <c r="A295" s="30" t="s">
        <v>618</v>
      </c>
      <c r="B295" s="30" t="s">
        <v>168</v>
      </c>
      <c r="C295" s="30" t="s">
        <v>49</v>
      </c>
      <c r="D295" s="30" t="s">
        <v>169</v>
      </c>
      <c r="E295" s="30" t="s">
        <v>45</v>
      </c>
      <c r="F295" s="30" t="s">
        <v>135</v>
      </c>
      <c r="G295" s="30" t="s">
        <v>38</v>
      </c>
      <c r="H295" s="30" t="s">
        <v>122</v>
      </c>
      <c r="I295" s="30" t="s">
        <v>35</v>
      </c>
      <c r="J295" s="30" t="s">
        <v>533</v>
      </c>
      <c r="K295" s="41">
        <v>10.0</v>
      </c>
      <c r="L295" s="41">
        <v>33.0</v>
      </c>
      <c r="M295" s="41">
        <v>16504.0</v>
      </c>
      <c r="N295" s="41">
        <v>1185.0</v>
      </c>
      <c r="O295" s="41">
        <v>0.004</v>
      </c>
      <c r="P295" s="41">
        <v>780.0</v>
      </c>
    </row>
    <row r="296">
      <c r="A296" s="30" t="s">
        <v>619</v>
      </c>
      <c r="B296" s="30" t="s">
        <v>168</v>
      </c>
      <c r="C296" s="30" t="s">
        <v>49</v>
      </c>
      <c r="D296" s="30" t="s">
        <v>169</v>
      </c>
      <c r="E296" s="30" t="s">
        <v>45</v>
      </c>
      <c r="F296" s="30" t="s">
        <v>135</v>
      </c>
      <c r="G296" s="30" t="s">
        <v>38</v>
      </c>
      <c r="H296" s="30" t="s">
        <v>122</v>
      </c>
      <c r="I296" s="30" t="s">
        <v>34</v>
      </c>
      <c r="J296" s="30" t="s">
        <v>533</v>
      </c>
      <c r="K296" s="41">
        <v>10.0</v>
      </c>
      <c r="L296" s="41">
        <v>56.0</v>
      </c>
      <c r="M296" s="41">
        <v>2487.0</v>
      </c>
      <c r="N296" s="41">
        <v>280.0</v>
      </c>
      <c r="O296" s="41">
        <v>0.0</v>
      </c>
      <c r="P296" s="41">
        <v>762.0</v>
      </c>
    </row>
    <row r="297">
      <c r="A297" s="30" t="s">
        <v>620</v>
      </c>
      <c r="B297" s="30" t="s">
        <v>168</v>
      </c>
      <c r="C297" s="30" t="s">
        <v>49</v>
      </c>
      <c r="D297" s="30" t="s">
        <v>169</v>
      </c>
      <c r="E297" s="30" t="s">
        <v>45</v>
      </c>
      <c r="F297" s="30" t="s">
        <v>135</v>
      </c>
      <c r="G297" s="30" t="s">
        <v>38</v>
      </c>
      <c r="H297" s="30" t="s">
        <v>131</v>
      </c>
      <c r="I297" s="30" t="s">
        <v>35</v>
      </c>
      <c r="J297" s="30" t="s">
        <v>534</v>
      </c>
      <c r="K297" s="41">
        <v>10.0</v>
      </c>
      <c r="L297" s="41">
        <v>34.0</v>
      </c>
      <c r="M297" s="41">
        <v>17698.0</v>
      </c>
      <c r="N297" s="41">
        <v>1135.0</v>
      </c>
      <c r="O297" s="41">
        <v>0.004</v>
      </c>
      <c r="P297" s="41">
        <v>782.0</v>
      </c>
    </row>
    <row r="298">
      <c r="A298" s="30" t="s">
        <v>621</v>
      </c>
      <c r="B298" s="30" t="s">
        <v>168</v>
      </c>
      <c r="C298" s="30" t="s">
        <v>49</v>
      </c>
      <c r="D298" s="30" t="s">
        <v>169</v>
      </c>
      <c r="E298" s="30" t="s">
        <v>45</v>
      </c>
      <c r="F298" s="30" t="s">
        <v>135</v>
      </c>
      <c r="G298" s="30" t="s">
        <v>38</v>
      </c>
      <c r="H298" s="30" t="s">
        <v>126</v>
      </c>
      <c r="I298" s="30" t="s">
        <v>35</v>
      </c>
      <c r="J298" s="30" t="s">
        <v>534</v>
      </c>
      <c r="K298" s="41">
        <v>10.0</v>
      </c>
      <c r="L298" s="41">
        <v>30.0</v>
      </c>
      <c r="M298" s="41">
        <v>19073.0</v>
      </c>
      <c r="N298" s="41">
        <v>1681.0</v>
      </c>
      <c r="O298" s="41">
        <v>0.004</v>
      </c>
      <c r="P298" s="41">
        <v>890.0</v>
      </c>
    </row>
    <row r="299">
      <c r="A299" s="30" t="s">
        <v>622</v>
      </c>
      <c r="B299" s="30" t="s">
        <v>168</v>
      </c>
      <c r="C299" s="30" t="s">
        <v>49</v>
      </c>
      <c r="D299" s="30" t="s">
        <v>169</v>
      </c>
      <c r="E299" s="30" t="s">
        <v>45</v>
      </c>
      <c r="F299" s="30" t="s">
        <v>135</v>
      </c>
      <c r="G299" s="30" t="s">
        <v>38</v>
      </c>
      <c r="H299" s="30" t="s">
        <v>131</v>
      </c>
      <c r="I299" s="30" t="s">
        <v>34</v>
      </c>
      <c r="J299" s="30" t="s">
        <v>534</v>
      </c>
      <c r="K299" s="41">
        <v>10.0</v>
      </c>
      <c r="L299" s="41">
        <v>62.0</v>
      </c>
      <c r="M299" s="41">
        <v>3659.0</v>
      </c>
      <c r="N299" s="41">
        <v>279.0</v>
      </c>
      <c r="O299" s="41">
        <v>0.0</v>
      </c>
      <c r="P299" s="41">
        <v>732.0</v>
      </c>
    </row>
    <row r="300">
      <c r="A300" s="30" t="s">
        <v>623</v>
      </c>
      <c r="B300" s="30" t="s">
        <v>168</v>
      </c>
      <c r="C300" s="30" t="s">
        <v>49</v>
      </c>
      <c r="D300" s="30" t="s">
        <v>169</v>
      </c>
      <c r="E300" s="30" t="s">
        <v>45</v>
      </c>
      <c r="F300" s="30" t="s">
        <v>135</v>
      </c>
      <c r="G300" s="30" t="s">
        <v>38</v>
      </c>
      <c r="H300" s="30" t="s">
        <v>144</v>
      </c>
      <c r="I300" s="30" t="s">
        <v>35</v>
      </c>
      <c r="J300" s="30" t="s">
        <v>535</v>
      </c>
      <c r="K300" s="41">
        <v>10.0</v>
      </c>
      <c r="L300" s="41">
        <v>31.0</v>
      </c>
      <c r="M300" s="41">
        <v>16938.0</v>
      </c>
      <c r="N300" s="41">
        <v>1559.0</v>
      </c>
      <c r="O300" s="41">
        <v>0.004</v>
      </c>
      <c r="P300" s="41">
        <v>1052.0</v>
      </c>
    </row>
    <row r="301">
      <c r="A301" s="30" t="s">
        <v>624</v>
      </c>
      <c r="B301" s="30" t="s">
        <v>168</v>
      </c>
      <c r="C301" s="30" t="s">
        <v>49</v>
      </c>
      <c r="D301" s="30" t="s">
        <v>169</v>
      </c>
      <c r="E301" s="30" t="s">
        <v>45</v>
      </c>
      <c r="F301" s="30" t="s">
        <v>135</v>
      </c>
      <c r="G301" s="30" t="s">
        <v>38</v>
      </c>
      <c r="H301" s="30" t="s">
        <v>124</v>
      </c>
      <c r="I301" s="30" t="s">
        <v>35</v>
      </c>
      <c r="J301" s="30" t="s">
        <v>536</v>
      </c>
      <c r="K301" s="41">
        <v>10.0</v>
      </c>
      <c r="L301" s="41">
        <v>36.0</v>
      </c>
      <c r="M301" s="41">
        <v>18112.0</v>
      </c>
      <c r="N301" s="41">
        <v>1080.0</v>
      </c>
      <c r="O301" s="41">
        <v>0.004</v>
      </c>
      <c r="P301" s="41">
        <v>1120.0</v>
      </c>
    </row>
    <row r="302">
      <c r="A302" s="30" t="s">
        <v>625</v>
      </c>
      <c r="B302" s="30" t="s">
        <v>168</v>
      </c>
      <c r="C302" s="30" t="s">
        <v>49</v>
      </c>
      <c r="D302" s="30" t="s">
        <v>169</v>
      </c>
      <c r="E302" s="30" t="s">
        <v>45</v>
      </c>
      <c r="F302" s="30" t="s">
        <v>135</v>
      </c>
      <c r="G302" s="30" t="s">
        <v>38</v>
      </c>
      <c r="H302" s="30" t="s">
        <v>126</v>
      </c>
      <c r="I302" s="30" t="s">
        <v>34</v>
      </c>
      <c r="J302" s="30" t="s">
        <v>534</v>
      </c>
      <c r="K302" s="41">
        <v>10.0</v>
      </c>
      <c r="L302" s="41">
        <v>52.0</v>
      </c>
      <c r="M302" s="41">
        <v>3873.0</v>
      </c>
      <c r="N302" s="41">
        <v>430.0</v>
      </c>
      <c r="O302" s="41">
        <v>0.0</v>
      </c>
      <c r="P302" s="41">
        <v>890.0</v>
      </c>
    </row>
    <row r="303">
      <c r="A303" s="30" t="s">
        <v>626</v>
      </c>
      <c r="B303" s="30" t="s">
        <v>168</v>
      </c>
      <c r="C303" s="30" t="s">
        <v>49</v>
      </c>
      <c r="D303" s="30" t="s">
        <v>169</v>
      </c>
      <c r="E303" s="30" t="s">
        <v>45</v>
      </c>
      <c r="F303" s="30" t="s">
        <v>135</v>
      </c>
      <c r="G303" s="30" t="s">
        <v>38</v>
      </c>
      <c r="H303" s="30" t="s">
        <v>143</v>
      </c>
      <c r="I303" s="30" t="s">
        <v>35</v>
      </c>
      <c r="J303" s="30" t="s">
        <v>536</v>
      </c>
      <c r="K303" s="41">
        <v>10.0</v>
      </c>
      <c r="L303" s="41">
        <v>34.0</v>
      </c>
      <c r="M303" s="41">
        <v>18761.0</v>
      </c>
      <c r="N303" s="41">
        <v>985.0</v>
      </c>
      <c r="O303" s="41">
        <v>0.004</v>
      </c>
      <c r="P303" s="41">
        <v>1381.0</v>
      </c>
    </row>
    <row r="304">
      <c r="A304" s="30" t="s">
        <v>627</v>
      </c>
      <c r="B304" s="30" t="s">
        <v>168</v>
      </c>
      <c r="C304" s="30" t="s">
        <v>49</v>
      </c>
      <c r="D304" s="30" t="s">
        <v>169</v>
      </c>
      <c r="E304" s="30" t="s">
        <v>45</v>
      </c>
      <c r="F304" s="30" t="s">
        <v>135</v>
      </c>
      <c r="G304" s="30" t="s">
        <v>38</v>
      </c>
      <c r="H304" s="30" t="s">
        <v>144</v>
      </c>
      <c r="I304" s="30" t="s">
        <v>34</v>
      </c>
      <c r="J304" s="30" t="s">
        <v>535</v>
      </c>
      <c r="K304" s="41">
        <v>10.0</v>
      </c>
      <c r="L304" s="41">
        <v>56.0</v>
      </c>
      <c r="M304" s="41">
        <v>3935.0</v>
      </c>
      <c r="N304" s="41">
        <v>360.0</v>
      </c>
      <c r="O304" s="41">
        <v>0.0</v>
      </c>
      <c r="P304" s="41">
        <v>1055.0</v>
      </c>
    </row>
    <row r="305">
      <c r="A305" s="30" t="s">
        <v>628</v>
      </c>
      <c r="B305" s="30" t="s">
        <v>168</v>
      </c>
      <c r="C305" s="30" t="s">
        <v>49</v>
      </c>
      <c r="D305" s="30" t="s">
        <v>169</v>
      </c>
      <c r="E305" s="30" t="s">
        <v>45</v>
      </c>
      <c r="F305" s="30" t="s">
        <v>135</v>
      </c>
      <c r="G305" s="30" t="s">
        <v>38</v>
      </c>
      <c r="H305" s="30" t="s">
        <v>124</v>
      </c>
      <c r="I305" s="30" t="s">
        <v>34</v>
      </c>
      <c r="J305" s="30" t="s">
        <v>536</v>
      </c>
      <c r="K305" s="41">
        <v>10.0</v>
      </c>
      <c r="L305" s="41">
        <v>64.0</v>
      </c>
      <c r="M305" s="41">
        <v>2547.0</v>
      </c>
      <c r="N305" s="41">
        <v>248.0</v>
      </c>
      <c r="O305" s="41">
        <v>0.0</v>
      </c>
      <c r="P305" s="41">
        <v>1108.0</v>
      </c>
    </row>
    <row r="306">
      <c r="A306" s="30" t="s">
        <v>519</v>
      </c>
      <c r="B306" s="30" t="s">
        <v>168</v>
      </c>
      <c r="C306" s="30" t="s">
        <v>49</v>
      </c>
      <c r="D306" s="30" t="s">
        <v>169</v>
      </c>
      <c r="E306" s="30" t="s">
        <v>45</v>
      </c>
      <c r="F306" s="30" t="s">
        <v>135</v>
      </c>
      <c r="G306" s="30" t="s">
        <v>38</v>
      </c>
      <c r="H306" s="30" t="s">
        <v>143</v>
      </c>
      <c r="I306" s="30" t="s">
        <v>34</v>
      </c>
      <c r="J306" s="30" t="s">
        <v>536</v>
      </c>
      <c r="K306" s="41">
        <v>10.0</v>
      </c>
      <c r="L306" s="41">
        <v>56.0</v>
      </c>
      <c r="M306" s="41">
        <v>2522.0</v>
      </c>
      <c r="N306" s="41">
        <v>284.0</v>
      </c>
      <c r="O306" s="41">
        <v>0.0</v>
      </c>
      <c r="P306" s="41">
        <v>1365.0</v>
      </c>
    </row>
    <row r="307">
      <c r="A307" s="30" t="s">
        <v>16</v>
      </c>
      <c r="B307" s="30" t="s">
        <v>520</v>
      </c>
      <c r="C307" s="30" t="s">
        <v>52</v>
      </c>
      <c r="D307" s="30" t="s">
        <v>507</v>
      </c>
      <c r="E307" s="30" t="s">
        <v>26</v>
      </c>
      <c r="F307" s="30" t="s">
        <v>14</v>
      </c>
      <c r="G307" s="30" t="s">
        <v>15</v>
      </c>
      <c r="H307" s="30" t="s">
        <v>19</v>
      </c>
      <c r="I307" s="30" t="s">
        <v>20</v>
      </c>
      <c r="J307" s="30" t="s">
        <v>530</v>
      </c>
      <c r="K307" s="41"/>
      <c r="L307" s="41"/>
      <c r="M307" s="41">
        <v>90.0</v>
      </c>
      <c r="N307" s="41">
        <v>90.0</v>
      </c>
      <c r="O307" s="41">
        <v>90.0</v>
      </c>
      <c r="P307" s="41"/>
    </row>
    <row r="308">
      <c r="A308" s="30" t="s">
        <v>502</v>
      </c>
      <c r="B308" s="30" t="s">
        <v>520</v>
      </c>
      <c r="C308" s="30" t="s">
        <v>52</v>
      </c>
      <c r="D308" s="30" t="s">
        <v>169</v>
      </c>
      <c r="F308" s="30" t="s">
        <v>132</v>
      </c>
      <c r="G308" s="30" t="s">
        <v>417</v>
      </c>
      <c r="H308" s="30" t="s">
        <v>133</v>
      </c>
      <c r="I308" s="30" t="s">
        <v>35</v>
      </c>
      <c r="J308" s="30" t="s">
        <v>531</v>
      </c>
      <c r="K308" s="41">
        <v>10.0</v>
      </c>
      <c r="L308" s="41">
        <v>48.0</v>
      </c>
      <c r="M308" s="41">
        <v>8543.0</v>
      </c>
      <c r="N308" s="41">
        <v>1724.0</v>
      </c>
      <c r="O308" s="41">
        <v>0.008</v>
      </c>
      <c r="P308" s="41">
        <v>288.0</v>
      </c>
    </row>
    <row r="309">
      <c r="A309" s="30" t="s">
        <v>502</v>
      </c>
      <c r="B309" s="30" t="s">
        <v>520</v>
      </c>
      <c r="C309" s="30" t="s">
        <v>52</v>
      </c>
      <c r="D309" s="30" t="s">
        <v>169</v>
      </c>
      <c r="F309" s="30" t="s">
        <v>132</v>
      </c>
      <c r="G309" s="30" t="s">
        <v>417</v>
      </c>
      <c r="H309" s="30" t="s">
        <v>122</v>
      </c>
      <c r="I309" s="30" t="s">
        <v>35</v>
      </c>
      <c r="J309" s="30" t="s">
        <v>533</v>
      </c>
      <c r="K309" s="41">
        <v>10.0</v>
      </c>
      <c r="L309" s="41">
        <v>60.0</v>
      </c>
      <c r="M309" s="41">
        <v>8369.0</v>
      </c>
      <c r="N309" s="41">
        <v>1150.0</v>
      </c>
      <c r="O309" s="41">
        <v>0.007</v>
      </c>
      <c r="P309" s="41">
        <v>251.0</v>
      </c>
    </row>
    <row r="310">
      <c r="A310" s="30" t="s">
        <v>502</v>
      </c>
      <c r="B310" s="30" t="s">
        <v>520</v>
      </c>
      <c r="C310" s="30" t="s">
        <v>52</v>
      </c>
      <c r="D310" s="30" t="s">
        <v>169</v>
      </c>
      <c r="E310" s="30"/>
      <c r="F310" s="30" t="s">
        <v>132</v>
      </c>
      <c r="G310" s="30" t="s">
        <v>417</v>
      </c>
      <c r="H310" s="30" t="s">
        <v>129</v>
      </c>
      <c r="I310" s="30" t="s">
        <v>35</v>
      </c>
      <c r="J310" s="30" t="s">
        <v>533</v>
      </c>
      <c r="K310" s="41">
        <v>10.0</v>
      </c>
      <c r="L310" s="41">
        <v>39.0</v>
      </c>
      <c r="M310" s="41">
        <v>17536.0</v>
      </c>
      <c r="N310" s="41">
        <v>2846.0</v>
      </c>
      <c r="O310" s="41">
        <v>0.007</v>
      </c>
      <c r="P310" s="41">
        <v>269.0</v>
      </c>
    </row>
    <row r="311">
      <c r="A311" s="30" t="s">
        <v>502</v>
      </c>
      <c r="B311" s="30" t="s">
        <v>520</v>
      </c>
      <c r="C311" s="30" t="s">
        <v>52</v>
      </c>
      <c r="D311" s="30" t="s">
        <v>169</v>
      </c>
      <c r="E311" s="30"/>
      <c r="F311" s="30" t="s">
        <v>132</v>
      </c>
      <c r="G311" s="30" t="s">
        <v>417</v>
      </c>
      <c r="H311" s="30" t="s">
        <v>131</v>
      </c>
      <c r="I311" s="30" t="s">
        <v>35</v>
      </c>
      <c r="J311" s="30" t="s">
        <v>534</v>
      </c>
      <c r="K311" s="41">
        <v>10.0</v>
      </c>
      <c r="L311" s="41">
        <v>52.0</v>
      </c>
      <c r="M311" s="41">
        <v>9834.0</v>
      </c>
      <c r="N311" s="41">
        <v>762.0</v>
      </c>
      <c r="O311" s="41">
        <v>0.009</v>
      </c>
      <c r="P311" s="41">
        <v>269.0</v>
      </c>
    </row>
    <row r="312">
      <c r="A312" s="30" t="s">
        <v>502</v>
      </c>
      <c r="B312" s="30" t="s">
        <v>520</v>
      </c>
      <c r="C312" s="30" t="s">
        <v>52</v>
      </c>
      <c r="D312" s="30" t="s">
        <v>169</v>
      </c>
      <c r="E312" s="30"/>
      <c r="F312" s="30" t="s">
        <v>132</v>
      </c>
      <c r="G312" s="30" t="s">
        <v>417</v>
      </c>
      <c r="H312" s="30" t="s">
        <v>126</v>
      </c>
      <c r="I312" s="30" t="s">
        <v>35</v>
      </c>
      <c r="J312" s="30" t="s">
        <v>534</v>
      </c>
      <c r="K312" s="41">
        <v>10.0</v>
      </c>
      <c r="L312" s="41">
        <v>43.0</v>
      </c>
      <c r="M312" s="41">
        <v>8283.0</v>
      </c>
      <c r="N312" s="41">
        <v>1590.0</v>
      </c>
      <c r="O312" s="41">
        <v>0.009</v>
      </c>
      <c r="P312" s="41">
        <v>308.0</v>
      </c>
    </row>
    <row r="313">
      <c r="A313" s="30" t="s">
        <v>502</v>
      </c>
      <c r="B313" s="30" t="s">
        <v>520</v>
      </c>
      <c r="C313" s="30" t="s">
        <v>52</v>
      </c>
      <c r="D313" s="30" t="s">
        <v>169</v>
      </c>
      <c r="E313" s="30"/>
      <c r="F313" s="30" t="s">
        <v>132</v>
      </c>
      <c r="G313" s="30" t="s">
        <v>417</v>
      </c>
      <c r="H313" s="30" t="s">
        <v>124</v>
      </c>
      <c r="I313" s="30" t="s">
        <v>35</v>
      </c>
      <c r="J313" s="30" t="s">
        <v>536</v>
      </c>
      <c r="K313" s="41">
        <v>10.0</v>
      </c>
      <c r="L313" s="41">
        <v>56.0</v>
      </c>
      <c r="M313" s="41">
        <v>4576.0</v>
      </c>
      <c r="N313" s="41">
        <v>819.0</v>
      </c>
      <c r="O313" s="41">
        <v>0.009</v>
      </c>
      <c r="P313" s="41">
        <v>770.0</v>
      </c>
    </row>
    <row r="314">
      <c r="A314" s="30" t="s">
        <v>502</v>
      </c>
      <c r="B314" s="30" t="s">
        <v>520</v>
      </c>
      <c r="C314" s="30" t="s">
        <v>52</v>
      </c>
      <c r="D314" s="30" t="s">
        <v>169</v>
      </c>
      <c r="E314" s="30"/>
      <c r="F314" s="30" t="s">
        <v>132</v>
      </c>
      <c r="G314" s="30" t="s">
        <v>417</v>
      </c>
      <c r="H314" s="30" t="s">
        <v>133</v>
      </c>
      <c r="I314" s="30" t="s">
        <v>34</v>
      </c>
      <c r="J314" s="30" t="s">
        <v>531</v>
      </c>
      <c r="K314" s="41">
        <v>10.0</v>
      </c>
      <c r="L314" s="41">
        <v>64.0</v>
      </c>
      <c r="M314" s="41">
        <v>3592.0</v>
      </c>
      <c r="N314" s="41">
        <v>440.0</v>
      </c>
      <c r="O314" s="41">
        <v>0.034</v>
      </c>
      <c r="P314" s="41">
        <v>265.0</v>
      </c>
    </row>
    <row r="315">
      <c r="A315" s="30" t="s">
        <v>502</v>
      </c>
      <c r="B315" s="30" t="s">
        <v>520</v>
      </c>
      <c r="C315" s="30" t="s">
        <v>52</v>
      </c>
      <c r="D315" s="30" t="s">
        <v>169</v>
      </c>
      <c r="E315" s="30"/>
      <c r="F315" s="30" t="s">
        <v>132</v>
      </c>
      <c r="G315" s="30" t="s">
        <v>417</v>
      </c>
      <c r="H315" s="30" t="s">
        <v>122</v>
      </c>
      <c r="I315" s="30" t="s">
        <v>34</v>
      </c>
      <c r="J315" s="30" t="s">
        <v>533</v>
      </c>
      <c r="K315" s="41">
        <v>10.0</v>
      </c>
      <c r="L315" s="41">
        <v>78.0</v>
      </c>
      <c r="M315" s="41">
        <v>1819.0</v>
      </c>
      <c r="N315" s="41">
        <v>276.0</v>
      </c>
      <c r="O315" s="41">
        <v>0.007</v>
      </c>
      <c r="P315" s="41">
        <v>253.0</v>
      </c>
    </row>
    <row r="316">
      <c r="A316" s="30" t="s">
        <v>502</v>
      </c>
      <c r="B316" s="30" t="s">
        <v>520</v>
      </c>
      <c r="C316" s="30" t="s">
        <v>52</v>
      </c>
      <c r="D316" s="30" t="s">
        <v>169</v>
      </c>
      <c r="E316" s="30"/>
      <c r="F316" s="30" t="s">
        <v>132</v>
      </c>
      <c r="G316" s="30" t="s">
        <v>417</v>
      </c>
      <c r="H316" s="30" t="s">
        <v>129</v>
      </c>
      <c r="I316" s="30" t="s">
        <v>34</v>
      </c>
      <c r="J316" s="30" t="s">
        <v>533</v>
      </c>
      <c r="K316" s="41">
        <v>10.0</v>
      </c>
      <c r="L316" s="41">
        <v>63.0</v>
      </c>
      <c r="M316" s="41">
        <v>2155.0</v>
      </c>
      <c r="N316" s="41">
        <v>752.0</v>
      </c>
      <c r="O316" s="41">
        <v>0.007</v>
      </c>
      <c r="P316" s="41">
        <v>269.0</v>
      </c>
    </row>
    <row r="317">
      <c r="A317" s="30" t="s">
        <v>502</v>
      </c>
      <c r="B317" s="30" t="s">
        <v>520</v>
      </c>
      <c r="C317" s="30" t="s">
        <v>52</v>
      </c>
      <c r="D317" s="30" t="s">
        <v>169</v>
      </c>
      <c r="E317" s="30"/>
      <c r="F317" s="30" t="s">
        <v>132</v>
      </c>
      <c r="G317" s="30" t="s">
        <v>417</v>
      </c>
      <c r="H317" s="30" t="s">
        <v>131</v>
      </c>
      <c r="I317" s="30" t="s">
        <v>34</v>
      </c>
      <c r="J317" s="30" t="s">
        <v>534</v>
      </c>
      <c r="K317" s="41">
        <v>10.0</v>
      </c>
      <c r="L317" s="41">
        <v>89.0</v>
      </c>
      <c r="M317" s="41">
        <v>1593.0</v>
      </c>
      <c r="N317" s="41">
        <v>160.0</v>
      </c>
      <c r="O317" s="41">
        <v>0.007</v>
      </c>
      <c r="P317" s="41">
        <v>281.0</v>
      </c>
    </row>
    <row r="318">
      <c r="A318" s="30" t="s">
        <v>502</v>
      </c>
      <c r="B318" s="30" t="s">
        <v>520</v>
      </c>
      <c r="C318" s="30" t="s">
        <v>52</v>
      </c>
      <c r="D318" s="30" t="s">
        <v>169</v>
      </c>
      <c r="E318" s="30"/>
      <c r="F318" s="30" t="s">
        <v>132</v>
      </c>
      <c r="G318" s="30" t="s">
        <v>417</v>
      </c>
      <c r="H318" s="30" t="s">
        <v>126</v>
      </c>
      <c r="I318" s="30" t="s">
        <v>34</v>
      </c>
      <c r="J318" s="30" t="s">
        <v>534</v>
      </c>
      <c r="K318" s="41">
        <v>10.0</v>
      </c>
      <c r="L318" s="41">
        <v>75.0</v>
      </c>
      <c r="M318" s="41">
        <v>2136.0</v>
      </c>
      <c r="N318" s="41">
        <v>390.0</v>
      </c>
      <c r="O318" s="41">
        <v>0.007</v>
      </c>
      <c r="P318" s="41">
        <v>306.0</v>
      </c>
    </row>
    <row r="319">
      <c r="A319" s="30" t="s">
        <v>502</v>
      </c>
      <c r="B319" s="30" t="s">
        <v>520</v>
      </c>
      <c r="C319" s="30" t="s">
        <v>52</v>
      </c>
      <c r="D319" s="30" t="s">
        <v>169</v>
      </c>
      <c r="E319" s="30"/>
      <c r="F319" s="30" t="s">
        <v>132</v>
      </c>
      <c r="G319" s="30" t="s">
        <v>417</v>
      </c>
      <c r="H319" s="30" t="s">
        <v>124</v>
      </c>
      <c r="I319" s="30" t="s">
        <v>34</v>
      </c>
      <c r="J319" s="30" t="s">
        <v>536</v>
      </c>
      <c r="K319" s="41">
        <v>10.0</v>
      </c>
      <c r="L319" s="41">
        <v>89.0</v>
      </c>
      <c r="M319" s="41">
        <v>1248.0</v>
      </c>
      <c r="N319" s="41">
        <v>211.0</v>
      </c>
      <c r="O319" s="41">
        <v>0.007</v>
      </c>
      <c r="P319" s="41">
        <v>754.0</v>
      </c>
    </row>
    <row r="320">
      <c r="A320" s="30" t="s">
        <v>16</v>
      </c>
      <c r="B320" s="30" t="s">
        <v>520</v>
      </c>
      <c r="C320" s="30" t="s">
        <v>51</v>
      </c>
      <c r="D320" s="30" t="s">
        <v>507</v>
      </c>
      <c r="E320" s="30" t="s">
        <v>26</v>
      </c>
      <c r="F320" s="30" t="s">
        <v>14</v>
      </c>
      <c r="G320" s="30" t="s">
        <v>15</v>
      </c>
      <c r="H320" s="30" t="s">
        <v>19</v>
      </c>
      <c r="I320" s="30" t="s">
        <v>20</v>
      </c>
      <c r="J320" s="30" t="s">
        <v>530</v>
      </c>
      <c r="K320" s="41"/>
      <c r="L320" s="41"/>
      <c r="M320" s="41">
        <v>90.0</v>
      </c>
      <c r="N320" s="41">
        <v>90.0</v>
      </c>
      <c r="O320" s="41">
        <v>90.0</v>
      </c>
      <c r="P320" s="41"/>
    </row>
    <row r="321">
      <c r="A321" s="30" t="s">
        <v>502</v>
      </c>
      <c r="B321" s="30" t="s">
        <v>520</v>
      </c>
      <c r="C321" s="30" t="s">
        <v>51</v>
      </c>
      <c r="D321" s="30" t="s">
        <v>169</v>
      </c>
      <c r="E321" s="30"/>
      <c r="F321" s="30" t="s">
        <v>132</v>
      </c>
      <c r="G321" s="30" t="s">
        <v>418</v>
      </c>
      <c r="H321" s="30" t="s">
        <v>133</v>
      </c>
      <c r="I321" s="30" t="s">
        <v>34</v>
      </c>
      <c r="J321" s="30" t="s">
        <v>531</v>
      </c>
      <c r="K321" s="41">
        <v>10.0</v>
      </c>
      <c r="L321" s="41">
        <v>64.0</v>
      </c>
      <c r="M321" s="41">
        <v>3157.0</v>
      </c>
      <c r="N321" s="41">
        <v>642.0</v>
      </c>
      <c r="O321" s="41">
        <v>0.017</v>
      </c>
      <c r="P321" s="41">
        <v>452.0</v>
      </c>
    </row>
    <row r="322">
      <c r="A322" s="30" t="s">
        <v>502</v>
      </c>
      <c r="B322" s="30" t="s">
        <v>520</v>
      </c>
      <c r="C322" s="30" t="s">
        <v>51</v>
      </c>
      <c r="D322" s="30" t="s">
        <v>169</v>
      </c>
      <c r="E322" s="30"/>
      <c r="F322" s="30" t="s">
        <v>132</v>
      </c>
      <c r="G322" s="30"/>
      <c r="H322" s="30" t="s">
        <v>133</v>
      </c>
      <c r="I322" s="30" t="s">
        <v>34</v>
      </c>
      <c r="J322" s="30" t="s">
        <v>531</v>
      </c>
      <c r="K322" s="41">
        <v>5.0</v>
      </c>
      <c r="L322" s="41">
        <v>92.0</v>
      </c>
      <c r="M322" s="41">
        <v>2064.0</v>
      </c>
      <c r="N322" s="41">
        <v>211.0</v>
      </c>
      <c r="O322" s="41">
        <v>0.079</v>
      </c>
      <c r="P322" s="41">
        <v>275.0</v>
      </c>
    </row>
    <row r="323">
      <c r="A323" s="30" t="s">
        <v>502</v>
      </c>
      <c r="B323" s="30" t="s">
        <v>520</v>
      </c>
      <c r="C323" s="30" t="s">
        <v>51</v>
      </c>
      <c r="D323" s="30" t="s">
        <v>169</v>
      </c>
      <c r="E323" s="30"/>
      <c r="F323" s="30" t="s">
        <v>132</v>
      </c>
      <c r="G323" s="30" t="s">
        <v>418</v>
      </c>
      <c r="H323" s="30" t="s">
        <v>133</v>
      </c>
      <c r="I323" s="30" t="s">
        <v>35</v>
      </c>
      <c r="J323" s="30" t="s">
        <v>531</v>
      </c>
      <c r="K323" s="41">
        <v>10.0</v>
      </c>
      <c r="L323" s="41">
        <v>38.0</v>
      </c>
      <c r="M323" s="41">
        <v>7516.0</v>
      </c>
      <c r="N323" s="41">
        <v>2756.0</v>
      </c>
      <c r="O323" s="41">
        <v>0.152</v>
      </c>
      <c r="P323" s="41">
        <v>456.0</v>
      </c>
    </row>
    <row r="324">
      <c r="A324" s="30" t="s">
        <v>502</v>
      </c>
      <c r="B324" s="30" t="s">
        <v>520</v>
      </c>
      <c r="C324" s="30" t="s">
        <v>51</v>
      </c>
      <c r="D324" s="30" t="s">
        <v>169</v>
      </c>
      <c r="E324" s="30"/>
      <c r="F324" s="30" t="s">
        <v>132</v>
      </c>
      <c r="G324" s="30"/>
      <c r="H324" s="30" t="s">
        <v>133</v>
      </c>
      <c r="I324" s="30" t="s">
        <v>35</v>
      </c>
      <c r="J324" s="30" t="s">
        <v>531</v>
      </c>
      <c r="K324" s="41">
        <v>5.0</v>
      </c>
      <c r="L324" s="41">
        <v>56.0</v>
      </c>
      <c r="M324" s="41">
        <v>7934.0</v>
      </c>
      <c r="N324" s="41">
        <v>912.0</v>
      </c>
      <c r="O324" s="41">
        <v>0.112</v>
      </c>
      <c r="P324" s="41">
        <v>258.0</v>
      </c>
    </row>
    <row r="325">
      <c r="A325" s="30" t="s">
        <v>502</v>
      </c>
      <c r="B325" s="30" t="s">
        <v>520</v>
      </c>
      <c r="C325" s="30" t="s">
        <v>51</v>
      </c>
      <c r="D325" s="30" t="s">
        <v>169</v>
      </c>
      <c r="E325" s="30"/>
      <c r="F325" s="30" t="s">
        <v>132</v>
      </c>
      <c r="G325" s="30"/>
      <c r="H325" s="30" t="s">
        <v>129</v>
      </c>
      <c r="I325" s="30" t="s">
        <v>34</v>
      </c>
      <c r="J325" s="30" t="s">
        <v>533</v>
      </c>
      <c r="K325" s="41">
        <v>5.0</v>
      </c>
      <c r="L325" s="41">
        <v>80.0</v>
      </c>
      <c r="M325" s="41">
        <v>2088.0</v>
      </c>
      <c r="N325" s="41">
        <v>404.0</v>
      </c>
      <c r="O325" s="41">
        <v>0.007</v>
      </c>
      <c r="P325" s="41">
        <v>276.0</v>
      </c>
    </row>
    <row r="326">
      <c r="A326" s="30" t="s">
        <v>502</v>
      </c>
      <c r="B326" s="30" t="s">
        <v>520</v>
      </c>
      <c r="C326" s="30" t="s">
        <v>51</v>
      </c>
      <c r="D326" s="30" t="s">
        <v>169</v>
      </c>
      <c r="E326" s="30"/>
      <c r="F326" s="30" t="s">
        <v>132</v>
      </c>
      <c r="G326" s="30" t="s">
        <v>418</v>
      </c>
      <c r="H326" s="30" t="s">
        <v>129</v>
      </c>
      <c r="I326" s="30" t="s">
        <v>34</v>
      </c>
      <c r="J326" s="30" t="s">
        <v>533</v>
      </c>
      <c r="K326" s="41">
        <v>10.0</v>
      </c>
      <c r="L326" s="41">
        <v>92.0</v>
      </c>
      <c r="M326" s="41">
        <v>2091.0</v>
      </c>
      <c r="N326" s="41">
        <v>526.0</v>
      </c>
      <c r="O326" s="41">
        <v>0.007</v>
      </c>
      <c r="P326" s="41">
        <v>265.0</v>
      </c>
    </row>
    <row r="327">
      <c r="A327" s="30" t="s">
        <v>502</v>
      </c>
      <c r="B327" s="30" t="s">
        <v>520</v>
      </c>
      <c r="C327" s="30" t="s">
        <v>51</v>
      </c>
      <c r="D327" s="30" t="s">
        <v>169</v>
      </c>
      <c r="E327" s="30"/>
      <c r="F327" s="30" t="s">
        <v>132</v>
      </c>
      <c r="G327" s="30"/>
      <c r="H327" s="30" t="s">
        <v>129</v>
      </c>
      <c r="I327" s="30" t="s">
        <v>35</v>
      </c>
      <c r="J327" s="30" t="s">
        <v>533</v>
      </c>
      <c r="K327" s="41">
        <v>5.0</v>
      </c>
      <c r="L327" s="41">
        <v>65.0</v>
      </c>
      <c r="M327" s="41">
        <v>6874.0</v>
      </c>
      <c r="N327" s="41">
        <v>1384.0</v>
      </c>
      <c r="O327" s="41">
        <v>0.006</v>
      </c>
      <c r="P327" s="41">
        <v>269.0</v>
      </c>
    </row>
    <row r="328">
      <c r="A328" s="30" t="s">
        <v>502</v>
      </c>
      <c r="B328" s="30" t="s">
        <v>520</v>
      </c>
      <c r="C328" s="30" t="s">
        <v>51</v>
      </c>
      <c r="D328" s="30" t="s">
        <v>169</v>
      </c>
      <c r="E328" s="30"/>
      <c r="F328" s="30" t="s">
        <v>132</v>
      </c>
      <c r="G328" s="30" t="s">
        <v>418</v>
      </c>
      <c r="H328" s="30" t="s">
        <v>129</v>
      </c>
      <c r="I328" s="30" t="s">
        <v>35</v>
      </c>
      <c r="J328" s="30" t="s">
        <v>533</v>
      </c>
      <c r="K328" s="41">
        <v>10.0</v>
      </c>
      <c r="L328" s="41">
        <v>46.0</v>
      </c>
      <c r="M328" s="41">
        <v>15131.0</v>
      </c>
      <c r="N328" s="41">
        <v>2309.0</v>
      </c>
      <c r="O328" s="41">
        <v>0.006</v>
      </c>
      <c r="P328" s="41">
        <v>279.0</v>
      </c>
    </row>
    <row r="329">
      <c r="A329" s="30" t="s">
        <v>502</v>
      </c>
      <c r="B329" s="30" t="s">
        <v>520</v>
      </c>
      <c r="C329" s="30" t="s">
        <v>51</v>
      </c>
      <c r="D329" s="30" t="s">
        <v>169</v>
      </c>
      <c r="E329" s="30"/>
      <c r="F329" s="30" t="s">
        <v>132</v>
      </c>
      <c r="G329" s="30"/>
      <c r="H329" s="30" t="s">
        <v>126</v>
      </c>
      <c r="I329" s="30" t="s">
        <v>34</v>
      </c>
      <c r="J329" s="30" t="s">
        <v>534</v>
      </c>
      <c r="K329" s="41">
        <v>5.0</v>
      </c>
      <c r="L329" s="41">
        <v>87.0</v>
      </c>
      <c r="M329" s="41">
        <v>1168.0</v>
      </c>
      <c r="N329" s="41">
        <v>399.0</v>
      </c>
      <c r="O329" s="41">
        <v>0.007</v>
      </c>
      <c r="P329" s="41">
        <v>341.0</v>
      </c>
    </row>
    <row r="330">
      <c r="A330" s="30" t="s">
        <v>502</v>
      </c>
      <c r="B330" s="30" t="s">
        <v>520</v>
      </c>
      <c r="C330" s="30" t="s">
        <v>51</v>
      </c>
      <c r="D330" s="30" t="s">
        <v>169</v>
      </c>
      <c r="E330" s="30"/>
      <c r="F330" s="30" t="s">
        <v>132</v>
      </c>
      <c r="G330" s="30" t="s">
        <v>418</v>
      </c>
      <c r="H330" s="30" t="s">
        <v>126</v>
      </c>
      <c r="I330" s="30" t="s">
        <v>34</v>
      </c>
      <c r="J330" s="30" t="s">
        <v>534</v>
      </c>
      <c r="K330" s="41">
        <v>10.0</v>
      </c>
      <c r="L330" s="41">
        <v>81.0</v>
      </c>
      <c r="M330" s="41">
        <v>728.0</v>
      </c>
      <c r="N330" s="41">
        <v>448.0</v>
      </c>
      <c r="O330" s="41">
        <v>0.007</v>
      </c>
      <c r="P330" s="41">
        <v>348.0</v>
      </c>
    </row>
    <row r="331">
      <c r="A331" s="30" t="s">
        <v>502</v>
      </c>
      <c r="B331" s="30" t="s">
        <v>520</v>
      </c>
      <c r="C331" s="30" t="s">
        <v>51</v>
      </c>
      <c r="D331" s="30" t="s">
        <v>169</v>
      </c>
      <c r="E331" s="30"/>
      <c r="F331" s="30" t="s">
        <v>132</v>
      </c>
      <c r="G331" s="30"/>
      <c r="H331" s="30" t="s">
        <v>126</v>
      </c>
      <c r="I331" s="30" t="s">
        <v>35</v>
      </c>
      <c r="J331" s="30" t="s">
        <v>534</v>
      </c>
      <c r="K331" s="41">
        <v>5.0</v>
      </c>
      <c r="L331" s="41">
        <v>49.0</v>
      </c>
      <c r="M331" s="41">
        <v>5083.0</v>
      </c>
      <c r="N331" s="41">
        <v>1690.0</v>
      </c>
      <c r="O331" s="41">
        <v>0.008</v>
      </c>
      <c r="P331" s="41">
        <v>341.0</v>
      </c>
    </row>
    <row r="332">
      <c r="A332" s="30" t="s">
        <v>502</v>
      </c>
      <c r="B332" s="30" t="s">
        <v>520</v>
      </c>
      <c r="C332" s="30" t="s">
        <v>51</v>
      </c>
      <c r="D332" s="30" t="s">
        <v>169</v>
      </c>
      <c r="E332" s="30"/>
      <c r="F332" s="30" t="s">
        <v>132</v>
      </c>
      <c r="G332" s="30" t="s">
        <v>418</v>
      </c>
      <c r="H332" s="30" t="s">
        <v>126</v>
      </c>
      <c r="I332" s="30" t="s">
        <v>35</v>
      </c>
      <c r="J332" s="30" t="s">
        <v>534</v>
      </c>
      <c r="K332" s="41">
        <v>10.0</v>
      </c>
      <c r="L332" s="41">
        <v>48.0</v>
      </c>
      <c r="M332" s="41">
        <v>5026.0</v>
      </c>
      <c r="N332" s="41">
        <v>1701.0</v>
      </c>
      <c r="O332" s="41">
        <v>0.008</v>
      </c>
      <c r="P332" s="41">
        <v>328.0</v>
      </c>
    </row>
    <row r="333">
      <c r="A333" s="30" t="s">
        <v>502</v>
      </c>
      <c r="B333" s="30" t="s">
        <v>520</v>
      </c>
      <c r="C333" s="30" t="s">
        <v>51</v>
      </c>
      <c r="D333" s="30" t="s">
        <v>169</v>
      </c>
      <c r="E333" s="30"/>
      <c r="F333" s="30" t="s">
        <v>132</v>
      </c>
      <c r="G333" s="30"/>
      <c r="H333" s="30" t="s">
        <v>122</v>
      </c>
      <c r="I333" s="30" t="s">
        <v>34</v>
      </c>
      <c r="J333" s="30" t="s">
        <v>533</v>
      </c>
      <c r="K333" s="41">
        <v>5.0</v>
      </c>
      <c r="L333" s="41">
        <v>94.0</v>
      </c>
      <c r="M333" s="41">
        <v>1348.0</v>
      </c>
      <c r="N333" s="41">
        <v>256.0</v>
      </c>
      <c r="O333" s="41">
        <v>0.007</v>
      </c>
      <c r="P333" s="41">
        <v>301.0</v>
      </c>
    </row>
    <row r="334">
      <c r="A334" s="30" t="s">
        <v>502</v>
      </c>
      <c r="B334" s="30" t="s">
        <v>520</v>
      </c>
      <c r="C334" s="30" t="s">
        <v>51</v>
      </c>
      <c r="D334" s="30" t="s">
        <v>169</v>
      </c>
      <c r="E334" s="30"/>
      <c r="F334" s="30" t="s">
        <v>132</v>
      </c>
      <c r="G334" s="30" t="s">
        <v>418</v>
      </c>
      <c r="H334" s="30" t="s">
        <v>122</v>
      </c>
      <c r="I334" s="30" t="s">
        <v>34</v>
      </c>
      <c r="J334" s="30" t="s">
        <v>533</v>
      </c>
      <c r="K334" s="41">
        <v>10.0</v>
      </c>
      <c r="L334" s="41">
        <v>76.0</v>
      </c>
      <c r="M334" s="41">
        <v>2128.0</v>
      </c>
      <c r="N334" s="41">
        <v>326.0</v>
      </c>
      <c r="O334" s="41">
        <v>0.001</v>
      </c>
      <c r="P334" s="41">
        <v>337.0</v>
      </c>
    </row>
    <row r="335">
      <c r="A335" s="30" t="s">
        <v>502</v>
      </c>
      <c r="B335" s="30" t="s">
        <v>520</v>
      </c>
      <c r="C335" s="30" t="s">
        <v>51</v>
      </c>
      <c r="D335" s="30" t="s">
        <v>169</v>
      </c>
      <c r="E335" s="30"/>
      <c r="F335" s="30" t="s">
        <v>132</v>
      </c>
      <c r="G335" s="30"/>
      <c r="H335" s="30" t="s">
        <v>122</v>
      </c>
      <c r="I335" s="30" t="s">
        <v>35</v>
      </c>
      <c r="J335" s="30" t="s">
        <v>533</v>
      </c>
      <c r="K335" s="41">
        <v>5.0</v>
      </c>
      <c r="L335" s="41">
        <v>71.0</v>
      </c>
      <c r="M335" s="41">
        <v>4888.0</v>
      </c>
      <c r="N335" s="41">
        <v>1207.0</v>
      </c>
      <c r="O335" s="41">
        <v>0.004</v>
      </c>
      <c r="P335" s="41">
        <v>264.0</v>
      </c>
    </row>
    <row r="336">
      <c r="A336" s="30" t="s">
        <v>502</v>
      </c>
      <c r="B336" s="30" t="s">
        <v>520</v>
      </c>
      <c r="C336" s="30" t="s">
        <v>51</v>
      </c>
      <c r="D336" s="30" t="s">
        <v>169</v>
      </c>
      <c r="E336" s="30"/>
      <c r="F336" s="30" t="s">
        <v>132</v>
      </c>
      <c r="G336" s="30" t="s">
        <v>418</v>
      </c>
      <c r="H336" s="30" t="s">
        <v>122</v>
      </c>
      <c r="I336" s="30" t="s">
        <v>35</v>
      </c>
      <c r="J336" s="30" t="s">
        <v>533</v>
      </c>
      <c r="K336" s="41">
        <v>10.0</v>
      </c>
      <c r="L336" s="41">
        <v>65.0</v>
      </c>
      <c r="M336" s="41">
        <v>5552.0</v>
      </c>
      <c r="N336" s="41">
        <v>1478.0</v>
      </c>
      <c r="O336" s="41">
        <v>0.007</v>
      </c>
      <c r="P336" s="41">
        <v>320.0</v>
      </c>
    </row>
    <row r="337">
      <c r="A337" s="30" t="s">
        <v>502</v>
      </c>
      <c r="B337" s="30" t="s">
        <v>520</v>
      </c>
      <c r="C337" s="30" t="s">
        <v>51</v>
      </c>
      <c r="D337" s="30" t="s">
        <v>169</v>
      </c>
      <c r="E337" s="30"/>
      <c r="F337" s="30" t="s">
        <v>132</v>
      </c>
      <c r="G337" s="30"/>
      <c r="H337" s="30" t="s">
        <v>124</v>
      </c>
      <c r="I337" s="30" t="s">
        <v>34</v>
      </c>
      <c r="J337" s="30" t="s">
        <v>536</v>
      </c>
      <c r="K337" s="41">
        <v>5.0</v>
      </c>
      <c r="L337" s="41">
        <v>88.0</v>
      </c>
      <c r="M337" s="41">
        <v>1398.0</v>
      </c>
      <c r="N337" s="41">
        <v>216.0</v>
      </c>
      <c r="O337" s="41">
        <v>0.007</v>
      </c>
      <c r="P337" s="41">
        <v>659.0</v>
      </c>
    </row>
    <row r="338">
      <c r="A338" s="30" t="s">
        <v>502</v>
      </c>
      <c r="B338" s="30" t="s">
        <v>520</v>
      </c>
      <c r="C338" s="30" t="s">
        <v>51</v>
      </c>
      <c r="D338" s="30" t="s">
        <v>169</v>
      </c>
      <c r="E338" s="30"/>
      <c r="F338" s="30" t="s">
        <v>132</v>
      </c>
      <c r="G338" s="30" t="s">
        <v>418</v>
      </c>
      <c r="H338" s="30" t="s">
        <v>124</v>
      </c>
      <c r="I338" s="30" t="s">
        <v>34</v>
      </c>
      <c r="J338" s="30" t="s">
        <v>536</v>
      </c>
      <c r="K338" s="41">
        <v>10.0</v>
      </c>
      <c r="L338" s="41">
        <v>85.0</v>
      </c>
      <c r="M338" s="41">
        <v>1561.0</v>
      </c>
      <c r="N338" s="41">
        <v>259.0</v>
      </c>
      <c r="O338" s="41">
        <v>0.007</v>
      </c>
      <c r="P338" s="41">
        <v>650.0</v>
      </c>
    </row>
    <row r="339">
      <c r="A339" s="30" t="s">
        <v>502</v>
      </c>
      <c r="B339" s="30" t="s">
        <v>520</v>
      </c>
      <c r="C339" s="30" t="s">
        <v>51</v>
      </c>
      <c r="D339" s="30" t="s">
        <v>169</v>
      </c>
      <c r="E339" s="30"/>
      <c r="F339" s="30" t="s">
        <v>132</v>
      </c>
      <c r="G339" s="30"/>
      <c r="H339" s="30" t="s">
        <v>124</v>
      </c>
      <c r="I339" s="30" t="s">
        <v>35</v>
      </c>
      <c r="J339" s="30" t="s">
        <v>536</v>
      </c>
      <c r="K339" s="41">
        <v>5.0</v>
      </c>
      <c r="L339" s="41">
        <v>71.0</v>
      </c>
      <c r="M339" s="41">
        <v>5010.0</v>
      </c>
      <c r="N339" s="41">
        <v>1074.0</v>
      </c>
      <c r="O339" s="41">
        <v>0.009</v>
      </c>
      <c r="P339" s="41">
        <v>664.0</v>
      </c>
    </row>
    <row r="340">
      <c r="A340" s="30" t="s">
        <v>502</v>
      </c>
      <c r="B340" s="30" t="s">
        <v>520</v>
      </c>
      <c r="C340" s="30" t="s">
        <v>51</v>
      </c>
      <c r="D340" s="30" t="s">
        <v>169</v>
      </c>
      <c r="E340" s="30"/>
      <c r="F340" s="30" t="s">
        <v>132</v>
      </c>
      <c r="G340" s="30" t="s">
        <v>418</v>
      </c>
      <c r="H340" s="30" t="s">
        <v>124</v>
      </c>
      <c r="I340" s="30" t="s">
        <v>35</v>
      </c>
      <c r="J340" s="30" t="s">
        <v>536</v>
      </c>
      <c r="K340" s="41">
        <v>10.0</v>
      </c>
      <c r="L340" s="41">
        <v>45.0</v>
      </c>
      <c r="M340" s="41">
        <v>5360.0</v>
      </c>
      <c r="N340" s="41">
        <v>913.0</v>
      </c>
      <c r="O340" s="41">
        <v>0.009</v>
      </c>
      <c r="P340" s="41">
        <v>645.0</v>
      </c>
    </row>
    <row r="341">
      <c r="A341" s="30" t="s">
        <v>502</v>
      </c>
      <c r="B341" s="30" t="s">
        <v>520</v>
      </c>
      <c r="C341" s="30" t="s">
        <v>51</v>
      </c>
      <c r="D341" s="30" t="s">
        <v>169</v>
      </c>
      <c r="E341" s="30"/>
      <c r="F341" s="30" t="s">
        <v>132</v>
      </c>
      <c r="G341" s="30"/>
      <c r="H341" s="30" t="s">
        <v>131</v>
      </c>
      <c r="I341" s="30" t="s">
        <v>34</v>
      </c>
      <c r="J341" s="30" t="s">
        <v>534</v>
      </c>
      <c r="K341" s="41">
        <v>5.0</v>
      </c>
      <c r="L341" s="41">
        <v>92.0</v>
      </c>
      <c r="M341" s="41">
        <v>1426.0</v>
      </c>
      <c r="N341" s="41">
        <v>144.0</v>
      </c>
      <c r="O341" s="41">
        <v>0.007</v>
      </c>
      <c r="P341" s="41">
        <v>265.0</v>
      </c>
    </row>
    <row r="342">
      <c r="A342" s="30" t="s">
        <v>502</v>
      </c>
      <c r="B342" s="30" t="s">
        <v>520</v>
      </c>
      <c r="C342" s="30" t="s">
        <v>51</v>
      </c>
      <c r="D342" s="30" t="s">
        <v>169</v>
      </c>
      <c r="E342" s="30"/>
      <c r="F342" s="30" t="s">
        <v>132</v>
      </c>
      <c r="G342" s="30" t="s">
        <v>418</v>
      </c>
      <c r="H342" s="30" t="s">
        <v>131</v>
      </c>
      <c r="I342" s="30" t="s">
        <v>34</v>
      </c>
      <c r="J342" s="30" t="s">
        <v>534</v>
      </c>
      <c r="K342" s="41">
        <v>10.0</v>
      </c>
      <c r="L342" s="41">
        <v>91.0</v>
      </c>
      <c r="M342" s="41">
        <v>1498.0</v>
      </c>
      <c r="N342" s="41">
        <v>190.0</v>
      </c>
      <c r="O342" s="41">
        <v>0.007</v>
      </c>
      <c r="P342" s="41">
        <v>275.0</v>
      </c>
    </row>
    <row r="343">
      <c r="A343" s="30" t="s">
        <v>502</v>
      </c>
      <c r="B343" s="30" t="s">
        <v>520</v>
      </c>
      <c r="C343" s="30" t="s">
        <v>51</v>
      </c>
      <c r="D343" s="30" t="s">
        <v>169</v>
      </c>
      <c r="E343" s="30"/>
      <c r="F343" s="30" t="s">
        <v>132</v>
      </c>
      <c r="G343" s="30"/>
      <c r="H343" s="30" t="s">
        <v>131</v>
      </c>
      <c r="I343" s="30" t="s">
        <v>35</v>
      </c>
      <c r="J343" s="30" t="s">
        <v>534</v>
      </c>
      <c r="K343" s="41">
        <v>5.0</v>
      </c>
      <c r="L343" s="41">
        <v>54.0</v>
      </c>
      <c r="M343" s="41">
        <v>7485.0</v>
      </c>
      <c r="N343" s="41">
        <v>663.0</v>
      </c>
      <c r="O343" s="41">
        <v>0.009</v>
      </c>
      <c r="P343" s="41">
        <v>288.0</v>
      </c>
    </row>
    <row r="344">
      <c r="A344" s="30" t="s">
        <v>502</v>
      </c>
      <c r="B344" s="30" t="s">
        <v>520</v>
      </c>
      <c r="C344" s="30" t="s">
        <v>51</v>
      </c>
      <c r="D344" s="30" t="s">
        <v>169</v>
      </c>
      <c r="E344" s="30"/>
      <c r="F344" s="30" t="s">
        <v>132</v>
      </c>
      <c r="G344" s="30" t="s">
        <v>418</v>
      </c>
      <c r="H344" s="30" t="s">
        <v>131</v>
      </c>
      <c r="I344" s="30" t="s">
        <v>35</v>
      </c>
      <c r="J344" s="30" t="s">
        <v>534</v>
      </c>
      <c r="K344" s="41">
        <v>10.0</v>
      </c>
      <c r="L344" s="41">
        <v>50.0</v>
      </c>
      <c r="M344" s="41">
        <v>7768.0</v>
      </c>
      <c r="N344" s="41">
        <v>733.0</v>
      </c>
      <c r="O344" s="41">
        <v>0.009</v>
      </c>
      <c r="P344" s="41">
        <v>278.0</v>
      </c>
    </row>
    <row r="345">
      <c r="A345" s="30" t="s">
        <v>16</v>
      </c>
      <c r="B345" s="30" t="s">
        <v>520</v>
      </c>
      <c r="C345" s="30" t="s">
        <v>50</v>
      </c>
      <c r="D345" s="30" t="s">
        <v>507</v>
      </c>
      <c r="E345" s="30" t="s">
        <v>26</v>
      </c>
      <c r="F345" s="30" t="s">
        <v>14</v>
      </c>
      <c r="G345" s="30" t="s">
        <v>15</v>
      </c>
      <c r="H345" s="30" t="s">
        <v>19</v>
      </c>
      <c r="I345" s="30" t="s">
        <v>20</v>
      </c>
      <c r="J345" s="30" t="s">
        <v>530</v>
      </c>
      <c r="K345" s="41"/>
      <c r="L345" s="41"/>
      <c r="M345" s="41">
        <v>90.0</v>
      </c>
      <c r="N345" s="41">
        <v>90.0</v>
      </c>
      <c r="O345" s="41">
        <v>90.0</v>
      </c>
      <c r="P345" s="41"/>
    </row>
    <row r="346">
      <c r="A346" s="30" t="s">
        <v>502</v>
      </c>
      <c r="B346" s="30" t="s">
        <v>520</v>
      </c>
      <c r="C346" s="30" t="s">
        <v>50</v>
      </c>
      <c r="D346" s="30" t="s">
        <v>169</v>
      </c>
      <c r="E346" s="30"/>
      <c r="F346" s="30" t="s">
        <v>132</v>
      </c>
      <c r="G346" s="30" t="s">
        <v>419</v>
      </c>
      <c r="H346" s="30" t="s">
        <v>133</v>
      </c>
      <c r="I346" s="30" t="s">
        <v>35</v>
      </c>
      <c r="J346" s="30" t="s">
        <v>531</v>
      </c>
      <c r="K346" s="41">
        <v>10.0</v>
      </c>
      <c r="L346" s="41">
        <v>49.0</v>
      </c>
      <c r="M346" s="41">
        <v>4642.0</v>
      </c>
      <c r="N346" s="41">
        <v>1152.0</v>
      </c>
      <c r="O346" s="41">
        <v>0.104</v>
      </c>
      <c r="P346" s="41">
        <v>333.0</v>
      </c>
    </row>
    <row r="347">
      <c r="A347" s="30" t="s">
        <v>502</v>
      </c>
      <c r="B347" s="30" t="s">
        <v>520</v>
      </c>
      <c r="C347" s="30" t="s">
        <v>50</v>
      </c>
      <c r="D347" s="30" t="s">
        <v>169</v>
      </c>
      <c r="E347" s="30"/>
      <c r="F347" s="30" t="s">
        <v>132</v>
      </c>
      <c r="G347" s="30" t="s">
        <v>419</v>
      </c>
      <c r="H347" s="30" t="s">
        <v>122</v>
      </c>
      <c r="I347" s="30" t="s">
        <v>35</v>
      </c>
      <c r="J347" s="30" t="s">
        <v>533</v>
      </c>
      <c r="K347" s="41">
        <v>10.0</v>
      </c>
      <c r="L347" s="41">
        <v>65.0</v>
      </c>
      <c r="M347" s="41">
        <v>2991.0</v>
      </c>
      <c r="N347" s="41">
        <v>1326.0</v>
      </c>
      <c r="O347" s="41">
        <v>0.006</v>
      </c>
      <c r="P347" s="41">
        <v>329.0</v>
      </c>
    </row>
    <row r="348">
      <c r="A348" s="30" t="s">
        <v>502</v>
      </c>
      <c r="B348" s="30" t="s">
        <v>520</v>
      </c>
      <c r="C348" s="30" t="s">
        <v>50</v>
      </c>
      <c r="D348" s="30" t="s">
        <v>169</v>
      </c>
      <c r="E348" s="30"/>
      <c r="F348" s="30" t="s">
        <v>132</v>
      </c>
      <c r="G348" s="30" t="s">
        <v>419</v>
      </c>
      <c r="H348" s="30" t="s">
        <v>131</v>
      </c>
      <c r="I348" s="30" t="s">
        <v>35</v>
      </c>
      <c r="J348" s="30" t="s">
        <v>534</v>
      </c>
      <c r="K348" s="41">
        <v>10.0</v>
      </c>
      <c r="L348" s="41">
        <v>73.0</v>
      </c>
      <c r="M348" s="41">
        <v>4812.0</v>
      </c>
      <c r="N348" s="41">
        <v>816.0</v>
      </c>
      <c r="O348" s="41">
        <v>0.008</v>
      </c>
      <c r="P348" s="41">
        <v>303.0</v>
      </c>
    </row>
    <row r="349">
      <c r="A349" s="30" t="s">
        <v>502</v>
      </c>
      <c r="B349" s="30" t="s">
        <v>520</v>
      </c>
      <c r="C349" s="30" t="s">
        <v>50</v>
      </c>
      <c r="D349" s="30" t="s">
        <v>169</v>
      </c>
      <c r="F349" s="30" t="s">
        <v>132</v>
      </c>
      <c r="G349" s="30" t="s">
        <v>419</v>
      </c>
      <c r="H349" s="30" t="s">
        <v>124</v>
      </c>
      <c r="I349" s="30" t="s">
        <v>35</v>
      </c>
      <c r="J349" s="30" t="s">
        <v>536</v>
      </c>
      <c r="K349" s="41">
        <v>10.0</v>
      </c>
      <c r="L349" s="41">
        <v>59.0</v>
      </c>
      <c r="M349" s="41">
        <v>5650.0</v>
      </c>
      <c r="N349" s="41">
        <v>1030.0</v>
      </c>
      <c r="O349" s="41">
        <v>0.009</v>
      </c>
      <c r="P349" s="41">
        <v>666.0</v>
      </c>
    </row>
    <row r="350">
      <c r="A350" s="30" t="s">
        <v>502</v>
      </c>
      <c r="B350" s="30" t="s">
        <v>520</v>
      </c>
      <c r="C350" s="30" t="s">
        <v>50</v>
      </c>
      <c r="D350" s="30" t="s">
        <v>169</v>
      </c>
      <c r="F350" s="30" t="s">
        <v>132</v>
      </c>
      <c r="G350" s="30" t="s">
        <v>419</v>
      </c>
      <c r="H350" s="30" t="s">
        <v>133</v>
      </c>
      <c r="I350" s="30" t="s">
        <v>34</v>
      </c>
      <c r="J350" s="30" t="s">
        <v>531</v>
      </c>
      <c r="K350" s="41">
        <v>10.0</v>
      </c>
      <c r="L350" s="41">
        <v>64.0</v>
      </c>
      <c r="M350" s="41">
        <v>4159.0</v>
      </c>
      <c r="N350" s="41">
        <v>591.0</v>
      </c>
      <c r="O350" s="41">
        <v>0.009</v>
      </c>
      <c r="P350" s="41">
        <v>508.0</v>
      </c>
    </row>
    <row r="351">
      <c r="A351" s="30" t="s">
        <v>502</v>
      </c>
      <c r="B351" s="30" t="s">
        <v>520</v>
      </c>
      <c r="C351" s="30" t="s">
        <v>50</v>
      </c>
      <c r="D351" s="30" t="s">
        <v>169</v>
      </c>
      <c r="F351" s="30" t="s">
        <v>132</v>
      </c>
      <c r="G351" s="30" t="s">
        <v>419</v>
      </c>
      <c r="H351" s="30" t="s">
        <v>122</v>
      </c>
      <c r="I351" s="30" t="s">
        <v>34</v>
      </c>
      <c r="J351" s="30" t="s">
        <v>533</v>
      </c>
      <c r="K351" s="41">
        <v>10.0</v>
      </c>
      <c r="L351" s="41">
        <v>75.0</v>
      </c>
      <c r="M351" s="41">
        <v>1579.0</v>
      </c>
      <c r="N351" s="41">
        <v>314.0</v>
      </c>
      <c r="O351" s="41">
        <v>0.007</v>
      </c>
      <c r="P351" s="41">
        <v>315.0</v>
      </c>
    </row>
    <row r="352">
      <c r="A352" s="30" t="s">
        <v>502</v>
      </c>
      <c r="B352" s="30" t="s">
        <v>520</v>
      </c>
      <c r="C352" s="30" t="s">
        <v>50</v>
      </c>
      <c r="D352" s="30" t="s">
        <v>169</v>
      </c>
      <c r="E352" s="30"/>
      <c r="F352" s="30" t="s">
        <v>132</v>
      </c>
      <c r="G352" s="30" t="s">
        <v>419</v>
      </c>
      <c r="H352" s="30" t="s">
        <v>131</v>
      </c>
      <c r="I352" s="30" t="s">
        <v>34</v>
      </c>
      <c r="J352" s="30" t="s">
        <v>534</v>
      </c>
      <c r="K352" s="41">
        <v>10.0</v>
      </c>
      <c r="L352" s="41">
        <v>96.0</v>
      </c>
      <c r="M352" s="41">
        <v>1829.0</v>
      </c>
      <c r="N352" s="41">
        <v>202.0</v>
      </c>
      <c r="O352" s="41">
        <v>0.007</v>
      </c>
      <c r="P352" s="41">
        <v>279.0</v>
      </c>
    </row>
    <row r="353">
      <c r="A353" s="30" t="s">
        <v>502</v>
      </c>
      <c r="B353" s="30" t="s">
        <v>520</v>
      </c>
      <c r="C353" s="30" t="s">
        <v>50</v>
      </c>
      <c r="D353" s="30" t="s">
        <v>169</v>
      </c>
      <c r="E353" s="30"/>
      <c r="F353" s="30" t="s">
        <v>132</v>
      </c>
      <c r="G353" s="30" t="s">
        <v>419</v>
      </c>
      <c r="H353" s="30" t="s">
        <v>124</v>
      </c>
      <c r="I353" s="30" t="s">
        <v>34</v>
      </c>
      <c r="J353" s="30" t="s">
        <v>536</v>
      </c>
      <c r="K353" s="41">
        <v>10.0</v>
      </c>
      <c r="L353" s="41">
        <v>79.0</v>
      </c>
      <c r="M353" s="41">
        <v>1812.0</v>
      </c>
      <c r="N353" s="41">
        <v>279.0</v>
      </c>
      <c r="O353" s="41">
        <v>0.007</v>
      </c>
      <c r="P353" s="41">
        <v>663.0</v>
      </c>
    </row>
    <row r="354">
      <c r="A354" s="30" t="s">
        <v>16</v>
      </c>
      <c r="B354" s="30" t="s">
        <v>520</v>
      </c>
      <c r="C354" s="30" t="s">
        <v>49</v>
      </c>
      <c r="D354" s="30" t="s">
        <v>507</v>
      </c>
      <c r="E354" s="30" t="s">
        <v>26</v>
      </c>
      <c r="F354" s="30" t="s">
        <v>14</v>
      </c>
      <c r="G354" s="30" t="s">
        <v>15</v>
      </c>
      <c r="H354" s="30" t="s">
        <v>19</v>
      </c>
      <c r="I354" s="30" t="s">
        <v>20</v>
      </c>
      <c r="J354" s="30" t="s">
        <v>530</v>
      </c>
      <c r="K354" s="41"/>
      <c r="M354" s="41">
        <v>90.0</v>
      </c>
      <c r="N354" s="41">
        <v>90.0</v>
      </c>
      <c r="O354" s="41">
        <v>90.0</v>
      </c>
      <c r="P354" s="41"/>
    </row>
    <row r="355">
      <c r="A355" s="30" t="s">
        <v>502</v>
      </c>
      <c r="B355" s="30" t="s">
        <v>520</v>
      </c>
      <c r="C355" s="30" t="s">
        <v>49</v>
      </c>
      <c r="D355" s="30" t="s">
        <v>169</v>
      </c>
      <c r="F355" s="30" t="s">
        <v>132</v>
      </c>
      <c r="G355" s="30" t="s">
        <v>420</v>
      </c>
      <c r="H355" s="30" t="s">
        <v>133</v>
      </c>
      <c r="I355" s="30" t="s">
        <v>34</v>
      </c>
      <c r="J355" s="30" t="s">
        <v>531</v>
      </c>
      <c r="K355" s="41">
        <v>10.0</v>
      </c>
      <c r="L355" s="41">
        <v>70.0</v>
      </c>
      <c r="M355" s="41">
        <v>3988.0</v>
      </c>
      <c r="N355" s="41">
        <v>477.0</v>
      </c>
      <c r="O355" s="41">
        <v>0.02</v>
      </c>
      <c r="P355" s="41">
        <v>1264.0</v>
      </c>
    </row>
    <row r="356">
      <c r="A356" s="30" t="s">
        <v>502</v>
      </c>
      <c r="B356" s="30" t="s">
        <v>520</v>
      </c>
      <c r="C356" s="30" t="s">
        <v>49</v>
      </c>
      <c r="D356" s="30" t="s">
        <v>169</v>
      </c>
      <c r="F356" s="30" t="s">
        <v>132</v>
      </c>
      <c r="G356" s="30" t="s">
        <v>420</v>
      </c>
      <c r="H356" s="30" t="s">
        <v>122</v>
      </c>
      <c r="I356" s="30" t="s">
        <v>34</v>
      </c>
      <c r="J356" s="30" t="s">
        <v>533</v>
      </c>
      <c r="K356" s="41">
        <v>10.0</v>
      </c>
      <c r="L356" s="41">
        <v>74.0</v>
      </c>
      <c r="M356" s="41">
        <v>2578.0</v>
      </c>
      <c r="N356" s="41">
        <v>377.0</v>
      </c>
      <c r="O356" s="41">
        <v>0.006</v>
      </c>
      <c r="P356" s="41">
        <v>870.0</v>
      </c>
    </row>
    <row r="357">
      <c r="A357" s="30" t="s">
        <v>502</v>
      </c>
      <c r="B357" s="30" t="s">
        <v>520</v>
      </c>
      <c r="C357" s="30" t="s">
        <v>49</v>
      </c>
      <c r="D357" s="30" t="s">
        <v>169</v>
      </c>
      <c r="F357" s="30" t="s">
        <v>132</v>
      </c>
      <c r="G357" s="30" t="s">
        <v>420</v>
      </c>
      <c r="H357" s="30" t="s">
        <v>129</v>
      </c>
      <c r="I357" s="30" t="s">
        <v>34</v>
      </c>
      <c r="J357" s="30" t="s">
        <v>533</v>
      </c>
      <c r="K357" s="41">
        <v>10.0</v>
      </c>
      <c r="L357" s="41">
        <v>80.0</v>
      </c>
      <c r="M357" s="41">
        <v>2100.0</v>
      </c>
      <c r="N357" s="41">
        <v>718.0</v>
      </c>
      <c r="O357" s="41">
        <v>0.007</v>
      </c>
      <c r="P357" s="41">
        <v>326.0</v>
      </c>
    </row>
    <row r="358">
      <c r="A358" s="30" t="s">
        <v>502</v>
      </c>
      <c r="B358" s="30" t="s">
        <v>520</v>
      </c>
      <c r="C358" s="30" t="s">
        <v>49</v>
      </c>
      <c r="D358" s="30" t="s">
        <v>169</v>
      </c>
      <c r="F358" s="30" t="s">
        <v>132</v>
      </c>
      <c r="G358" s="30" t="s">
        <v>420</v>
      </c>
      <c r="H358" s="30" t="s">
        <v>126</v>
      </c>
      <c r="I358" s="30" t="s">
        <v>34</v>
      </c>
      <c r="J358" s="30" t="s">
        <v>534</v>
      </c>
      <c r="K358" s="41">
        <v>10.0</v>
      </c>
      <c r="L358" s="41">
        <v>84.0</v>
      </c>
      <c r="M358" s="41">
        <v>3969.0</v>
      </c>
      <c r="N358" s="41">
        <v>522.0</v>
      </c>
      <c r="O358" s="41">
        <v>0.007</v>
      </c>
      <c r="P358" s="41">
        <v>884.0</v>
      </c>
    </row>
    <row r="359">
      <c r="A359" s="30" t="s">
        <v>502</v>
      </c>
      <c r="B359" s="30" t="s">
        <v>520</v>
      </c>
      <c r="C359" s="30" t="s">
        <v>49</v>
      </c>
      <c r="D359" s="30" t="s">
        <v>169</v>
      </c>
      <c r="F359" s="30" t="s">
        <v>132</v>
      </c>
      <c r="G359" s="30" t="s">
        <v>420</v>
      </c>
      <c r="H359" s="30" t="s">
        <v>124</v>
      </c>
      <c r="I359" s="30" t="s">
        <v>34</v>
      </c>
      <c r="J359" s="30" t="s">
        <v>536</v>
      </c>
      <c r="K359" s="41">
        <v>10.0</v>
      </c>
      <c r="L359" s="41">
        <v>82.0</v>
      </c>
      <c r="M359" s="41">
        <v>1521.0</v>
      </c>
      <c r="N359" s="41">
        <v>271.0</v>
      </c>
      <c r="O359" s="41">
        <v>0.007</v>
      </c>
      <c r="P359" s="41">
        <v>720.0</v>
      </c>
    </row>
    <row r="360">
      <c r="A360" s="30" t="s">
        <v>502</v>
      </c>
      <c r="B360" s="30" t="s">
        <v>520</v>
      </c>
      <c r="C360" s="30" t="s">
        <v>49</v>
      </c>
      <c r="D360" s="30" t="s">
        <v>169</v>
      </c>
      <c r="F360" s="30" t="s">
        <v>132</v>
      </c>
      <c r="G360" s="30" t="s">
        <v>420</v>
      </c>
      <c r="H360" s="30" t="s">
        <v>133</v>
      </c>
      <c r="I360" s="30" t="s">
        <v>35</v>
      </c>
      <c r="J360" s="30" t="s">
        <v>531</v>
      </c>
      <c r="K360" s="41">
        <v>10.0</v>
      </c>
      <c r="L360" s="41">
        <v>48.0</v>
      </c>
      <c r="M360" s="41">
        <v>16349.0</v>
      </c>
      <c r="N360" s="41">
        <v>2041.0</v>
      </c>
      <c r="O360" s="41">
        <v>0.085</v>
      </c>
      <c r="P360" s="41">
        <v>1227.0</v>
      </c>
    </row>
    <row r="361">
      <c r="A361" s="30" t="s">
        <v>502</v>
      </c>
      <c r="B361" s="30" t="s">
        <v>520</v>
      </c>
      <c r="C361" s="30" t="s">
        <v>49</v>
      </c>
      <c r="D361" s="30" t="s">
        <v>169</v>
      </c>
      <c r="F361" s="30" t="s">
        <v>132</v>
      </c>
      <c r="G361" s="30" t="s">
        <v>420</v>
      </c>
      <c r="H361" s="30" t="s">
        <v>122</v>
      </c>
      <c r="I361" s="30" t="s">
        <v>35</v>
      </c>
      <c r="J361" s="30" t="s">
        <v>533</v>
      </c>
      <c r="K361" s="41">
        <v>10.0</v>
      </c>
      <c r="L361" s="41">
        <v>52.0</v>
      </c>
      <c r="M361" s="41">
        <v>17063.0</v>
      </c>
      <c r="N361" s="41">
        <v>1864.0</v>
      </c>
      <c r="O361" s="41">
        <v>0.007</v>
      </c>
      <c r="P361" s="41">
        <v>744.0</v>
      </c>
    </row>
    <row r="362">
      <c r="A362" s="30" t="s">
        <v>502</v>
      </c>
      <c r="B362" s="30" t="s">
        <v>520</v>
      </c>
      <c r="C362" s="30" t="s">
        <v>49</v>
      </c>
      <c r="D362" s="30" t="s">
        <v>169</v>
      </c>
      <c r="F362" s="30" t="s">
        <v>132</v>
      </c>
      <c r="G362" s="30" t="s">
        <v>420</v>
      </c>
      <c r="H362" s="30" t="s">
        <v>129</v>
      </c>
      <c r="I362" s="30" t="s">
        <v>35</v>
      </c>
      <c r="J362" s="30" t="s">
        <v>533</v>
      </c>
      <c r="K362" s="41">
        <v>10.0</v>
      </c>
      <c r="L362" s="41">
        <v>44.0</v>
      </c>
      <c r="M362" s="41">
        <v>11315.0</v>
      </c>
      <c r="N362" s="41">
        <v>1749.0</v>
      </c>
      <c r="O362" s="41">
        <v>0.006</v>
      </c>
      <c r="P362" s="41">
        <v>334.0</v>
      </c>
    </row>
    <row r="363">
      <c r="A363" s="30" t="s">
        <v>502</v>
      </c>
      <c r="B363" s="30" t="s">
        <v>520</v>
      </c>
      <c r="C363" s="30" t="s">
        <v>49</v>
      </c>
      <c r="D363" s="30" t="s">
        <v>169</v>
      </c>
      <c r="F363" s="30" t="s">
        <v>132</v>
      </c>
      <c r="G363" s="30" t="s">
        <v>420</v>
      </c>
      <c r="H363" s="30" t="s">
        <v>131</v>
      </c>
      <c r="I363" s="30" t="s">
        <v>35</v>
      </c>
      <c r="J363" s="30" t="s">
        <v>534</v>
      </c>
      <c r="K363" s="41">
        <v>10.0</v>
      </c>
      <c r="L363" s="41">
        <v>66.0</v>
      </c>
      <c r="M363" s="41">
        <v>10558.0</v>
      </c>
      <c r="N363" s="41">
        <v>734.0</v>
      </c>
      <c r="O363" s="41">
        <v>0.075</v>
      </c>
      <c r="P363" s="41">
        <v>340.0</v>
      </c>
    </row>
    <row r="364">
      <c r="A364" s="30" t="s">
        <v>502</v>
      </c>
      <c r="B364" s="30" t="s">
        <v>520</v>
      </c>
      <c r="C364" s="30" t="s">
        <v>49</v>
      </c>
      <c r="D364" s="30" t="s">
        <v>169</v>
      </c>
      <c r="F364" s="30" t="s">
        <v>132</v>
      </c>
      <c r="G364" s="30" t="s">
        <v>420</v>
      </c>
      <c r="H364" s="30" t="s">
        <v>126</v>
      </c>
      <c r="I364" s="30" t="s">
        <v>35</v>
      </c>
      <c r="J364" s="30" t="s">
        <v>534</v>
      </c>
      <c r="K364" s="41">
        <v>10.0</v>
      </c>
      <c r="L364" s="41">
        <v>49.0</v>
      </c>
      <c r="M364" s="41">
        <v>6327.0</v>
      </c>
      <c r="N364" s="41">
        <v>1091.0</v>
      </c>
      <c r="O364" s="41">
        <v>0.008</v>
      </c>
      <c r="P364" s="41">
        <v>400.0</v>
      </c>
    </row>
    <row r="365">
      <c r="A365" s="30" t="s">
        <v>502</v>
      </c>
      <c r="B365" s="30" t="s">
        <v>520</v>
      </c>
      <c r="C365" s="30" t="s">
        <v>49</v>
      </c>
      <c r="D365" s="30" t="s">
        <v>169</v>
      </c>
      <c r="F365" s="30" t="s">
        <v>132</v>
      </c>
      <c r="G365" s="30" t="s">
        <v>420</v>
      </c>
      <c r="H365" s="30" t="s">
        <v>124</v>
      </c>
      <c r="I365" s="30" t="s">
        <v>35</v>
      </c>
      <c r="J365" s="30" t="s">
        <v>536</v>
      </c>
      <c r="K365" s="41">
        <v>10.0</v>
      </c>
      <c r="L365" s="41">
        <v>43.0</v>
      </c>
      <c r="M365" s="41">
        <v>17343.0</v>
      </c>
      <c r="N365" s="41">
        <v>1418.0</v>
      </c>
      <c r="O365" s="41">
        <v>0.005</v>
      </c>
      <c r="P365" s="41">
        <v>1117.0</v>
      </c>
    </row>
    <row r="366">
      <c r="A366" s="30" t="s">
        <v>16</v>
      </c>
      <c r="B366" s="30" t="s">
        <v>521</v>
      </c>
      <c r="C366" s="30" t="s">
        <v>52</v>
      </c>
      <c r="D366" s="30" t="s">
        <v>522</v>
      </c>
      <c r="E366" s="30" t="s">
        <v>18</v>
      </c>
      <c r="F366" s="30" t="s">
        <v>14</v>
      </c>
      <c r="G366" s="30" t="s">
        <v>15</v>
      </c>
      <c r="H366" s="30" t="s">
        <v>19</v>
      </c>
      <c r="I366" s="30" t="s">
        <v>20</v>
      </c>
      <c r="J366" s="30" t="s">
        <v>530</v>
      </c>
      <c r="K366" s="41">
        <v>1.0</v>
      </c>
      <c r="M366" s="41">
        <v>75.0</v>
      </c>
      <c r="N366" s="41"/>
      <c r="O366" s="41"/>
      <c r="P366" s="41"/>
    </row>
    <row r="367">
      <c r="A367" s="30" t="s">
        <v>24</v>
      </c>
      <c r="B367" s="30" t="s">
        <v>523</v>
      </c>
      <c r="C367" s="30" t="s">
        <v>52</v>
      </c>
      <c r="D367" s="30" t="s">
        <v>522</v>
      </c>
      <c r="E367" s="30" t="s">
        <v>26</v>
      </c>
      <c r="F367" s="30" t="s">
        <v>14</v>
      </c>
      <c r="G367" s="30" t="s">
        <v>15</v>
      </c>
      <c r="H367" s="30" t="s">
        <v>27</v>
      </c>
      <c r="I367" s="30" t="s">
        <v>28</v>
      </c>
      <c r="J367" s="30" t="s">
        <v>530</v>
      </c>
      <c r="K367" s="41">
        <v>1.0</v>
      </c>
      <c r="M367" s="41"/>
      <c r="N367" s="41"/>
      <c r="O367" s="41"/>
      <c r="P367" s="41"/>
    </row>
    <row r="368">
      <c r="A368" s="30" t="s">
        <v>629</v>
      </c>
      <c r="B368" s="30" t="s">
        <v>520</v>
      </c>
      <c r="C368" s="30" t="s">
        <v>52</v>
      </c>
      <c r="D368" s="30" t="s">
        <v>522</v>
      </c>
      <c r="H368" s="30" t="s">
        <v>133</v>
      </c>
      <c r="I368" s="30" t="s">
        <v>34</v>
      </c>
      <c r="J368" s="30" t="s">
        <v>531</v>
      </c>
      <c r="K368" s="41">
        <v>1.0</v>
      </c>
      <c r="M368" s="41">
        <v>2305.0</v>
      </c>
      <c r="N368" s="41">
        <v>88.0</v>
      </c>
      <c r="O368" s="41">
        <v>6.0</v>
      </c>
      <c r="P368" s="41">
        <v>1248.0</v>
      </c>
    </row>
    <row r="369">
      <c r="A369" s="30" t="s">
        <v>630</v>
      </c>
      <c r="B369" s="30" t="s">
        <v>520</v>
      </c>
      <c r="C369" s="30" t="s">
        <v>52</v>
      </c>
      <c r="D369" s="30" t="s">
        <v>522</v>
      </c>
      <c r="H369" s="30" t="s">
        <v>145</v>
      </c>
      <c r="I369" s="30" t="s">
        <v>34</v>
      </c>
      <c r="J369" s="30" t="s">
        <v>532</v>
      </c>
      <c r="K369" s="41">
        <v>1.0</v>
      </c>
      <c r="M369" s="41">
        <v>2986.0</v>
      </c>
      <c r="N369" s="41">
        <v>79.0</v>
      </c>
      <c r="O369" s="41">
        <v>4.0</v>
      </c>
      <c r="P369" s="41">
        <v>1877.0</v>
      </c>
    </row>
    <row r="370">
      <c r="A370" s="30" t="s">
        <v>631</v>
      </c>
      <c r="B370" s="30" t="s">
        <v>520</v>
      </c>
      <c r="C370" s="30" t="s">
        <v>52</v>
      </c>
      <c r="D370" s="30" t="s">
        <v>522</v>
      </c>
      <c r="H370" s="30" t="s">
        <v>122</v>
      </c>
      <c r="I370" s="30" t="s">
        <v>34</v>
      </c>
      <c r="J370" s="30" t="s">
        <v>533</v>
      </c>
      <c r="K370" s="41">
        <v>1.0</v>
      </c>
      <c r="M370" s="41">
        <v>2986.0</v>
      </c>
      <c r="N370" s="41">
        <v>79.0</v>
      </c>
      <c r="O370" s="41">
        <v>4.0</v>
      </c>
      <c r="P370" s="41">
        <v>1877.0</v>
      </c>
    </row>
    <row r="371">
      <c r="A371" s="30" t="s">
        <v>632</v>
      </c>
      <c r="B371" s="30" t="s">
        <v>520</v>
      </c>
      <c r="C371" s="30" t="s">
        <v>52</v>
      </c>
      <c r="D371" s="30" t="s">
        <v>522</v>
      </c>
      <c r="H371" s="30" t="s">
        <v>129</v>
      </c>
      <c r="I371" s="30" t="s">
        <v>34</v>
      </c>
      <c r="J371" s="30" t="s">
        <v>533</v>
      </c>
      <c r="K371" s="41">
        <v>1.0</v>
      </c>
      <c r="M371" s="41">
        <v>2986.0</v>
      </c>
      <c r="N371" s="41">
        <v>79.0</v>
      </c>
      <c r="O371" s="41">
        <v>4.0</v>
      </c>
      <c r="P371" s="41">
        <v>1877.0</v>
      </c>
    </row>
    <row r="372">
      <c r="A372" s="30" t="s">
        <v>633</v>
      </c>
      <c r="B372" s="30" t="s">
        <v>520</v>
      </c>
      <c r="C372" s="30" t="s">
        <v>52</v>
      </c>
      <c r="D372" s="30" t="s">
        <v>522</v>
      </c>
      <c r="E372" s="30"/>
      <c r="G372" s="30"/>
      <c r="H372" s="30" t="s">
        <v>131</v>
      </c>
      <c r="I372" s="30" t="s">
        <v>34</v>
      </c>
      <c r="J372" s="30" t="s">
        <v>534</v>
      </c>
      <c r="K372" s="41">
        <v>1.0</v>
      </c>
      <c r="M372" s="41">
        <v>2986.0</v>
      </c>
      <c r="N372" s="41">
        <v>79.0</v>
      </c>
      <c r="O372" s="41">
        <v>4.0</v>
      </c>
      <c r="P372" s="41">
        <v>1877.0</v>
      </c>
    </row>
    <row r="373">
      <c r="A373" s="30" t="s">
        <v>634</v>
      </c>
      <c r="B373" s="30" t="s">
        <v>520</v>
      </c>
      <c r="C373" s="30" t="s">
        <v>52</v>
      </c>
      <c r="D373" s="30" t="s">
        <v>522</v>
      </c>
      <c r="E373" s="30"/>
      <c r="G373" s="30"/>
      <c r="H373" s="30" t="s">
        <v>126</v>
      </c>
      <c r="I373" s="30" t="s">
        <v>34</v>
      </c>
      <c r="J373" s="30" t="s">
        <v>534</v>
      </c>
      <c r="K373" s="41">
        <v>1.0</v>
      </c>
      <c r="M373" s="41">
        <v>2986.0</v>
      </c>
      <c r="N373" s="41">
        <v>79.0</v>
      </c>
      <c r="O373" s="41">
        <v>4.0</v>
      </c>
      <c r="P373" s="41">
        <v>1877.0</v>
      </c>
    </row>
    <row r="374">
      <c r="A374" s="30" t="s">
        <v>635</v>
      </c>
      <c r="B374" s="30" t="s">
        <v>520</v>
      </c>
      <c r="C374" s="30" t="s">
        <v>52</v>
      </c>
      <c r="D374" s="30" t="s">
        <v>522</v>
      </c>
      <c r="E374" s="30"/>
      <c r="G374" s="30"/>
      <c r="H374" s="30" t="s">
        <v>144</v>
      </c>
      <c r="I374" s="30" t="s">
        <v>34</v>
      </c>
      <c r="J374" s="30" t="s">
        <v>535</v>
      </c>
      <c r="K374" s="41">
        <v>1.0</v>
      </c>
      <c r="M374" s="41">
        <v>2986.0</v>
      </c>
      <c r="N374" s="41">
        <v>79.0</v>
      </c>
      <c r="O374" s="41">
        <v>4.0</v>
      </c>
      <c r="P374" s="41">
        <v>1877.0</v>
      </c>
    </row>
    <row r="375">
      <c r="A375" s="30" t="s">
        <v>636</v>
      </c>
      <c r="B375" s="30" t="s">
        <v>520</v>
      </c>
      <c r="C375" s="30" t="s">
        <v>52</v>
      </c>
      <c r="D375" s="30" t="s">
        <v>522</v>
      </c>
      <c r="E375" s="30"/>
      <c r="G375" s="30"/>
      <c r="H375" s="30" t="s">
        <v>124</v>
      </c>
      <c r="I375" s="30" t="s">
        <v>34</v>
      </c>
      <c r="J375" s="30" t="s">
        <v>536</v>
      </c>
      <c r="K375" s="41">
        <v>1.0</v>
      </c>
      <c r="M375" s="41">
        <v>2986.0</v>
      </c>
      <c r="N375" s="41">
        <v>79.0</v>
      </c>
      <c r="O375" s="41">
        <v>4.0</v>
      </c>
      <c r="P375" s="41">
        <v>1877.0</v>
      </c>
    </row>
    <row r="376">
      <c r="A376" s="30" t="s">
        <v>637</v>
      </c>
      <c r="B376" s="30" t="s">
        <v>520</v>
      </c>
      <c r="C376" s="30" t="s">
        <v>52</v>
      </c>
      <c r="D376" s="30" t="s">
        <v>522</v>
      </c>
      <c r="E376" s="30"/>
      <c r="G376" s="30"/>
      <c r="H376" s="30" t="s">
        <v>143</v>
      </c>
      <c r="I376" s="30" t="s">
        <v>34</v>
      </c>
      <c r="J376" s="30" t="s">
        <v>536</v>
      </c>
      <c r="K376" s="41">
        <v>1.0</v>
      </c>
      <c r="M376" s="41">
        <v>2986.0</v>
      </c>
      <c r="N376" s="41">
        <v>79.0</v>
      </c>
      <c r="O376" s="41">
        <v>4.0</v>
      </c>
      <c r="P376" s="41">
        <v>1877.0</v>
      </c>
    </row>
    <row r="377">
      <c r="A377" s="30" t="s">
        <v>638</v>
      </c>
      <c r="B377" s="30" t="s">
        <v>520</v>
      </c>
      <c r="C377" s="30" t="s">
        <v>52</v>
      </c>
      <c r="D377" s="30" t="s">
        <v>522</v>
      </c>
      <c r="E377" s="30"/>
      <c r="G377" s="30"/>
      <c r="H377" s="30" t="s">
        <v>133</v>
      </c>
      <c r="I377" s="30" t="s">
        <v>35</v>
      </c>
      <c r="J377" s="30" t="s">
        <v>531</v>
      </c>
      <c r="K377" s="41">
        <v>1.0</v>
      </c>
      <c r="M377" s="41">
        <v>3068.0</v>
      </c>
      <c r="N377" s="41">
        <v>313.0</v>
      </c>
      <c r="O377" s="41">
        <v>3.0</v>
      </c>
      <c r="P377" s="41">
        <v>1763.0</v>
      </c>
    </row>
    <row r="378">
      <c r="A378" s="30" t="s">
        <v>639</v>
      </c>
      <c r="B378" s="30" t="s">
        <v>520</v>
      </c>
      <c r="C378" s="30" t="s">
        <v>52</v>
      </c>
      <c r="D378" s="30" t="s">
        <v>522</v>
      </c>
      <c r="E378" s="30"/>
      <c r="G378" s="30"/>
      <c r="H378" s="30" t="s">
        <v>145</v>
      </c>
      <c r="I378" s="30" t="s">
        <v>35</v>
      </c>
      <c r="J378" s="30" t="s">
        <v>532</v>
      </c>
      <c r="K378" s="41">
        <v>1.0</v>
      </c>
      <c r="M378" s="41">
        <v>3525.0</v>
      </c>
      <c r="N378" s="41">
        <v>315.0</v>
      </c>
      <c r="O378" s="41">
        <v>1.0</v>
      </c>
      <c r="P378" s="41">
        <v>2225.0</v>
      </c>
    </row>
    <row r="379">
      <c r="A379" s="30" t="s">
        <v>640</v>
      </c>
      <c r="B379" s="30" t="s">
        <v>520</v>
      </c>
      <c r="C379" s="30" t="s">
        <v>52</v>
      </c>
      <c r="D379" s="30" t="s">
        <v>522</v>
      </c>
      <c r="E379" s="30"/>
      <c r="G379" s="30"/>
      <c r="H379" s="30" t="s">
        <v>122</v>
      </c>
      <c r="I379" s="30" t="s">
        <v>35</v>
      </c>
      <c r="J379" s="30" t="s">
        <v>533</v>
      </c>
      <c r="K379" s="41">
        <v>1.0</v>
      </c>
      <c r="M379" s="41">
        <v>3525.0</v>
      </c>
      <c r="N379" s="41">
        <v>315.0</v>
      </c>
      <c r="O379" s="41">
        <v>1.0</v>
      </c>
      <c r="P379" s="41">
        <v>2225.0</v>
      </c>
    </row>
    <row r="380">
      <c r="A380" s="30" t="s">
        <v>641</v>
      </c>
      <c r="B380" s="30" t="s">
        <v>520</v>
      </c>
      <c r="C380" s="30" t="s">
        <v>52</v>
      </c>
      <c r="D380" s="30" t="s">
        <v>522</v>
      </c>
      <c r="E380" s="30"/>
      <c r="G380" s="30"/>
      <c r="H380" s="30" t="s">
        <v>129</v>
      </c>
      <c r="I380" s="30" t="s">
        <v>35</v>
      </c>
      <c r="J380" s="30" t="s">
        <v>533</v>
      </c>
      <c r="K380" s="41">
        <v>1.0</v>
      </c>
      <c r="M380" s="41">
        <v>3525.0</v>
      </c>
      <c r="N380" s="41">
        <v>315.0</v>
      </c>
      <c r="O380" s="41">
        <v>1.0</v>
      </c>
      <c r="P380" s="41">
        <v>2225.0</v>
      </c>
    </row>
    <row r="381">
      <c r="A381" s="30" t="s">
        <v>642</v>
      </c>
      <c r="B381" s="30" t="s">
        <v>520</v>
      </c>
      <c r="C381" s="30" t="s">
        <v>52</v>
      </c>
      <c r="D381" s="30" t="s">
        <v>522</v>
      </c>
      <c r="E381" s="30"/>
      <c r="G381" s="30"/>
      <c r="H381" s="30" t="s">
        <v>131</v>
      </c>
      <c r="I381" s="30" t="s">
        <v>35</v>
      </c>
      <c r="J381" s="30" t="s">
        <v>534</v>
      </c>
      <c r="K381" s="41">
        <v>1.0</v>
      </c>
      <c r="M381" s="41">
        <v>3525.0</v>
      </c>
      <c r="N381" s="41">
        <v>315.0</v>
      </c>
      <c r="O381" s="41">
        <v>1.0</v>
      </c>
      <c r="P381" s="41">
        <v>2225.0</v>
      </c>
    </row>
    <row r="382">
      <c r="A382" s="30" t="s">
        <v>643</v>
      </c>
      <c r="B382" s="30" t="s">
        <v>520</v>
      </c>
      <c r="C382" s="30" t="s">
        <v>52</v>
      </c>
      <c r="D382" s="30" t="s">
        <v>522</v>
      </c>
      <c r="E382" s="30"/>
      <c r="G382" s="30"/>
      <c r="H382" s="30" t="s">
        <v>126</v>
      </c>
      <c r="I382" s="30" t="s">
        <v>35</v>
      </c>
      <c r="J382" s="30" t="s">
        <v>534</v>
      </c>
      <c r="K382" s="41">
        <v>1.0</v>
      </c>
      <c r="M382" s="41">
        <v>3525.0</v>
      </c>
      <c r="N382" s="41">
        <v>315.0</v>
      </c>
      <c r="O382" s="41">
        <v>1.0</v>
      </c>
      <c r="P382" s="41">
        <v>2225.0</v>
      </c>
    </row>
    <row r="383">
      <c r="A383" s="30" t="s">
        <v>644</v>
      </c>
      <c r="B383" s="30" t="s">
        <v>520</v>
      </c>
      <c r="C383" s="30" t="s">
        <v>52</v>
      </c>
      <c r="D383" s="30" t="s">
        <v>522</v>
      </c>
      <c r="E383" s="30"/>
      <c r="G383" s="30"/>
      <c r="H383" s="30" t="s">
        <v>144</v>
      </c>
      <c r="I383" s="30" t="s">
        <v>35</v>
      </c>
      <c r="J383" s="30" t="s">
        <v>535</v>
      </c>
      <c r="K383" s="41">
        <v>1.0</v>
      </c>
      <c r="M383" s="41">
        <v>3525.0</v>
      </c>
      <c r="N383" s="41">
        <v>315.0</v>
      </c>
      <c r="O383" s="41">
        <v>1.0</v>
      </c>
      <c r="P383" s="41">
        <v>2225.0</v>
      </c>
    </row>
    <row r="384">
      <c r="A384" s="30" t="s">
        <v>645</v>
      </c>
      <c r="B384" s="30" t="s">
        <v>520</v>
      </c>
      <c r="C384" s="30" t="s">
        <v>52</v>
      </c>
      <c r="D384" s="30" t="s">
        <v>522</v>
      </c>
      <c r="E384" s="30"/>
      <c r="G384" s="30"/>
      <c r="H384" s="30" t="s">
        <v>124</v>
      </c>
      <c r="I384" s="30" t="s">
        <v>35</v>
      </c>
      <c r="J384" s="30" t="s">
        <v>536</v>
      </c>
      <c r="K384" s="41">
        <v>1.0</v>
      </c>
      <c r="M384" s="41">
        <v>3525.0</v>
      </c>
      <c r="N384" s="41">
        <v>315.0</v>
      </c>
      <c r="O384" s="41">
        <v>1.0</v>
      </c>
      <c r="P384" s="41">
        <v>2225.0</v>
      </c>
    </row>
    <row r="385">
      <c r="A385" s="30" t="s">
        <v>524</v>
      </c>
      <c r="B385" s="30" t="s">
        <v>520</v>
      </c>
      <c r="C385" s="30" t="s">
        <v>52</v>
      </c>
      <c r="D385" s="30" t="s">
        <v>522</v>
      </c>
      <c r="E385" s="30"/>
      <c r="G385" s="30"/>
      <c r="H385" s="30" t="s">
        <v>143</v>
      </c>
      <c r="I385" s="30" t="s">
        <v>35</v>
      </c>
      <c r="J385" s="30" t="s">
        <v>536</v>
      </c>
      <c r="K385" s="41">
        <v>1.0</v>
      </c>
      <c r="M385" s="41">
        <v>3525.0</v>
      </c>
      <c r="N385" s="41">
        <v>315.0</v>
      </c>
      <c r="O385" s="41">
        <v>1.0</v>
      </c>
      <c r="P385" s="41">
        <v>2225.0</v>
      </c>
    </row>
    <row r="386">
      <c r="A386" s="30" t="s">
        <v>503</v>
      </c>
      <c r="B386" s="30" t="s">
        <v>168</v>
      </c>
      <c r="C386" s="30" t="s">
        <v>52</v>
      </c>
      <c r="D386" s="30" t="s">
        <v>522</v>
      </c>
      <c r="E386" s="30" t="s">
        <v>37</v>
      </c>
      <c r="G386" s="30" t="s">
        <v>38</v>
      </c>
      <c r="H386" s="30" t="s">
        <v>133</v>
      </c>
      <c r="I386" s="30" t="s">
        <v>34</v>
      </c>
      <c r="J386" s="30" t="s">
        <v>531</v>
      </c>
      <c r="K386" s="41">
        <v>1.0</v>
      </c>
      <c r="M386" s="41">
        <v>2128.0</v>
      </c>
      <c r="N386" s="41">
        <v>89.0</v>
      </c>
      <c r="O386" s="41">
        <v>14.0</v>
      </c>
      <c r="P386" s="41">
        <v>1353.0</v>
      </c>
    </row>
    <row r="387">
      <c r="A387" s="30" t="s">
        <v>503</v>
      </c>
      <c r="B387" s="30" t="s">
        <v>168</v>
      </c>
      <c r="C387" s="30" t="s">
        <v>52</v>
      </c>
      <c r="D387" s="30" t="s">
        <v>522</v>
      </c>
      <c r="E387" s="30" t="s">
        <v>37</v>
      </c>
      <c r="G387" s="30" t="s">
        <v>38</v>
      </c>
      <c r="H387" s="30" t="s">
        <v>145</v>
      </c>
      <c r="I387" s="30" t="s">
        <v>34</v>
      </c>
      <c r="J387" s="30" t="s">
        <v>532</v>
      </c>
      <c r="K387" s="41">
        <v>1.0</v>
      </c>
      <c r="M387" s="41">
        <v>2868.0</v>
      </c>
      <c r="N387" s="41">
        <v>78.0</v>
      </c>
      <c r="O387" s="41">
        <v>3.0</v>
      </c>
      <c r="P387" s="41">
        <v>1783.0</v>
      </c>
    </row>
    <row r="388">
      <c r="A388" s="30" t="s">
        <v>503</v>
      </c>
      <c r="B388" s="30" t="s">
        <v>168</v>
      </c>
      <c r="C388" s="30" t="s">
        <v>52</v>
      </c>
      <c r="D388" s="30" t="s">
        <v>522</v>
      </c>
      <c r="E388" s="30" t="s">
        <v>37</v>
      </c>
      <c r="G388" s="30" t="s">
        <v>38</v>
      </c>
      <c r="H388" s="30" t="s">
        <v>122</v>
      </c>
      <c r="I388" s="30" t="s">
        <v>34</v>
      </c>
      <c r="J388" s="30" t="s">
        <v>533</v>
      </c>
      <c r="K388" s="41">
        <v>1.0</v>
      </c>
      <c r="M388" s="41">
        <v>2727.0</v>
      </c>
      <c r="N388" s="41">
        <v>64.0</v>
      </c>
      <c r="O388" s="41">
        <v>59.0</v>
      </c>
      <c r="P388" s="41">
        <v>2027.0</v>
      </c>
    </row>
    <row r="389">
      <c r="A389" s="30" t="s">
        <v>503</v>
      </c>
      <c r="B389" s="30" t="s">
        <v>168</v>
      </c>
      <c r="C389" s="30" t="s">
        <v>52</v>
      </c>
      <c r="D389" s="30" t="s">
        <v>522</v>
      </c>
      <c r="E389" s="30" t="s">
        <v>37</v>
      </c>
      <c r="G389" s="30" t="s">
        <v>38</v>
      </c>
      <c r="H389" s="30" t="s">
        <v>129</v>
      </c>
      <c r="I389" s="30" t="s">
        <v>34</v>
      </c>
      <c r="J389" s="30" t="s">
        <v>533</v>
      </c>
      <c r="K389" s="41">
        <v>1.0</v>
      </c>
      <c r="M389" s="41">
        <v>2868.0</v>
      </c>
      <c r="N389" s="41">
        <v>78.0</v>
      </c>
      <c r="O389" s="41">
        <v>3.0</v>
      </c>
      <c r="P389" s="41">
        <v>1783.0</v>
      </c>
    </row>
    <row r="390">
      <c r="A390" s="30" t="s">
        <v>503</v>
      </c>
      <c r="B390" s="30" t="s">
        <v>168</v>
      </c>
      <c r="C390" s="30" t="s">
        <v>52</v>
      </c>
      <c r="D390" s="30" t="s">
        <v>522</v>
      </c>
      <c r="E390" s="30" t="s">
        <v>37</v>
      </c>
      <c r="G390" s="30" t="s">
        <v>38</v>
      </c>
      <c r="H390" s="30" t="s">
        <v>131</v>
      </c>
      <c r="I390" s="30" t="s">
        <v>34</v>
      </c>
      <c r="J390" s="30" t="s">
        <v>534</v>
      </c>
      <c r="K390" s="41">
        <v>1.0</v>
      </c>
      <c r="M390" s="41">
        <v>1616.0</v>
      </c>
      <c r="N390" s="41">
        <v>56.0</v>
      </c>
      <c r="O390" s="41">
        <v>4.5</v>
      </c>
      <c r="P390" s="41">
        <v>847.0</v>
      </c>
    </row>
    <row r="391">
      <c r="A391" s="30" t="s">
        <v>503</v>
      </c>
      <c r="B391" s="30" t="s">
        <v>168</v>
      </c>
      <c r="C391" s="30" t="s">
        <v>52</v>
      </c>
      <c r="D391" s="30" t="s">
        <v>522</v>
      </c>
      <c r="E391" s="30" t="s">
        <v>37</v>
      </c>
      <c r="G391" s="30" t="s">
        <v>38</v>
      </c>
      <c r="H391" s="30" t="s">
        <v>126</v>
      </c>
      <c r="I391" s="30" t="s">
        <v>34</v>
      </c>
      <c r="J391" s="30" t="s">
        <v>534</v>
      </c>
      <c r="K391" s="41">
        <v>1.0</v>
      </c>
      <c r="M391" s="41">
        <v>2868.0</v>
      </c>
      <c r="N391" s="41">
        <v>78.0</v>
      </c>
      <c r="O391" s="41">
        <v>3.0</v>
      </c>
      <c r="P391" s="41">
        <v>1783.0</v>
      </c>
    </row>
    <row r="392">
      <c r="A392" s="30" t="s">
        <v>503</v>
      </c>
      <c r="B392" s="30" t="s">
        <v>168</v>
      </c>
      <c r="C392" s="30" t="s">
        <v>52</v>
      </c>
      <c r="D392" s="30" t="s">
        <v>522</v>
      </c>
      <c r="E392" s="30" t="s">
        <v>37</v>
      </c>
      <c r="G392" s="30" t="s">
        <v>38</v>
      </c>
      <c r="H392" s="30" t="s">
        <v>144</v>
      </c>
      <c r="I392" s="30" t="s">
        <v>34</v>
      </c>
      <c r="J392" s="30" t="s">
        <v>535</v>
      </c>
      <c r="K392" s="41">
        <v>1.0</v>
      </c>
      <c r="M392" s="41">
        <v>2505.0</v>
      </c>
      <c r="N392" s="41">
        <v>64.0</v>
      </c>
      <c r="O392" s="41">
        <v>27.5</v>
      </c>
      <c r="P392" s="41">
        <v>2029.0</v>
      </c>
    </row>
    <row r="393">
      <c r="A393" s="30" t="s">
        <v>503</v>
      </c>
      <c r="B393" s="30" t="s">
        <v>168</v>
      </c>
      <c r="C393" s="30" t="s">
        <v>52</v>
      </c>
      <c r="D393" s="30" t="s">
        <v>522</v>
      </c>
      <c r="E393" s="30" t="s">
        <v>37</v>
      </c>
      <c r="G393" s="30" t="s">
        <v>38</v>
      </c>
      <c r="H393" s="30" t="s">
        <v>124</v>
      </c>
      <c r="I393" s="30" t="s">
        <v>34</v>
      </c>
      <c r="J393" s="30" t="s">
        <v>536</v>
      </c>
      <c r="K393" s="41">
        <v>1.0</v>
      </c>
      <c r="M393" s="41">
        <v>2529.0</v>
      </c>
      <c r="N393" s="41">
        <v>80.0</v>
      </c>
      <c r="O393" s="41">
        <v>27.5</v>
      </c>
      <c r="P393" s="41">
        <v>1303.0</v>
      </c>
    </row>
    <row r="394">
      <c r="A394" s="30" t="s">
        <v>503</v>
      </c>
      <c r="B394" s="30" t="s">
        <v>168</v>
      </c>
      <c r="C394" s="30" t="s">
        <v>52</v>
      </c>
      <c r="D394" s="30" t="s">
        <v>522</v>
      </c>
      <c r="E394" s="30" t="s">
        <v>37</v>
      </c>
      <c r="G394" s="30" t="s">
        <v>38</v>
      </c>
      <c r="H394" s="30" t="s">
        <v>143</v>
      </c>
      <c r="I394" s="30" t="s">
        <v>34</v>
      </c>
      <c r="J394" s="30" t="s">
        <v>536</v>
      </c>
      <c r="K394" s="41">
        <v>1.0</v>
      </c>
      <c r="M394" s="41">
        <v>2868.0</v>
      </c>
      <c r="N394" s="41">
        <v>78.0</v>
      </c>
      <c r="O394" s="41">
        <v>3.0</v>
      </c>
      <c r="P394" s="41">
        <v>1783.0</v>
      </c>
    </row>
    <row r="395">
      <c r="A395" s="30" t="s">
        <v>503</v>
      </c>
      <c r="B395" s="30" t="s">
        <v>168</v>
      </c>
      <c r="C395" s="30" t="s">
        <v>52</v>
      </c>
      <c r="D395" s="30" t="s">
        <v>522</v>
      </c>
      <c r="E395" s="30" t="s">
        <v>37</v>
      </c>
      <c r="G395" s="30" t="s">
        <v>38</v>
      </c>
      <c r="H395" s="30" t="s">
        <v>133</v>
      </c>
      <c r="I395" s="30" t="s">
        <v>35</v>
      </c>
      <c r="J395" s="30" t="s">
        <v>531</v>
      </c>
      <c r="K395" s="41">
        <v>1.0</v>
      </c>
      <c r="M395" s="41">
        <v>2693.0</v>
      </c>
      <c r="N395" s="41">
        <v>243.0</v>
      </c>
      <c r="O395" s="41">
        <v>4.0</v>
      </c>
      <c r="P395" s="41">
        <v>1746.0</v>
      </c>
    </row>
    <row r="396">
      <c r="A396" s="30" t="s">
        <v>503</v>
      </c>
      <c r="B396" s="30" t="s">
        <v>168</v>
      </c>
      <c r="C396" s="30" t="s">
        <v>52</v>
      </c>
      <c r="D396" s="30" t="s">
        <v>522</v>
      </c>
      <c r="E396" s="30" t="s">
        <v>37</v>
      </c>
      <c r="G396" s="30" t="s">
        <v>38</v>
      </c>
      <c r="H396" s="30" t="s">
        <v>145</v>
      </c>
      <c r="I396" s="30" t="s">
        <v>35</v>
      </c>
      <c r="J396" s="30" t="s">
        <v>532</v>
      </c>
      <c r="K396" s="41">
        <v>1.0</v>
      </c>
      <c r="M396" s="41">
        <v>3541.0</v>
      </c>
      <c r="N396" s="41">
        <v>309.0</v>
      </c>
      <c r="O396" s="41">
        <v>2.0</v>
      </c>
      <c r="P396" s="41">
        <v>2324.0</v>
      </c>
    </row>
    <row r="397">
      <c r="A397" s="30" t="s">
        <v>503</v>
      </c>
      <c r="B397" s="30" t="s">
        <v>168</v>
      </c>
      <c r="C397" s="30" t="s">
        <v>52</v>
      </c>
      <c r="D397" s="30" t="s">
        <v>522</v>
      </c>
      <c r="E397" s="30" t="s">
        <v>37</v>
      </c>
      <c r="G397" s="30" t="s">
        <v>38</v>
      </c>
      <c r="H397" s="30" t="s">
        <v>122</v>
      </c>
      <c r="I397" s="30" t="s">
        <v>35</v>
      </c>
      <c r="J397" s="30" t="s">
        <v>533</v>
      </c>
      <c r="K397" s="41">
        <v>1.0</v>
      </c>
      <c r="M397" s="41">
        <v>3112.0</v>
      </c>
      <c r="N397" s="41">
        <v>163.0</v>
      </c>
      <c r="O397" s="41">
        <v>53.5</v>
      </c>
      <c r="P397" s="41">
        <v>2355.0</v>
      </c>
    </row>
    <row r="398">
      <c r="A398" s="30" t="s">
        <v>503</v>
      </c>
      <c r="B398" s="30" t="s">
        <v>168</v>
      </c>
      <c r="C398" s="30" t="s">
        <v>52</v>
      </c>
      <c r="D398" s="30" t="s">
        <v>522</v>
      </c>
      <c r="E398" s="30" t="s">
        <v>37</v>
      </c>
      <c r="G398" s="30" t="s">
        <v>38</v>
      </c>
      <c r="H398" s="30" t="s">
        <v>129</v>
      </c>
      <c r="I398" s="30" t="s">
        <v>35</v>
      </c>
      <c r="J398" s="30" t="s">
        <v>533</v>
      </c>
      <c r="K398" s="41">
        <v>1.0</v>
      </c>
      <c r="M398" s="41">
        <v>3541.0</v>
      </c>
      <c r="N398" s="41">
        <v>309.0</v>
      </c>
      <c r="O398" s="41">
        <v>2.0</v>
      </c>
      <c r="P398" s="41">
        <v>2324.0</v>
      </c>
    </row>
    <row r="399">
      <c r="A399" s="30" t="s">
        <v>503</v>
      </c>
      <c r="B399" s="30" t="s">
        <v>168</v>
      </c>
      <c r="C399" s="30" t="s">
        <v>52</v>
      </c>
      <c r="D399" s="30" t="s">
        <v>522</v>
      </c>
      <c r="E399" s="30" t="s">
        <v>37</v>
      </c>
      <c r="G399" s="30" t="s">
        <v>38</v>
      </c>
      <c r="H399" s="30" t="s">
        <v>131</v>
      </c>
      <c r="I399" s="30" t="s">
        <v>35</v>
      </c>
      <c r="J399" s="30" t="s">
        <v>534</v>
      </c>
      <c r="K399" s="41">
        <v>1.0</v>
      </c>
      <c r="M399" s="41">
        <v>1791.0</v>
      </c>
      <c r="N399" s="41">
        <v>189.0</v>
      </c>
      <c r="O399" s="41">
        <v>8.0</v>
      </c>
      <c r="P399" s="41">
        <v>1022.0</v>
      </c>
    </row>
    <row r="400">
      <c r="A400" s="30" t="s">
        <v>503</v>
      </c>
      <c r="B400" s="30" t="s">
        <v>168</v>
      </c>
      <c r="C400" s="30" t="s">
        <v>52</v>
      </c>
      <c r="D400" s="30" t="s">
        <v>522</v>
      </c>
      <c r="E400" s="30" t="s">
        <v>37</v>
      </c>
      <c r="G400" s="30" t="s">
        <v>38</v>
      </c>
      <c r="H400" s="30" t="s">
        <v>126</v>
      </c>
      <c r="I400" s="30" t="s">
        <v>35</v>
      </c>
      <c r="J400" s="30" t="s">
        <v>534</v>
      </c>
      <c r="K400" s="41">
        <v>1.0</v>
      </c>
      <c r="M400" s="41">
        <v>3541.0</v>
      </c>
      <c r="N400" s="41">
        <v>309.0</v>
      </c>
      <c r="O400" s="41">
        <v>2.0</v>
      </c>
      <c r="P400" s="41">
        <v>2324.0</v>
      </c>
    </row>
    <row r="401">
      <c r="A401" s="30" t="s">
        <v>503</v>
      </c>
      <c r="B401" s="30" t="s">
        <v>168</v>
      </c>
      <c r="C401" s="30" t="s">
        <v>52</v>
      </c>
      <c r="D401" s="30" t="s">
        <v>522</v>
      </c>
      <c r="E401" s="30" t="s">
        <v>37</v>
      </c>
      <c r="G401" s="30" t="s">
        <v>38</v>
      </c>
      <c r="H401" s="30" t="s">
        <v>144</v>
      </c>
      <c r="I401" s="30" t="s">
        <v>35</v>
      </c>
      <c r="J401" s="30" t="s">
        <v>535</v>
      </c>
      <c r="K401" s="41">
        <v>1.0</v>
      </c>
      <c r="M401" s="41">
        <v>3460.0</v>
      </c>
      <c r="N401" s="41">
        <v>319.0</v>
      </c>
      <c r="O401" s="41">
        <v>14.0</v>
      </c>
      <c r="P401" s="41">
        <v>2338.0</v>
      </c>
    </row>
    <row r="402">
      <c r="A402" s="30" t="s">
        <v>503</v>
      </c>
      <c r="B402" s="30" t="s">
        <v>168</v>
      </c>
      <c r="C402" s="30" t="s">
        <v>52</v>
      </c>
      <c r="D402" s="30" t="s">
        <v>522</v>
      </c>
      <c r="E402" s="30" t="s">
        <v>37</v>
      </c>
      <c r="G402" s="30" t="s">
        <v>38</v>
      </c>
      <c r="H402" s="30" t="s">
        <v>124</v>
      </c>
      <c r="I402" s="30" t="s">
        <v>35</v>
      </c>
      <c r="J402" s="30" t="s">
        <v>536</v>
      </c>
      <c r="K402" s="41">
        <v>1.0</v>
      </c>
      <c r="M402" s="41">
        <v>2501.0</v>
      </c>
      <c r="N402" s="41">
        <v>193.0</v>
      </c>
      <c r="O402" s="41">
        <v>12.5</v>
      </c>
      <c r="P402" s="41">
        <v>1538.0</v>
      </c>
    </row>
    <row r="403">
      <c r="A403" s="30" t="s">
        <v>503</v>
      </c>
      <c r="B403" s="30" t="s">
        <v>168</v>
      </c>
      <c r="C403" s="30" t="s">
        <v>52</v>
      </c>
      <c r="D403" s="30" t="s">
        <v>522</v>
      </c>
      <c r="E403" s="30" t="s">
        <v>37</v>
      </c>
      <c r="G403" s="30" t="s">
        <v>38</v>
      </c>
      <c r="H403" s="30" t="s">
        <v>143</v>
      </c>
      <c r="I403" s="30" t="s">
        <v>35</v>
      </c>
      <c r="J403" s="30" t="s">
        <v>536</v>
      </c>
      <c r="K403" s="41">
        <v>1.0</v>
      </c>
      <c r="M403" s="41">
        <v>3541.0</v>
      </c>
      <c r="N403" s="41">
        <v>309.0</v>
      </c>
      <c r="O403" s="41">
        <v>2.0</v>
      </c>
      <c r="P403" s="41">
        <v>2324.0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1</v>
      </c>
      <c r="B1" s="30" t="s">
        <v>153</v>
      </c>
      <c r="C1" s="30" t="s">
        <v>154</v>
      </c>
      <c r="D1" s="30" t="s">
        <v>3</v>
      </c>
      <c r="E1" s="30" t="s">
        <v>4</v>
      </c>
      <c r="F1" s="30" t="s">
        <v>646</v>
      </c>
      <c r="G1" s="30" t="s">
        <v>647</v>
      </c>
      <c r="H1" s="30" t="s">
        <v>648</v>
      </c>
      <c r="I1" s="30" t="s">
        <v>649</v>
      </c>
    </row>
    <row r="2">
      <c r="A2" s="30" t="s">
        <v>168</v>
      </c>
      <c r="B2" s="30" t="s">
        <v>52</v>
      </c>
      <c r="C2" s="30" t="s">
        <v>500</v>
      </c>
      <c r="D2" s="30" t="s">
        <v>27</v>
      </c>
      <c r="E2" s="30" t="s">
        <v>28</v>
      </c>
      <c r="F2" s="41">
        <v>0.0</v>
      </c>
      <c r="G2" s="41">
        <v>0.0</v>
      </c>
      <c r="H2" s="41">
        <v>0.0</v>
      </c>
      <c r="I2" s="41">
        <v>100.0</v>
      </c>
    </row>
    <row r="3">
      <c r="A3" s="30" t="s">
        <v>168</v>
      </c>
      <c r="B3" s="30" t="s">
        <v>52</v>
      </c>
      <c r="C3" s="30" t="s">
        <v>169</v>
      </c>
      <c r="D3" s="30" t="s">
        <v>133</v>
      </c>
      <c r="E3" s="30" t="s">
        <v>35</v>
      </c>
      <c r="F3" s="41">
        <v>360.0</v>
      </c>
      <c r="G3" s="41">
        <v>240.0</v>
      </c>
      <c r="H3" s="41">
        <v>0.0</v>
      </c>
      <c r="I3" s="41">
        <v>84.0</v>
      </c>
    </row>
    <row r="4">
      <c r="A4" s="30" t="s">
        <v>168</v>
      </c>
      <c r="B4" s="30" t="s">
        <v>52</v>
      </c>
      <c r="C4" s="30" t="s">
        <v>172</v>
      </c>
      <c r="D4" s="30" t="s">
        <v>133</v>
      </c>
      <c r="E4" s="30" t="s">
        <v>34</v>
      </c>
      <c r="F4" s="41">
        <v>105.0</v>
      </c>
      <c r="G4" s="41">
        <v>111.0</v>
      </c>
      <c r="H4" s="41">
        <v>0.0</v>
      </c>
      <c r="I4" s="41">
        <v>93.0</v>
      </c>
    </row>
    <row r="5">
      <c r="A5" s="30" t="s">
        <v>168</v>
      </c>
      <c r="B5" s="30" t="s">
        <v>52</v>
      </c>
      <c r="C5" s="30" t="s">
        <v>172</v>
      </c>
      <c r="D5" s="30" t="s">
        <v>133</v>
      </c>
      <c r="E5" s="30" t="s">
        <v>35</v>
      </c>
      <c r="F5" s="41">
        <v>1575.0</v>
      </c>
      <c r="G5" s="41">
        <v>428.0</v>
      </c>
      <c r="H5" s="41">
        <v>0.002</v>
      </c>
      <c r="I5" s="41">
        <v>63.0</v>
      </c>
    </row>
    <row r="6">
      <c r="A6" s="30" t="s">
        <v>168</v>
      </c>
      <c r="B6" s="30" t="s">
        <v>52</v>
      </c>
      <c r="C6" s="30" t="s">
        <v>169</v>
      </c>
      <c r="D6" s="30" t="s">
        <v>133</v>
      </c>
      <c r="E6" s="30" t="s">
        <v>34</v>
      </c>
      <c r="F6" s="41">
        <v>118.0</v>
      </c>
      <c r="G6" s="41">
        <v>115.0</v>
      </c>
      <c r="H6" s="41">
        <v>0.0</v>
      </c>
      <c r="I6" s="41">
        <v>93.0</v>
      </c>
    </row>
    <row r="7">
      <c r="A7" s="30" t="s">
        <v>168</v>
      </c>
      <c r="B7" s="30" t="s">
        <v>52</v>
      </c>
      <c r="C7" s="30" t="s">
        <v>169</v>
      </c>
      <c r="D7" s="30" t="s">
        <v>145</v>
      </c>
      <c r="E7" s="30" t="s">
        <v>34</v>
      </c>
      <c r="F7" s="41">
        <v>151.0</v>
      </c>
      <c r="G7" s="41">
        <v>26.0</v>
      </c>
      <c r="H7" s="41">
        <v>0.0</v>
      </c>
      <c r="I7" s="41">
        <v>97.0</v>
      </c>
    </row>
    <row r="8">
      <c r="A8" s="30" t="s">
        <v>168</v>
      </c>
      <c r="B8" s="30" t="s">
        <v>52</v>
      </c>
      <c r="C8" s="30" t="s">
        <v>169</v>
      </c>
      <c r="D8" s="30" t="s">
        <v>122</v>
      </c>
      <c r="E8" s="30" t="s">
        <v>34</v>
      </c>
      <c r="F8" s="41">
        <v>35.0</v>
      </c>
      <c r="G8" s="41">
        <v>23.0</v>
      </c>
      <c r="H8" s="41">
        <v>0.0</v>
      </c>
      <c r="I8" s="41">
        <v>99.0</v>
      </c>
    </row>
    <row r="9">
      <c r="A9" s="30" t="s">
        <v>168</v>
      </c>
      <c r="B9" s="30" t="s">
        <v>52</v>
      </c>
      <c r="C9" s="30" t="s">
        <v>169</v>
      </c>
      <c r="D9" s="30" t="s">
        <v>129</v>
      </c>
      <c r="E9" s="30" t="s">
        <v>34</v>
      </c>
      <c r="F9" s="41">
        <v>411.0</v>
      </c>
      <c r="G9" s="41">
        <v>36.0</v>
      </c>
      <c r="H9" s="41">
        <v>0.0</v>
      </c>
      <c r="I9" s="41">
        <v>94.0</v>
      </c>
    </row>
    <row r="10">
      <c r="A10" s="30" t="s">
        <v>168</v>
      </c>
      <c r="B10" s="30" t="s">
        <v>52</v>
      </c>
      <c r="C10" s="30" t="s">
        <v>169</v>
      </c>
      <c r="D10" s="30" t="s">
        <v>131</v>
      </c>
      <c r="E10" s="30" t="s">
        <v>34</v>
      </c>
      <c r="F10" s="41">
        <v>108.0</v>
      </c>
      <c r="G10" s="41">
        <v>42.0</v>
      </c>
      <c r="H10" s="41">
        <v>0.0</v>
      </c>
      <c r="I10" s="41">
        <v>97.0</v>
      </c>
    </row>
    <row r="11">
      <c r="A11" s="30" t="s">
        <v>168</v>
      </c>
      <c r="B11" s="30" t="s">
        <v>52</v>
      </c>
      <c r="C11" s="30" t="s">
        <v>169</v>
      </c>
      <c r="D11" s="30" t="s">
        <v>126</v>
      </c>
      <c r="E11" s="30" t="s">
        <v>34</v>
      </c>
      <c r="F11" s="41">
        <v>73.0</v>
      </c>
      <c r="G11" s="41">
        <v>77.0</v>
      </c>
      <c r="H11" s="41">
        <v>0.0</v>
      </c>
      <c r="I11" s="41">
        <v>95.0</v>
      </c>
    </row>
    <row r="12">
      <c r="A12" s="30" t="s">
        <v>168</v>
      </c>
      <c r="B12" s="30" t="s">
        <v>52</v>
      </c>
      <c r="C12" s="30" t="s">
        <v>169</v>
      </c>
      <c r="D12" s="30" t="s">
        <v>144</v>
      </c>
      <c r="E12" s="30" t="s">
        <v>34</v>
      </c>
      <c r="F12" s="41">
        <v>27.0</v>
      </c>
      <c r="G12" s="41">
        <v>62.0</v>
      </c>
      <c r="H12" s="41">
        <v>0.0</v>
      </c>
      <c r="I12" s="41">
        <v>97.0</v>
      </c>
    </row>
    <row r="13">
      <c r="A13" s="30" t="s">
        <v>168</v>
      </c>
      <c r="B13" s="30" t="s">
        <v>52</v>
      </c>
      <c r="C13" s="30" t="s">
        <v>169</v>
      </c>
      <c r="D13" s="30" t="s">
        <v>124</v>
      </c>
      <c r="E13" s="30" t="s">
        <v>34</v>
      </c>
      <c r="F13" s="41">
        <v>217.0</v>
      </c>
      <c r="G13" s="41">
        <v>18.0</v>
      </c>
      <c r="H13" s="41">
        <v>0.0</v>
      </c>
      <c r="I13" s="41">
        <v>97.0</v>
      </c>
    </row>
    <row r="14">
      <c r="A14" s="30" t="s">
        <v>168</v>
      </c>
      <c r="B14" s="30" t="s">
        <v>52</v>
      </c>
      <c r="C14" s="30" t="s">
        <v>169</v>
      </c>
      <c r="D14" s="30" t="s">
        <v>145</v>
      </c>
      <c r="E14" s="30" t="s">
        <v>35</v>
      </c>
      <c r="F14" s="41">
        <v>79.0</v>
      </c>
      <c r="G14" s="41">
        <v>127.0</v>
      </c>
      <c r="H14" s="41">
        <v>0.0</v>
      </c>
      <c r="I14" s="41">
        <v>93.0</v>
      </c>
    </row>
    <row r="15">
      <c r="A15" s="30" t="s">
        <v>168</v>
      </c>
      <c r="B15" s="30" t="s">
        <v>52</v>
      </c>
      <c r="C15" s="30" t="s">
        <v>169</v>
      </c>
      <c r="D15" s="30" t="s">
        <v>122</v>
      </c>
      <c r="E15" s="30" t="s">
        <v>35</v>
      </c>
      <c r="F15" s="41">
        <v>66.0</v>
      </c>
      <c r="G15" s="41">
        <v>147.0</v>
      </c>
      <c r="H15" s="41">
        <v>0.0</v>
      </c>
      <c r="I15" s="41">
        <v>92.0</v>
      </c>
    </row>
    <row r="16">
      <c r="A16" s="30" t="s">
        <v>168</v>
      </c>
      <c r="B16" s="30" t="s">
        <v>52</v>
      </c>
      <c r="C16" s="30" t="s">
        <v>169</v>
      </c>
      <c r="D16" s="30" t="s">
        <v>129</v>
      </c>
      <c r="E16" s="30" t="s">
        <v>35</v>
      </c>
      <c r="F16" s="41">
        <v>2629.0</v>
      </c>
      <c r="G16" s="41">
        <v>116.0</v>
      </c>
      <c r="H16" s="41">
        <v>0.0</v>
      </c>
      <c r="I16" s="41">
        <v>68.0</v>
      </c>
    </row>
    <row r="17">
      <c r="A17" s="30" t="s">
        <v>168</v>
      </c>
      <c r="B17" s="30" t="s">
        <v>52</v>
      </c>
      <c r="C17" s="30" t="s">
        <v>169</v>
      </c>
      <c r="D17" s="30" t="s">
        <v>131</v>
      </c>
      <c r="E17" s="30" t="s">
        <v>35</v>
      </c>
      <c r="F17" s="41">
        <v>28.0</v>
      </c>
      <c r="G17" s="41">
        <v>109.0</v>
      </c>
      <c r="H17" s="41">
        <v>0.0</v>
      </c>
      <c r="I17" s="41">
        <v>94.0</v>
      </c>
    </row>
    <row r="18">
      <c r="A18" s="30" t="s">
        <v>168</v>
      </c>
      <c r="B18" s="30" t="s">
        <v>52</v>
      </c>
      <c r="C18" s="30" t="s">
        <v>169</v>
      </c>
      <c r="D18" s="30" t="s">
        <v>126</v>
      </c>
      <c r="E18" s="30" t="s">
        <v>35</v>
      </c>
      <c r="F18" s="41">
        <v>3142.0</v>
      </c>
      <c r="G18" s="41">
        <v>283.0</v>
      </c>
      <c r="H18" s="41">
        <v>0.0</v>
      </c>
      <c r="I18" s="41">
        <v>54.0</v>
      </c>
    </row>
    <row r="19">
      <c r="A19" s="30" t="s">
        <v>168</v>
      </c>
      <c r="B19" s="30" t="s">
        <v>52</v>
      </c>
      <c r="C19" s="30" t="s">
        <v>169</v>
      </c>
      <c r="D19" s="30" t="s">
        <v>144</v>
      </c>
      <c r="E19" s="30" t="s">
        <v>35</v>
      </c>
      <c r="F19" s="41">
        <v>279.0</v>
      </c>
      <c r="G19" s="41">
        <v>293.0</v>
      </c>
      <c r="H19" s="41">
        <v>0.0</v>
      </c>
      <c r="I19" s="41">
        <v>83.0</v>
      </c>
    </row>
    <row r="20">
      <c r="A20" s="30" t="s">
        <v>168</v>
      </c>
      <c r="B20" s="30" t="s">
        <v>52</v>
      </c>
      <c r="C20" s="30" t="s">
        <v>169</v>
      </c>
      <c r="D20" s="30" t="s">
        <v>124</v>
      </c>
      <c r="E20" s="30" t="s">
        <v>35</v>
      </c>
      <c r="F20" s="41">
        <v>641.0</v>
      </c>
      <c r="G20" s="41">
        <v>126.0</v>
      </c>
      <c r="H20" s="41">
        <v>0.0</v>
      </c>
      <c r="I20" s="41">
        <v>87.0</v>
      </c>
    </row>
    <row r="21">
      <c r="A21" s="30" t="s">
        <v>168</v>
      </c>
      <c r="B21" s="30" t="s">
        <v>52</v>
      </c>
      <c r="C21" s="30" t="s">
        <v>172</v>
      </c>
      <c r="D21" s="30" t="s">
        <v>145</v>
      </c>
      <c r="E21" s="30" t="s">
        <v>34</v>
      </c>
      <c r="F21" s="41">
        <v>735.0</v>
      </c>
      <c r="G21" s="41">
        <v>60.0</v>
      </c>
      <c r="H21" s="41">
        <v>0.0</v>
      </c>
      <c r="I21" s="41">
        <v>90.0</v>
      </c>
    </row>
    <row r="22">
      <c r="A22" s="30" t="s">
        <v>168</v>
      </c>
      <c r="B22" s="30" t="s">
        <v>52</v>
      </c>
      <c r="C22" s="30" t="s">
        <v>172</v>
      </c>
      <c r="D22" s="30" t="s">
        <v>122</v>
      </c>
      <c r="E22" s="30" t="s">
        <v>34</v>
      </c>
      <c r="F22" s="41">
        <v>756.0</v>
      </c>
      <c r="G22" s="41">
        <v>137.0</v>
      </c>
      <c r="H22" s="41">
        <v>0.0</v>
      </c>
      <c r="I22" s="41">
        <v>86.0</v>
      </c>
    </row>
    <row r="23">
      <c r="A23" s="30" t="s">
        <v>168</v>
      </c>
      <c r="B23" s="30" t="s">
        <v>52</v>
      </c>
      <c r="C23" s="30" t="s">
        <v>172</v>
      </c>
      <c r="D23" s="30" t="s">
        <v>129</v>
      </c>
      <c r="E23" s="30" t="s">
        <v>34</v>
      </c>
      <c r="F23" s="41">
        <v>172.0</v>
      </c>
      <c r="G23" s="41">
        <v>25.0</v>
      </c>
      <c r="H23" s="41">
        <v>0.0</v>
      </c>
      <c r="I23" s="41">
        <v>97.0</v>
      </c>
    </row>
    <row r="24">
      <c r="A24" s="30" t="s">
        <v>168</v>
      </c>
      <c r="B24" s="30" t="s">
        <v>52</v>
      </c>
      <c r="C24" s="30" t="s">
        <v>172</v>
      </c>
      <c r="D24" s="30" t="s">
        <v>131</v>
      </c>
      <c r="E24" s="30" t="s">
        <v>34</v>
      </c>
      <c r="F24" s="41">
        <v>132.0</v>
      </c>
      <c r="G24" s="41">
        <v>55.0</v>
      </c>
      <c r="H24" s="41">
        <v>0.0</v>
      </c>
      <c r="I24" s="41">
        <v>96.0</v>
      </c>
    </row>
    <row r="25">
      <c r="A25" s="30" t="s">
        <v>168</v>
      </c>
      <c r="B25" s="30" t="s">
        <v>52</v>
      </c>
      <c r="C25" s="30" t="s">
        <v>172</v>
      </c>
      <c r="D25" s="30" t="s">
        <v>126</v>
      </c>
      <c r="E25" s="30" t="s">
        <v>34</v>
      </c>
      <c r="F25" s="41">
        <v>312.0</v>
      </c>
      <c r="G25" s="41">
        <v>265.0</v>
      </c>
      <c r="H25" s="41">
        <v>0.0</v>
      </c>
      <c r="I25" s="41">
        <v>84.0</v>
      </c>
    </row>
    <row r="26">
      <c r="A26" s="30" t="s">
        <v>168</v>
      </c>
      <c r="B26" s="30" t="s">
        <v>52</v>
      </c>
      <c r="C26" s="30" t="s">
        <v>172</v>
      </c>
      <c r="D26" s="30" t="s">
        <v>144</v>
      </c>
      <c r="E26" s="30" t="s">
        <v>34</v>
      </c>
      <c r="F26" s="41">
        <v>62.0</v>
      </c>
      <c r="G26" s="41">
        <v>154.0</v>
      </c>
      <c r="H26" s="41">
        <v>0.0</v>
      </c>
      <c r="I26" s="41">
        <v>92.0</v>
      </c>
    </row>
    <row r="27">
      <c r="A27" s="30" t="s">
        <v>168</v>
      </c>
      <c r="B27" s="30" t="s">
        <v>52</v>
      </c>
      <c r="C27" s="30" t="s">
        <v>172</v>
      </c>
      <c r="D27" s="30" t="s">
        <v>124</v>
      </c>
      <c r="E27" s="30" t="s">
        <v>34</v>
      </c>
      <c r="F27" s="41">
        <v>95.0</v>
      </c>
      <c r="G27" s="41">
        <v>37.0</v>
      </c>
      <c r="H27" s="41">
        <v>0.0</v>
      </c>
      <c r="I27" s="41">
        <v>97.0</v>
      </c>
    </row>
    <row r="28">
      <c r="A28" s="30" t="s">
        <v>168</v>
      </c>
      <c r="B28" s="30" t="s">
        <v>52</v>
      </c>
      <c r="C28" s="30" t="s">
        <v>172</v>
      </c>
      <c r="D28" s="30" t="s">
        <v>143</v>
      </c>
      <c r="E28" s="30" t="s">
        <v>34</v>
      </c>
      <c r="F28" s="41">
        <v>273.0</v>
      </c>
      <c r="G28" s="41">
        <v>157.0</v>
      </c>
      <c r="H28" s="41">
        <v>0.0</v>
      </c>
      <c r="I28" s="41">
        <v>89.0</v>
      </c>
    </row>
    <row r="29">
      <c r="A29" s="30" t="s">
        <v>168</v>
      </c>
      <c r="B29" s="30" t="s">
        <v>52</v>
      </c>
      <c r="C29" s="30" t="s">
        <v>172</v>
      </c>
      <c r="D29" s="30" t="s">
        <v>145</v>
      </c>
      <c r="E29" s="30" t="s">
        <v>35</v>
      </c>
      <c r="F29" s="41">
        <v>745.0</v>
      </c>
      <c r="G29" s="41">
        <v>46.0</v>
      </c>
      <c r="H29" s="41">
        <v>0.0</v>
      </c>
      <c r="I29" s="41">
        <v>90.0</v>
      </c>
    </row>
    <row r="30">
      <c r="A30" s="30" t="s">
        <v>168</v>
      </c>
      <c r="B30" s="30" t="s">
        <v>52</v>
      </c>
      <c r="C30" s="30" t="s">
        <v>172</v>
      </c>
      <c r="D30" s="30" t="s">
        <v>122</v>
      </c>
      <c r="E30" s="30" t="s">
        <v>35</v>
      </c>
      <c r="F30" s="41">
        <v>6732.0</v>
      </c>
      <c r="G30" s="41">
        <v>59.0</v>
      </c>
      <c r="H30" s="41">
        <v>0.0</v>
      </c>
      <c r="I30" s="41">
        <v>57.0</v>
      </c>
    </row>
    <row r="31">
      <c r="A31" s="30" t="s">
        <v>168</v>
      </c>
      <c r="B31" s="30" t="s">
        <v>52</v>
      </c>
      <c r="C31" s="30" t="s">
        <v>172</v>
      </c>
      <c r="D31" s="30" t="s">
        <v>129</v>
      </c>
      <c r="E31" s="30" t="s">
        <v>35</v>
      </c>
      <c r="F31" s="41">
        <v>1305.0</v>
      </c>
      <c r="G31" s="41">
        <v>67.0</v>
      </c>
      <c r="H31" s="41">
        <v>0.0</v>
      </c>
      <c r="I31" s="41">
        <v>84.0</v>
      </c>
    </row>
    <row r="32">
      <c r="A32" s="30" t="s">
        <v>168</v>
      </c>
      <c r="B32" s="30" t="s">
        <v>52</v>
      </c>
      <c r="C32" s="30" t="s">
        <v>172</v>
      </c>
      <c r="D32" s="30" t="s">
        <v>131</v>
      </c>
      <c r="E32" s="30" t="s">
        <v>35</v>
      </c>
      <c r="F32" s="41">
        <v>2340.0</v>
      </c>
      <c r="G32" s="41">
        <v>63.0</v>
      </c>
      <c r="H32" s="41">
        <v>0.0</v>
      </c>
      <c r="I32" s="41">
        <v>73.0</v>
      </c>
    </row>
    <row r="33">
      <c r="A33" s="30" t="s">
        <v>168</v>
      </c>
      <c r="B33" s="30" t="s">
        <v>52</v>
      </c>
      <c r="C33" s="30" t="s">
        <v>172</v>
      </c>
      <c r="D33" s="30" t="s">
        <v>126</v>
      </c>
      <c r="E33" s="30" t="s">
        <v>35</v>
      </c>
      <c r="F33" s="41">
        <v>3081.0</v>
      </c>
      <c r="G33" s="41">
        <v>186.0</v>
      </c>
      <c r="H33" s="41">
        <v>0.0</v>
      </c>
      <c r="I33" s="41">
        <v>60.0</v>
      </c>
    </row>
    <row r="34">
      <c r="A34" s="30" t="s">
        <v>168</v>
      </c>
      <c r="B34" s="30" t="s">
        <v>52</v>
      </c>
      <c r="C34" s="30" t="s">
        <v>172</v>
      </c>
      <c r="D34" s="30" t="s">
        <v>144</v>
      </c>
      <c r="E34" s="30" t="s">
        <v>35</v>
      </c>
      <c r="F34" s="41">
        <v>1379.0</v>
      </c>
      <c r="G34" s="41">
        <v>171.0</v>
      </c>
      <c r="H34" s="41">
        <v>0.0</v>
      </c>
      <c r="I34" s="41">
        <v>78.0</v>
      </c>
    </row>
    <row r="35">
      <c r="A35" s="30" t="s">
        <v>168</v>
      </c>
      <c r="B35" s="30" t="s">
        <v>52</v>
      </c>
      <c r="C35" s="30" t="s">
        <v>172</v>
      </c>
      <c r="D35" s="30" t="s">
        <v>124</v>
      </c>
      <c r="E35" s="30" t="s">
        <v>35</v>
      </c>
      <c r="F35" s="41">
        <v>3713.0</v>
      </c>
      <c r="G35" s="41">
        <v>46.0</v>
      </c>
      <c r="H35" s="41">
        <v>0.0</v>
      </c>
      <c r="I35" s="41">
        <v>61.0</v>
      </c>
    </row>
    <row r="36">
      <c r="A36" s="30" t="s">
        <v>168</v>
      </c>
      <c r="B36" s="30" t="s">
        <v>52</v>
      </c>
      <c r="C36" s="30" t="s">
        <v>172</v>
      </c>
      <c r="D36" s="30" t="s">
        <v>143</v>
      </c>
      <c r="E36" s="30" t="s">
        <v>35</v>
      </c>
      <c r="F36" s="41">
        <v>478.0</v>
      </c>
      <c r="G36" s="41">
        <v>69.0</v>
      </c>
      <c r="H36" s="41">
        <v>0.0</v>
      </c>
      <c r="I36" s="41">
        <v>92.0</v>
      </c>
    </row>
    <row r="37">
      <c r="A37" s="30" t="s">
        <v>168</v>
      </c>
      <c r="B37" s="30" t="s">
        <v>51</v>
      </c>
      <c r="C37" s="30" t="s">
        <v>507</v>
      </c>
      <c r="D37" s="30" t="s">
        <v>19</v>
      </c>
      <c r="E37" s="30" t="s">
        <v>20</v>
      </c>
      <c r="F37" s="41">
        <v>0.0</v>
      </c>
      <c r="G37" s="41">
        <v>0.0</v>
      </c>
      <c r="H37" s="41">
        <v>0.0</v>
      </c>
      <c r="I37" s="41">
        <v>100.0</v>
      </c>
    </row>
    <row r="38">
      <c r="A38" s="30" t="s">
        <v>168</v>
      </c>
      <c r="B38" s="30" t="s">
        <v>51</v>
      </c>
      <c r="C38" s="30" t="s">
        <v>169</v>
      </c>
      <c r="D38" s="30" t="s">
        <v>133</v>
      </c>
      <c r="E38" s="30" t="s">
        <v>34</v>
      </c>
      <c r="F38" s="41">
        <v>452.0</v>
      </c>
      <c r="G38" s="41">
        <v>112.0</v>
      </c>
      <c r="H38" s="41">
        <v>0.0</v>
      </c>
      <c r="I38" s="41">
        <v>90.0</v>
      </c>
    </row>
    <row r="39">
      <c r="A39" s="30" t="s">
        <v>168</v>
      </c>
      <c r="B39" s="30" t="s">
        <v>51</v>
      </c>
      <c r="C39" s="30" t="s">
        <v>169</v>
      </c>
      <c r="D39" s="30" t="s">
        <v>122</v>
      </c>
      <c r="E39" s="30" t="s">
        <v>34</v>
      </c>
      <c r="F39" s="41">
        <v>792.0</v>
      </c>
      <c r="G39" s="41">
        <v>40.0</v>
      </c>
      <c r="H39" s="41">
        <v>0.0</v>
      </c>
      <c r="I39" s="41">
        <v>90.0</v>
      </c>
    </row>
    <row r="40">
      <c r="A40" s="30" t="s">
        <v>168</v>
      </c>
      <c r="B40" s="30" t="s">
        <v>51</v>
      </c>
      <c r="C40" s="30" t="s">
        <v>169</v>
      </c>
      <c r="D40" s="30" t="s">
        <v>129</v>
      </c>
      <c r="E40" s="30" t="s">
        <v>34</v>
      </c>
      <c r="F40" s="41">
        <v>172.0</v>
      </c>
      <c r="G40" s="41">
        <v>33.0</v>
      </c>
      <c r="H40" s="41">
        <v>0.0</v>
      </c>
      <c r="I40" s="41">
        <v>97.0</v>
      </c>
    </row>
    <row r="41">
      <c r="A41" s="30" t="s">
        <v>168</v>
      </c>
      <c r="B41" s="30" t="s">
        <v>51</v>
      </c>
      <c r="C41" s="30" t="s">
        <v>169</v>
      </c>
      <c r="D41" s="30" t="s">
        <v>131</v>
      </c>
      <c r="E41" s="30" t="s">
        <v>34</v>
      </c>
      <c r="F41" s="41">
        <v>255.0</v>
      </c>
      <c r="G41" s="41">
        <v>16.0</v>
      </c>
      <c r="H41" s="41">
        <v>0.0</v>
      </c>
      <c r="I41" s="41">
        <v>97.0</v>
      </c>
    </row>
    <row r="42">
      <c r="A42" s="30" t="s">
        <v>168</v>
      </c>
      <c r="B42" s="30" t="s">
        <v>51</v>
      </c>
      <c r="C42" s="30" t="s">
        <v>169</v>
      </c>
      <c r="D42" s="30" t="s">
        <v>126</v>
      </c>
      <c r="E42" s="30" t="s">
        <v>34</v>
      </c>
      <c r="F42" s="41">
        <v>420.0</v>
      </c>
      <c r="G42" s="41">
        <v>133.0</v>
      </c>
      <c r="H42" s="41">
        <v>0.0</v>
      </c>
      <c r="I42" s="41">
        <v>89.0</v>
      </c>
    </row>
    <row r="43">
      <c r="A43" s="30" t="s">
        <v>168</v>
      </c>
      <c r="B43" s="30" t="s">
        <v>51</v>
      </c>
      <c r="C43" s="30" t="s">
        <v>169</v>
      </c>
      <c r="D43" s="30" t="s">
        <v>144</v>
      </c>
      <c r="E43" s="30" t="s">
        <v>34</v>
      </c>
      <c r="F43" s="41">
        <v>303.0</v>
      </c>
      <c r="G43" s="41">
        <v>94.0</v>
      </c>
      <c r="H43" s="41">
        <v>0.0</v>
      </c>
      <c r="I43" s="41">
        <v>92.0</v>
      </c>
    </row>
    <row r="44">
      <c r="A44" s="30" t="s">
        <v>168</v>
      </c>
      <c r="B44" s="30" t="s">
        <v>51</v>
      </c>
      <c r="C44" s="30" t="s">
        <v>169</v>
      </c>
      <c r="D44" s="30" t="s">
        <v>124</v>
      </c>
      <c r="E44" s="30" t="s">
        <v>34</v>
      </c>
      <c r="F44" s="41">
        <v>465.0</v>
      </c>
      <c r="G44" s="41">
        <v>32.0</v>
      </c>
      <c r="H44" s="41">
        <v>0.0</v>
      </c>
      <c r="I44" s="41">
        <v>94.0</v>
      </c>
    </row>
    <row r="45">
      <c r="A45" s="30" t="s">
        <v>168</v>
      </c>
      <c r="B45" s="30" t="s">
        <v>51</v>
      </c>
      <c r="C45" s="30" t="s">
        <v>169</v>
      </c>
      <c r="D45" s="30" t="s">
        <v>133</v>
      </c>
      <c r="E45" s="30" t="s">
        <v>35</v>
      </c>
      <c r="F45" s="41">
        <v>2262.0</v>
      </c>
      <c r="G45" s="41">
        <v>500.0</v>
      </c>
      <c r="H45" s="41">
        <v>0.0</v>
      </c>
      <c r="I45" s="41">
        <v>52.0</v>
      </c>
    </row>
    <row r="46">
      <c r="A46" s="30" t="s">
        <v>168</v>
      </c>
      <c r="B46" s="30" t="s">
        <v>51</v>
      </c>
      <c r="C46" s="30" t="s">
        <v>169</v>
      </c>
      <c r="D46" s="30" t="s">
        <v>122</v>
      </c>
      <c r="E46" s="30" t="s">
        <v>35</v>
      </c>
      <c r="F46" s="41">
        <v>406.0</v>
      </c>
      <c r="G46" s="41">
        <v>152.0</v>
      </c>
      <c r="H46" s="41">
        <v>0.0</v>
      </c>
      <c r="I46" s="41">
        <v>88.0</v>
      </c>
    </row>
    <row r="47">
      <c r="A47" s="30" t="s">
        <v>168</v>
      </c>
      <c r="B47" s="30" t="s">
        <v>51</v>
      </c>
      <c r="C47" s="30" t="s">
        <v>169</v>
      </c>
      <c r="D47" s="30" t="s">
        <v>129</v>
      </c>
      <c r="E47" s="30" t="s">
        <v>35</v>
      </c>
      <c r="F47" s="41">
        <v>480.0</v>
      </c>
      <c r="G47" s="41">
        <v>219.0</v>
      </c>
      <c r="H47" s="41">
        <v>0.0</v>
      </c>
      <c r="I47" s="41">
        <v>84.0</v>
      </c>
    </row>
    <row r="48">
      <c r="A48" s="30" t="s">
        <v>168</v>
      </c>
      <c r="B48" s="30" t="s">
        <v>51</v>
      </c>
      <c r="C48" s="30" t="s">
        <v>169</v>
      </c>
      <c r="D48" s="30" t="s">
        <v>131</v>
      </c>
      <c r="E48" s="30" t="s">
        <v>35</v>
      </c>
      <c r="F48" s="41">
        <v>304.0</v>
      </c>
      <c r="G48" s="41">
        <v>44.0</v>
      </c>
      <c r="H48" s="41">
        <v>0.0</v>
      </c>
      <c r="I48" s="41">
        <v>95.0</v>
      </c>
    </row>
    <row r="49">
      <c r="A49" s="30" t="s">
        <v>168</v>
      </c>
      <c r="B49" s="30" t="s">
        <v>51</v>
      </c>
      <c r="C49" s="30" t="s">
        <v>169</v>
      </c>
      <c r="D49" s="30" t="s">
        <v>126</v>
      </c>
      <c r="E49" s="30" t="s">
        <v>35</v>
      </c>
      <c r="F49" s="41">
        <v>114.0</v>
      </c>
      <c r="G49" s="41">
        <v>167.0</v>
      </c>
      <c r="H49" s="41">
        <v>0.0</v>
      </c>
      <c r="I49" s="41">
        <v>91.0</v>
      </c>
    </row>
    <row r="50">
      <c r="A50" s="30" t="s">
        <v>168</v>
      </c>
      <c r="B50" s="30" t="s">
        <v>51</v>
      </c>
      <c r="C50" s="30" t="s">
        <v>169</v>
      </c>
      <c r="D50" s="30" t="s">
        <v>144</v>
      </c>
      <c r="E50" s="30" t="s">
        <v>35</v>
      </c>
      <c r="F50" s="41">
        <v>112.0</v>
      </c>
      <c r="G50" s="41">
        <v>218.0</v>
      </c>
      <c r="H50" s="41">
        <v>0.0</v>
      </c>
      <c r="I50" s="41">
        <v>88.0</v>
      </c>
    </row>
    <row r="51">
      <c r="A51" s="30" t="s">
        <v>168</v>
      </c>
      <c r="B51" s="30" t="s">
        <v>51</v>
      </c>
      <c r="C51" s="30" t="s">
        <v>169</v>
      </c>
      <c r="D51" s="30" t="s">
        <v>124</v>
      </c>
      <c r="E51" s="30" t="s">
        <v>35</v>
      </c>
      <c r="F51" s="41">
        <v>2082.0</v>
      </c>
      <c r="G51" s="41">
        <v>117.0</v>
      </c>
      <c r="H51" s="41">
        <v>0.0</v>
      </c>
      <c r="I51" s="41">
        <v>73.0</v>
      </c>
    </row>
    <row r="52">
      <c r="A52" s="30" t="s">
        <v>168</v>
      </c>
      <c r="B52" s="30" t="s">
        <v>51</v>
      </c>
      <c r="C52" s="30" t="s">
        <v>169</v>
      </c>
      <c r="D52" s="30" t="s">
        <v>143</v>
      </c>
      <c r="E52" s="30" t="s">
        <v>35</v>
      </c>
      <c r="F52" s="41">
        <v>65.0</v>
      </c>
      <c r="G52" s="41">
        <v>104.0</v>
      </c>
      <c r="H52" s="41">
        <v>0.0</v>
      </c>
      <c r="I52" s="41">
        <v>94.0</v>
      </c>
    </row>
    <row r="53">
      <c r="A53" s="30" t="s">
        <v>168</v>
      </c>
      <c r="B53" s="30" t="s">
        <v>51</v>
      </c>
      <c r="C53" s="30" t="s">
        <v>169</v>
      </c>
      <c r="D53" s="30" t="s">
        <v>143</v>
      </c>
      <c r="E53" s="30" t="s">
        <v>34</v>
      </c>
      <c r="F53" s="41">
        <v>193.0</v>
      </c>
      <c r="G53" s="41">
        <v>7.0</v>
      </c>
      <c r="H53" s="41">
        <v>0.0</v>
      </c>
      <c r="I53" s="41">
        <v>98.0</v>
      </c>
    </row>
    <row r="54">
      <c r="A54" s="30" t="s">
        <v>168</v>
      </c>
      <c r="B54" s="30" t="s">
        <v>50</v>
      </c>
      <c r="C54" s="30" t="s">
        <v>507</v>
      </c>
      <c r="D54" s="30" t="s">
        <v>19</v>
      </c>
      <c r="E54" s="30" t="s">
        <v>20</v>
      </c>
      <c r="F54" s="41">
        <v>0.0</v>
      </c>
      <c r="G54" s="41">
        <v>0.0</v>
      </c>
      <c r="H54" s="41">
        <v>0.0</v>
      </c>
      <c r="I54" s="41">
        <v>100.0</v>
      </c>
    </row>
    <row r="55">
      <c r="A55" s="30" t="s">
        <v>168</v>
      </c>
      <c r="B55" s="30" t="s">
        <v>50</v>
      </c>
      <c r="C55" s="30" t="s">
        <v>169</v>
      </c>
      <c r="D55" s="30" t="s">
        <v>133</v>
      </c>
      <c r="E55" s="30" t="s">
        <v>34</v>
      </c>
      <c r="F55" s="41">
        <v>306.0</v>
      </c>
      <c r="G55" s="41">
        <v>134.0</v>
      </c>
      <c r="H55" s="41">
        <v>0.0</v>
      </c>
      <c r="I55" s="41">
        <v>90.0</v>
      </c>
    </row>
    <row r="56">
      <c r="A56" s="30" t="s">
        <v>168</v>
      </c>
      <c r="B56" s="30" t="s">
        <v>50</v>
      </c>
      <c r="C56" s="30" t="s">
        <v>169</v>
      </c>
      <c r="D56" s="30" t="s">
        <v>122</v>
      </c>
      <c r="E56" s="30" t="s">
        <v>34</v>
      </c>
      <c r="F56" s="41">
        <v>91.0</v>
      </c>
      <c r="G56" s="41">
        <v>84.0</v>
      </c>
      <c r="H56" s="41">
        <v>0.0</v>
      </c>
      <c r="I56" s="41">
        <v>95.0</v>
      </c>
    </row>
    <row r="57">
      <c r="A57" s="30" t="s">
        <v>168</v>
      </c>
      <c r="B57" s="30" t="s">
        <v>50</v>
      </c>
      <c r="C57" s="30" t="s">
        <v>169</v>
      </c>
      <c r="D57" s="30" t="s">
        <v>131</v>
      </c>
      <c r="E57" s="30" t="s">
        <v>34</v>
      </c>
      <c r="F57" s="41">
        <v>65.0</v>
      </c>
      <c r="G57" s="41">
        <v>65.0</v>
      </c>
      <c r="H57" s="41">
        <v>0.0</v>
      </c>
      <c r="I57" s="41">
        <v>96.0</v>
      </c>
    </row>
    <row r="58">
      <c r="A58" s="30" t="s">
        <v>168</v>
      </c>
      <c r="B58" s="30" t="s">
        <v>50</v>
      </c>
      <c r="C58" s="30" t="s">
        <v>169</v>
      </c>
      <c r="D58" s="30" t="s">
        <v>126</v>
      </c>
      <c r="E58" s="30" t="s">
        <v>34</v>
      </c>
      <c r="F58" s="41">
        <v>138.0</v>
      </c>
      <c r="G58" s="41">
        <v>149.0</v>
      </c>
      <c r="H58" s="41">
        <v>0.0</v>
      </c>
      <c r="I58" s="41">
        <v>91.0</v>
      </c>
    </row>
    <row r="59">
      <c r="A59" s="30" t="s">
        <v>168</v>
      </c>
      <c r="B59" s="30" t="s">
        <v>50</v>
      </c>
      <c r="C59" s="30" t="s">
        <v>169</v>
      </c>
      <c r="D59" s="30" t="s">
        <v>124</v>
      </c>
      <c r="E59" s="30" t="s">
        <v>34</v>
      </c>
      <c r="F59" s="41">
        <v>443.0</v>
      </c>
      <c r="G59" s="41">
        <v>59.0</v>
      </c>
      <c r="H59" s="41">
        <v>0.0</v>
      </c>
      <c r="I59" s="41">
        <v>93.0</v>
      </c>
    </row>
    <row r="60">
      <c r="A60" s="30" t="s">
        <v>168</v>
      </c>
      <c r="B60" s="30" t="s">
        <v>50</v>
      </c>
      <c r="C60" s="30" t="s">
        <v>169</v>
      </c>
      <c r="D60" s="30" t="s">
        <v>143</v>
      </c>
      <c r="E60" s="30" t="s">
        <v>34</v>
      </c>
      <c r="F60" s="41">
        <v>249.0</v>
      </c>
      <c r="G60" s="41">
        <v>54.0</v>
      </c>
      <c r="H60" s="41">
        <v>0.0</v>
      </c>
      <c r="I60" s="41">
        <v>95.0</v>
      </c>
    </row>
    <row r="61">
      <c r="A61" s="30" t="s">
        <v>168</v>
      </c>
      <c r="B61" s="30" t="s">
        <v>50</v>
      </c>
      <c r="C61" s="30" t="s">
        <v>169</v>
      </c>
      <c r="D61" s="30" t="s">
        <v>133</v>
      </c>
      <c r="E61" s="30" t="s">
        <v>35</v>
      </c>
      <c r="F61" s="41">
        <v>1815.0</v>
      </c>
      <c r="G61" s="41">
        <v>771.0</v>
      </c>
      <c r="H61" s="41">
        <v>0.0</v>
      </c>
      <c r="I61" s="41">
        <v>52.0</v>
      </c>
    </row>
    <row r="62">
      <c r="A62" s="30" t="s">
        <v>168</v>
      </c>
      <c r="B62" s="30" t="s">
        <v>50</v>
      </c>
      <c r="C62" s="30" t="s">
        <v>169</v>
      </c>
      <c r="D62" s="30" t="s">
        <v>122</v>
      </c>
      <c r="E62" s="30" t="s">
        <v>35</v>
      </c>
      <c r="F62" s="41">
        <v>225.0</v>
      </c>
      <c r="G62" s="41">
        <v>350.0</v>
      </c>
      <c r="H62" s="41">
        <v>0.0</v>
      </c>
      <c r="I62" s="41">
        <v>80.0</v>
      </c>
    </row>
    <row r="63">
      <c r="A63" s="30" t="s">
        <v>168</v>
      </c>
      <c r="B63" s="30" t="s">
        <v>50</v>
      </c>
      <c r="C63" s="30" t="s">
        <v>169</v>
      </c>
      <c r="D63" s="30" t="s">
        <v>131</v>
      </c>
      <c r="E63" s="30" t="s">
        <v>35</v>
      </c>
      <c r="F63" s="41">
        <v>593.0</v>
      </c>
      <c r="G63" s="41">
        <v>330.0</v>
      </c>
      <c r="H63" s="41">
        <v>0.0</v>
      </c>
      <c r="I63" s="41">
        <v>78.0</v>
      </c>
    </row>
    <row r="64">
      <c r="A64" s="30" t="s">
        <v>168</v>
      </c>
      <c r="B64" s="30" t="s">
        <v>50</v>
      </c>
      <c r="C64" s="30" t="s">
        <v>169</v>
      </c>
      <c r="D64" s="30" t="s">
        <v>126</v>
      </c>
      <c r="E64" s="30" t="s">
        <v>35</v>
      </c>
      <c r="F64" s="41">
        <v>774.0</v>
      </c>
      <c r="G64" s="41">
        <v>578.0</v>
      </c>
      <c r="H64" s="41">
        <v>0.0</v>
      </c>
      <c r="I64" s="41">
        <v>63.0</v>
      </c>
    </row>
    <row r="65">
      <c r="A65" s="30" t="s">
        <v>168</v>
      </c>
      <c r="B65" s="30" t="s">
        <v>50</v>
      </c>
      <c r="C65" s="30" t="s">
        <v>169</v>
      </c>
      <c r="D65" s="30" t="s">
        <v>124</v>
      </c>
      <c r="E65" s="30" t="s">
        <v>35</v>
      </c>
      <c r="F65" s="41">
        <v>347.0</v>
      </c>
      <c r="G65" s="41">
        <v>124.0</v>
      </c>
      <c r="H65" s="41">
        <v>0.0</v>
      </c>
      <c r="I65" s="41">
        <v>90.0</v>
      </c>
    </row>
    <row r="66">
      <c r="A66" s="30" t="s">
        <v>168</v>
      </c>
      <c r="B66" s="30" t="s">
        <v>50</v>
      </c>
      <c r="C66" s="30" t="s">
        <v>169</v>
      </c>
      <c r="D66" s="30" t="s">
        <v>143</v>
      </c>
      <c r="E66" s="30" t="s">
        <v>35</v>
      </c>
      <c r="F66" s="41">
        <v>444.0</v>
      </c>
      <c r="G66" s="41">
        <v>192.0</v>
      </c>
      <c r="H66" s="41">
        <v>0.0</v>
      </c>
      <c r="I66" s="41">
        <v>86.0</v>
      </c>
    </row>
    <row r="67">
      <c r="A67" s="30" t="s">
        <v>168</v>
      </c>
      <c r="B67" s="30" t="s">
        <v>50</v>
      </c>
      <c r="C67" s="30" t="s">
        <v>169</v>
      </c>
      <c r="D67" s="30" t="s">
        <v>144</v>
      </c>
      <c r="E67" s="30" t="s">
        <v>35</v>
      </c>
      <c r="F67" s="41">
        <v>304.0</v>
      </c>
      <c r="G67" s="41">
        <v>259.0</v>
      </c>
      <c r="H67" s="41">
        <v>0.0</v>
      </c>
      <c r="I67" s="41">
        <v>84.0</v>
      </c>
    </row>
    <row r="68">
      <c r="A68" s="30" t="s">
        <v>168</v>
      </c>
      <c r="B68" s="30" t="s">
        <v>50</v>
      </c>
      <c r="C68" s="30" t="s">
        <v>169</v>
      </c>
      <c r="D68" s="30" t="s">
        <v>129</v>
      </c>
      <c r="E68" s="30" t="s">
        <v>35</v>
      </c>
      <c r="F68" s="41">
        <v>375.0</v>
      </c>
      <c r="G68" s="41">
        <v>178.0</v>
      </c>
      <c r="H68" s="41">
        <v>0.0</v>
      </c>
      <c r="I68" s="41">
        <v>87.0</v>
      </c>
    </row>
    <row r="69">
      <c r="A69" s="30" t="s">
        <v>168</v>
      </c>
      <c r="B69" s="30" t="s">
        <v>50</v>
      </c>
      <c r="C69" s="30" t="s">
        <v>169</v>
      </c>
      <c r="D69" s="30" t="s">
        <v>129</v>
      </c>
      <c r="E69" s="30" t="s">
        <v>34</v>
      </c>
      <c r="F69" s="41">
        <v>338.0</v>
      </c>
      <c r="G69" s="41">
        <v>29.0</v>
      </c>
      <c r="H69" s="41">
        <v>0.0</v>
      </c>
      <c r="I69" s="41">
        <v>95.0</v>
      </c>
    </row>
    <row r="70">
      <c r="A70" s="30" t="s">
        <v>168</v>
      </c>
      <c r="B70" s="30" t="s">
        <v>50</v>
      </c>
      <c r="C70" s="30" t="s">
        <v>169</v>
      </c>
      <c r="D70" s="30" t="s">
        <v>144</v>
      </c>
      <c r="E70" s="30" t="s">
        <v>34</v>
      </c>
      <c r="F70" s="41">
        <v>274.0</v>
      </c>
      <c r="G70" s="41">
        <v>10.0</v>
      </c>
      <c r="H70" s="41">
        <v>0.0</v>
      </c>
      <c r="I70" s="41">
        <v>97.0</v>
      </c>
    </row>
    <row r="71">
      <c r="A71" s="30" t="s">
        <v>168</v>
      </c>
      <c r="B71" s="30" t="s">
        <v>49</v>
      </c>
      <c r="C71" s="30" t="s">
        <v>507</v>
      </c>
      <c r="D71" s="30" t="s">
        <v>19</v>
      </c>
      <c r="E71" s="30" t="s">
        <v>20</v>
      </c>
      <c r="F71" s="41">
        <v>0.0</v>
      </c>
      <c r="G71" s="41">
        <v>0.0</v>
      </c>
      <c r="H71" s="41">
        <v>0.0</v>
      </c>
      <c r="I71" s="41">
        <v>100.0</v>
      </c>
    </row>
    <row r="72">
      <c r="A72" s="30" t="s">
        <v>168</v>
      </c>
      <c r="B72" s="30" t="s">
        <v>49</v>
      </c>
      <c r="C72" s="30" t="s">
        <v>169</v>
      </c>
      <c r="D72" s="30" t="s">
        <v>133</v>
      </c>
      <c r="E72" s="30" t="s">
        <v>35</v>
      </c>
      <c r="F72" s="41">
        <v>991.0</v>
      </c>
      <c r="G72" s="41">
        <v>427.0</v>
      </c>
      <c r="H72" s="41">
        <v>0.0</v>
      </c>
      <c r="I72" s="41">
        <v>69.0</v>
      </c>
    </row>
    <row r="73">
      <c r="A73" s="30" t="s">
        <v>168</v>
      </c>
      <c r="B73" s="30" t="s">
        <v>49</v>
      </c>
      <c r="C73" s="30" t="s">
        <v>169</v>
      </c>
      <c r="D73" s="30" t="s">
        <v>122</v>
      </c>
      <c r="E73" s="30" t="s">
        <v>35</v>
      </c>
      <c r="F73" s="41">
        <v>5606.0</v>
      </c>
      <c r="G73" s="41">
        <v>169.0</v>
      </c>
      <c r="H73" s="41">
        <v>0.0</v>
      </c>
      <c r="I73" s="41">
        <v>52.0</v>
      </c>
    </row>
    <row r="74">
      <c r="A74" s="30" t="s">
        <v>168</v>
      </c>
      <c r="B74" s="30" t="s">
        <v>49</v>
      </c>
      <c r="C74" s="30" t="s">
        <v>169</v>
      </c>
      <c r="D74" s="30" t="s">
        <v>133</v>
      </c>
      <c r="E74" s="30" t="s">
        <v>34</v>
      </c>
      <c r="F74" s="41">
        <v>143.0</v>
      </c>
      <c r="G74" s="41">
        <v>121.0</v>
      </c>
      <c r="H74" s="41">
        <v>0.031</v>
      </c>
      <c r="I74" s="41">
        <v>89.0</v>
      </c>
    </row>
    <row r="75">
      <c r="A75" s="30" t="s">
        <v>168</v>
      </c>
      <c r="B75" s="30" t="s">
        <v>49</v>
      </c>
      <c r="C75" s="30" t="s">
        <v>169</v>
      </c>
      <c r="D75" s="30" t="s">
        <v>122</v>
      </c>
      <c r="E75" s="30" t="s">
        <v>34</v>
      </c>
      <c r="F75" s="41">
        <v>7.0</v>
      </c>
      <c r="G75" s="41">
        <v>24.0</v>
      </c>
      <c r="H75" s="41">
        <v>0.0</v>
      </c>
      <c r="I75" s="41">
        <v>99.0</v>
      </c>
    </row>
    <row r="76">
      <c r="A76" s="30" t="s">
        <v>168</v>
      </c>
      <c r="B76" s="30" t="s">
        <v>49</v>
      </c>
      <c r="C76" s="30" t="s">
        <v>169</v>
      </c>
      <c r="D76" s="30" t="s">
        <v>126</v>
      </c>
      <c r="E76" s="30" t="s">
        <v>35</v>
      </c>
      <c r="F76" s="41">
        <v>100.0</v>
      </c>
      <c r="G76" s="41">
        <v>294.0</v>
      </c>
      <c r="H76" s="41">
        <v>0.0</v>
      </c>
      <c r="I76" s="41">
        <v>84.0</v>
      </c>
    </row>
    <row r="77">
      <c r="A77" s="30" t="s">
        <v>168</v>
      </c>
      <c r="B77" s="30" t="s">
        <v>49</v>
      </c>
      <c r="C77" s="30" t="s">
        <v>169</v>
      </c>
      <c r="D77" s="30" t="s">
        <v>131</v>
      </c>
      <c r="E77" s="30" t="s">
        <v>34</v>
      </c>
      <c r="F77" s="41">
        <v>46.0</v>
      </c>
      <c r="G77" s="41">
        <v>30.0</v>
      </c>
      <c r="H77" s="41">
        <v>0.0</v>
      </c>
      <c r="I77" s="41">
        <v>98.0</v>
      </c>
    </row>
    <row r="78">
      <c r="A78" s="30" t="s">
        <v>168</v>
      </c>
      <c r="B78" s="30" t="s">
        <v>49</v>
      </c>
      <c r="C78" s="30" t="s">
        <v>169</v>
      </c>
      <c r="D78" s="30" t="s">
        <v>131</v>
      </c>
      <c r="E78" s="30" t="s">
        <v>35</v>
      </c>
      <c r="F78" s="41">
        <v>195.0</v>
      </c>
      <c r="G78" s="41">
        <v>103.0</v>
      </c>
      <c r="H78" s="41">
        <v>0.0</v>
      </c>
      <c r="I78" s="41">
        <v>93.0</v>
      </c>
    </row>
    <row r="79">
      <c r="A79" s="30" t="s">
        <v>168</v>
      </c>
      <c r="B79" s="30" t="s">
        <v>49</v>
      </c>
      <c r="C79" s="30" t="s">
        <v>169</v>
      </c>
      <c r="D79" s="30" t="s">
        <v>144</v>
      </c>
      <c r="E79" s="30" t="s">
        <v>35</v>
      </c>
      <c r="F79" s="41">
        <v>246.0</v>
      </c>
      <c r="G79" s="41">
        <v>373.0</v>
      </c>
      <c r="H79" s="41">
        <v>0.0</v>
      </c>
      <c r="I79" s="41">
        <v>79.0</v>
      </c>
    </row>
    <row r="80">
      <c r="A80" s="30" t="s">
        <v>168</v>
      </c>
      <c r="B80" s="30" t="s">
        <v>49</v>
      </c>
      <c r="C80" s="30" t="s">
        <v>169</v>
      </c>
      <c r="D80" s="30" t="s">
        <v>124</v>
      </c>
      <c r="E80" s="30" t="s">
        <v>35</v>
      </c>
      <c r="F80" s="41">
        <v>189.0</v>
      </c>
      <c r="G80" s="41">
        <v>35.0</v>
      </c>
      <c r="H80" s="41">
        <v>0.0</v>
      </c>
      <c r="I80" s="41">
        <v>96.0</v>
      </c>
    </row>
    <row r="81">
      <c r="A81" s="30" t="s">
        <v>168</v>
      </c>
      <c r="B81" s="30" t="s">
        <v>49</v>
      </c>
      <c r="C81" s="30" t="s">
        <v>169</v>
      </c>
      <c r="D81" s="30" t="s">
        <v>143</v>
      </c>
      <c r="E81" s="30" t="s">
        <v>35</v>
      </c>
      <c r="F81" s="41">
        <v>67.0</v>
      </c>
      <c r="G81" s="41">
        <v>152.0</v>
      </c>
      <c r="H81" s="41">
        <v>0.0</v>
      </c>
      <c r="I81" s="41">
        <v>92.0</v>
      </c>
    </row>
    <row r="82">
      <c r="A82" s="30" t="s">
        <v>168</v>
      </c>
      <c r="B82" s="30" t="s">
        <v>49</v>
      </c>
      <c r="C82" s="30" t="s">
        <v>169</v>
      </c>
      <c r="D82" s="30" t="s">
        <v>126</v>
      </c>
      <c r="E82" s="30" t="s">
        <v>34</v>
      </c>
      <c r="F82" s="41">
        <v>42.0</v>
      </c>
      <c r="G82" s="41">
        <v>4.0</v>
      </c>
      <c r="H82" s="41">
        <v>0.0</v>
      </c>
      <c r="I82" s="41">
        <v>99.0</v>
      </c>
    </row>
    <row r="83">
      <c r="A83" s="30" t="s">
        <v>168</v>
      </c>
      <c r="B83" s="30" t="s">
        <v>49</v>
      </c>
      <c r="C83" s="30" t="s">
        <v>169</v>
      </c>
      <c r="D83" s="30" t="s">
        <v>144</v>
      </c>
      <c r="E83" s="30" t="s">
        <v>34</v>
      </c>
      <c r="F83" s="41">
        <v>60.0</v>
      </c>
      <c r="G83" s="41">
        <v>126.0</v>
      </c>
      <c r="H83" s="41">
        <v>0.0</v>
      </c>
      <c r="I83" s="41">
        <v>93.0</v>
      </c>
    </row>
    <row r="84">
      <c r="A84" s="30" t="s">
        <v>168</v>
      </c>
      <c r="B84" s="30" t="s">
        <v>49</v>
      </c>
      <c r="C84" s="30" t="s">
        <v>169</v>
      </c>
      <c r="D84" s="30" t="s">
        <v>124</v>
      </c>
      <c r="E84" s="30" t="s">
        <v>34</v>
      </c>
      <c r="F84" s="41">
        <v>53.0</v>
      </c>
      <c r="G84" s="41">
        <v>50.0</v>
      </c>
      <c r="H84" s="41">
        <v>0.0</v>
      </c>
      <c r="I84" s="41">
        <v>97.0</v>
      </c>
    </row>
    <row r="85">
      <c r="A85" s="30" t="s">
        <v>168</v>
      </c>
      <c r="B85" s="30" t="s">
        <v>49</v>
      </c>
      <c r="C85" s="30" t="s">
        <v>169</v>
      </c>
      <c r="D85" s="30" t="s">
        <v>143</v>
      </c>
      <c r="E85" s="30" t="s">
        <v>34</v>
      </c>
      <c r="F85" s="41">
        <v>24.0</v>
      </c>
      <c r="G85" s="41">
        <v>7.0</v>
      </c>
      <c r="H85" s="41">
        <v>0.0</v>
      </c>
      <c r="I85" s="41">
        <v>99.0</v>
      </c>
    </row>
    <row r="86">
      <c r="A86" s="30" t="s">
        <v>520</v>
      </c>
      <c r="B86" s="30" t="s">
        <v>52</v>
      </c>
      <c r="C86" s="30" t="s">
        <v>507</v>
      </c>
      <c r="D86" s="30" t="s">
        <v>19</v>
      </c>
      <c r="E86" s="30" t="s">
        <v>20</v>
      </c>
      <c r="F86" s="41">
        <v>0.0</v>
      </c>
      <c r="G86" s="41">
        <v>0.0</v>
      </c>
      <c r="H86" s="41">
        <v>0.0</v>
      </c>
      <c r="I86" s="41">
        <v>100.0</v>
      </c>
    </row>
    <row r="87">
      <c r="A87" s="30" t="s">
        <v>520</v>
      </c>
      <c r="B87" s="30" t="s">
        <v>52</v>
      </c>
      <c r="C87" s="30" t="s">
        <v>169</v>
      </c>
      <c r="D87" s="30" t="s">
        <v>133</v>
      </c>
      <c r="E87" s="30" t="s">
        <v>35</v>
      </c>
      <c r="F87" s="41">
        <v>0.0</v>
      </c>
      <c r="G87" s="41">
        <v>0.0</v>
      </c>
      <c r="H87" s="41">
        <v>0.0</v>
      </c>
      <c r="I87" s="41">
        <v>100.0</v>
      </c>
    </row>
    <row r="88">
      <c r="A88" s="30" t="s">
        <v>520</v>
      </c>
      <c r="B88" s="30" t="s">
        <v>52</v>
      </c>
      <c r="C88" s="30" t="s">
        <v>169</v>
      </c>
      <c r="D88" s="30" t="s">
        <v>122</v>
      </c>
      <c r="E88" s="30" t="s">
        <v>35</v>
      </c>
      <c r="F88" s="41">
        <v>0.0</v>
      </c>
      <c r="G88" s="41">
        <v>0.0</v>
      </c>
      <c r="H88" s="41">
        <v>0.0</v>
      </c>
      <c r="I88" s="41">
        <v>100.0</v>
      </c>
    </row>
    <row r="89">
      <c r="A89" s="30" t="s">
        <v>520</v>
      </c>
      <c r="B89" s="30" t="s">
        <v>52</v>
      </c>
      <c r="C89" s="30" t="s">
        <v>169</v>
      </c>
      <c r="D89" s="30" t="s">
        <v>129</v>
      </c>
      <c r="E89" s="30" t="s">
        <v>35</v>
      </c>
      <c r="F89" s="41">
        <v>0.0</v>
      </c>
      <c r="G89" s="41">
        <v>0.0</v>
      </c>
      <c r="H89" s="41">
        <v>0.0</v>
      </c>
      <c r="I89" s="41">
        <v>100.0</v>
      </c>
    </row>
    <row r="90">
      <c r="A90" s="30" t="s">
        <v>520</v>
      </c>
      <c r="B90" s="30" t="s">
        <v>52</v>
      </c>
      <c r="C90" s="30" t="s">
        <v>169</v>
      </c>
      <c r="D90" s="30" t="s">
        <v>131</v>
      </c>
      <c r="E90" s="30" t="s">
        <v>35</v>
      </c>
      <c r="F90" s="41">
        <v>0.0</v>
      </c>
      <c r="G90" s="41">
        <v>0.0</v>
      </c>
      <c r="H90" s="41">
        <v>0.0</v>
      </c>
      <c r="I90" s="41">
        <v>100.0</v>
      </c>
    </row>
    <row r="91">
      <c r="A91" s="30" t="s">
        <v>520</v>
      </c>
      <c r="B91" s="30" t="s">
        <v>52</v>
      </c>
      <c r="C91" s="30" t="s">
        <v>169</v>
      </c>
      <c r="D91" s="30" t="s">
        <v>126</v>
      </c>
      <c r="E91" s="30" t="s">
        <v>35</v>
      </c>
      <c r="F91" s="41">
        <v>0.0</v>
      </c>
      <c r="G91" s="41">
        <v>0.0</v>
      </c>
      <c r="H91" s="41">
        <v>0.0</v>
      </c>
      <c r="I91" s="41">
        <v>100.0</v>
      </c>
    </row>
    <row r="92">
      <c r="A92" s="30" t="s">
        <v>520</v>
      </c>
      <c r="B92" s="30" t="s">
        <v>52</v>
      </c>
      <c r="C92" s="30" t="s">
        <v>169</v>
      </c>
      <c r="D92" s="30" t="s">
        <v>124</v>
      </c>
      <c r="E92" s="30" t="s">
        <v>35</v>
      </c>
      <c r="F92" s="41">
        <v>0.0</v>
      </c>
      <c r="G92" s="41">
        <v>0.0</v>
      </c>
      <c r="H92" s="41">
        <v>0.0</v>
      </c>
      <c r="I92" s="41">
        <v>100.0</v>
      </c>
    </row>
    <row r="93">
      <c r="A93" s="30" t="s">
        <v>520</v>
      </c>
      <c r="B93" s="30" t="s">
        <v>52</v>
      </c>
      <c r="C93" s="30" t="s">
        <v>169</v>
      </c>
      <c r="D93" s="30" t="s">
        <v>133</v>
      </c>
      <c r="E93" s="30" t="s">
        <v>34</v>
      </c>
      <c r="F93" s="41">
        <v>0.0</v>
      </c>
      <c r="G93" s="41">
        <v>0.0</v>
      </c>
      <c r="H93" s="41">
        <v>0.0</v>
      </c>
      <c r="I93" s="41">
        <v>100.0</v>
      </c>
    </row>
    <row r="94">
      <c r="A94" s="30" t="s">
        <v>520</v>
      </c>
      <c r="B94" s="30" t="s">
        <v>52</v>
      </c>
      <c r="C94" s="30" t="s">
        <v>169</v>
      </c>
      <c r="D94" s="30" t="s">
        <v>122</v>
      </c>
      <c r="E94" s="30" t="s">
        <v>34</v>
      </c>
      <c r="F94" s="41">
        <v>0.0</v>
      </c>
      <c r="G94" s="41">
        <v>0.0</v>
      </c>
      <c r="H94" s="41">
        <v>0.0</v>
      </c>
      <c r="I94" s="41">
        <v>100.0</v>
      </c>
    </row>
    <row r="95">
      <c r="A95" s="30" t="s">
        <v>520</v>
      </c>
      <c r="B95" s="30" t="s">
        <v>52</v>
      </c>
      <c r="C95" s="30" t="s">
        <v>169</v>
      </c>
      <c r="D95" s="30" t="s">
        <v>129</v>
      </c>
      <c r="E95" s="30" t="s">
        <v>34</v>
      </c>
      <c r="F95" s="41">
        <v>0.0</v>
      </c>
      <c r="G95" s="41">
        <v>0.0</v>
      </c>
      <c r="H95" s="41">
        <v>0.0</v>
      </c>
      <c r="I95" s="41">
        <v>100.0</v>
      </c>
    </row>
    <row r="96">
      <c r="A96" s="30" t="s">
        <v>520</v>
      </c>
      <c r="B96" s="30" t="s">
        <v>52</v>
      </c>
      <c r="C96" s="30" t="s">
        <v>169</v>
      </c>
      <c r="D96" s="30" t="s">
        <v>131</v>
      </c>
      <c r="E96" s="30" t="s">
        <v>34</v>
      </c>
      <c r="F96" s="41">
        <v>0.0</v>
      </c>
      <c r="G96" s="41">
        <v>0.0</v>
      </c>
      <c r="H96" s="41">
        <v>0.0</v>
      </c>
      <c r="I96" s="41">
        <v>100.0</v>
      </c>
    </row>
    <row r="97">
      <c r="A97" s="30" t="s">
        <v>520</v>
      </c>
      <c r="B97" s="30" t="s">
        <v>52</v>
      </c>
      <c r="C97" s="30" t="s">
        <v>169</v>
      </c>
      <c r="D97" s="30" t="s">
        <v>126</v>
      </c>
      <c r="E97" s="30" t="s">
        <v>34</v>
      </c>
      <c r="F97" s="41">
        <v>0.0</v>
      </c>
      <c r="G97" s="41">
        <v>0.0</v>
      </c>
      <c r="H97" s="41">
        <v>0.0</v>
      </c>
      <c r="I97" s="41">
        <v>100.0</v>
      </c>
    </row>
    <row r="98">
      <c r="A98" s="30" t="s">
        <v>520</v>
      </c>
      <c r="B98" s="30" t="s">
        <v>52</v>
      </c>
      <c r="C98" s="30" t="s">
        <v>169</v>
      </c>
      <c r="D98" s="30" t="s">
        <v>124</v>
      </c>
      <c r="E98" s="30" t="s">
        <v>34</v>
      </c>
      <c r="F98" s="41">
        <v>0.0</v>
      </c>
      <c r="G98" s="41">
        <v>0.0</v>
      </c>
      <c r="H98" s="41">
        <v>0.0</v>
      </c>
      <c r="I98" s="41">
        <v>100.0</v>
      </c>
    </row>
    <row r="99">
      <c r="A99" s="30" t="s">
        <v>520</v>
      </c>
      <c r="B99" s="30" t="s">
        <v>51</v>
      </c>
      <c r="C99" s="30" t="s">
        <v>507</v>
      </c>
      <c r="D99" s="30" t="s">
        <v>19</v>
      </c>
      <c r="E99" s="30" t="s">
        <v>20</v>
      </c>
      <c r="F99" s="41">
        <v>0.0</v>
      </c>
      <c r="G99" s="41">
        <v>0.0</v>
      </c>
      <c r="H99" s="41">
        <v>0.0</v>
      </c>
      <c r="I99" s="41">
        <v>100.0</v>
      </c>
    </row>
    <row r="100">
      <c r="A100" s="30" t="s">
        <v>520</v>
      </c>
      <c r="B100" s="30" t="s">
        <v>51</v>
      </c>
      <c r="C100" s="30" t="s">
        <v>169</v>
      </c>
      <c r="D100" s="30" t="s">
        <v>133</v>
      </c>
      <c r="E100" s="30" t="s">
        <v>34</v>
      </c>
      <c r="F100" s="41">
        <v>547.0</v>
      </c>
      <c r="G100" s="41">
        <v>216.0</v>
      </c>
      <c r="H100" s="41">
        <v>0.031</v>
      </c>
      <c r="I100" s="41">
        <v>81.0</v>
      </c>
    </row>
    <row r="101">
      <c r="A101" s="30" t="s">
        <v>520</v>
      </c>
      <c r="B101" s="30" t="s">
        <v>51</v>
      </c>
      <c r="C101" s="30" t="s">
        <v>169</v>
      </c>
      <c r="D101" s="30" t="s">
        <v>133</v>
      </c>
      <c r="E101" s="30" t="s">
        <v>35</v>
      </c>
      <c r="F101" s="41">
        <v>209.0</v>
      </c>
      <c r="G101" s="41">
        <v>922.0</v>
      </c>
      <c r="H101" s="41">
        <v>0.02</v>
      </c>
      <c r="I101" s="41">
        <v>66.0</v>
      </c>
    </row>
    <row r="102">
      <c r="A102" s="30" t="s">
        <v>520</v>
      </c>
      <c r="B102" s="30" t="s">
        <v>51</v>
      </c>
      <c r="C102" s="30" t="s">
        <v>169</v>
      </c>
      <c r="D102" s="30" t="s">
        <v>129</v>
      </c>
      <c r="E102" s="30" t="s">
        <v>34</v>
      </c>
      <c r="F102" s="41">
        <v>2.0</v>
      </c>
      <c r="G102" s="41">
        <v>61.0</v>
      </c>
      <c r="H102" s="41">
        <v>0.0</v>
      </c>
      <c r="I102" s="41">
        <v>97.0</v>
      </c>
    </row>
    <row r="103">
      <c r="A103" s="30" t="s">
        <v>520</v>
      </c>
      <c r="B103" s="30" t="s">
        <v>51</v>
      </c>
      <c r="C103" s="30" t="s">
        <v>169</v>
      </c>
      <c r="D103" s="30" t="s">
        <v>129</v>
      </c>
      <c r="E103" s="30" t="s">
        <v>35</v>
      </c>
      <c r="F103" s="41">
        <v>4129.0</v>
      </c>
      <c r="G103" s="41">
        <v>463.0</v>
      </c>
      <c r="H103" s="41">
        <v>0.0</v>
      </c>
      <c r="I103" s="41">
        <v>37.0</v>
      </c>
    </row>
    <row r="104">
      <c r="A104" s="30" t="s">
        <v>520</v>
      </c>
      <c r="B104" s="30" t="s">
        <v>51</v>
      </c>
      <c r="C104" s="30" t="s">
        <v>169</v>
      </c>
      <c r="D104" s="30" t="s">
        <v>126</v>
      </c>
      <c r="E104" s="30" t="s">
        <v>34</v>
      </c>
      <c r="F104" s="41">
        <v>220.0</v>
      </c>
      <c r="G104" s="41">
        <v>25.0</v>
      </c>
      <c r="H104" s="41">
        <v>0.0</v>
      </c>
      <c r="I104" s="41">
        <v>97.0</v>
      </c>
    </row>
    <row r="105">
      <c r="A105" s="30" t="s">
        <v>520</v>
      </c>
      <c r="B105" s="30" t="s">
        <v>51</v>
      </c>
      <c r="C105" s="30" t="s">
        <v>169</v>
      </c>
      <c r="D105" s="30" t="s">
        <v>126</v>
      </c>
      <c r="E105" s="30" t="s">
        <v>35</v>
      </c>
      <c r="F105" s="41">
        <v>29.0</v>
      </c>
      <c r="G105" s="41">
        <v>6.0</v>
      </c>
      <c r="H105" s="41">
        <v>0.0</v>
      </c>
      <c r="I105" s="41">
        <v>99.0</v>
      </c>
    </row>
    <row r="106">
      <c r="A106" s="30" t="s">
        <v>520</v>
      </c>
      <c r="B106" s="30" t="s">
        <v>51</v>
      </c>
      <c r="C106" s="30" t="s">
        <v>169</v>
      </c>
      <c r="D106" s="30" t="s">
        <v>122</v>
      </c>
      <c r="E106" s="30" t="s">
        <v>34</v>
      </c>
      <c r="F106" s="41">
        <v>390.0</v>
      </c>
      <c r="G106" s="41">
        <v>35.0</v>
      </c>
      <c r="H106" s="41">
        <v>0.003</v>
      </c>
      <c r="I106" s="41">
        <v>94.0</v>
      </c>
    </row>
    <row r="107">
      <c r="A107" s="30" t="s">
        <v>520</v>
      </c>
      <c r="B107" s="30" t="s">
        <v>51</v>
      </c>
      <c r="C107" s="30" t="s">
        <v>169</v>
      </c>
      <c r="D107" s="30" t="s">
        <v>122</v>
      </c>
      <c r="E107" s="30" t="s">
        <v>35</v>
      </c>
      <c r="F107" s="41">
        <v>332.0</v>
      </c>
      <c r="G107" s="41">
        <v>136.0</v>
      </c>
      <c r="H107" s="41">
        <v>0.001</v>
      </c>
      <c r="I107" s="41">
        <v>90.0</v>
      </c>
    </row>
    <row r="108">
      <c r="A108" s="30" t="s">
        <v>520</v>
      </c>
      <c r="B108" s="30" t="s">
        <v>51</v>
      </c>
      <c r="C108" s="30" t="s">
        <v>169</v>
      </c>
      <c r="D108" s="30" t="s">
        <v>124</v>
      </c>
      <c r="E108" s="30" t="s">
        <v>34</v>
      </c>
      <c r="F108" s="41">
        <v>82.0</v>
      </c>
      <c r="G108" s="41">
        <v>22.0</v>
      </c>
      <c r="H108" s="41">
        <v>0.0</v>
      </c>
      <c r="I108" s="41">
        <v>98.0</v>
      </c>
    </row>
    <row r="109">
      <c r="A109" s="30" t="s">
        <v>520</v>
      </c>
      <c r="B109" s="30" t="s">
        <v>51</v>
      </c>
      <c r="C109" s="30" t="s">
        <v>169</v>
      </c>
      <c r="D109" s="30" t="s">
        <v>124</v>
      </c>
      <c r="E109" s="30" t="s">
        <v>35</v>
      </c>
      <c r="F109" s="41">
        <v>175.0</v>
      </c>
      <c r="G109" s="41">
        <v>81.0</v>
      </c>
      <c r="H109" s="41">
        <v>0.0</v>
      </c>
      <c r="I109" s="41">
        <v>94.0</v>
      </c>
    </row>
    <row r="110">
      <c r="A110" s="30" t="s">
        <v>520</v>
      </c>
      <c r="B110" s="30" t="s">
        <v>51</v>
      </c>
      <c r="C110" s="30" t="s">
        <v>169</v>
      </c>
      <c r="D110" s="30" t="s">
        <v>131</v>
      </c>
      <c r="E110" s="30" t="s">
        <v>34</v>
      </c>
      <c r="F110" s="41">
        <v>36.0</v>
      </c>
      <c r="G110" s="41">
        <v>23.0</v>
      </c>
      <c r="H110" s="41">
        <v>0.0</v>
      </c>
      <c r="I110" s="41">
        <v>98.0</v>
      </c>
    </row>
    <row r="111">
      <c r="A111" s="30" t="s">
        <v>520</v>
      </c>
      <c r="B111" s="30" t="s">
        <v>51</v>
      </c>
      <c r="C111" s="30" t="s">
        <v>169</v>
      </c>
      <c r="D111" s="30" t="s">
        <v>131</v>
      </c>
      <c r="E111" s="30" t="s">
        <v>35</v>
      </c>
      <c r="F111" s="41">
        <v>142.0</v>
      </c>
      <c r="G111" s="41">
        <v>35.0</v>
      </c>
      <c r="H111" s="41">
        <v>0.0</v>
      </c>
      <c r="I111" s="41">
        <v>97.0</v>
      </c>
    </row>
    <row r="112">
      <c r="A112" s="30" t="s">
        <v>520</v>
      </c>
      <c r="B112" s="30" t="s">
        <v>50</v>
      </c>
      <c r="C112" s="30" t="s">
        <v>507</v>
      </c>
      <c r="D112" s="30" t="s">
        <v>19</v>
      </c>
      <c r="E112" s="30" t="s">
        <v>20</v>
      </c>
      <c r="F112" s="41">
        <v>0.0</v>
      </c>
      <c r="G112" s="41">
        <v>0.0</v>
      </c>
      <c r="H112" s="41">
        <v>0.0</v>
      </c>
      <c r="I112" s="41">
        <v>100.0</v>
      </c>
    </row>
    <row r="113">
      <c r="A113" s="30" t="s">
        <v>520</v>
      </c>
      <c r="B113" s="30" t="s">
        <v>50</v>
      </c>
      <c r="C113" s="30" t="s">
        <v>169</v>
      </c>
      <c r="D113" s="30" t="s">
        <v>133</v>
      </c>
      <c r="E113" s="30" t="s">
        <v>35</v>
      </c>
      <c r="F113" s="41">
        <v>0.0</v>
      </c>
      <c r="G113" s="41">
        <v>0.0</v>
      </c>
      <c r="H113" s="41">
        <v>0.0</v>
      </c>
      <c r="I113" s="41">
        <v>100.0</v>
      </c>
    </row>
    <row r="114">
      <c r="A114" s="30" t="s">
        <v>520</v>
      </c>
      <c r="B114" s="30" t="s">
        <v>50</v>
      </c>
      <c r="C114" s="30" t="s">
        <v>169</v>
      </c>
      <c r="D114" s="30" t="s">
        <v>122</v>
      </c>
      <c r="E114" s="30" t="s">
        <v>35</v>
      </c>
      <c r="F114" s="41">
        <v>0.0</v>
      </c>
      <c r="G114" s="41">
        <v>0.0</v>
      </c>
      <c r="H114" s="41">
        <v>0.0</v>
      </c>
      <c r="I114" s="41">
        <v>100.0</v>
      </c>
    </row>
    <row r="115">
      <c r="A115" s="30" t="s">
        <v>520</v>
      </c>
      <c r="B115" s="30" t="s">
        <v>50</v>
      </c>
      <c r="C115" s="30" t="s">
        <v>169</v>
      </c>
      <c r="D115" s="30" t="s">
        <v>131</v>
      </c>
      <c r="E115" s="30" t="s">
        <v>35</v>
      </c>
      <c r="F115" s="41">
        <v>0.0</v>
      </c>
      <c r="G115" s="41">
        <v>0.0</v>
      </c>
      <c r="H115" s="41">
        <v>0.0</v>
      </c>
      <c r="I115" s="41">
        <v>100.0</v>
      </c>
    </row>
    <row r="116">
      <c r="A116" s="30" t="s">
        <v>520</v>
      </c>
      <c r="B116" s="30" t="s">
        <v>50</v>
      </c>
      <c r="C116" s="30" t="s">
        <v>169</v>
      </c>
      <c r="D116" s="30" t="s">
        <v>124</v>
      </c>
      <c r="E116" s="30" t="s">
        <v>35</v>
      </c>
      <c r="F116" s="41">
        <v>0.0</v>
      </c>
      <c r="G116" s="41">
        <v>0.0</v>
      </c>
      <c r="H116" s="41">
        <v>0.0</v>
      </c>
      <c r="I116" s="41">
        <v>100.0</v>
      </c>
    </row>
    <row r="117">
      <c r="A117" s="30" t="s">
        <v>520</v>
      </c>
      <c r="B117" s="30" t="s">
        <v>50</v>
      </c>
      <c r="C117" s="30" t="s">
        <v>169</v>
      </c>
      <c r="D117" s="30" t="s">
        <v>133</v>
      </c>
      <c r="E117" s="30" t="s">
        <v>34</v>
      </c>
      <c r="F117" s="41">
        <v>0.0</v>
      </c>
      <c r="G117" s="41">
        <v>0.0</v>
      </c>
      <c r="H117" s="41">
        <v>0.0</v>
      </c>
      <c r="I117" s="41">
        <v>100.0</v>
      </c>
    </row>
    <row r="118">
      <c r="A118" s="30" t="s">
        <v>520</v>
      </c>
      <c r="B118" s="30" t="s">
        <v>50</v>
      </c>
      <c r="C118" s="30" t="s">
        <v>169</v>
      </c>
      <c r="D118" s="30" t="s">
        <v>122</v>
      </c>
      <c r="E118" s="30" t="s">
        <v>34</v>
      </c>
      <c r="F118" s="41">
        <v>0.0</v>
      </c>
      <c r="G118" s="41">
        <v>0.0</v>
      </c>
      <c r="H118" s="41">
        <v>0.0</v>
      </c>
      <c r="I118" s="41">
        <v>100.0</v>
      </c>
    </row>
    <row r="119">
      <c r="A119" s="30" t="s">
        <v>520</v>
      </c>
      <c r="B119" s="30" t="s">
        <v>50</v>
      </c>
      <c r="C119" s="30" t="s">
        <v>169</v>
      </c>
      <c r="D119" s="30" t="s">
        <v>131</v>
      </c>
      <c r="E119" s="30" t="s">
        <v>34</v>
      </c>
      <c r="F119" s="41">
        <v>0.0</v>
      </c>
      <c r="G119" s="41">
        <v>0.0</v>
      </c>
      <c r="H119" s="41">
        <v>0.0</v>
      </c>
      <c r="I119" s="41">
        <v>100.0</v>
      </c>
    </row>
    <row r="120">
      <c r="A120" s="30" t="s">
        <v>520</v>
      </c>
      <c r="B120" s="30" t="s">
        <v>50</v>
      </c>
      <c r="C120" s="30" t="s">
        <v>169</v>
      </c>
      <c r="D120" s="30" t="s">
        <v>124</v>
      </c>
      <c r="E120" s="30" t="s">
        <v>34</v>
      </c>
      <c r="F120" s="41">
        <v>0.0</v>
      </c>
      <c r="G120" s="41">
        <v>0.0</v>
      </c>
      <c r="H120" s="41">
        <v>0.0</v>
      </c>
      <c r="I120" s="41">
        <v>100.0</v>
      </c>
    </row>
    <row r="121">
      <c r="A121" s="30" t="s">
        <v>520</v>
      </c>
      <c r="B121" s="30" t="s">
        <v>49</v>
      </c>
      <c r="C121" s="30" t="s">
        <v>507</v>
      </c>
      <c r="D121" s="30" t="s">
        <v>19</v>
      </c>
      <c r="E121" s="30" t="s">
        <v>20</v>
      </c>
      <c r="F121" s="41">
        <v>0.0</v>
      </c>
      <c r="G121" s="41">
        <v>0.0</v>
      </c>
      <c r="H121" s="41">
        <v>0.0</v>
      </c>
      <c r="I121" s="41">
        <v>100.0</v>
      </c>
    </row>
    <row r="122">
      <c r="A122" s="30" t="s">
        <v>520</v>
      </c>
      <c r="B122" s="30" t="s">
        <v>49</v>
      </c>
      <c r="C122" s="30" t="s">
        <v>169</v>
      </c>
      <c r="D122" s="30" t="s">
        <v>133</v>
      </c>
      <c r="E122" s="30" t="s">
        <v>34</v>
      </c>
      <c r="F122" s="41">
        <v>0.0</v>
      </c>
      <c r="G122" s="41">
        <v>0.0</v>
      </c>
      <c r="H122" s="41">
        <v>0.0</v>
      </c>
      <c r="I122" s="41">
        <v>100.0</v>
      </c>
    </row>
    <row r="123">
      <c r="A123" s="30" t="s">
        <v>520</v>
      </c>
      <c r="B123" s="30" t="s">
        <v>49</v>
      </c>
      <c r="C123" s="30" t="s">
        <v>169</v>
      </c>
      <c r="D123" s="30" t="s">
        <v>122</v>
      </c>
      <c r="E123" s="30" t="s">
        <v>34</v>
      </c>
      <c r="F123" s="41">
        <v>0.0</v>
      </c>
      <c r="G123" s="41">
        <v>0.0</v>
      </c>
      <c r="H123" s="41">
        <v>0.0</v>
      </c>
      <c r="I123" s="41">
        <v>100.0</v>
      </c>
    </row>
    <row r="124">
      <c r="A124" s="30" t="s">
        <v>520</v>
      </c>
      <c r="B124" s="30" t="s">
        <v>49</v>
      </c>
      <c r="C124" s="30" t="s">
        <v>169</v>
      </c>
      <c r="D124" s="30" t="s">
        <v>129</v>
      </c>
      <c r="E124" s="30" t="s">
        <v>34</v>
      </c>
      <c r="F124" s="41">
        <v>0.0</v>
      </c>
      <c r="G124" s="41">
        <v>0.0</v>
      </c>
      <c r="H124" s="41">
        <v>0.0</v>
      </c>
      <c r="I124" s="41">
        <v>100.0</v>
      </c>
    </row>
    <row r="125">
      <c r="A125" s="30" t="s">
        <v>520</v>
      </c>
      <c r="B125" s="30" t="s">
        <v>49</v>
      </c>
      <c r="C125" s="30" t="s">
        <v>169</v>
      </c>
      <c r="D125" s="30" t="s">
        <v>126</v>
      </c>
      <c r="E125" s="30" t="s">
        <v>34</v>
      </c>
      <c r="F125" s="41">
        <v>0.0</v>
      </c>
      <c r="G125" s="41">
        <v>0.0</v>
      </c>
      <c r="H125" s="41">
        <v>0.0</v>
      </c>
      <c r="I125" s="41">
        <v>100.0</v>
      </c>
    </row>
    <row r="126">
      <c r="A126" s="30" t="s">
        <v>520</v>
      </c>
      <c r="B126" s="30" t="s">
        <v>49</v>
      </c>
      <c r="C126" s="30" t="s">
        <v>169</v>
      </c>
      <c r="D126" s="30" t="s">
        <v>124</v>
      </c>
      <c r="E126" s="30" t="s">
        <v>34</v>
      </c>
      <c r="F126" s="41">
        <v>0.0</v>
      </c>
      <c r="G126" s="41">
        <v>0.0</v>
      </c>
      <c r="H126" s="41">
        <v>0.0</v>
      </c>
      <c r="I126" s="41">
        <v>100.0</v>
      </c>
    </row>
    <row r="127">
      <c r="A127" s="30" t="s">
        <v>520</v>
      </c>
      <c r="B127" s="30" t="s">
        <v>49</v>
      </c>
      <c r="C127" s="30" t="s">
        <v>169</v>
      </c>
      <c r="D127" s="30" t="s">
        <v>133</v>
      </c>
      <c r="E127" s="30" t="s">
        <v>35</v>
      </c>
      <c r="F127" s="41">
        <v>0.0</v>
      </c>
      <c r="G127" s="41">
        <v>0.0</v>
      </c>
      <c r="H127" s="41">
        <v>0.0</v>
      </c>
      <c r="I127" s="41">
        <v>100.0</v>
      </c>
    </row>
    <row r="128">
      <c r="A128" s="30" t="s">
        <v>520</v>
      </c>
      <c r="B128" s="30" t="s">
        <v>49</v>
      </c>
      <c r="C128" s="30" t="s">
        <v>169</v>
      </c>
      <c r="D128" s="30" t="s">
        <v>122</v>
      </c>
      <c r="E128" s="30" t="s">
        <v>35</v>
      </c>
      <c r="F128" s="41">
        <v>0.0</v>
      </c>
      <c r="G128" s="41">
        <v>0.0</v>
      </c>
      <c r="H128" s="41">
        <v>0.0</v>
      </c>
      <c r="I128" s="41">
        <v>100.0</v>
      </c>
    </row>
    <row r="129">
      <c r="A129" s="30" t="s">
        <v>520</v>
      </c>
      <c r="B129" s="30" t="s">
        <v>49</v>
      </c>
      <c r="C129" s="30" t="s">
        <v>169</v>
      </c>
      <c r="D129" s="30" t="s">
        <v>129</v>
      </c>
      <c r="E129" s="30" t="s">
        <v>35</v>
      </c>
      <c r="F129" s="41">
        <v>0.0</v>
      </c>
      <c r="G129" s="41">
        <v>0.0</v>
      </c>
      <c r="H129" s="41">
        <v>0.0</v>
      </c>
      <c r="I129" s="41">
        <v>100.0</v>
      </c>
    </row>
    <row r="130">
      <c r="A130" s="30" t="s">
        <v>520</v>
      </c>
      <c r="B130" s="30" t="s">
        <v>49</v>
      </c>
      <c r="C130" s="30" t="s">
        <v>169</v>
      </c>
      <c r="D130" s="30" t="s">
        <v>131</v>
      </c>
      <c r="E130" s="30" t="s">
        <v>35</v>
      </c>
      <c r="F130" s="41">
        <v>0.0</v>
      </c>
      <c r="G130" s="41">
        <v>0.0</v>
      </c>
      <c r="H130" s="41">
        <v>0.0</v>
      </c>
      <c r="I130" s="41">
        <v>100.0</v>
      </c>
    </row>
    <row r="131">
      <c r="A131" s="30" t="s">
        <v>520</v>
      </c>
      <c r="B131" s="30" t="s">
        <v>49</v>
      </c>
      <c r="C131" s="30" t="s">
        <v>169</v>
      </c>
      <c r="D131" s="30" t="s">
        <v>126</v>
      </c>
      <c r="E131" s="30" t="s">
        <v>35</v>
      </c>
      <c r="F131" s="41">
        <v>0.0</v>
      </c>
      <c r="G131" s="41">
        <v>0.0</v>
      </c>
      <c r="H131" s="41">
        <v>0.0</v>
      </c>
      <c r="I131" s="41">
        <v>100.0</v>
      </c>
    </row>
    <row r="132">
      <c r="A132" s="30" t="s">
        <v>520</v>
      </c>
      <c r="B132" s="30" t="s">
        <v>49</v>
      </c>
      <c r="C132" s="30" t="s">
        <v>169</v>
      </c>
      <c r="D132" s="30" t="s">
        <v>124</v>
      </c>
      <c r="E132" s="30" t="s">
        <v>35</v>
      </c>
      <c r="F132" s="41">
        <v>0.0</v>
      </c>
      <c r="G132" s="41">
        <v>0.0</v>
      </c>
      <c r="H132" s="41">
        <v>0.0</v>
      </c>
      <c r="I132" s="41">
        <v>100.0</v>
      </c>
    </row>
    <row r="133">
      <c r="A133" s="30" t="s">
        <v>521</v>
      </c>
      <c r="B133" s="30" t="s">
        <v>52</v>
      </c>
      <c r="C133" s="30" t="s">
        <v>522</v>
      </c>
      <c r="D133" s="30" t="s">
        <v>19</v>
      </c>
      <c r="E133" s="30" t="s">
        <v>20</v>
      </c>
      <c r="F133" s="41">
        <v>0.0</v>
      </c>
      <c r="G133" s="41">
        <v>0.0</v>
      </c>
      <c r="H133" s="41">
        <v>0.0</v>
      </c>
      <c r="I133" s="41">
        <v>100.0</v>
      </c>
    </row>
    <row r="134">
      <c r="A134" s="30" t="s">
        <v>523</v>
      </c>
      <c r="B134" s="30" t="s">
        <v>52</v>
      </c>
      <c r="C134" s="30" t="s">
        <v>522</v>
      </c>
      <c r="D134" s="30" t="s">
        <v>27</v>
      </c>
      <c r="E134" s="30" t="s">
        <v>28</v>
      </c>
      <c r="F134" s="41">
        <v>0.0</v>
      </c>
      <c r="G134" s="41">
        <v>0.0</v>
      </c>
      <c r="H134" s="41">
        <v>0.0</v>
      </c>
      <c r="I134" s="41">
        <v>100.0</v>
      </c>
    </row>
    <row r="135">
      <c r="A135" s="30" t="s">
        <v>520</v>
      </c>
      <c r="B135" s="30" t="s">
        <v>52</v>
      </c>
      <c r="C135" s="30" t="s">
        <v>522</v>
      </c>
      <c r="D135" s="30" t="s">
        <v>133</v>
      </c>
      <c r="E135" s="30" t="s">
        <v>34</v>
      </c>
      <c r="F135" s="41">
        <v>0.0</v>
      </c>
      <c r="G135" s="41">
        <v>0.0</v>
      </c>
      <c r="H135" s="41">
        <v>0.0</v>
      </c>
      <c r="I135" s="41">
        <v>100.0</v>
      </c>
    </row>
    <row r="136">
      <c r="A136" s="30" t="s">
        <v>520</v>
      </c>
      <c r="B136" s="30" t="s">
        <v>52</v>
      </c>
      <c r="C136" s="30" t="s">
        <v>522</v>
      </c>
      <c r="D136" s="30" t="s">
        <v>145</v>
      </c>
      <c r="E136" s="30" t="s">
        <v>34</v>
      </c>
      <c r="F136" s="41">
        <v>0.0</v>
      </c>
      <c r="G136" s="41">
        <v>0.0</v>
      </c>
      <c r="H136" s="41">
        <v>0.0</v>
      </c>
      <c r="I136" s="41">
        <v>100.0</v>
      </c>
    </row>
    <row r="137">
      <c r="A137" s="30" t="s">
        <v>520</v>
      </c>
      <c r="B137" s="30" t="s">
        <v>52</v>
      </c>
      <c r="C137" s="30" t="s">
        <v>522</v>
      </c>
      <c r="D137" s="30" t="s">
        <v>122</v>
      </c>
      <c r="E137" s="30" t="s">
        <v>34</v>
      </c>
      <c r="F137" s="41">
        <v>0.0</v>
      </c>
      <c r="G137" s="41">
        <v>0.0</v>
      </c>
      <c r="H137" s="41">
        <v>0.0</v>
      </c>
      <c r="I137" s="41">
        <v>100.0</v>
      </c>
    </row>
    <row r="138">
      <c r="A138" s="30" t="s">
        <v>520</v>
      </c>
      <c r="B138" s="30" t="s">
        <v>52</v>
      </c>
      <c r="C138" s="30" t="s">
        <v>522</v>
      </c>
      <c r="D138" s="30" t="s">
        <v>129</v>
      </c>
      <c r="E138" s="30" t="s">
        <v>34</v>
      </c>
      <c r="F138" s="41">
        <v>0.0</v>
      </c>
      <c r="G138" s="41">
        <v>0.0</v>
      </c>
      <c r="H138" s="41">
        <v>0.0</v>
      </c>
      <c r="I138" s="41">
        <v>100.0</v>
      </c>
    </row>
    <row r="139">
      <c r="A139" s="30" t="s">
        <v>520</v>
      </c>
      <c r="B139" s="30" t="s">
        <v>52</v>
      </c>
      <c r="C139" s="30" t="s">
        <v>522</v>
      </c>
      <c r="D139" s="30" t="s">
        <v>131</v>
      </c>
      <c r="E139" s="30" t="s">
        <v>34</v>
      </c>
      <c r="F139" s="41">
        <v>0.0</v>
      </c>
      <c r="G139" s="41">
        <v>0.0</v>
      </c>
      <c r="H139" s="41">
        <v>0.0</v>
      </c>
      <c r="I139" s="41">
        <v>100.0</v>
      </c>
    </row>
    <row r="140">
      <c r="A140" s="30" t="s">
        <v>520</v>
      </c>
      <c r="B140" s="30" t="s">
        <v>52</v>
      </c>
      <c r="C140" s="30" t="s">
        <v>522</v>
      </c>
      <c r="D140" s="30" t="s">
        <v>126</v>
      </c>
      <c r="E140" s="30" t="s">
        <v>34</v>
      </c>
      <c r="F140" s="41">
        <v>0.0</v>
      </c>
      <c r="G140" s="41">
        <v>0.0</v>
      </c>
      <c r="H140" s="41">
        <v>0.0</v>
      </c>
      <c r="I140" s="41">
        <v>100.0</v>
      </c>
    </row>
    <row r="141">
      <c r="A141" s="30" t="s">
        <v>520</v>
      </c>
      <c r="B141" s="30" t="s">
        <v>52</v>
      </c>
      <c r="C141" s="30" t="s">
        <v>522</v>
      </c>
      <c r="D141" s="30" t="s">
        <v>144</v>
      </c>
      <c r="E141" s="30" t="s">
        <v>34</v>
      </c>
      <c r="F141" s="41">
        <v>0.0</v>
      </c>
      <c r="G141" s="41">
        <v>0.0</v>
      </c>
      <c r="H141" s="41">
        <v>0.0</v>
      </c>
      <c r="I141" s="41">
        <v>100.0</v>
      </c>
    </row>
    <row r="142">
      <c r="A142" s="30" t="s">
        <v>520</v>
      </c>
      <c r="B142" s="30" t="s">
        <v>52</v>
      </c>
      <c r="C142" s="30" t="s">
        <v>522</v>
      </c>
      <c r="D142" s="30" t="s">
        <v>124</v>
      </c>
      <c r="E142" s="30" t="s">
        <v>34</v>
      </c>
      <c r="F142" s="41">
        <v>0.0</v>
      </c>
      <c r="G142" s="41">
        <v>0.0</v>
      </c>
      <c r="H142" s="41">
        <v>0.0</v>
      </c>
      <c r="I142" s="41">
        <v>100.0</v>
      </c>
    </row>
    <row r="143">
      <c r="A143" s="30" t="s">
        <v>520</v>
      </c>
      <c r="B143" s="30" t="s">
        <v>52</v>
      </c>
      <c r="C143" s="30" t="s">
        <v>522</v>
      </c>
      <c r="D143" s="30" t="s">
        <v>143</v>
      </c>
      <c r="E143" s="30" t="s">
        <v>34</v>
      </c>
      <c r="F143" s="41">
        <v>0.0</v>
      </c>
      <c r="G143" s="41">
        <v>0.0</v>
      </c>
      <c r="H143" s="41">
        <v>0.0</v>
      </c>
      <c r="I143" s="41">
        <v>100.0</v>
      </c>
    </row>
    <row r="144">
      <c r="A144" s="30" t="s">
        <v>520</v>
      </c>
      <c r="B144" s="30" t="s">
        <v>52</v>
      </c>
      <c r="C144" s="30" t="s">
        <v>522</v>
      </c>
      <c r="D144" s="30" t="s">
        <v>133</v>
      </c>
      <c r="E144" s="30" t="s">
        <v>35</v>
      </c>
      <c r="F144" s="41">
        <v>0.0</v>
      </c>
      <c r="G144" s="41">
        <v>0.0</v>
      </c>
      <c r="H144" s="41">
        <v>0.0</v>
      </c>
      <c r="I144" s="41">
        <v>100.0</v>
      </c>
    </row>
    <row r="145">
      <c r="A145" s="30" t="s">
        <v>520</v>
      </c>
      <c r="B145" s="30" t="s">
        <v>52</v>
      </c>
      <c r="C145" s="30" t="s">
        <v>522</v>
      </c>
      <c r="D145" s="30" t="s">
        <v>145</v>
      </c>
      <c r="E145" s="30" t="s">
        <v>35</v>
      </c>
      <c r="F145" s="41">
        <v>0.0</v>
      </c>
      <c r="G145" s="41">
        <v>0.0</v>
      </c>
      <c r="H145" s="41">
        <v>0.0</v>
      </c>
      <c r="I145" s="41">
        <v>100.0</v>
      </c>
    </row>
    <row r="146">
      <c r="A146" s="30" t="s">
        <v>520</v>
      </c>
      <c r="B146" s="30" t="s">
        <v>52</v>
      </c>
      <c r="C146" s="30" t="s">
        <v>522</v>
      </c>
      <c r="D146" s="30" t="s">
        <v>122</v>
      </c>
      <c r="E146" s="30" t="s">
        <v>35</v>
      </c>
      <c r="F146" s="41">
        <v>0.0</v>
      </c>
      <c r="G146" s="41">
        <v>0.0</v>
      </c>
      <c r="H146" s="41">
        <v>0.0</v>
      </c>
      <c r="I146" s="41">
        <v>100.0</v>
      </c>
    </row>
    <row r="147">
      <c r="A147" s="30" t="s">
        <v>520</v>
      </c>
      <c r="B147" s="30" t="s">
        <v>52</v>
      </c>
      <c r="C147" s="30" t="s">
        <v>522</v>
      </c>
      <c r="D147" s="30" t="s">
        <v>129</v>
      </c>
      <c r="E147" s="30" t="s">
        <v>35</v>
      </c>
      <c r="F147" s="41">
        <v>0.0</v>
      </c>
      <c r="G147" s="41">
        <v>0.0</v>
      </c>
      <c r="H147" s="41">
        <v>0.0</v>
      </c>
      <c r="I147" s="41">
        <v>100.0</v>
      </c>
    </row>
    <row r="148">
      <c r="A148" s="30" t="s">
        <v>520</v>
      </c>
      <c r="B148" s="30" t="s">
        <v>52</v>
      </c>
      <c r="C148" s="30" t="s">
        <v>522</v>
      </c>
      <c r="D148" s="30" t="s">
        <v>131</v>
      </c>
      <c r="E148" s="30" t="s">
        <v>35</v>
      </c>
      <c r="F148" s="41">
        <v>0.0</v>
      </c>
      <c r="G148" s="41">
        <v>0.0</v>
      </c>
      <c r="H148" s="41">
        <v>0.0</v>
      </c>
      <c r="I148" s="41">
        <v>100.0</v>
      </c>
    </row>
    <row r="149">
      <c r="A149" s="30" t="s">
        <v>520</v>
      </c>
      <c r="B149" s="30" t="s">
        <v>52</v>
      </c>
      <c r="C149" s="30" t="s">
        <v>522</v>
      </c>
      <c r="D149" s="30" t="s">
        <v>126</v>
      </c>
      <c r="E149" s="30" t="s">
        <v>35</v>
      </c>
      <c r="F149" s="41">
        <v>0.0</v>
      </c>
      <c r="G149" s="41">
        <v>0.0</v>
      </c>
      <c r="H149" s="41">
        <v>0.0</v>
      </c>
      <c r="I149" s="41">
        <v>100.0</v>
      </c>
    </row>
    <row r="150">
      <c r="A150" s="30" t="s">
        <v>520</v>
      </c>
      <c r="B150" s="30" t="s">
        <v>52</v>
      </c>
      <c r="C150" s="30" t="s">
        <v>522</v>
      </c>
      <c r="D150" s="30" t="s">
        <v>144</v>
      </c>
      <c r="E150" s="30" t="s">
        <v>35</v>
      </c>
      <c r="F150" s="41">
        <v>0.0</v>
      </c>
      <c r="G150" s="41">
        <v>0.0</v>
      </c>
      <c r="H150" s="41">
        <v>0.0</v>
      </c>
      <c r="I150" s="41">
        <v>100.0</v>
      </c>
    </row>
    <row r="151">
      <c r="A151" s="30" t="s">
        <v>520</v>
      </c>
      <c r="B151" s="30" t="s">
        <v>52</v>
      </c>
      <c r="C151" s="30" t="s">
        <v>522</v>
      </c>
      <c r="D151" s="30" t="s">
        <v>124</v>
      </c>
      <c r="E151" s="30" t="s">
        <v>35</v>
      </c>
      <c r="F151" s="41">
        <v>0.0</v>
      </c>
      <c r="G151" s="41">
        <v>0.0</v>
      </c>
      <c r="H151" s="41">
        <v>0.0</v>
      </c>
      <c r="I151" s="41">
        <v>100.0</v>
      </c>
    </row>
    <row r="152">
      <c r="A152" s="30" t="s">
        <v>520</v>
      </c>
      <c r="B152" s="30" t="s">
        <v>52</v>
      </c>
      <c r="C152" s="30" t="s">
        <v>522</v>
      </c>
      <c r="D152" s="30" t="s">
        <v>143</v>
      </c>
      <c r="E152" s="30" t="s">
        <v>35</v>
      </c>
      <c r="F152" s="41">
        <v>0.0</v>
      </c>
      <c r="G152" s="41">
        <v>0.0</v>
      </c>
      <c r="H152" s="41">
        <v>0.0</v>
      </c>
      <c r="I152" s="41">
        <v>100.0</v>
      </c>
    </row>
    <row r="153">
      <c r="A153" s="30" t="s">
        <v>168</v>
      </c>
      <c r="B153" s="30" t="s">
        <v>52</v>
      </c>
      <c r="C153" s="30" t="s">
        <v>522</v>
      </c>
      <c r="D153" s="30" t="s">
        <v>133</v>
      </c>
      <c r="E153" s="30" t="s">
        <v>34</v>
      </c>
      <c r="F153" s="41">
        <v>31.0</v>
      </c>
      <c r="G153" s="41">
        <v>0.0</v>
      </c>
      <c r="H153" s="41">
        <v>0.0</v>
      </c>
      <c r="I153" s="41">
        <v>100.0</v>
      </c>
    </row>
    <row r="154">
      <c r="A154" s="30" t="s">
        <v>168</v>
      </c>
      <c r="B154" s="30" t="s">
        <v>52</v>
      </c>
      <c r="C154" s="30" t="s">
        <v>522</v>
      </c>
      <c r="D154" s="30" t="s">
        <v>145</v>
      </c>
      <c r="E154" s="30" t="s">
        <v>34</v>
      </c>
      <c r="F154" s="41">
        <v>22.0</v>
      </c>
      <c r="G154" s="41">
        <v>0.0</v>
      </c>
      <c r="H154" s="41">
        <v>0.0</v>
      </c>
      <c r="I154" s="41">
        <v>100.0</v>
      </c>
    </row>
    <row r="155">
      <c r="A155" s="30" t="s">
        <v>168</v>
      </c>
      <c r="B155" s="30" t="s">
        <v>52</v>
      </c>
      <c r="C155" s="30" t="s">
        <v>522</v>
      </c>
      <c r="D155" s="30" t="s">
        <v>122</v>
      </c>
      <c r="E155" s="30" t="s">
        <v>34</v>
      </c>
      <c r="F155" s="41">
        <v>20.0</v>
      </c>
      <c r="G155" s="41">
        <v>0.0</v>
      </c>
      <c r="H155" s="41">
        <v>0.0</v>
      </c>
      <c r="I155" s="41">
        <v>100.0</v>
      </c>
    </row>
    <row r="156">
      <c r="A156" s="30" t="s">
        <v>168</v>
      </c>
      <c r="B156" s="30" t="s">
        <v>52</v>
      </c>
      <c r="C156" s="30" t="s">
        <v>522</v>
      </c>
      <c r="D156" s="30" t="s">
        <v>129</v>
      </c>
      <c r="E156" s="30" t="s">
        <v>34</v>
      </c>
      <c r="F156" s="41">
        <v>22.0</v>
      </c>
      <c r="G156" s="41">
        <v>0.0</v>
      </c>
      <c r="H156" s="41">
        <v>0.0</v>
      </c>
      <c r="I156" s="41">
        <v>100.0</v>
      </c>
    </row>
    <row r="157">
      <c r="A157" s="30" t="s">
        <v>168</v>
      </c>
      <c r="B157" s="30" t="s">
        <v>52</v>
      </c>
      <c r="C157" s="30" t="s">
        <v>522</v>
      </c>
      <c r="D157" s="30" t="s">
        <v>131</v>
      </c>
      <c r="E157" s="30" t="s">
        <v>34</v>
      </c>
      <c r="F157" s="41">
        <v>34.0</v>
      </c>
      <c r="G157" s="41">
        <v>0.0</v>
      </c>
      <c r="H157" s="41">
        <v>0.5</v>
      </c>
      <c r="I157" s="41">
        <v>70.0</v>
      </c>
    </row>
    <row r="158">
      <c r="A158" s="30" t="s">
        <v>168</v>
      </c>
      <c r="B158" s="30" t="s">
        <v>52</v>
      </c>
      <c r="C158" s="30" t="s">
        <v>522</v>
      </c>
      <c r="D158" s="30" t="s">
        <v>126</v>
      </c>
      <c r="E158" s="30" t="s">
        <v>34</v>
      </c>
      <c r="F158" s="41">
        <v>22.0</v>
      </c>
      <c r="G158" s="41">
        <v>0.0</v>
      </c>
      <c r="H158" s="41">
        <v>0.0</v>
      </c>
      <c r="I158" s="41">
        <v>100.0</v>
      </c>
    </row>
    <row r="159">
      <c r="A159" s="30" t="s">
        <v>168</v>
      </c>
      <c r="B159" s="30" t="s">
        <v>52</v>
      </c>
      <c r="C159" s="30" t="s">
        <v>522</v>
      </c>
      <c r="D159" s="30" t="s">
        <v>144</v>
      </c>
      <c r="E159" s="30" t="s">
        <v>34</v>
      </c>
      <c r="F159" s="41">
        <v>24.0</v>
      </c>
      <c r="G159" s="41">
        <v>1.0</v>
      </c>
      <c r="H159" s="41">
        <v>0.5</v>
      </c>
      <c r="I159" s="41">
        <v>70.0</v>
      </c>
    </row>
    <row r="160">
      <c r="A160" s="30" t="s">
        <v>168</v>
      </c>
      <c r="B160" s="30" t="s">
        <v>52</v>
      </c>
      <c r="C160" s="30" t="s">
        <v>522</v>
      </c>
      <c r="D160" s="30" t="s">
        <v>124</v>
      </c>
      <c r="E160" s="30" t="s">
        <v>34</v>
      </c>
      <c r="F160" s="41">
        <v>59.0</v>
      </c>
      <c r="G160" s="41">
        <v>1.0</v>
      </c>
      <c r="H160" s="41">
        <v>0.5</v>
      </c>
      <c r="I160" s="41">
        <v>69.0</v>
      </c>
    </row>
    <row r="161">
      <c r="A161" s="30" t="s">
        <v>168</v>
      </c>
      <c r="B161" s="30" t="s">
        <v>52</v>
      </c>
      <c r="C161" s="30" t="s">
        <v>522</v>
      </c>
      <c r="D161" s="30" t="s">
        <v>143</v>
      </c>
      <c r="E161" s="30" t="s">
        <v>34</v>
      </c>
      <c r="F161" s="41">
        <v>22.0</v>
      </c>
      <c r="G161" s="41">
        <v>0.0</v>
      </c>
      <c r="H161" s="41">
        <v>0.0</v>
      </c>
      <c r="I161" s="41">
        <v>100.0</v>
      </c>
    </row>
    <row r="162">
      <c r="A162" s="30" t="s">
        <v>168</v>
      </c>
      <c r="B162" s="30" t="s">
        <v>52</v>
      </c>
      <c r="C162" s="30" t="s">
        <v>522</v>
      </c>
      <c r="D162" s="30" t="s">
        <v>133</v>
      </c>
      <c r="E162" s="30" t="s">
        <v>35</v>
      </c>
      <c r="F162" s="41">
        <v>21.0</v>
      </c>
      <c r="G162" s="41">
        <v>1.0</v>
      </c>
      <c r="H162" s="41">
        <v>0.0</v>
      </c>
      <c r="I162" s="41">
        <v>100.0</v>
      </c>
    </row>
    <row r="163">
      <c r="A163" s="30" t="s">
        <v>168</v>
      </c>
      <c r="B163" s="30" t="s">
        <v>52</v>
      </c>
      <c r="C163" s="30" t="s">
        <v>522</v>
      </c>
      <c r="D163" s="30" t="s">
        <v>145</v>
      </c>
      <c r="E163" s="30" t="s">
        <v>35</v>
      </c>
      <c r="F163" s="41">
        <v>17.0</v>
      </c>
      <c r="G163" s="41">
        <v>3.0</v>
      </c>
      <c r="H163" s="41">
        <v>0.0</v>
      </c>
      <c r="I163" s="41">
        <v>100.0</v>
      </c>
    </row>
    <row r="164">
      <c r="A164" s="30" t="s">
        <v>168</v>
      </c>
      <c r="B164" s="30" t="s">
        <v>52</v>
      </c>
      <c r="C164" s="30" t="s">
        <v>522</v>
      </c>
      <c r="D164" s="30" t="s">
        <v>122</v>
      </c>
      <c r="E164" s="30" t="s">
        <v>35</v>
      </c>
      <c r="F164" s="41">
        <v>81.0</v>
      </c>
      <c r="G164" s="41">
        <v>1.0</v>
      </c>
      <c r="H164" s="41">
        <v>0.5</v>
      </c>
      <c r="I164" s="41">
        <v>69.0</v>
      </c>
    </row>
    <row r="165">
      <c r="A165" s="30" t="s">
        <v>168</v>
      </c>
      <c r="B165" s="30" t="s">
        <v>52</v>
      </c>
      <c r="C165" s="30" t="s">
        <v>522</v>
      </c>
      <c r="D165" s="30" t="s">
        <v>129</v>
      </c>
      <c r="E165" s="30" t="s">
        <v>35</v>
      </c>
      <c r="F165" s="41">
        <v>17.0</v>
      </c>
      <c r="G165" s="41">
        <v>3.0</v>
      </c>
      <c r="H165" s="41">
        <v>0.0</v>
      </c>
      <c r="I165" s="41">
        <v>100.0</v>
      </c>
    </row>
    <row r="166">
      <c r="A166" s="30" t="s">
        <v>168</v>
      </c>
      <c r="B166" s="30" t="s">
        <v>52</v>
      </c>
      <c r="C166" s="30" t="s">
        <v>522</v>
      </c>
      <c r="D166" s="30" t="s">
        <v>131</v>
      </c>
      <c r="E166" s="30" t="s">
        <v>35</v>
      </c>
      <c r="F166" s="41">
        <v>7.0</v>
      </c>
      <c r="G166" s="41">
        <v>3.0</v>
      </c>
      <c r="H166" s="41">
        <v>0.0</v>
      </c>
      <c r="I166" s="41">
        <v>100.0</v>
      </c>
    </row>
    <row r="167">
      <c r="A167" s="30" t="s">
        <v>168</v>
      </c>
      <c r="B167" s="30" t="s">
        <v>52</v>
      </c>
      <c r="C167" s="30" t="s">
        <v>522</v>
      </c>
      <c r="D167" s="30" t="s">
        <v>126</v>
      </c>
      <c r="E167" s="30" t="s">
        <v>35</v>
      </c>
      <c r="F167" s="41">
        <v>17.0</v>
      </c>
      <c r="G167" s="41">
        <v>3.0</v>
      </c>
      <c r="H167" s="41">
        <v>0.0</v>
      </c>
      <c r="I167" s="41">
        <v>100.0</v>
      </c>
    </row>
    <row r="168">
      <c r="A168" s="30" t="s">
        <v>168</v>
      </c>
      <c r="B168" s="30" t="s">
        <v>52</v>
      </c>
      <c r="C168" s="30" t="s">
        <v>522</v>
      </c>
      <c r="D168" s="30" t="s">
        <v>144</v>
      </c>
      <c r="E168" s="30" t="s">
        <v>35</v>
      </c>
      <c r="F168" s="41">
        <v>0.0</v>
      </c>
      <c r="G168" s="41">
        <v>17.0</v>
      </c>
      <c r="H168" s="41">
        <v>6.0</v>
      </c>
      <c r="I168" s="41">
        <v>69.0</v>
      </c>
    </row>
    <row r="169">
      <c r="A169" s="30" t="s">
        <v>168</v>
      </c>
      <c r="B169" s="30" t="s">
        <v>52</v>
      </c>
      <c r="C169" s="30" t="s">
        <v>522</v>
      </c>
      <c r="D169" s="30" t="s">
        <v>124</v>
      </c>
      <c r="E169" s="30" t="s">
        <v>35</v>
      </c>
      <c r="F169" s="41">
        <v>70.0</v>
      </c>
      <c r="G169" s="41">
        <v>1.0</v>
      </c>
      <c r="H169" s="41">
        <v>4.5</v>
      </c>
      <c r="I169" s="41">
        <v>69.0</v>
      </c>
    </row>
    <row r="170">
      <c r="A170" s="30" t="s">
        <v>168</v>
      </c>
      <c r="B170" s="30" t="s">
        <v>52</v>
      </c>
      <c r="C170" s="30" t="s">
        <v>522</v>
      </c>
      <c r="D170" s="30" t="s">
        <v>143</v>
      </c>
      <c r="E170" s="30" t="s">
        <v>35</v>
      </c>
      <c r="F170" s="41">
        <v>17.0</v>
      </c>
      <c r="G170" s="41">
        <v>3.0</v>
      </c>
      <c r="H170" s="41">
        <v>0.0</v>
      </c>
      <c r="I170" s="41">
        <v>100.0</v>
      </c>
    </row>
    <row r="171">
      <c r="A171" s="30"/>
      <c r="B171" s="30"/>
      <c r="C171" s="30"/>
      <c r="D171" s="30"/>
      <c r="E171" s="30"/>
      <c r="F171" s="41"/>
      <c r="G171" s="41"/>
      <c r="H171" s="41"/>
      <c r="I171" s="41"/>
    </row>
    <row r="172">
      <c r="A172" s="30"/>
      <c r="B172" s="30"/>
      <c r="C172" s="30"/>
      <c r="D172" s="30"/>
      <c r="E172" s="30"/>
      <c r="F172" s="41"/>
      <c r="G172" s="41"/>
      <c r="H172" s="41"/>
      <c r="I172" s="41"/>
    </row>
    <row r="173">
      <c r="A173" s="30"/>
      <c r="B173" s="30"/>
      <c r="C173" s="30"/>
      <c r="D173" s="30"/>
      <c r="E173" s="30"/>
      <c r="F173" s="41"/>
      <c r="G173" s="41"/>
      <c r="H173" s="41"/>
      <c r="I173" s="41"/>
    </row>
    <row r="174">
      <c r="A174" s="30"/>
      <c r="B174" s="30"/>
      <c r="C174" s="30"/>
      <c r="D174" s="30"/>
      <c r="E174" s="30"/>
      <c r="F174" s="41"/>
      <c r="G174" s="41"/>
      <c r="H174" s="41"/>
      <c r="I174" s="41"/>
    </row>
    <row r="175">
      <c r="B175" s="30"/>
      <c r="C175" s="30"/>
      <c r="E175" s="30"/>
      <c r="F175" s="41"/>
      <c r="G175" s="41"/>
      <c r="H175" s="41"/>
      <c r="I175" s="41"/>
    </row>
  </sheetData>
  <drawing r:id="rId1"/>
</worksheet>
</file>